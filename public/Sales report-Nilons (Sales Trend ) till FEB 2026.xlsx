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ropbox\Ramesh\"/>
    </mc:Choice>
  </mc:AlternateContent>
  <xr:revisionPtr revIDLastSave="0" documentId="13_ncr:1_{4D5400FD-9754-4E25-97D6-A3F2BC91CE56}" xr6:coauthVersionLast="47" xr6:coauthVersionMax="47" xr10:uidLastSave="{00000000-0000-0000-0000-000000000000}"/>
  <bookViews>
    <workbookView xWindow="-120" yWindow="-120" windowWidth="20730" windowHeight="11160" activeTab="1" xr2:uid="{22D66A36-36FB-48FB-B773-C19FB96E758D}"/>
  </bookViews>
  <sheets>
    <sheet name="CASE" sheetId="3" r:id="rId1"/>
    <sheet name="In Value" sheetId="4" r:id="rId2"/>
    <sheet name="Sheet2" sheetId="6" state="hidden" r:id="rId3"/>
    <sheet name="Main" sheetId="1" r:id="rId4"/>
  </sheets>
  <definedNames>
    <definedName name="_xlnm._FilterDatabase" localSheetId="3" hidden="1">Main!$A$1:$P$1</definedName>
    <definedName name="Slicer_FY">#N/A</definedName>
    <definedName name="Slicer_FY1">#N/A</definedName>
    <definedName name="Slicer_QTR">#N/A</definedName>
    <definedName name="Slicer_QTR1">#N/A</definedName>
  </definedNames>
  <calcPr calcId="191029"/>
  <pivotCaches>
    <pivotCache cacheId="497" r:id="rId5"/>
    <pivotCache cacheId="503"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1" l="1"/>
  <c r="C3" i="1"/>
  <c r="B4" i="1"/>
  <c r="C4" i="1"/>
  <c r="B5" i="1"/>
  <c r="C5" i="1"/>
  <c r="B6" i="1"/>
  <c r="C6" i="1"/>
  <c r="B7" i="1"/>
  <c r="C7" i="1"/>
  <c r="B8" i="1"/>
  <c r="C8" i="1"/>
  <c r="B9" i="1"/>
  <c r="C9" i="1"/>
  <c r="B10" i="1"/>
  <c r="C10" i="1"/>
  <c r="B11" i="1"/>
  <c r="C11" i="1"/>
  <c r="B12" i="1"/>
  <c r="C12" i="1"/>
  <c r="B13" i="1"/>
  <c r="C13" i="1"/>
  <c r="B14" i="1"/>
  <c r="C14" i="1"/>
  <c r="B15" i="1"/>
  <c r="C15" i="1"/>
  <c r="B16" i="1"/>
  <c r="C16" i="1"/>
  <c r="B17" i="1"/>
  <c r="C17" i="1"/>
  <c r="B18" i="1"/>
  <c r="C18" i="1"/>
  <c r="B19" i="1"/>
  <c r="C19" i="1"/>
  <c r="B20" i="1"/>
  <c r="C20" i="1"/>
  <c r="B21" i="1"/>
  <c r="C21" i="1"/>
  <c r="B22" i="1"/>
  <c r="C22" i="1"/>
  <c r="B23" i="1"/>
  <c r="C23" i="1"/>
  <c r="B24" i="1"/>
  <c r="C24" i="1"/>
  <c r="B25" i="1"/>
  <c r="C25" i="1"/>
  <c r="B26" i="1"/>
  <c r="C26" i="1"/>
  <c r="B27" i="1"/>
  <c r="C27" i="1"/>
  <c r="B28" i="1"/>
  <c r="C28" i="1"/>
  <c r="B29" i="1"/>
  <c r="C29" i="1"/>
  <c r="B30" i="1"/>
  <c r="C30" i="1"/>
  <c r="B31" i="1"/>
  <c r="C31" i="1"/>
  <c r="B32" i="1"/>
  <c r="C32" i="1"/>
  <c r="B33" i="1"/>
  <c r="C33" i="1"/>
  <c r="B34" i="1"/>
  <c r="C34" i="1"/>
  <c r="B35" i="1"/>
  <c r="C35" i="1"/>
  <c r="B36" i="1"/>
  <c r="C36" i="1"/>
  <c r="B37" i="1"/>
  <c r="C37" i="1"/>
  <c r="B38" i="1"/>
  <c r="C38" i="1"/>
  <c r="B39" i="1"/>
  <c r="C39" i="1"/>
  <c r="B40" i="1"/>
  <c r="C40" i="1"/>
  <c r="B41" i="1"/>
  <c r="C41" i="1"/>
  <c r="B42" i="1"/>
  <c r="C42" i="1"/>
  <c r="B43" i="1"/>
  <c r="C43" i="1"/>
  <c r="B44" i="1"/>
  <c r="C44" i="1"/>
  <c r="B45" i="1"/>
  <c r="C45" i="1"/>
  <c r="B46" i="1"/>
  <c r="C46" i="1"/>
  <c r="B47" i="1"/>
  <c r="C47" i="1"/>
  <c r="B48" i="1"/>
  <c r="C48" i="1"/>
  <c r="B49" i="1"/>
  <c r="C49" i="1"/>
  <c r="B50" i="1"/>
  <c r="C50" i="1"/>
  <c r="B51" i="1"/>
  <c r="C51" i="1"/>
  <c r="B52" i="1"/>
  <c r="C52" i="1"/>
  <c r="B53" i="1"/>
  <c r="C53" i="1"/>
  <c r="B54" i="1"/>
  <c r="C54" i="1"/>
  <c r="B55" i="1"/>
  <c r="C55" i="1"/>
  <c r="B56" i="1"/>
  <c r="C56" i="1"/>
  <c r="B57" i="1"/>
  <c r="C57" i="1"/>
  <c r="B58" i="1"/>
  <c r="C58" i="1"/>
  <c r="B59" i="1"/>
  <c r="C59" i="1"/>
  <c r="B60" i="1"/>
  <c r="C60" i="1"/>
  <c r="B61" i="1"/>
  <c r="C61" i="1"/>
  <c r="B62" i="1"/>
  <c r="C62" i="1"/>
  <c r="B63" i="1"/>
  <c r="C63" i="1"/>
  <c r="B64" i="1"/>
  <c r="C64" i="1"/>
  <c r="B65" i="1"/>
  <c r="C65" i="1"/>
  <c r="B66" i="1"/>
  <c r="C66" i="1"/>
  <c r="B67" i="1"/>
  <c r="C67" i="1"/>
  <c r="B68" i="1"/>
  <c r="C68" i="1"/>
  <c r="B69" i="1"/>
  <c r="C69" i="1"/>
  <c r="B70" i="1"/>
  <c r="C70" i="1"/>
  <c r="B71" i="1"/>
  <c r="C71" i="1"/>
  <c r="B72" i="1"/>
  <c r="C72" i="1"/>
  <c r="B73" i="1"/>
  <c r="C73" i="1"/>
  <c r="B74" i="1"/>
  <c r="C74" i="1"/>
  <c r="B75" i="1"/>
  <c r="C75" i="1"/>
  <c r="B76" i="1"/>
  <c r="C76" i="1"/>
  <c r="B77" i="1"/>
  <c r="C77" i="1"/>
  <c r="B78" i="1"/>
  <c r="C78" i="1"/>
  <c r="B79" i="1"/>
  <c r="C79" i="1"/>
  <c r="B80" i="1"/>
  <c r="C80" i="1"/>
  <c r="B81" i="1"/>
  <c r="C81" i="1"/>
  <c r="B82" i="1"/>
  <c r="C82" i="1"/>
  <c r="B83" i="1"/>
  <c r="C83" i="1"/>
  <c r="B84" i="1"/>
  <c r="C84" i="1"/>
  <c r="B85" i="1"/>
  <c r="C85" i="1"/>
  <c r="B86" i="1"/>
  <c r="C86" i="1"/>
  <c r="B87" i="1"/>
  <c r="C87" i="1"/>
  <c r="B88" i="1"/>
  <c r="C88" i="1"/>
  <c r="B89" i="1"/>
  <c r="C89" i="1"/>
  <c r="B90" i="1"/>
  <c r="C90" i="1"/>
  <c r="B91" i="1"/>
  <c r="C91" i="1"/>
  <c r="B92" i="1"/>
  <c r="C92" i="1"/>
  <c r="B93" i="1"/>
  <c r="C93" i="1"/>
  <c r="B94" i="1"/>
  <c r="C94" i="1"/>
  <c r="B95" i="1"/>
  <c r="C95" i="1"/>
  <c r="B96" i="1"/>
  <c r="C96" i="1"/>
  <c r="B97" i="1"/>
  <c r="C97" i="1"/>
  <c r="B98" i="1"/>
  <c r="C98" i="1"/>
  <c r="B99" i="1"/>
  <c r="C99" i="1"/>
  <c r="B100" i="1"/>
  <c r="C100" i="1"/>
  <c r="B101" i="1"/>
  <c r="C101" i="1"/>
  <c r="B102" i="1"/>
  <c r="C102" i="1"/>
  <c r="B103" i="1"/>
  <c r="C103" i="1"/>
  <c r="B104" i="1"/>
  <c r="C104" i="1"/>
  <c r="B105" i="1"/>
  <c r="C105" i="1"/>
  <c r="B106" i="1"/>
  <c r="C106" i="1"/>
  <c r="B107" i="1"/>
  <c r="C107" i="1"/>
  <c r="B108" i="1"/>
  <c r="C108" i="1"/>
  <c r="B109" i="1"/>
  <c r="C109" i="1"/>
  <c r="B110" i="1"/>
  <c r="C110" i="1"/>
  <c r="B111" i="1"/>
  <c r="C111" i="1"/>
  <c r="B112" i="1"/>
  <c r="C112" i="1"/>
  <c r="B113" i="1"/>
  <c r="C113" i="1"/>
  <c r="B114" i="1"/>
  <c r="C114" i="1"/>
  <c r="B115" i="1"/>
  <c r="C115" i="1"/>
  <c r="B116" i="1"/>
  <c r="C116" i="1"/>
  <c r="B117" i="1"/>
  <c r="C117" i="1"/>
  <c r="B118" i="1"/>
  <c r="C118" i="1"/>
  <c r="B119" i="1"/>
  <c r="C119" i="1"/>
  <c r="B120" i="1"/>
  <c r="C120" i="1"/>
  <c r="B121" i="1"/>
  <c r="C121" i="1"/>
  <c r="B122" i="1"/>
  <c r="C122" i="1"/>
  <c r="B123" i="1"/>
  <c r="C123" i="1"/>
  <c r="B124" i="1"/>
  <c r="C124" i="1"/>
  <c r="B125" i="1"/>
  <c r="C125" i="1"/>
  <c r="B126" i="1"/>
  <c r="C126" i="1"/>
  <c r="B127" i="1"/>
  <c r="C127" i="1"/>
  <c r="B128" i="1"/>
  <c r="C128" i="1"/>
  <c r="B129" i="1"/>
  <c r="C129" i="1"/>
  <c r="B130" i="1"/>
  <c r="C130" i="1"/>
  <c r="B131" i="1"/>
  <c r="C131" i="1"/>
  <c r="B132" i="1"/>
  <c r="C132" i="1"/>
  <c r="B133" i="1"/>
  <c r="C133" i="1"/>
  <c r="B134" i="1"/>
  <c r="C134" i="1"/>
  <c r="B135" i="1"/>
  <c r="C135" i="1"/>
  <c r="B136" i="1"/>
  <c r="C136" i="1"/>
  <c r="B137" i="1"/>
  <c r="C137" i="1"/>
  <c r="B138" i="1"/>
  <c r="C138" i="1"/>
  <c r="B139" i="1"/>
  <c r="C139" i="1"/>
  <c r="B140" i="1"/>
  <c r="C140" i="1"/>
  <c r="B141" i="1"/>
  <c r="C141" i="1"/>
  <c r="B142" i="1"/>
  <c r="C142" i="1"/>
  <c r="B143" i="1"/>
  <c r="C143" i="1"/>
  <c r="B144" i="1"/>
  <c r="C144" i="1"/>
  <c r="B145" i="1"/>
  <c r="C145" i="1"/>
  <c r="B146" i="1"/>
  <c r="C146" i="1"/>
  <c r="B147" i="1"/>
  <c r="C147" i="1"/>
  <c r="B148" i="1"/>
  <c r="C148" i="1"/>
  <c r="B149" i="1"/>
  <c r="C149" i="1"/>
  <c r="B150" i="1"/>
  <c r="C150" i="1"/>
  <c r="B151" i="1"/>
  <c r="C151" i="1"/>
  <c r="B152" i="1"/>
  <c r="C152" i="1"/>
  <c r="B153" i="1"/>
  <c r="C153" i="1"/>
  <c r="B154" i="1"/>
  <c r="C154" i="1"/>
  <c r="B155" i="1"/>
  <c r="C155" i="1"/>
  <c r="B156" i="1"/>
  <c r="C156" i="1"/>
  <c r="B157" i="1"/>
  <c r="C157" i="1"/>
  <c r="B158" i="1"/>
  <c r="C158" i="1"/>
  <c r="B159" i="1"/>
  <c r="C159" i="1"/>
  <c r="B160" i="1"/>
  <c r="C160" i="1"/>
  <c r="B161" i="1"/>
  <c r="C161" i="1"/>
  <c r="B162" i="1"/>
  <c r="C162" i="1"/>
  <c r="B163" i="1"/>
  <c r="C163" i="1"/>
  <c r="B164" i="1"/>
  <c r="C164" i="1"/>
  <c r="B165" i="1"/>
  <c r="C165" i="1"/>
  <c r="B166" i="1"/>
  <c r="C166" i="1"/>
  <c r="B167" i="1"/>
  <c r="C167" i="1"/>
  <c r="B168" i="1"/>
  <c r="C168" i="1"/>
  <c r="B169" i="1"/>
  <c r="C169" i="1"/>
  <c r="B170" i="1"/>
  <c r="C170" i="1"/>
  <c r="B171" i="1"/>
  <c r="C171" i="1"/>
  <c r="B172" i="1"/>
  <c r="C172" i="1"/>
  <c r="B173" i="1"/>
  <c r="C173" i="1"/>
  <c r="B174" i="1"/>
  <c r="C174" i="1"/>
  <c r="B175" i="1"/>
  <c r="C175" i="1"/>
  <c r="B176" i="1"/>
  <c r="C176" i="1"/>
  <c r="B177" i="1"/>
  <c r="C177" i="1"/>
  <c r="B178" i="1"/>
  <c r="C178" i="1"/>
  <c r="B179" i="1"/>
  <c r="C179" i="1"/>
  <c r="B180" i="1"/>
  <c r="C180" i="1"/>
  <c r="B181" i="1"/>
  <c r="C181" i="1"/>
  <c r="B182" i="1"/>
  <c r="C182" i="1"/>
  <c r="B183" i="1"/>
  <c r="C183" i="1"/>
  <c r="B184" i="1"/>
  <c r="C184" i="1"/>
  <c r="B185" i="1"/>
  <c r="C185" i="1"/>
  <c r="B186" i="1"/>
  <c r="C186" i="1"/>
  <c r="B187" i="1"/>
  <c r="C187" i="1"/>
  <c r="B188" i="1"/>
  <c r="C188" i="1"/>
  <c r="B189" i="1"/>
  <c r="C189" i="1"/>
  <c r="B190" i="1"/>
  <c r="C190" i="1"/>
  <c r="B191" i="1"/>
  <c r="C191" i="1"/>
  <c r="B192" i="1"/>
  <c r="C192" i="1"/>
  <c r="B193" i="1"/>
  <c r="C193" i="1"/>
  <c r="B194" i="1"/>
  <c r="C194" i="1"/>
  <c r="B195" i="1"/>
  <c r="C195" i="1"/>
  <c r="B196" i="1"/>
  <c r="C196" i="1"/>
  <c r="B197" i="1"/>
  <c r="C197" i="1"/>
  <c r="B198" i="1"/>
  <c r="C198" i="1"/>
  <c r="B199" i="1"/>
  <c r="C199" i="1"/>
  <c r="B200" i="1"/>
  <c r="C200" i="1"/>
  <c r="B201" i="1"/>
  <c r="C201" i="1"/>
  <c r="B202" i="1"/>
  <c r="C202" i="1"/>
  <c r="B203" i="1"/>
  <c r="C203" i="1"/>
  <c r="B204" i="1"/>
  <c r="C204" i="1"/>
  <c r="B205" i="1"/>
  <c r="C205" i="1"/>
  <c r="B206" i="1"/>
  <c r="C206" i="1"/>
  <c r="B207" i="1"/>
  <c r="C207" i="1"/>
  <c r="B208" i="1"/>
  <c r="C208" i="1"/>
  <c r="B209" i="1"/>
  <c r="C209" i="1"/>
  <c r="B210" i="1"/>
  <c r="C210" i="1"/>
  <c r="B211" i="1"/>
  <c r="C211" i="1"/>
  <c r="B212" i="1"/>
  <c r="C212" i="1"/>
  <c r="B213" i="1"/>
  <c r="C213" i="1"/>
  <c r="B214" i="1"/>
  <c r="C214" i="1"/>
  <c r="B215" i="1"/>
  <c r="C215" i="1"/>
  <c r="B216" i="1"/>
  <c r="C216" i="1"/>
  <c r="B217" i="1"/>
  <c r="C217" i="1"/>
  <c r="B218" i="1"/>
  <c r="C218" i="1"/>
  <c r="B219" i="1"/>
  <c r="C219" i="1"/>
  <c r="B220" i="1"/>
  <c r="C220" i="1"/>
  <c r="B221" i="1"/>
  <c r="C221" i="1"/>
  <c r="B222" i="1"/>
  <c r="C222" i="1"/>
  <c r="B223" i="1"/>
  <c r="C223" i="1"/>
  <c r="B224" i="1"/>
  <c r="C224" i="1"/>
  <c r="B225" i="1"/>
  <c r="C225" i="1"/>
  <c r="B226" i="1"/>
  <c r="C226" i="1"/>
  <c r="B227" i="1"/>
  <c r="C227" i="1"/>
  <c r="B228" i="1"/>
  <c r="C228" i="1"/>
  <c r="B229" i="1"/>
  <c r="C229" i="1"/>
  <c r="B230" i="1"/>
  <c r="C230" i="1"/>
  <c r="B231" i="1"/>
  <c r="C231" i="1"/>
  <c r="B232" i="1"/>
  <c r="C232" i="1"/>
  <c r="B233" i="1"/>
  <c r="C233" i="1"/>
  <c r="B234" i="1"/>
  <c r="C234" i="1"/>
  <c r="B235" i="1"/>
  <c r="C235" i="1"/>
  <c r="B236" i="1"/>
  <c r="C236" i="1"/>
  <c r="B237" i="1"/>
  <c r="C237" i="1"/>
  <c r="B238" i="1"/>
  <c r="C238" i="1"/>
  <c r="B239" i="1"/>
  <c r="C239" i="1"/>
  <c r="B240" i="1"/>
  <c r="C240" i="1"/>
  <c r="B241" i="1"/>
  <c r="C241" i="1"/>
  <c r="B242" i="1"/>
  <c r="C242" i="1"/>
  <c r="B243" i="1"/>
  <c r="C243" i="1"/>
  <c r="B244" i="1"/>
  <c r="C244" i="1"/>
  <c r="B245" i="1"/>
  <c r="C245" i="1"/>
  <c r="B246" i="1"/>
  <c r="C246" i="1"/>
  <c r="B247" i="1"/>
  <c r="C247" i="1"/>
  <c r="B248" i="1"/>
  <c r="C248" i="1"/>
  <c r="B249" i="1"/>
  <c r="C249" i="1"/>
  <c r="B250" i="1"/>
  <c r="C250" i="1"/>
  <c r="B251" i="1"/>
  <c r="C251" i="1"/>
  <c r="B252" i="1"/>
  <c r="C252" i="1"/>
  <c r="B253" i="1"/>
  <c r="C253" i="1"/>
  <c r="B254" i="1"/>
  <c r="C254" i="1"/>
  <c r="B255" i="1"/>
  <c r="C255" i="1"/>
  <c r="B256" i="1"/>
  <c r="C256" i="1"/>
  <c r="B257" i="1"/>
  <c r="C257" i="1"/>
  <c r="B258" i="1"/>
  <c r="C258" i="1"/>
  <c r="B259" i="1"/>
  <c r="C259" i="1"/>
  <c r="B260" i="1"/>
  <c r="C260" i="1"/>
  <c r="B261" i="1"/>
  <c r="C261" i="1"/>
  <c r="B262" i="1"/>
  <c r="C262" i="1"/>
  <c r="B263" i="1"/>
  <c r="C263" i="1"/>
  <c r="B264" i="1"/>
  <c r="C264" i="1"/>
  <c r="B265" i="1"/>
  <c r="C265" i="1"/>
  <c r="B266" i="1"/>
  <c r="C266" i="1"/>
  <c r="B267" i="1"/>
  <c r="C267" i="1"/>
  <c r="B268" i="1"/>
  <c r="C268" i="1"/>
  <c r="B269" i="1"/>
  <c r="C269" i="1"/>
  <c r="B270" i="1"/>
  <c r="C270" i="1"/>
  <c r="B271" i="1"/>
  <c r="C271" i="1"/>
  <c r="B272" i="1"/>
  <c r="C272" i="1"/>
  <c r="B273" i="1"/>
  <c r="C273" i="1"/>
  <c r="B274" i="1"/>
  <c r="C274" i="1"/>
  <c r="B275" i="1"/>
  <c r="C275" i="1"/>
  <c r="B276" i="1"/>
  <c r="C276" i="1"/>
  <c r="B277" i="1"/>
  <c r="C277" i="1"/>
  <c r="B278" i="1"/>
  <c r="C278" i="1"/>
  <c r="B279" i="1"/>
  <c r="C279" i="1"/>
  <c r="B280" i="1"/>
  <c r="C280" i="1"/>
  <c r="B281" i="1"/>
  <c r="C281" i="1"/>
  <c r="B282" i="1"/>
  <c r="C282" i="1"/>
  <c r="B283" i="1"/>
  <c r="C283" i="1"/>
  <c r="B284" i="1"/>
  <c r="C284" i="1"/>
  <c r="B285" i="1"/>
  <c r="C285" i="1"/>
  <c r="B286" i="1"/>
  <c r="C286" i="1"/>
  <c r="B287" i="1"/>
  <c r="C287" i="1"/>
  <c r="B288" i="1"/>
  <c r="C288" i="1"/>
  <c r="B289" i="1"/>
  <c r="C289" i="1"/>
  <c r="B290" i="1"/>
  <c r="C290" i="1"/>
  <c r="B291" i="1"/>
  <c r="C291" i="1"/>
  <c r="B292" i="1"/>
  <c r="C292" i="1"/>
  <c r="B293" i="1"/>
  <c r="C293" i="1"/>
  <c r="B294" i="1"/>
  <c r="C294" i="1"/>
  <c r="B295" i="1"/>
  <c r="C295" i="1"/>
  <c r="B296" i="1"/>
  <c r="C296" i="1"/>
  <c r="B297" i="1"/>
  <c r="C297" i="1"/>
  <c r="B298" i="1"/>
  <c r="C298" i="1"/>
  <c r="B299" i="1"/>
  <c r="C299" i="1"/>
  <c r="B300" i="1"/>
  <c r="C300" i="1"/>
  <c r="B301" i="1"/>
  <c r="C301" i="1"/>
  <c r="B302" i="1"/>
  <c r="C302" i="1"/>
  <c r="B303" i="1"/>
  <c r="C303" i="1"/>
  <c r="B304" i="1"/>
  <c r="C304" i="1"/>
  <c r="B305" i="1"/>
  <c r="C305" i="1"/>
  <c r="B306" i="1"/>
  <c r="C306" i="1"/>
  <c r="B307" i="1"/>
  <c r="C307" i="1"/>
  <c r="B308" i="1"/>
  <c r="C308" i="1"/>
  <c r="B309" i="1"/>
  <c r="C309" i="1"/>
  <c r="B310" i="1"/>
  <c r="C310" i="1"/>
  <c r="B311" i="1"/>
  <c r="C311" i="1"/>
  <c r="B312" i="1"/>
  <c r="C312" i="1"/>
  <c r="B313" i="1"/>
  <c r="C313" i="1"/>
  <c r="B314" i="1"/>
  <c r="C314" i="1"/>
  <c r="B315" i="1"/>
  <c r="C315" i="1"/>
  <c r="B316" i="1"/>
  <c r="C316" i="1"/>
  <c r="B317" i="1"/>
  <c r="C317" i="1"/>
  <c r="B318" i="1"/>
  <c r="C318" i="1"/>
  <c r="B319" i="1"/>
  <c r="C319" i="1"/>
  <c r="B320" i="1"/>
  <c r="C320" i="1"/>
  <c r="B321" i="1"/>
  <c r="C321" i="1"/>
  <c r="B322" i="1"/>
  <c r="C322" i="1"/>
  <c r="B323" i="1"/>
  <c r="C323" i="1"/>
  <c r="B324" i="1"/>
  <c r="C324" i="1"/>
  <c r="B325" i="1"/>
  <c r="C325" i="1"/>
  <c r="B326" i="1"/>
  <c r="C326" i="1"/>
  <c r="B327" i="1"/>
  <c r="C327" i="1"/>
  <c r="B328" i="1"/>
  <c r="C328" i="1"/>
  <c r="B329" i="1"/>
  <c r="C329" i="1"/>
  <c r="B330" i="1"/>
  <c r="C330" i="1"/>
  <c r="B331" i="1"/>
  <c r="C331" i="1"/>
  <c r="B332" i="1"/>
  <c r="C332" i="1"/>
  <c r="B333" i="1"/>
  <c r="C333" i="1"/>
  <c r="B334" i="1"/>
  <c r="C334" i="1"/>
  <c r="B335" i="1"/>
  <c r="C335" i="1"/>
  <c r="B336" i="1"/>
  <c r="C336" i="1"/>
  <c r="B337" i="1"/>
  <c r="C337" i="1"/>
  <c r="B338" i="1"/>
  <c r="C338" i="1"/>
  <c r="B339" i="1"/>
  <c r="C339" i="1"/>
  <c r="B340" i="1"/>
  <c r="C340" i="1"/>
  <c r="B341" i="1"/>
  <c r="C341" i="1"/>
  <c r="B342" i="1"/>
  <c r="C342" i="1"/>
  <c r="B343" i="1"/>
  <c r="C343" i="1"/>
  <c r="B344" i="1"/>
  <c r="C344" i="1"/>
  <c r="B345" i="1"/>
  <c r="C345" i="1"/>
  <c r="B346" i="1"/>
  <c r="C346" i="1"/>
  <c r="B347" i="1"/>
  <c r="C347" i="1"/>
  <c r="B348" i="1"/>
  <c r="C348" i="1"/>
  <c r="B349" i="1"/>
  <c r="C349" i="1"/>
  <c r="B350" i="1"/>
  <c r="C350" i="1"/>
  <c r="B351" i="1"/>
  <c r="C351" i="1"/>
  <c r="B352" i="1"/>
  <c r="C352" i="1"/>
  <c r="B353" i="1"/>
  <c r="C353" i="1"/>
  <c r="B354" i="1"/>
  <c r="C354" i="1"/>
  <c r="B355" i="1"/>
  <c r="C355" i="1"/>
  <c r="B356" i="1"/>
  <c r="C356" i="1"/>
  <c r="B357" i="1"/>
  <c r="C357" i="1"/>
  <c r="B358" i="1"/>
  <c r="C358" i="1"/>
  <c r="B359" i="1"/>
  <c r="C359" i="1"/>
  <c r="B360" i="1"/>
  <c r="C360" i="1"/>
  <c r="B361" i="1"/>
  <c r="C361" i="1"/>
  <c r="B362" i="1"/>
  <c r="C362" i="1"/>
  <c r="B363" i="1"/>
  <c r="C363" i="1"/>
  <c r="B364" i="1"/>
  <c r="C364" i="1"/>
  <c r="B365" i="1"/>
  <c r="C365" i="1"/>
  <c r="B366" i="1"/>
  <c r="C366" i="1"/>
  <c r="B367" i="1"/>
  <c r="C367" i="1"/>
  <c r="B368" i="1"/>
  <c r="C368" i="1"/>
  <c r="B369" i="1"/>
  <c r="C369" i="1"/>
  <c r="B370" i="1"/>
  <c r="C370" i="1"/>
  <c r="B371" i="1"/>
  <c r="C371" i="1"/>
  <c r="B372" i="1"/>
  <c r="C372" i="1"/>
  <c r="B373" i="1"/>
  <c r="C373" i="1"/>
  <c r="B374" i="1"/>
  <c r="C374" i="1"/>
  <c r="B375" i="1"/>
  <c r="C375" i="1"/>
  <c r="B376" i="1"/>
  <c r="C376" i="1"/>
  <c r="B377" i="1"/>
  <c r="C377" i="1"/>
  <c r="B378" i="1"/>
  <c r="C378" i="1"/>
  <c r="B379" i="1"/>
  <c r="C379" i="1"/>
  <c r="B380" i="1"/>
  <c r="C380" i="1"/>
  <c r="B381" i="1"/>
  <c r="C381" i="1"/>
  <c r="B382" i="1"/>
  <c r="C382" i="1"/>
  <c r="B383" i="1"/>
  <c r="C383" i="1"/>
  <c r="B384" i="1"/>
  <c r="C384" i="1"/>
  <c r="B385" i="1"/>
  <c r="C385" i="1"/>
  <c r="B386" i="1"/>
  <c r="C386" i="1"/>
  <c r="B387" i="1"/>
  <c r="C387" i="1"/>
  <c r="B388" i="1"/>
  <c r="C388" i="1"/>
  <c r="B389" i="1"/>
  <c r="C389" i="1"/>
  <c r="B390" i="1"/>
  <c r="C390" i="1"/>
  <c r="B391" i="1"/>
  <c r="C391" i="1"/>
  <c r="B392" i="1"/>
  <c r="C392" i="1"/>
  <c r="B393" i="1"/>
  <c r="C393" i="1"/>
  <c r="B394" i="1"/>
  <c r="C394" i="1"/>
  <c r="B395" i="1"/>
  <c r="C395" i="1"/>
  <c r="B396" i="1"/>
  <c r="C396" i="1"/>
  <c r="B397" i="1"/>
  <c r="C397" i="1"/>
  <c r="B398" i="1"/>
  <c r="C398" i="1"/>
  <c r="B399" i="1"/>
  <c r="C399" i="1"/>
  <c r="B400" i="1"/>
  <c r="C400" i="1"/>
  <c r="B401" i="1"/>
  <c r="C401" i="1"/>
  <c r="B402" i="1"/>
  <c r="C402" i="1"/>
  <c r="B403" i="1"/>
  <c r="C403" i="1"/>
  <c r="B404" i="1"/>
  <c r="C404" i="1"/>
  <c r="B405" i="1"/>
  <c r="C405" i="1"/>
  <c r="B406" i="1"/>
  <c r="C406" i="1"/>
  <c r="B407" i="1"/>
  <c r="C407" i="1"/>
  <c r="B408" i="1"/>
  <c r="C408" i="1"/>
  <c r="B409" i="1"/>
  <c r="C409" i="1"/>
  <c r="B410" i="1"/>
  <c r="C410" i="1"/>
  <c r="B411" i="1"/>
  <c r="C411" i="1"/>
  <c r="B412" i="1"/>
  <c r="C412" i="1"/>
  <c r="B413" i="1"/>
  <c r="C413" i="1"/>
  <c r="B414" i="1"/>
  <c r="C414" i="1"/>
  <c r="B415" i="1"/>
  <c r="C415" i="1"/>
  <c r="B416" i="1"/>
  <c r="C416" i="1"/>
  <c r="B417" i="1"/>
  <c r="C417" i="1"/>
  <c r="B418" i="1"/>
  <c r="C418" i="1"/>
  <c r="B419" i="1"/>
  <c r="C419" i="1"/>
  <c r="B420" i="1"/>
  <c r="C420" i="1"/>
  <c r="B421" i="1"/>
  <c r="C421" i="1"/>
  <c r="B422" i="1"/>
  <c r="C422" i="1"/>
  <c r="B423" i="1"/>
  <c r="C423" i="1"/>
  <c r="B424" i="1"/>
  <c r="C424" i="1"/>
  <c r="B425" i="1"/>
  <c r="C425" i="1"/>
  <c r="B426" i="1"/>
  <c r="C426" i="1"/>
  <c r="B427" i="1"/>
  <c r="C427" i="1"/>
  <c r="B428" i="1"/>
  <c r="C428" i="1"/>
  <c r="B429" i="1"/>
  <c r="C429" i="1"/>
  <c r="B430" i="1"/>
  <c r="C430" i="1"/>
  <c r="B431" i="1"/>
  <c r="C431" i="1"/>
  <c r="B432" i="1"/>
  <c r="C432" i="1"/>
  <c r="B433" i="1"/>
  <c r="C433" i="1"/>
  <c r="B434" i="1"/>
  <c r="C434" i="1"/>
  <c r="B435" i="1"/>
  <c r="C435" i="1"/>
  <c r="B436" i="1"/>
  <c r="C436" i="1"/>
  <c r="B437" i="1"/>
  <c r="C437" i="1"/>
  <c r="B438" i="1"/>
  <c r="C438" i="1"/>
  <c r="B439" i="1"/>
  <c r="C439" i="1"/>
  <c r="B440" i="1"/>
  <c r="C440" i="1"/>
  <c r="B441" i="1"/>
  <c r="C441" i="1"/>
  <c r="B442" i="1"/>
  <c r="C442" i="1"/>
  <c r="B443" i="1"/>
  <c r="C443" i="1"/>
  <c r="B444" i="1"/>
  <c r="C444" i="1"/>
  <c r="B445" i="1"/>
  <c r="C445" i="1"/>
  <c r="B446" i="1"/>
  <c r="C446" i="1"/>
  <c r="B447" i="1"/>
  <c r="C447" i="1"/>
  <c r="B448" i="1"/>
  <c r="C448" i="1"/>
  <c r="B449" i="1"/>
  <c r="C449" i="1"/>
  <c r="B450" i="1"/>
  <c r="C450" i="1"/>
  <c r="B451" i="1"/>
  <c r="C451" i="1"/>
  <c r="B452" i="1"/>
  <c r="C452" i="1"/>
  <c r="B453" i="1"/>
  <c r="C453" i="1"/>
  <c r="B454" i="1"/>
  <c r="C454" i="1"/>
  <c r="B455" i="1"/>
  <c r="C455" i="1"/>
  <c r="B456" i="1"/>
  <c r="C456" i="1"/>
  <c r="B457" i="1"/>
  <c r="C457" i="1"/>
  <c r="B458" i="1"/>
  <c r="C458" i="1"/>
  <c r="B459" i="1"/>
  <c r="C459" i="1"/>
  <c r="B460" i="1"/>
  <c r="C460" i="1"/>
  <c r="B461" i="1"/>
  <c r="C461" i="1"/>
  <c r="B462" i="1"/>
  <c r="C462" i="1"/>
  <c r="B463" i="1"/>
  <c r="C463" i="1"/>
  <c r="B464" i="1"/>
  <c r="C464" i="1"/>
  <c r="B465" i="1"/>
  <c r="C465" i="1"/>
  <c r="B466" i="1"/>
  <c r="C466" i="1"/>
  <c r="B467" i="1"/>
  <c r="C467" i="1"/>
  <c r="B468" i="1"/>
  <c r="C468" i="1"/>
  <c r="B469" i="1"/>
  <c r="C469" i="1"/>
  <c r="B470" i="1"/>
  <c r="C470" i="1"/>
  <c r="B471" i="1"/>
  <c r="C471" i="1"/>
  <c r="B472" i="1"/>
  <c r="C472" i="1"/>
  <c r="B473" i="1"/>
  <c r="C473" i="1"/>
  <c r="B474" i="1"/>
  <c r="C474" i="1"/>
  <c r="B475" i="1"/>
  <c r="C475" i="1"/>
  <c r="B476" i="1"/>
  <c r="C476" i="1"/>
  <c r="B477" i="1"/>
  <c r="C477" i="1"/>
  <c r="B478" i="1"/>
  <c r="C478" i="1"/>
  <c r="B479" i="1"/>
  <c r="C479" i="1"/>
  <c r="B480" i="1"/>
  <c r="C480" i="1"/>
  <c r="B481" i="1"/>
  <c r="C481" i="1"/>
  <c r="B482" i="1"/>
  <c r="C482" i="1"/>
  <c r="B483" i="1"/>
  <c r="C483" i="1"/>
  <c r="B484" i="1"/>
  <c r="C484" i="1"/>
  <c r="B485" i="1"/>
  <c r="C485" i="1"/>
  <c r="B486" i="1"/>
  <c r="C486" i="1"/>
  <c r="B487" i="1"/>
  <c r="C487" i="1"/>
  <c r="B488" i="1"/>
  <c r="C488" i="1"/>
  <c r="B489" i="1"/>
  <c r="C489" i="1"/>
  <c r="B490" i="1"/>
  <c r="C490" i="1"/>
  <c r="B491" i="1"/>
  <c r="C491" i="1"/>
  <c r="B492" i="1"/>
  <c r="C492" i="1"/>
  <c r="B493" i="1"/>
  <c r="C493" i="1"/>
  <c r="B494" i="1"/>
  <c r="C494" i="1"/>
  <c r="B495" i="1"/>
  <c r="C495" i="1"/>
  <c r="B496" i="1"/>
  <c r="C496" i="1"/>
  <c r="B497" i="1"/>
  <c r="C497" i="1"/>
  <c r="B498" i="1"/>
  <c r="C498" i="1"/>
  <c r="B499" i="1"/>
  <c r="C499" i="1"/>
  <c r="B500" i="1"/>
  <c r="C500" i="1"/>
  <c r="B501" i="1"/>
  <c r="C501" i="1"/>
  <c r="B502" i="1"/>
  <c r="C502" i="1"/>
  <c r="B503" i="1"/>
  <c r="C503" i="1"/>
  <c r="B504" i="1"/>
  <c r="C504" i="1"/>
  <c r="B505" i="1"/>
  <c r="C505" i="1"/>
  <c r="B506" i="1"/>
  <c r="C506" i="1"/>
  <c r="B507" i="1"/>
  <c r="C507" i="1"/>
  <c r="B508" i="1"/>
  <c r="C508" i="1"/>
  <c r="B509" i="1"/>
  <c r="C509" i="1"/>
  <c r="B510" i="1"/>
  <c r="C510" i="1"/>
  <c r="B511" i="1"/>
  <c r="C511" i="1"/>
  <c r="B512" i="1"/>
  <c r="C512" i="1"/>
  <c r="B513" i="1"/>
  <c r="C513" i="1"/>
  <c r="B514" i="1"/>
  <c r="C514" i="1"/>
  <c r="B515" i="1"/>
  <c r="C515" i="1"/>
  <c r="B516" i="1"/>
  <c r="C516" i="1"/>
  <c r="B517" i="1"/>
  <c r="C517" i="1"/>
  <c r="B518" i="1"/>
  <c r="C518" i="1"/>
  <c r="B519" i="1"/>
  <c r="C519" i="1"/>
  <c r="B520" i="1"/>
  <c r="C520" i="1"/>
  <c r="B521" i="1"/>
  <c r="C521" i="1"/>
  <c r="B522" i="1"/>
  <c r="C522" i="1"/>
  <c r="B523" i="1"/>
  <c r="C523" i="1"/>
  <c r="B524" i="1"/>
  <c r="C524" i="1"/>
  <c r="B525" i="1"/>
  <c r="C525" i="1"/>
  <c r="B526" i="1"/>
  <c r="C526" i="1"/>
  <c r="B527" i="1"/>
  <c r="C527" i="1"/>
  <c r="B528" i="1"/>
  <c r="C528" i="1"/>
  <c r="B529" i="1"/>
  <c r="C529" i="1"/>
  <c r="B530" i="1"/>
  <c r="C530" i="1"/>
  <c r="B531" i="1"/>
  <c r="C531" i="1"/>
  <c r="B532" i="1"/>
  <c r="C532" i="1"/>
  <c r="B533" i="1"/>
  <c r="C533" i="1"/>
  <c r="B534" i="1"/>
  <c r="C534" i="1"/>
  <c r="B535" i="1"/>
  <c r="C535" i="1"/>
  <c r="B536" i="1"/>
  <c r="C536" i="1"/>
  <c r="B537" i="1"/>
  <c r="C537" i="1"/>
  <c r="B538" i="1"/>
  <c r="C538" i="1"/>
  <c r="B539" i="1"/>
  <c r="C539" i="1"/>
  <c r="B540" i="1"/>
  <c r="C540" i="1"/>
  <c r="B541" i="1"/>
  <c r="C541" i="1"/>
  <c r="B542" i="1"/>
  <c r="C542" i="1"/>
  <c r="B543" i="1"/>
  <c r="C543" i="1"/>
  <c r="B544" i="1"/>
  <c r="C544" i="1"/>
  <c r="B545" i="1"/>
  <c r="C545" i="1"/>
  <c r="B546" i="1"/>
  <c r="C546" i="1"/>
  <c r="B547" i="1"/>
  <c r="C547" i="1"/>
  <c r="B548" i="1"/>
  <c r="C548" i="1"/>
  <c r="B549" i="1"/>
  <c r="C549" i="1"/>
  <c r="B550" i="1"/>
  <c r="C550" i="1"/>
  <c r="B551" i="1"/>
  <c r="C551" i="1"/>
  <c r="B552" i="1"/>
  <c r="C552" i="1"/>
  <c r="B553" i="1"/>
  <c r="C553" i="1"/>
  <c r="B554" i="1"/>
  <c r="C554" i="1"/>
  <c r="B555" i="1"/>
  <c r="C555" i="1"/>
  <c r="B556" i="1"/>
  <c r="C556" i="1"/>
  <c r="B557" i="1"/>
  <c r="C557" i="1"/>
  <c r="B558" i="1"/>
  <c r="C558" i="1"/>
  <c r="B559" i="1"/>
  <c r="C559" i="1"/>
  <c r="B560" i="1"/>
  <c r="C560" i="1"/>
  <c r="B561" i="1"/>
  <c r="C561" i="1"/>
  <c r="B562" i="1"/>
  <c r="C562" i="1"/>
  <c r="B563" i="1"/>
  <c r="C563" i="1"/>
  <c r="B564" i="1"/>
  <c r="C564" i="1"/>
  <c r="B565" i="1"/>
  <c r="C565" i="1"/>
  <c r="B566" i="1"/>
  <c r="C566" i="1"/>
  <c r="B567" i="1"/>
  <c r="C567" i="1"/>
  <c r="B568" i="1"/>
  <c r="C568" i="1"/>
  <c r="B569" i="1"/>
  <c r="C569" i="1"/>
  <c r="B570" i="1"/>
  <c r="C570" i="1"/>
  <c r="B571" i="1"/>
  <c r="C571" i="1"/>
  <c r="B572" i="1"/>
  <c r="C572" i="1"/>
  <c r="B573" i="1"/>
  <c r="C573" i="1"/>
  <c r="B574" i="1"/>
  <c r="C574" i="1"/>
  <c r="B575" i="1"/>
  <c r="C575" i="1"/>
  <c r="B576" i="1"/>
  <c r="C576" i="1"/>
  <c r="B577" i="1"/>
  <c r="C577" i="1"/>
  <c r="B578" i="1"/>
  <c r="C578" i="1"/>
  <c r="B579" i="1"/>
  <c r="C579" i="1"/>
  <c r="B580" i="1"/>
  <c r="C580" i="1"/>
  <c r="B581" i="1"/>
  <c r="C581" i="1"/>
  <c r="B582" i="1"/>
  <c r="C582" i="1"/>
  <c r="B583" i="1"/>
  <c r="C583" i="1"/>
  <c r="B584" i="1"/>
  <c r="C584" i="1"/>
  <c r="B585" i="1"/>
  <c r="C585" i="1"/>
  <c r="B586" i="1"/>
  <c r="C586" i="1"/>
  <c r="B587" i="1"/>
  <c r="C587" i="1"/>
  <c r="B588" i="1"/>
  <c r="C588" i="1"/>
  <c r="B589" i="1"/>
  <c r="C589" i="1"/>
  <c r="B590" i="1"/>
  <c r="C590" i="1"/>
  <c r="B591" i="1"/>
  <c r="C591" i="1"/>
  <c r="B592" i="1"/>
  <c r="C592" i="1"/>
  <c r="B593" i="1"/>
  <c r="C593" i="1"/>
  <c r="B594" i="1"/>
  <c r="C594" i="1"/>
  <c r="B595" i="1"/>
  <c r="C595" i="1"/>
  <c r="B596" i="1"/>
  <c r="C596" i="1"/>
  <c r="B597" i="1"/>
  <c r="C597" i="1"/>
  <c r="B598" i="1"/>
  <c r="C598" i="1"/>
  <c r="B599" i="1"/>
  <c r="C599" i="1"/>
  <c r="B600" i="1"/>
  <c r="C600" i="1"/>
  <c r="B601" i="1"/>
  <c r="C601" i="1"/>
  <c r="B602" i="1"/>
  <c r="C602" i="1"/>
  <c r="B603" i="1"/>
  <c r="C603" i="1"/>
  <c r="B604" i="1"/>
  <c r="C604" i="1"/>
  <c r="B605" i="1"/>
  <c r="C605" i="1"/>
  <c r="B606" i="1"/>
  <c r="C606" i="1"/>
  <c r="B607" i="1"/>
  <c r="C607" i="1"/>
  <c r="B608" i="1"/>
  <c r="C608" i="1"/>
  <c r="B609" i="1"/>
  <c r="C609" i="1"/>
  <c r="B610" i="1"/>
  <c r="C610" i="1"/>
  <c r="B611" i="1"/>
  <c r="C611" i="1"/>
  <c r="B612" i="1"/>
  <c r="C612" i="1"/>
  <c r="B613" i="1"/>
  <c r="C613" i="1"/>
  <c r="B614" i="1"/>
  <c r="C614" i="1"/>
  <c r="B615" i="1"/>
  <c r="C615" i="1"/>
  <c r="B616" i="1"/>
  <c r="C616" i="1"/>
  <c r="B617" i="1"/>
  <c r="C617" i="1"/>
  <c r="B618" i="1"/>
  <c r="C618" i="1"/>
  <c r="B619" i="1"/>
  <c r="C619" i="1"/>
  <c r="B620" i="1"/>
  <c r="C620" i="1"/>
  <c r="B621" i="1"/>
  <c r="C621" i="1"/>
  <c r="B622" i="1"/>
  <c r="C622" i="1"/>
  <c r="B623" i="1"/>
  <c r="C623" i="1"/>
  <c r="B624" i="1"/>
  <c r="C624" i="1"/>
  <c r="B625" i="1"/>
  <c r="C625" i="1"/>
  <c r="B626" i="1"/>
  <c r="C626" i="1"/>
  <c r="B627" i="1"/>
  <c r="C627" i="1"/>
  <c r="B628" i="1"/>
  <c r="C628" i="1"/>
  <c r="B629" i="1"/>
  <c r="C629" i="1"/>
  <c r="B630" i="1"/>
  <c r="C630" i="1"/>
  <c r="B631" i="1"/>
  <c r="C631" i="1"/>
  <c r="B632" i="1"/>
  <c r="C632" i="1"/>
  <c r="B633" i="1"/>
  <c r="C633" i="1"/>
  <c r="B634" i="1"/>
  <c r="C634" i="1"/>
  <c r="B635" i="1"/>
  <c r="C635" i="1"/>
  <c r="B636" i="1"/>
  <c r="C636" i="1"/>
  <c r="B637" i="1"/>
  <c r="C637" i="1"/>
  <c r="B638" i="1"/>
  <c r="C638" i="1"/>
  <c r="B639" i="1"/>
  <c r="C639" i="1"/>
  <c r="B640" i="1"/>
  <c r="C640" i="1"/>
  <c r="B641" i="1"/>
  <c r="C641" i="1"/>
  <c r="B642" i="1"/>
  <c r="C642" i="1"/>
  <c r="B643" i="1"/>
  <c r="C643" i="1"/>
  <c r="B644" i="1"/>
  <c r="C644" i="1"/>
  <c r="B645" i="1"/>
  <c r="C645" i="1"/>
  <c r="B646" i="1"/>
  <c r="C646" i="1"/>
  <c r="B647" i="1"/>
  <c r="C647" i="1"/>
  <c r="B648" i="1"/>
  <c r="C648" i="1"/>
  <c r="B649" i="1"/>
  <c r="C649" i="1"/>
  <c r="B650" i="1"/>
  <c r="C650" i="1"/>
  <c r="B651" i="1"/>
  <c r="C651" i="1"/>
  <c r="B652" i="1"/>
  <c r="C652" i="1"/>
  <c r="B653" i="1"/>
  <c r="C653" i="1"/>
  <c r="B654" i="1"/>
  <c r="C654" i="1"/>
  <c r="B655" i="1"/>
  <c r="C655" i="1"/>
  <c r="B656" i="1"/>
  <c r="C656" i="1"/>
  <c r="B657" i="1"/>
  <c r="C657" i="1"/>
  <c r="B658" i="1"/>
  <c r="C658" i="1"/>
  <c r="B659" i="1"/>
  <c r="C659" i="1"/>
  <c r="B660" i="1"/>
  <c r="C660" i="1"/>
  <c r="B661" i="1"/>
  <c r="C661" i="1"/>
  <c r="B662" i="1"/>
  <c r="C662" i="1"/>
  <c r="B663" i="1"/>
  <c r="C663" i="1"/>
  <c r="B664" i="1"/>
  <c r="C664" i="1"/>
  <c r="B665" i="1"/>
  <c r="C665" i="1"/>
  <c r="B666" i="1"/>
  <c r="C666" i="1"/>
  <c r="B667" i="1"/>
  <c r="C667" i="1"/>
  <c r="B668" i="1"/>
  <c r="C668" i="1"/>
  <c r="B669" i="1"/>
  <c r="C669" i="1"/>
  <c r="B670" i="1"/>
  <c r="C670" i="1"/>
  <c r="B671" i="1"/>
  <c r="C671" i="1"/>
  <c r="B672" i="1"/>
  <c r="C672" i="1"/>
  <c r="B673" i="1"/>
  <c r="C673" i="1"/>
  <c r="B674" i="1"/>
  <c r="C674" i="1"/>
  <c r="B675" i="1"/>
  <c r="C675" i="1"/>
  <c r="B676" i="1"/>
  <c r="C676" i="1"/>
  <c r="B677" i="1"/>
  <c r="C677" i="1"/>
  <c r="B678" i="1"/>
  <c r="C678" i="1"/>
  <c r="B679" i="1"/>
  <c r="C679" i="1"/>
  <c r="B680" i="1"/>
  <c r="C680" i="1"/>
  <c r="B681" i="1"/>
  <c r="C681" i="1"/>
  <c r="B682" i="1"/>
  <c r="C682" i="1"/>
  <c r="B683" i="1"/>
  <c r="C683" i="1"/>
  <c r="B684" i="1"/>
  <c r="C684" i="1"/>
  <c r="B685" i="1"/>
  <c r="C685" i="1"/>
  <c r="B686" i="1"/>
  <c r="C686" i="1"/>
  <c r="B687" i="1"/>
  <c r="C687" i="1"/>
  <c r="B688" i="1"/>
  <c r="C688" i="1"/>
  <c r="B689" i="1"/>
  <c r="C689" i="1"/>
  <c r="B690" i="1"/>
  <c r="C690" i="1"/>
  <c r="B691" i="1"/>
  <c r="C691" i="1"/>
  <c r="B692" i="1"/>
  <c r="C692" i="1"/>
  <c r="B693" i="1"/>
  <c r="C693" i="1"/>
  <c r="B694" i="1"/>
  <c r="C694" i="1"/>
  <c r="B695" i="1"/>
  <c r="C695" i="1"/>
  <c r="B696" i="1"/>
  <c r="C696" i="1"/>
  <c r="B697" i="1"/>
  <c r="C697" i="1"/>
  <c r="B698" i="1"/>
  <c r="C698" i="1"/>
  <c r="B699" i="1"/>
  <c r="C699" i="1"/>
  <c r="B700" i="1"/>
  <c r="C700" i="1"/>
  <c r="B701" i="1"/>
  <c r="C701" i="1"/>
  <c r="B702" i="1"/>
  <c r="C702" i="1"/>
  <c r="B703" i="1"/>
  <c r="C703" i="1"/>
  <c r="B704" i="1"/>
  <c r="C704" i="1"/>
  <c r="B705" i="1"/>
  <c r="C705" i="1"/>
  <c r="B706" i="1"/>
  <c r="C706" i="1"/>
  <c r="B707" i="1"/>
  <c r="C707" i="1"/>
  <c r="B708" i="1"/>
  <c r="C708" i="1"/>
  <c r="B709" i="1"/>
  <c r="C709" i="1"/>
  <c r="B710" i="1"/>
  <c r="C710" i="1"/>
  <c r="B711" i="1"/>
  <c r="C711" i="1"/>
  <c r="B712" i="1"/>
  <c r="C712" i="1"/>
  <c r="B713" i="1"/>
  <c r="C713" i="1"/>
  <c r="B714" i="1"/>
  <c r="C714" i="1"/>
  <c r="B715" i="1"/>
  <c r="C715" i="1"/>
  <c r="B716" i="1"/>
  <c r="C716" i="1"/>
  <c r="B717" i="1"/>
  <c r="C717" i="1"/>
  <c r="B718" i="1"/>
  <c r="C718" i="1"/>
  <c r="B719" i="1"/>
  <c r="C719" i="1"/>
  <c r="B720" i="1"/>
  <c r="C720" i="1"/>
  <c r="B721" i="1"/>
  <c r="C721" i="1"/>
  <c r="B722" i="1"/>
  <c r="C722" i="1"/>
  <c r="B723" i="1"/>
  <c r="C723" i="1"/>
  <c r="B724" i="1"/>
  <c r="C724" i="1"/>
  <c r="B725" i="1"/>
  <c r="C725" i="1"/>
  <c r="B726" i="1"/>
  <c r="C726" i="1"/>
  <c r="B727" i="1"/>
  <c r="C727" i="1"/>
  <c r="B728" i="1"/>
  <c r="C728" i="1"/>
  <c r="B729" i="1"/>
  <c r="C729" i="1"/>
  <c r="B730" i="1"/>
  <c r="C730" i="1"/>
  <c r="B731" i="1"/>
  <c r="C731" i="1"/>
  <c r="B732" i="1"/>
  <c r="C732" i="1"/>
  <c r="B733" i="1"/>
  <c r="C733" i="1"/>
  <c r="B734" i="1"/>
  <c r="C734" i="1"/>
  <c r="B735" i="1"/>
  <c r="C735" i="1"/>
  <c r="B736" i="1"/>
  <c r="C736" i="1"/>
  <c r="B737" i="1"/>
  <c r="C737" i="1"/>
  <c r="B738" i="1"/>
  <c r="C738" i="1"/>
  <c r="B739" i="1"/>
  <c r="C739" i="1"/>
  <c r="B740" i="1"/>
  <c r="C740" i="1"/>
  <c r="B741" i="1"/>
  <c r="C741" i="1"/>
  <c r="B742" i="1"/>
  <c r="C742" i="1"/>
  <c r="B743" i="1"/>
  <c r="C743" i="1"/>
  <c r="B744" i="1"/>
  <c r="C744" i="1"/>
  <c r="B745" i="1"/>
  <c r="C745" i="1"/>
  <c r="B746" i="1"/>
  <c r="C746" i="1"/>
  <c r="B747" i="1"/>
  <c r="C747" i="1"/>
  <c r="B748" i="1"/>
  <c r="C748" i="1"/>
  <c r="B749" i="1"/>
  <c r="C749" i="1"/>
  <c r="B750" i="1"/>
  <c r="C750" i="1"/>
  <c r="B751" i="1"/>
  <c r="C751" i="1"/>
  <c r="B752" i="1"/>
  <c r="C752" i="1"/>
  <c r="B753" i="1"/>
  <c r="C753" i="1"/>
  <c r="B754" i="1"/>
  <c r="C754" i="1"/>
  <c r="B755" i="1"/>
  <c r="C755" i="1"/>
  <c r="B756" i="1"/>
  <c r="C756" i="1"/>
  <c r="B757" i="1"/>
  <c r="C757" i="1"/>
  <c r="B758" i="1"/>
  <c r="C758" i="1"/>
  <c r="B759" i="1"/>
  <c r="C759" i="1"/>
  <c r="B760" i="1"/>
  <c r="C760" i="1"/>
  <c r="B761" i="1"/>
  <c r="C761" i="1"/>
  <c r="B762" i="1"/>
  <c r="C762" i="1"/>
  <c r="B763" i="1"/>
  <c r="C763" i="1"/>
  <c r="B764" i="1"/>
  <c r="C764" i="1"/>
  <c r="B765" i="1"/>
  <c r="C765" i="1"/>
  <c r="B766" i="1"/>
  <c r="C766" i="1"/>
  <c r="B767" i="1"/>
  <c r="C767" i="1"/>
  <c r="B768" i="1"/>
  <c r="C768" i="1"/>
  <c r="B769" i="1"/>
  <c r="C769" i="1"/>
  <c r="B770" i="1"/>
  <c r="C770" i="1"/>
  <c r="B771" i="1"/>
  <c r="C771" i="1"/>
  <c r="B772" i="1"/>
  <c r="C772" i="1"/>
  <c r="B773" i="1"/>
  <c r="C773" i="1"/>
  <c r="B774" i="1"/>
  <c r="C774" i="1"/>
  <c r="B775" i="1"/>
  <c r="C775" i="1"/>
  <c r="B776" i="1"/>
  <c r="C776" i="1"/>
  <c r="B777" i="1"/>
  <c r="C777" i="1"/>
  <c r="B778" i="1"/>
  <c r="C778" i="1"/>
  <c r="B779" i="1"/>
  <c r="C779" i="1"/>
  <c r="B780" i="1"/>
  <c r="C780" i="1"/>
  <c r="B781" i="1"/>
  <c r="C781" i="1"/>
  <c r="B782" i="1"/>
  <c r="C782" i="1"/>
  <c r="B783" i="1"/>
  <c r="C783" i="1"/>
  <c r="B784" i="1"/>
  <c r="C784" i="1"/>
  <c r="B785" i="1"/>
  <c r="C785" i="1"/>
  <c r="B786" i="1"/>
  <c r="C786" i="1"/>
  <c r="B787" i="1"/>
  <c r="C787" i="1"/>
  <c r="B788" i="1"/>
  <c r="C788" i="1"/>
  <c r="B789" i="1"/>
  <c r="C789" i="1"/>
  <c r="B790" i="1"/>
  <c r="C790" i="1"/>
  <c r="B791" i="1"/>
  <c r="C791" i="1"/>
  <c r="B792" i="1"/>
  <c r="C792" i="1"/>
  <c r="B793" i="1"/>
  <c r="C793" i="1"/>
  <c r="B794" i="1"/>
  <c r="C794" i="1"/>
  <c r="B795" i="1"/>
  <c r="C795" i="1"/>
  <c r="B796" i="1"/>
  <c r="C796" i="1"/>
  <c r="B797" i="1"/>
  <c r="C797" i="1"/>
  <c r="B798" i="1"/>
  <c r="C798" i="1"/>
  <c r="B799" i="1"/>
  <c r="C799" i="1"/>
  <c r="B800" i="1"/>
  <c r="C800" i="1"/>
  <c r="B801" i="1"/>
  <c r="C801" i="1"/>
  <c r="B802" i="1"/>
  <c r="C802" i="1"/>
  <c r="B803" i="1"/>
  <c r="C803" i="1"/>
  <c r="B804" i="1"/>
  <c r="C804" i="1"/>
  <c r="B805" i="1"/>
  <c r="C805" i="1"/>
  <c r="B806" i="1"/>
  <c r="C806" i="1"/>
  <c r="B807" i="1"/>
  <c r="C807" i="1"/>
  <c r="B808" i="1"/>
  <c r="C808" i="1"/>
  <c r="B809" i="1"/>
  <c r="C809" i="1"/>
  <c r="B810" i="1"/>
  <c r="C810" i="1"/>
  <c r="B811" i="1"/>
  <c r="C811" i="1"/>
  <c r="B812" i="1"/>
  <c r="C812" i="1"/>
  <c r="B813" i="1"/>
  <c r="C813" i="1"/>
  <c r="B814" i="1"/>
  <c r="C814" i="1"/>
  <c r="B815" i="1"/>
  <c r="C815" i="1"/>
  <c r="B816" i="1"/>
  <c r="C816" i="1"/>
  <c r="B817" i="1"/>
  <c r="C817" i="1"/>
  <c r="B818" i="1"/>
  <c r="C818" i="1"/>
  <c r="B819" i="1"/>
  <c r="C819" i="1"/>
  <c r="B820" i="1"/>
  <c r="C820" i="1"/>
  <c r="B821" i="1"/>
  <c r="C821" i="1"/>
  <c r="B822" i="1"/>
  <c r="C822" i="1"/>
  <c r="B823" i="1"/>
  <c r="C823" i="1"/>
  <c r="B824" i="1"/>
  <c r="C824" i="1"/>
  <c r="B825" i="1"/>
  <c r="C825" i="1"/>
  <c r="B826" i="1"/>
  <c r="C826" i="1"/>
  <c r="B827" i="1"/>
  <c r="C827" i="1"/>
  <c r="B828" i="1"/>
  <c r="C828" i="1"/>
  <c r="B829" i="1"/>
  <c r="C829" i="1"/>
  <c r="B830" i="1"/>
  <c r="C830" i="1"/>
  <c r="B831" i="1"/>
  <c r="C831" i="1"/>
  <c r="B832" i="1"/>
  <c r="C832" i="1"/>
  <c r="B833" i="1"/>
  <c r="C833" i="1"/>
  <c r="B834" i="1"/>
  <c r="C834" i="1"/>
  <c r="B835" i="1"/>
  <c r="C835" i="1"/>
  <c r="B836" i="1"/>
  <c r="C836" i="1"/>
  <c r="B837" i="1"/>
  <c r="C837" i="1"/>
  <c r="B838" i="1"/>
  <c r="C838" i="1"/>
  <c r="B839" i="1"/>
  <c r="C839" i="1"/>
  <c r="B840" i="1"/>
  <c r="C840" i="1"/>
  <c r="B841" i="1"/>
  <c r="C841" i="1"/>
  <c r="B842" i="1"/>
  <c r="C842" i="1"/>
  <c r="B843" i="1"/>
  <c r="C843" i="1"/>
  <c r="B844" i="1"/>
  <c r="C844" i="1"/>
  <c r="B845" i="1"/>
  <c r="C845" i="1"/>
  <c r="B846" i="1"/>
  <c r="C846" i="1"/>
  <c r="B847" i="1"/>
  <c r="C847" i="1"/>
  <c r="B848" i="1"/>
  <c r="C848" i="1"/>
  <c r="B849" i="1"/>
  <c r="C849" i="1"/>
  <c r="B850" i="1"/>
  <c r="C850" i="1"/>
  <c r="B851" i="1"/>
  <c r="C851" i="1"/>
  <c r="B852" i="1"/>
  <c r="C852" i="1"/>
  <c r="B853" i="1"/>
  <c r="C853" i="1"/>
  <c r="B854" i="1"/>
  <c r="C854" i="1"/>
  <c r="B855" i="1"/>
  <c r="C855" i="1"/>
  <c r="B856" i="1"/>
  <c r="C856" i="1"/>
  <c r="B857" i="1"/>
  <c r="C857" i="1"/>
  <c r="B858" i="1"/>
  <c r="C858" i="1"/>
  <c r="B859" i="1"/>
  <c r="C859" i="1"/>
  <c r="B860" i="1"/>
  <c r="C860" i="1"/>
  <c r="B861" i="1"/>
  <c r="C861" i="1"/>
  <c r="B862" i="1"/>
  <c r="C862" i="1"/>
  <c r="B863" i="1"/>
  <c r="C863" i="1"/>
  <c r="B864" i="1"/>
  <c r="C864" i="1"/>
  <c r="B865" i="1"/>
  <c r="C865" i="1"/>
  <c r="B866" i="1"/>
  <c r="C866" i="1"/>
  <c r="B867" i="1"/>
  <c r="C867" i="1"/>
  <c r="B868" i="1"/>
  <c r="C868" i="1"/>
  <c r="B869" i="1"/>
  <c r="C869" i="1"/>
  <c r="B870" i="1"/>
  <c r="C870" i="1"/>
  <c r="B871" i="1"/>
  <c r="C871" i="1"/>
  <c r="B872" i="1"/>
  <c r="C872" i="1"/>
  <c r="B873" i="1"/>
  <c r="C873" i="1"/>
  <c r="B874" i="1"/>
  <c r="C874" i="1"/>
  <c r="B875" i="1"/>
  <c r="C875" i="1"/>
  <c r="B876" i="1"/>
  <c r="C876" i="1"/>
  <c r="B877" i="1"/>
  <c r="C877" i="1"/>
  <c r="B878" i="1"/>
  <c r="C878" i="1"/>
  <c r="B879" i="1"/>
  <c r="C879" i="1"/>
  <c r="B880" i="1"/>
  <c r="C880" i="1"/>
  <c r="B881" i="1"/>
  <c r="C881" i="1"/>
  <c r="B882" i="1"/>
  <c r="C882" i="1"/>
  <c r="B883" i="1"/>
  <c r="C883" i="1"/>
  <c r="B884" i="1"/>
  <c r="C884" i="1"/>
  <c r="B885" i="1"/>
  <c r="C885" i="1"/>
  <c r="B886" i="1"/>
  <c r="C886" i="1"/>
  <c r="B887" i="1"/>
  <c r="C887" i="1"/>
  <c r="B888" i="1"/>
  <c r="C888" i="1"/>
  <c r="B889" i="1"/>
  <c r="C889" i="1"/>
  <c r="B890" i="1"/>
  <c r="C890" i="1"/>
  <c r="B891" i="1"/>
  <c r="C891" i="1"/>
  <c r="B892" i="1"/>
  <c r="C892" i="1"/>
  <c r="B893" i="1"/>
  <c r="C893" i="1"/>
  <c r="B894" i="1"/>
  <c r="C894" i="1"/>
  <c r="B895" i="1"/>
  <c r="C895" i="1"/>
  <c r="B896" i="1"/>
  <c r="C896" i="1"/>
  <c r="B897" i="1"/>
  <c r="C897" i="1"/>
  <c r="B898" i="1"/>
  <c r="C898" i="1"/>
  <c r="B899" i="1"/>
  <c r="C899" i="1"/>
  <c r="B900" i="1"/>
  <c r="C900" i="1"/>
  <c r="B901" i="1"/>
  <c r="C901" i="1"/>
  <c r="B902" i="1"/>
  <c r="C902" i="1"/>
  <c r="B903" i="1"/>
  <c r="C903" i="1"/>
  <c r="B904" i="1"/>
  <c r="C904" i="1"/>
  <c r="B905" i="1"/>
  <c r="C905" i="1"/>
  <c r="B906" i="1"/>
  <c r="C906" i="1"/>
  <c r="B907" i="1"/>
  <c r="C907" i="1"/>
  <c r="B908" i="1"/>
  <c r="C908" i="1"/>
  <c r="B909" i="1"/>
  <c r="C909" i="1"/>
  <c r="B910" i="1"/>
  <c r="C910" i="1"/>
  <c r="B911" i="1"/>
  <c r="C911" i="1"/>
  <c r="B912" i="1"/>
  <c r="C912" i="1"/>
  <c r="B913" i="1"/>
  <c r="C913" i="1"/>
  <c r="B914" i="1"/>
  <c r="C914" i="1"/>
  <c r="B915" i="1"/>
  <c r="C915" i="1"/>
  <c r="B916" i="1"/>
  <c r="C916" i="1"/>
  <c r="B917" i="1"/>
  <c r="C917" i="1"/>
  <c r="B918" i="1"/>
  <c r="C918" i="1"/>
  <c r="B919" i="1"/>
  <c r="C919" i="1"/>
  <c r="B920" i="1"/>
  <c r="C920" i="1"/>
  <c r="B921" i="1"/>
  <c r="C921" i="1"/>
  <c r="B922" i="1"/>
  <c r="C922" i="1"/>
  <c r="B923" i="1"/>
  <c r="C923" i="1"/>
  <c r="B924" i="1"/>
  <c r="C924" i="1"/>
  <c r="B925" i="1"/>
  <c r="C925" i="1"/>
  <c r="B926" i="1"/>
  <c r="C926" i="1"/>
  <c r="B927" i="1"/>
  <c r="C927" i="1"/>
  <c r="B928" i="1"/>
  <c r="C928" i="1"/>
  <c r="B929" i="1"/>
  <c r="C929" i="1"/>
  <c r="B930" i="1"/>
  <c r="C930" i="1"/>
  <c r="B931" i="1"/>
  <c r="C931" i="1"/>
  <c r="B932" i="1"/>
  <c r="C932" i="1"/>
  <c r="B933" i="1"/>
  <c r="C933" i="1"/>
  <c r="B934" i="1"/>
  <c r="C934" i="1"/>
  <c r="B935" i="1"/>
  <c r="C935" i="1"/>
  <c r="B936" i="1"/>
  <c r="C936" i="1"/>
  <c r="B937" i="1"/>
  <c r="C937" i="1"/>
  <c r="B938" i="1"/>
  <c r="C938" i="1"/>
  <c r="B939" i="1"/>
  <c r="C939" i="1"/>
  <c r="B940" i="1"/>
  <c r="C940" i="1"/>
  <c r="B941" i="1"/>
  <c r="C941" i="1"/>
  <c r="B942" i="1"/>
  <c r="C942" i="1"/>
  <c r="B943" i="1"/>
  <c r="C943" i="1"/>
  <c r="B944" i="1"/>
  <c r="C944" i="1"/>
  <c r="B945" i="1"/>
  <c r="C945" i="1"/>
  <c r="B946" i="1"/>
  <c r="C946" i="1"/>
  <c r="B947" i="1"/>
  <c r="C947" i="1"/>
  <c r="B948" i="1"/>
  <c r="C948" i="1"/>
  <c r="B949" i="1"/>
  <c r="C949" i="1"/>
  <c r="B950" i="1"/>
  <c r="C950" i="1"/>
  <c r="B951" i="1"/>
  <c r="C951" i="1"/>
  <c r="B952" i="1"/>
  <c r="C952" i="1"/>
  <c r="B953" i="1"/>
  <c r="C953" i="1"/>
  <c r="B954" i="1"/>
  <c r="C954" i="1"/>
  <c r="B955" i="1"/>
  <c r="C955" i="1"/>
  <c r="B956" i="1"/>
  <c r="C956" i="1"/>
  <c r="B957" i="1"/>
  <c r="C957" i="1"/>
  <c r="B958" i="1"/>
  <c r="C958" i="1"/>
  <c r="B959" i="1"/>
  <c r="C959" i="1"/>
  <c r="B960" i="1"/>
  <c r="C960" i="1"/>
  <c r="B961" i="1"/>
  <c r="C961" i="1"/>
  <c r="B962" i="1"/>
  <c r="C962" i="1"/>
  <c r="B963" i="1"/>
  <c r="C963" i="1"/>
  <c r="B964" i="1"/>
  <c r="C964" i="1"/>
  <c r="B965" i="1"/>
  <c r="C965" i="1"/>
  <c r="B966" i="1"/>
  <c r="C966" i="1"/>
  <c r="B967" i="1"/>
  <c r="C967" i="1"/>
  <c r="B968" i="1"/>
  <c r="C968" i="1"/>
  <c r="B969" i="1"/>
  <c r="C969" i="1"/>
  <c r="B970" i="1"/>
  <c r="C970" i="1"/>
  <c r="B971" i="1"/>
  <c r="C971" i="1"/>
  <c r="B972" i="1"/>
  <c r="C972" i="1"/>
  <c r="B973" i="1"/>
  <c r="C973" i="1"/>
  <c r="B974" i="1"/>
  <c r="C974" i="1"/>
  <c r="B975" i="1"/>
  <c r="C975" i="1"/>
  <c r="B976" i="1"/>
  <c r="C976" i="1"/>
  <c r="B977" i="1"/>
  <c r="C977" i="1"/>
  <c r="B978" i="1"/>
  <c r="C978" i="1"/>
  <c r="B979" i="1"/>
  <c r="C979" i="1"/>
  <c r="B980" i="1"/>
  <c r="C980" i="1"/>
  <c r="B981" i="1"/>
  <c r="C981" i="1"/>
  <c r="B982" i="1"/>
  <c r="C982" i="1"/>
  <c r="B983" i="1"/>
  <c r="C983" i="1"/>
  <c r="B984" i="1"/>
  <c r="C984" i="1"/>
  <c r="B985" i="1"/>
  <c r="C985" i="1"/>
  <c r="B986" i="1"/>
  <c r="C986" i="1"/>
  <c r="B987" i="1"/>
  <c r="C987" i="1"/>
  <c r="B988" i="1"/>
  <c r="C988" i="1"/>
  <c r="B989" i="1"/>
  <c r="C989" i="1"/>
  <c r="B990" i="1"/>
  <c r="C990" i="1"/>
  <c r="B991" i="1"/>
  <c r="C991" i="1"/>
  <c r="B992" i="1"/>
  <c r="C992" i="1"/>
  <c r="B993" i="1"/>
  <c r="C993" i="1"/>
  <c r="B994" i="1"/>
  <c r="C994" i="1"/>
  <c r="B995" i="1"/>
  <c r="C995" i="1"/>
  <c r="B996" i="1"/>
  <c r="C996" i="1"/>
  <c r="B997" i="1"/>
  <c r="C997" i="1"/>
  <c r="B998" i="1"/>
  <c r="C998" i="1"/>
  <c r="B999" i="1"/>
  <c r="C999" i="1"/>
  <c r="B1000" i="1"/>
  <c r="C1000" i="1"/>
  <c r="B1001" i="1"/>
  <c r="C1001" i="1"/>
  <c r="B1002" i="1"/>
  <c r="C1002" i="1"/>
  <c r="B1003" i="1"/>
  <c r="C1003" i="1"/>
  <c r="B1004" i="1"/>
  <c r="C1004" i="1"/>
  <c r="B1005" i="1"/>
  <c r="C1005" i="1"/>
  <c r="B1006" i="1"/>
  <c r="C1006" i="1"/>
  <c r="B1007" i="1"/>
  <c r="C1007" i="1"/>
  <c r="B1008" i="1"/>
  <c r="C1008" i="1"/>
  <c r="B1009" i="1"/>
  <c r="C1009" i="1"/>
  <c r="B1010" i="1"/>
  <c r="C1010" i="1"/>
  <c r="B1011" i="1"/>
  <c r="C1011" i="1"/>
  <c r="B1012" i="1"/>
  <c r="C1012" i="1"/>
  <c r="B1013" i="1"/>
  <c r="C1013" i="1"/>
  <c r="B1014" i="1"/>
  <c r="C1014" i="1"/>
  <c r="B1015" i="1"/>
  <c r="C1015" i="1"/>
  <c r="B1016" i="1"/>
  <c r="C1016" i="1"/>
  <c r="B1017" i="1"/>
  <c r="C1017" i="1"/>
  <c r="B1018" i="1"/>
  <c r="C1018" i="1"/>
  <c r="B1019" i="1"/>
  <c r="C1019" i="1"/>
  <c r="B1020" i="1"/>
  <c r="C1020" i="1"/>
  <c r="B1021" i="1"/>
  <c r="C1021" i="1"/>
  <c r="B1022" i="1"/>
  <c r="C1022" i="1"/>
  <c r="B1023" i="1"/>
  <c r="C1023" i="1"/>
  <c r="B1024" i="1"/>
  <c r="C1024" i="1"/>
  <c r="B1025" i="1"/>
  <c r="C1025" i="1"/>
  <c r="B1026" i="1"/>
  <c r="C1026" i="1"/>
  <c r="B1027" i="1"/>
  <c r="C1027" i="1"/>
  <c r="B1028" i="1"/>
  <c r="C1028" i="1"/>
  <c r="B1029" i="1"/>
  <c r="C1029" i="1"/>
  <c r="B1030" i="1"/>
  <c r="C1030" i="1"/>
  <c r="B1031" i="1"/>
  <c r="C1031" i="1"/>
  <c r="B1032" i="1"/>
  <c r="C1032" i="1"/>
  <c r="B1033" i="1"/>
  <c r="C1033" i="1"/>
  <c r="B1034" i="1"/>
  <c r="C1034" i="1"/>
  <c r="B1035" i="1"/>
  <c r="C1035" i="1"/>
  <c r="B1036" i="1"/>
  <c r="C1036" i="1"/>
  <c r="B1037" i="1"/>
  <c r="C1037" i="1"/>
  <c r="B1038" i="1"/>
  <c r="C1038" i="1"/>
  <c r="B1039" i="1"/>
  <c r="C1039" i="1"/>
  <c r="B1040" i="1"/>
  <c r="C1040" i="1"/>
  <c r="B1041" i="1"/>
  <c r="C1041" i="1"/>
  <c r="B1042" i="1"/>
  <c r="C1042" i="1"/>
  <c r="B1043" i="1"/>
  <c r="C1043" i="1"/>
  <c r="B1044" i="1"/>
  <c r="C1044" i="1"/>
  <c r="B1045" i="1"/>
  <c r="C1045" i="1"/>
  <c r="B1046" i="1"/>
  <c r="C1046" i="1"/>
  <c r="B1047" i="1"/>
  <c r="C1047" i="1"/>
  <c r="B1048" i="1"/>
  <c r="C1048" i="1"/>
  <c r="B1049" i="1"/>
  <c r="C1049" i="1"/>
  <c r="B1050" i="1"/>
  <c r="C1050" i="1"/>
  <c r="B1051" i="1"/>
  <c r="C1051" i="1"/>
  <c r="B1052" i="1"/>
  <c r="C1052" i="1"/>
  <c r="B1053" i="1"/>
  <c r="C1053" i="1"/>
  <c r="B1054" i="1"/>
  <c r="C1054" i="1"/>
  <c r="B1055" i="1"/>
  <c r="C1055" i="1"/>
  <c r="B1056" i="1"/>
  <c r="C1056" i="1"/>
  <c r="B1057" i="1"/>
  <c r="C1057" i="1"/>
  <c r="B1058" i="1"/>
  <c r="C1058" i="1"/>
  <c r="B1059" i="1"/>
  <c r="C1059" i="1"/>
  <c r="B1060" i="1"/>
  <c r="C1060" i="1"/>
  <c r="B1061" i="1"/>
  <c r="C1061" i="1"/>
  <c r="B1062" i="1"/>
  <c r="C1062" i="1"/>
  <c r="B1063" i="1"/>
  <c r="C1063" i="1"/>
  <c r="B1064" i="1"/>
  <c r="C1064" i="1"/>
  <c r="B1065" i="1"/>
  <c r="C1065" i="1"/>
  <c r="B1066" i="1"/>
  <c r="C1066" i="1"/>
  <c r="B1067" i="1"/>
  <c r="C1067" i="1"/>
  <c r="B1068" i="1"/>
  <c r="C1068" i="1"/>
  <c r="B1069" i="1"/>
  <c r="C1069" i="1"/>
  <c r="B1070" i="1"/>
  <c r="C1070" i="1"/>
  <c r="B1071" i="1"/>
  <c r="C1071" i="1"/>
  <c r="B1072" i="1"/>
  <c r="C1072" i="1"/>
  <c r="B1073" i="1"/>
  <c r="C1073" i="1"/>
  <c r="B1074" i="1"/>
  <c r="C1074" i="1"/>
  <c r="B1075" i="1"/>
  <c r="C1075" i="1"/>
  <c r="B1076" i="1"/>
  <c r="C1076" i="1"/>
  <c r="B1077" i="1"/>
  <c r="C1077" i="1"/>
  <c r="B1078" i="1"/>
  <c r="C1078" i="1"/>
  <c r="B1079" i="1"/>
  <c r="C1079" i="1"/>
  <c r="B1080" i="1"/>
  <c r="C1080" i="1"/>
  <c r="B1081" i="1"/>
  <c r="C1081" i="1"/>
  <c r="B1082" i="1"/>
  <c r="C1082" i="1"/>
  <c r="B1083" i="1"/>
  <c r="C1083" i="1"/>
  <c r="B1084" i="1"/>
  <c r="C1084" i="1"/>
  <c r="B1085" i="1"/>
  <c r="C1085" i="1"/>
  <c r="B1086" i="1"/>
  <c r="C1086" i="1"/>
  <c r="B1087" i="1"/>
  <c r="C1087" i="1"/>
  <c r="B1088" i="1"/>
  <c r="C1088" i="1"/>
  <c r="B1089" i="1"/>
  <c r="C1089" i="1"/>
  <c r="B1090" i="1"/>
  <c r="C1090" i="1"/>
  <c r="B1091" i="1"/>
  <c r="C1091" i="1"/>
  <c r="B1092" i="1"/>
  <c r="C1092" i="1"/>
  <c r="B1093" i="1"/>
  <c r="C1093" i="1"/>
  <c r="B1094" i="1"/>
  <c r="C1094" i="1"/>
  <c r="B1095" i="1"/>
  <c r="C1095" i="1"/>
  <c r="B1096" i="1"/>
  <c r="C1096" i="1"/>
  <c r="B1097" i="1"/>
  <c r="C1097" i="1"/>
  <c r="B1098" i="1"/>
  <c r="C1098" i="1"/>
  <c r="B1099" i="1"/>
  <c r="C1099" i="1"/>
  <c r="B1100" i="1"/>
  <c r="C1100" i="1"/>
  <c r="B1101" i="1"/>
  <c r="C1101" i="1"/>
  <c r="B1102" i="1"/>
  <c r="C1102" i="1"/>
  <c r="B1103" i="1"/>
  <c r="C1103" i="1"/>
  <c r="B1104" i="1"/>
  <c r="C1104" i="1"/>
  <c r="B1105" i="1"/>
  <c r="C1105" i="1"/>
  <c r="B1106" i="1"/>
  <c r="C1106" i="1"/>
  <c r="B1107" i="1"/>
  <c r="C1107" i="1"/>
  <c r="B1108" i="1"/>
  <c r="C1108" i="1"/>
  <c r="B1109" i="1"/>
  <c r="C1109" i="1"/>
  <c r="B1110" i="1"/>
  <c r="C1110" i="1"/>
  <c r="B1111" i="1"/>
  <c r="C1111" i="1"/>
  <c r="B1112" i="1"/>
  <c r="C1112" i="1"/>
  <c r="B1113" i="1"/>
  <c r="C1113" i="1"/>
  <c r="B1114" i="1"/>
  <c r="C1114" i="1"/>
  <c r="B1115" i="1"/>
  <c r="C1115" i="1"/>
  <c r="B1116" i="1"/>
  <c r="C1116" i="1"/>
  <c r="B1117" i="1"/>
  <c r="C1117" i="1"/>
  <c r="B1118" i="1"/>
  <c r="C1118" i="1"/>
  <c r="B1119" i="1"/>
  <c r="C1119" i="1"/>
  <c r="B1120" i="1"/>
  <c r="C1120" i="1"/>
  <c r="B1121" i="1"/>
  <c r="C1121" i="1"/>
  <c r="B1122" i="1"/>
  <c r="C1122" i="1"/>
  <c r="B1123" i="1"/>
  <c r="C1123" i="1"/>
  <c r="B1124" i="1"/>
  <c r="C1124" i="1"/>
  <c r="B1125" i="1"/>
  <c r="C1125" i="1"/>
  <c r="B1126" i="1"/>
  <c r="C1126" i="1"/>
  <c r="B1127" i="1"/>
  <c r="C1127" i="1"/>
  <c r="B1128" i="1"/>
  <c r="C1128" i="1"/>
  <c r="B1129" i="1"/>
  <c r="C1129" i="1"/>
  <c r="B1130" i="1"/>
  <c r="C1130" i="1"/>
  <c r="B1131" i="1"/>
  <c r="C1131" i="1"/>
  <c r="B1132" i="1"/>
  <c r="C1132" i="1"/>
  <c r="B1133" i="1"/>
  <c r="C1133" i="1"/>
  <c r="B1134" i="1"/>
  <c r="C1134" i="1"/>
  <c r="B1135" i="1"/>
  <c r="C1135" i="1"/>
  <c r="B1136" i="1"/>
  <c r="C1136" i="1"/>
  <c r="B1137" i="1"/>
  <c r="C1137" i="1"/>
  <c r="B1138" i="1"/>
  <c r="C1138" i="1"/>
  <c r="B1139" i="1"/>
  <c r="C1139" i="1"/>
  <c r="B1140" i="1"/>
  <c r="C1140" i="1"/>
  <c r="B1141" i="1"/>
  <c r="C1141" i="1"/>
  <c r="B1142" i="1"/>
  <c r="C1142" i="1"/>
  <c r="B1143" i="1"/>
  <c r="C1143" i="1"/>
  <c r="B1144" i="1"/>
  <c r="C1144" i="1"/>
  <c r="B1145" i="1"/>
  <c r="C1145" i="1"/>
  <c r="B1146" i="1"/>
  <c r="C1146" i="1"/>
  <c r="B1147" i="1"/>
  <c r="C1147" i="1"/>
  <c r="B1148" i="1"/>
  <c r="C1148" i="1"/>
  <c r="B1149" i="1"/>
  <c r="C1149" i="1"/>
  <c r="B1150" i="1"/>
  <c r="C1150" i="1"/>
  <c r="B1151" i="1"/>
  <c r="C1151" i="1"/>
  <c r="B1152" i="1"/>
  <c r="C1152" i="1"/>
  <c r="B1153" i="1"/>
  <c r="C1153" i="1"/>
  <c r="B1154" i="1"/>
  <c r="C1154" i="1"/>
  <c r="B1155" i="1"/>
  <c r="C1155" i="1"/>
  <c r="B1156" i="1"/>
  <c r="C1156" i="1"/>
  <c r="B1157" i="1"/>
  <c r="C1157" i="1"/>
  <c r="B1158" i="1"/>
  <c r="C1158" i="1"/>
  <c r="B1159" i="1"/>
  <c r="C1159" i="1"/>
  <c r="B1160" i="1"/>
  <c r="C1160" i="1"/>
  <c r="B1161" i="1"/>
  <c r="C1161" i="1"/>
  <c r="B1162" i="1"/>
  <c r="C1162" i="1"/>
  <c r="B1163" i="1"/>
  <c r="C1163" i="1"/>
  <c r="B1164" i="1"/>
  <c r="C1164" i="1"/>
  <c r="B1165" i="1"/>
  <c r="C1165" i="1"/>
  <c r="B1166" i="1"/>
  <c r="C1166" i="1"/>
  <c r="B1167" i="1"/>
  <c r="C1167" i="1"/>
  <c r="B1168" i="1"/>
  <c r="C1168" i="1"/>
  <c r="B1169" i="1"/>
  <c r="C1169" i="1"/>
  <c r="B1170" i="1"/>
  <c r="C1170" i="1"/>
  <c r="B1171" i="1"/>
  <c r="C1171" i="1"/>
  <c r="B1172" i="1"/>
  <c r="C1172" i="1"/>
  <c r="B1173" i="1"/>
  <c r="C1173" i="1"/>
  <c r="B1174" i="1"/>
  <c r="C1174" i="1"/>
  <c r="B1175" i="1"/>
  <c r="C1175" i="1"/>
  <c r="B1176" i="1"/>
  <c r="C1176" i="1"/>
  <c r="B1177" i="1"/>
  <c r="C1177" i="1"/>
  <c r="B1178" i="1"/>
  <c r="C1178" i="1"/>
  <c r="B1179" i="1"/>
  <c r="C1179" i="1"/>
  <c r="B1180" i="1"/>
  <c r="C1180" i="1"/>
  <c r="B1181" i="1"/>
  <c r="C1181" i="1"/>
  <c r="B1182" i="1"/>
  <c r="C1182" i="1"/>
  <c r="B1183" i="1"/>
  <c r="C1183" i="1"/>
  <c r="B1184" i="1"/>
  <c r="C1184" i="1"/>
  <c r="B1185" i="1"/>
  <c r="C1185" i="1"/>
  <c r="B1186" i="1"/>
  <c r="C1186" i="1"/>
  <c r="B1187" i="1"/>
  <c r="C1187" i="1"/>
  <c r="B1188" i="1"/>
  <c r="C1188" i="1"/>
  <c r="B1189" i="1"/>
  <c r="C1189" i="1"/>
  <c r="B1190" i="1"/>
  <c r="C1190" i="1"/>
  <c r="B1191" i="1"/>
  <c r="C1191" i="1"/>
  <c r="B1192" i="1"/>
  <c r="C1192" i="1"/>
  <c r="B1193" i="1"/>
  <c r="C1193" i="1"/>
  <c r="B1194" i="1"/>
  <c r="C1194" i="1"/>
  <c r="B1195" i="1"/>
  <c r="C1195" i="1"/>
  <c r="B1196" i="1"/>
  <c r="C1196" i="1"/>
  <c r="B1197" i="1"/>
  <c r="C1197" i="1"/>
  <c r="B1198" i="1"/>
  <c r="C1198" i="1"/>
  <c r="B1199" i="1"/>
  <c r="C1199" i="1"/>
  <c r="B1200" i="1"/>
  <c r="C1200" i="1"/>
  <c r="B1201" i="1"/>
  <c r="C1201" i="1"/>
  <c r="B1202" i="1"/>
  <c r="C1202" i="1"/>
  <c r="B1203" i="1"/>
  <c r="C1203" i="1"/>
  <c r="B1204" i="1"/>
  <c r="C1204" i="1"/>
  <c r="B1205" i="1"/>
  <c r="C1205" i="1"/>
  <c r="B1206" i="1"/>
  <c r="C1206" i="1"/>
  <c r="B1207" i="1"/>
  <c r="C1207" i="1"/>
  <c r="B1208" i="1"/>
  <c r="C1208" i="1"/>
  <c r="B1209" i="1"/>
  <c r="C1209" i="1"/>
  <c r="B1210" i="1"/>
  <c r="C1210" i="1"/>
  <c r="B1211" i="1"/>
  <c r="C1211" i="1"/>
  <c r="B1212" i="1"/>
  <c r="C1212" i="1"/>
  <c r="B1213" i="1"/>
  <c r="C1213" i="1"/>
  <c r="B1214" i="1"/>
  <c r="C1214" i="1"/>
  <c r="B1215" i="1"/>
  <c r="C1215" i="1"/>
  <c r="B1216" i="1"/>
  <c r="C1216" i="1"/>
  <c r="B1217" i="1"/>
  <c r="C1217" i="1"/>
  <c r="B1218" i="1"/>
  <c r="C1218" i="1"/>
  <c r="B1219" i="1"/>
  <c r="C1219" i="1"/>
  <c r="B1220" i="1"/>
  <c r="C1220" i="1"/>
  <c r="B1221" i="1"/>
  <c r="C1221" i="1"/>
  <c r="B1222" i="1"/>
  <c r="C1222" i="1"/>
  <c r="B1223" i="1"/>
  <c r="C1223" i="1"/>
  <c r="B1224" i="1"/>
  <c r="C1224" i="1"/>
  <c r="B1225" i="1"/>
  <c r="C1225" i="1"/>
  <c r="B1226" i="1"/>
  <c r="C1226" i="1"/>
  <c r="B1227" i="1"/>
  <c r="C1227" i="1"/>
  <c r="B1228" i="1"/>
  <c r="C1228" i="1"/>
  <c r="B1229" i="1"/>
  <c r="C1229" i="1"/>
  <c r="B1230" i="1"/>
  <c r="C1230" i="1"/>
  <c r="B1231" i="1"/>
  <c r="C1231" i="1"/>
  <c r="B1232" i="1"/>
  <c r="C1232" i="1"/>
  <c r="B1233" i="1"/>
  <c r="C1233" i="1"/>
  <c r="B1234" i="1"/>
  <c r="C1234" i="1"/>
  <c r="B1235" i="1"/>
  <c r="C1235" i="1"/>
  <c r="B1236" i="1"/>
  <c r="C1236" i="1"/>
  <c r="B1237" i="1"/>
  <c r="C1237" i="1"/>
  <c r="B1238" i="1"/>
  <c r="C1238" i="1"/>
  <c r="B1239" i="1"/>
  <c r="C1239" i="1"/>
  <c r="B1240" i="1"/>
  <c r="C1240" i="1"/>
  <c r="B1241" i="1"/>
  <c r="C1241" i="1"/>
  <c r="B1242" i="1"/>
  <c r="C1242" i="1"/>
  <c r="B1243" i="1"/>
  <c r="C1243" i="1"/>
  <c r="B1244" i="1"/>
  <c r="C1244" i="1"/>
  <c r="B1245" i="1"/>
  <c r="C1245" i="1"/>
  <c r="B1246" i="1"/>
  <c r="C1246" i="1"/>
  <c r="B1247" i="1"/>
  <c r="C1247" i="1"/>
  <c r="B1248" i="1"/>
  <c r="C1248" i="1"/>
  <c r="B1249" i="1"/>
  <c r="C1249" i="1"/>
  <c r="B1250" i="1"/>
  <c r="C1250" i="1"/>
  <c r="B1251" i="1"/>
  <c r="C1251" i="1"/>
  <c r="B1252" i="1"/>
  <c r="C1252" i="1"/>
  <c r="B1253" i="1"/>
  <c r="C1253" i="1"/>
  <c r="B1254" i="1"/>
  <c r="C1254" i="1"/>
  <c r="B1255" i="1"/>
  <c r="C1255" i="1"/>
  <c r="B1256" i="1"/>
  <c r="C1256" i="1"/>
  <c r="B1257" i="1"/>
  <c r="C1257" i="1"/>
  <c r="B1258" i="1"/>
  <c r="C1258" i="1"/>
  <c r="B1259" i="1"/>
  <c r="C1259" i="1"/>
  <c r="B1260" i="1"/>
  <c r="C1260" i="1"/>
  <c r="B1261" i="1"/>
  <c r="C1261" i="1"/>
  <c r="B1262" i="1"/>
  <c r="C1262" i="1"/>
  <c r="B1263" i="1"/>
  <c r="C1263" i="1"/>
  <c r="B1264" i="1"/>
  <c r="C1264" i="1"/>
  <c r="B1265" i="1"/>
  <c r="C1265" i="1"/>
  <c r="B1266" i="1"/>
  <c r="C1266" i="1"/>
  <c r="B1267" i="1"/>
  <c r="C1267" i="1"/>
  <c r="B1268" i="1"/>
  <c r="C1268" i="1"/>
  <c r="B1269" i="1"/>
  <c r="C1269" i="1"/>
  <c r="B1270" i="1"/>
  <c r="C1270" i="1"/>
  <c r="B1271" i="1"/>
  <c r="C1271" i="1"/>
  <c r="B1272" i="1"/>
  <c r="C1272" i="1"/>
  <c r="B1273" i="1"/>
  <c r="C1273" i="1"/>
  <c r="B1274" i="1"/>
  <c r="C1274" i="1"/>
  <c r="B1275" i="1"/>
  <c r="C1275" i="1"/>
  <c r="B1276" i="1"/>
  <c r="C1276" i="1"/>
  <c r="B1277" i="1"/>
  <c r="C1277" i="1"/>
  <c r="B1278" i="1"/>
  <c r="C1278" i="1"/>
  <c r="B1279" i="1"/>
  <c r="C1279" i="1"/>
  <c r="B1280" i="1"/>
  <c r="C1280" i="1"/>
  <c r="B1281" i="1"/>
  <c r="C1281" i="1"/>
  <c r="B1282" i="1"/>
  <c r="C1282" i="1"/>
  <c r="B1283" i="1"/>
  <c r="C1283" i="1"/>
  <c r="B1284" i="1"/>
  <c r="C1284" i="1"/>
  <c r="B1285" i="1"/>
  <c r="C1285" i="1"/>
  <c r="B1286" i="1"/>
  <c r="C1286" i="1"/>
  <c r="B1287" i="1"/>
  <c r="C1287" i="1"/>
  <c r="B1288" i="1"/>
  <c r="C1288" i="1"/>
  <c r="B1289" i="1"/>
  <c r="C1289" i="1"/>
  <c r="B1290" i="1"/>
  <c r="C1290" i="1"/>
  <c r="B1291" i="1"/>
  <c r="C1291" i="1"/>
  <c r="B1292" i="1"/>
  <c r="C1292" i="1"/>
  <c r="B1293" i="1"/>
  <c r="C1293" i="1"/>
  <c r="B1294" i="1"/>
  <c r="C1294" i="1"/>
  <c r="B1295" i="1"/>
  <c r="C1295" i="1"/>
  <c r="B1296" i="1"/>
  <c r="C1296" i="1"/>
  <c r="B1297" i="1"/>
  <c r="C1297" i="1"/>
  <c r="B1298" i="1"/>
  <c r="C1298" i="1"/>
  <c r="B1299" i="1"/>
  <c r="C1299" i="1"/>
  <c r="B1300" i="1"/>
  <c r="C1300" i="1"/>
  <c r="B1301" i="1"/>
  <c r="C1301" i="1"/>
  <c r="B1302" i="1"/>
  <c r="C1302" i="1"/>
  <c r="B1303" i="1"/>
  <c r="C1303" i="1"/>
  <c r="B1304" i="1"/>
  <c r="C1304" i="1"/>
  <c r="B1305" i="1"/>
  <c r="C1305" i="1"/>
  <c r="B1306" i="1"/>
  <c r="C1306" i="1"/>
  <c r="B1307" i="1"/>
  <c r="C1307" i="1"/>
  <c r="B1308" i="1"/>
  <c r="C1308" i="1"/>
  <c r="B1309" i="1"/>
  <c r="C1309" i="1"/>
  <c r="B1310" i="1"/>
  <c r="C1310" i="1"/>
  <c r="B1311" i="1"/>
  <c r="C1311" i="1"/>
  <c r="B1312" i="1"/>
  <c r="C1312" i="1"/>
  <c r="B1313" i="1"/>
  <c r="C1313" i="1"/>
  <c r="B1314" i="1"/>
  <c r="C1314" i="1"/>
  <c r="B1315" i="1"/>
  <c r="C1315" i="1"/>
  <c r="B1316" i="1"/>
  <c r="C1316" i="1"/>
  <c r="B1317" i="1"/>
  <c r="C1317" i="1"/>
  <c r="B1318" i="1"/>
  <c r="C1318" i="1"/>
  <c r="B1319" i="1"/>
  <c r="C1319" i="1"/>
  <c r="B1320" i="1"/>
  <c r="C1320" i="1"/>
  <c r="B1321" i="1"/>
  <c r="C1321" i="1"/>
  <c r="B1322" i="1"/>
  <c r="C1322" i="1"/>
  <c r="B1323" i="1"/>
  <c r="C1323" i="1"/>
  <c r="B1324" i="1"/>
  <c r="C1324" i="1"/>
  <c r="B1325" i="1"/>
  <c r="C1325" i="1"/>
  <c r="B1326" i="1"/>
  <c r="C1326" i="1"/>
  <c r="B1327" i="1"/>
  <c r="C1327" i="1"/>
  <c r="B1328" i="1"/>
  <c r="C1328" i="1"/>
  <c r="B1329" i="1"/>
  <c r="C1329" i="1"/>
  <c r="B1330" i="1"/>
  <c r="C1330" i="1"/>
  <c r="B1331" i="1"/>
  <c r="C1331" i="1"/>
  <c r="B1332" i="1"/>
  <c r="C1332" i="1"/>
  <c r="B1333" i="1"/>
  <c r="C1333" i="1"/>
  <c r="B1334" i="1"/>
  <c r="C1334" i="1"/>
  <c r="B1335" i="1"/>
  <c r="C1335" i="1"/>
  <c r="B1336" i="1"/>
  <c r="C1336" i="1"/>
  <c r="B1337" i="1"/>
  <c r="C1337" i="1"/>
  <c r="B1338" i="1"/>
  <c r="C1338" i="1"/>
  <c r="B1339" i="1"/>
  <c r="C1339" i="1"/>
  <c r="B1340" i="1"/>
  <c r="C1340" i="1"/>
  <c r="B1341" i="1"/>
  <c r="C1341" i="1"/>
  <c r="B1342" i="1"/>
  <c r="C1342" i="1"/>
  <c r="B1343" i="1"/>
  <c r="C1343" i="1"/>
  <c r="B1344" i="1"/>
  <c r="C1344" i="1"/>
  <c r="B1345" i="1"/>
  <c r="C1345" i="1"/>
  <c r="B1346" i="1"/>
  <c r="C1346" i="1"/>
  <c r="B1347" i="1"/>
  <c r="C1347" i="1"/>
  <c r="B1348" i="1"/>
  <c r="C1348" i="1"/>
  <c r="B1349" i="1"/>
  <c r="C1349" i="1"/>
  <c r="B1350" i="1"/>
  <c r="C1350" i="1"/>
  <c r="B1351" i="1"/>
  <c r="C1351" i="1"/>
  <c r="B1352" i="1"/>
  <c r="C1352" i="1"/>
  <c r="B1353" i="1"/>
  <c r="C1353" i="1"/>
  <c r="B1354" i="1"/>
  <c r="C1354" i="1"/>
  <c r="B1355" i="1"/>
  <c r="C1355" i="1"/>
  <c r="B1356" i="1"/>
  <c r="C1356" i="1"/>
  <c r="B1357" i="1"/>
  <c r="C1357" i="1"/>
  <c r="B1358" i="1"/>
  <c r="C1358" i="1"/>
  <c r="B1359" i="1"/>
  <c r="C1359" i="1"/>
  <c r="B1360" i="1"/>
  <c r="C1360" i="1"/>
  <c r="B1361" i="1"/>
  <c r="C1361" i="1"/>
  <c r="B1362" i="1"/>
  <c r="C1362" i="1"/>
  <c r="B1363" i="1"/>
  <c r="C1363" i="1"/>
  <c r="B1364" i="1"/>
  <c r="C1364" i="1"/>
  <c r="B1365" i="1"/>
  <c r="C1365" i="1"/>
  <c r="B1366" i="1"/>
  <c r="C1366" i="1"/>
  <c r="B1367" i="1"/>
  <c r="C1367" i="1"/>
  <c r="B1368" i="1"/>
  <c r="C1368" i="1"/>
  <c r="B1369" i="1"/>
  <c r="C1369" i="1"/>
  <c r="B1370" i="1"/>
  <c r="C1370" i="1"/>
  <c r="B1371" i="1"/>
  <c r="C1371" i="1"/>
  <c r="B1372" i="1"/>
  <c r="C1372" i="1"/>
  <c r="B1373" i="1"/>
  <c r="C1373" i="1"/>
  <c r="B1374" i="1"/>
  <c r="C1374" i="1"/>
  <c r="B1375" i="1"/>
  <c r="C1375" i="1"/>
  <c r="B1376" i="1"/>
  <c r="C1376" i="1"/>
  <c r="B1377" i="1"/>
  <c r="C1377" i="1"/>
  <c r="B1378" i="1"/>
  <c r="C1378" i="1"/>
  <c r="B1379" i="1"/>
  <c r="C1379" i="1"/>
  <c r="B1380" i="1"/>
  <c r="C1380" i="1"/>
  <c r="B1381" i="1"/>
  <c r="C1381" i="1"/>
  <c r="B1382" i="1"/>
  <c r="C1382" i="1"/>
  <c r="B1383" i="1"/>
  <c r="C1383" i="1"/>
  <c r="B1384" i="1"/>
  <c r="C1384" i="1"/>
  <c r="B1385" i="1"/>
  <c r="C1385" i="1"/>
  <c r="B1386" i="1"/>
  <c r="C1386" i="1"/>
  <c r="B1387" i="1"/>
  <c r="C1387" i="1"/>
  <c r="B1388" i="1"/>
  <c r="C1388" i="1"/>
  <c r="B1389" i="1"/>
  <c r="C1389" i="1"/>
  <c r="B1390" i="1"/>
  <c r="C1390" i="1"/>
  <c r="B1391" i="1"/>
  <c r="C1391" i="1"/>
  <c r="B1392" i="1"/>
  <c r="C1392" i="1"/>
  <c r="B1393" i="1"/>
  <c r="C1393" i="1"/>
  <c r="B1394" i="1"/>
  <c r="C1394" i="1"/>
  <c r="B1395" i="1"/>
  <c r="C1395" i="1"/>
  <c r="B1396" i="1"/>
  <c r="C1396" i="1"/>
  <c r="B1397" i="1"/>
  <c r="C1397" i="1"/>
  <c r="B1398" i="1"/>
  <c r="C1398" i="1"/>
  <c r="B1399" i="1"/>
  <c r="C1399" i="1"/>
  <c r="B1400" i="1"/>
  <c r="C1400" i="1"/>
  <c r="B1401" i="1"/>
  <c r="C1401" i="1"/>
  <c r="B1402" i="1"/>
  <c r="C1402" i="1"/>
  <c r="B1403" i="1"/>
  <c r="C1403" i="1"/>
  <c r="B1404" i="1"/>
  <c r="C1404" i="1"/>
  <c r="B1405" i="1"/>
  <c r="C1405" i="1"/>
  <c r="B1406" i="1"/>
  <c r="C1406" i="1"/>
  <c r="B1407" i="1"/>
  <c r="C1407" i="1"/>
  <c r="B1408" i="1"/>
  <c r="C1408" i="1"/>
  <c r="B1409" i="1"/>
  <c r="C1409" i="1"/>
  <c r="B1410" i="1"/>
  <c r="C1410" i="1"/>
  <c r="B1411" i="1"/>
  <c r="C1411" i="1"/>
  <c r="B1412" i="1"/>
  <c r="C1412" i="1"/>
  <c r="B1413" i="1"/>
  <c r="C1413" i="1"/>
  <c r="B1414" i="1"/>
  <c r="C1414" i="1"/>
  <c r="B1415" i="1"/>
  <c r="C1415" i="1"/>
  <c r="B1416" i="1"/>
  <c r="C1416" i="1"/>
  <c r="B1417" i="1"/>
  <c r="C1417" i="1"/>
  <c r="B1418" i="1"/>
  <c r="C1418" i="1"/>
  <c r="B1419" i="1"/>
  <c r="C1419" i="1"/>
  <c r="B1420" i="1"/>
  <c r="C1420" i="1"/>
  <c r="B1421" i="1"/>
  <c r="C1421" i="1"/>
  <c r="B1422" i="1"/>
  <c r="C1422" i="1"/>
  <c r="B1423" i="1"/>
  <c r="C1423" i="1"/>
  <c r="B1424" i="1"/>
  <c r="C1424" i="1"/>
  <c r="B1425" i="1"/>
  <c r="C1425" i="1"/>
  <c r="B1426" i="1"/>
  <c r="C1426" i="1"/>
  <c r="B1427" i="1"/>
  <c r="C1427" i="1"/>
  <c r="B1428" i="1"/>
  <c r="C1428" i="1"/>
  <c r="B1429" i="1"/>
  <c r="C1429" i="1"/>
  <c r="B1430" i="1"/>
  <c r="C1430" i="1"/>
  <c r="B1431" i="1"/>
  <c r="C1431" i="1"/>
  <c r="B1432" i="1"/>
  <c r="C1432" i="1"/>
  <c r="B1433" i="1"/>
  <c r="C1433" i="1"/>
  <c r="B1434" i="1"/>
  <c r="C1434" i="1"/>
  <c r="B1435" i="1"/>
  <c r="C1435" i="1"/>
  <c r="B1436" i="1"/>
  <c r="C1436" i="1"/>
  <c r="B1437" i="1"/>
  <c r="C1437" i="1"/>
  <c r="B1438" i="1"/>
  <c r="C1438" i="1"/>
  <c r="B1439" i="1"/>
  <c r="C1439" i="1"/>
  <c r="B1440" i="1"/>
  <c r="C1440" i="1"/>
  <c r="B1441" i="1"/>
  <c r="C1441" i="1"/>
  <c r="B1442" i="1"/>
  <c r="C1442" i="1"/>
  <c r="B1443" i="1"/>
  <c r="C1443" i="1"/>
  <c r="B1444" i="1"/>
  <c r="C1444" i="1"/>
  <c r="B1445" i="1"/>
  <c r="C1445" i="1"/>
  <c r="B1446" i="1"/>
  <c r="C1446" i="1"/>
  <c r="B1447" i="1"/>
  <c r="C1447" i="1"/>
  <c r="B1448" i="1"/>
  <c r="C1448" i="1"/>
  <c r="B1449" i="1"/>
  <c r="C1449" i="1"/>
  <c r="B1450" i="1"/>
  <c r="C1450" i="1"/>
  <c r="B1451" i="1"/>
  <c r="C1451" i="1"/>
  <c r="B1452" i="1"/>
  <c r="C1452" i="1"/>
  <c r="B1453" i="1"/>
  <c r="C1453" i="1"/>
  <c r="B1454" i="1"/>
  <c r="C1454" i="1"/>
  <c r="B1455" i="1"/>
  <c r="C1455" i="1"/>
  <c r="B1456" i="1"/>
  <c r="C1456" i="1"/>
  <c r="B1457" i="1"/>
  <c r="C1457" i="1"/>
  <c r="B1458" i="1"/>
  <c r="C1458" i="1"/>
  <c r="B1459" i="1"/>
  <c r="C1459" i="1"/>
  <c r="B1460" i="1"/>
  <c r="C1460" i="1"/>
  <c r="B1461" i="1"/>
  <c r="C1461" i="1"/>
  <c r="B1462" i="1"/>
  <c r="C1462" i="1"/>
  <c r="B1463" i="1"/>
  <c r="C1463" i="1"/>
  <c r="B1464" i="1"/>
  <c r="C1464" i="1"/>
  <c r="B1465" i="1"/>
  <c r="C1465" i="1"/>
  <c r="B1466" i="1"/>
  <c r="C1466" i="1"/>
  <c r="B1467" i="1"/>
  <c r="C1467" i="1"/>
  <c r="B1468" i="1"/>
  <c r="C1468" i="1"/>
  <c r="B1469" i="1"/>
  <c r="C1469" i="1"/>
  <c r="B1470" i="1"/>
  <c r="C1470" i="1"/>
  <c r="B1471" i="1"/>
  <c r="C1471" i="1"/>
  <c r="B1472" i="1"/>
  <c r="C1472" i="1"/>
  <c r="B1473" i="1"/>
  <c r="C1473" i="1"/>
  <c r="B1474" i="1"/>
  <c r="C1474" i="1"/>
  <c r="B1475" i="1"/>
  <c r="C1475" i="1"/>
  <c r="B1476" i="1"/>
  <c r="C1476" i="1"/>
  <c r="B1477" i="1"/>
  <c r="C1477" i="1"/>
  <c r="B1478" i="1"/>
  <c r="C1478" i="1"/>
  <c r="B1479" i="1"/>
  <c r="C1479" i="1"/>
  <c r="B1480" i="1"/>
  <c r="C1480" i="1"/>
  <c r="B1481" i="1"/>
  <c r="C1481" i="1"/>
  <c r="B1482" i="1"/>
  <c r="C1482" i="1"/>
  <c r="B1483" i="1"/>
  <c r="C1483" i="1"/>
  <c r="B1484" i="1"/>
  <c r="C1484" i="1"/>
  <c r="B1485" i="1"/>
  <c r="C1485" i="1"/>
  <c r="B1486" i="1"/>
  <c r="C1486" i="1"/>
  <c r="B1487" i="1"/>
  <c r="C1487" i="1"/>
  <c r="B1488" i="1"/>
  <c r="C1488" i="1"/>
  <c r="B1489" i="1"/>
  <c r="C1489" i="1"/>
  <c r="B1490" i="1"/>
  <c r="C1490" i="1"/>
  <c r="B1491" i="1"/>
  <c r="C1491" i="1"/>
  <c r="B1492" i="1"/>
  <c r="C1492" i="1"/>
  <c r="B1493" i="1"/>
  <c r="C1493" i="1"/>
  <c r="B1494" i="1"/>
  <c r="C1494" i="1"/>
  <c r="B1495" i="1"/>
  <c r="C1495" i="1"/>
  <c r="B1496" i="1"/>
  <c r="C1496" i="1"/>
  <c r="B1497" i="1"/>
  <c r="C1497" i="1"/>
  <c r="B1498" i="1"/>
  <c r="C1498" i="1"/>
  <c r="B1499" i="1"/>
  <c r="C1499" i="1"/>
  <c r="B1500" i="1"/>
  <c r="C1500" i="1"/>
  <c r="B1501" i="1"/>
  <c r="C1501" i="1"/>
  <c r="B1502" i="1"/>
  <c r="C1502" i="1"/>
  <c r="B1503" i="1"/>
  <c r="C1503" i="1"/>
  <c r="B1504" i="1"/>
  <c r="C1504" i="1"/>
  <c r="B1505" i="1"/>
  <c r="C1505" i="1"/>
  <c r="B1506" i="1"/>
  <c r="C1506" i="1"/>
  <c r="B1507" i="1"/>
  <c r="C1507" i="1"/>
  <c r="B1508" i="1"/>
  <c r="C1508" i="1"/>
  <c r="B1509" i="1"/>
  <c r="C1509" i="1"/>
  <c r="B1510" i="1"/>
  <c r="C1510" i="1"/>
  <c r="B1511" i="1"/>
  <c r="C1511" i="1"/>
  <c r="B1512" i="1"/>
  <c r="C1512" i="1"/>
  <c r="B1513" i="1"/>
  <c r="C1513" i="1"/>
  <c r="B1514" i="1"/>
  <c r="C1514" i="1"/>
  <c r="B1515" i="1"/>
  <c r="C1515" i="1"/>
  <c r="B1516" i="1"/>
  <c r="C1516" i="1"/>
  <c r="B1517" i="1"/>
  <c r="C1517" i="1"/>
  <c r="B1518" i="1"/>
  <c r="C1518" i="1"/>
  <c r="B1519" i="1"/>
  <c r="C1519" i="1"/>
  <c r="B1520" i="1"/>
  <c r="C1520" i="1"/>
  <c r="B1521" i="1"/>
  <c r="C1521" i="1"/>
  <c r="B1522" i="1"/>
  <c r="C1522" i="1"/>
  <c r="B1523" i="1"/>
  <c r="C1523" i="1"/>
  <c r="B1524" i="1"/>
  <c r="C1524" i="1"/>
  <c r="B1525" i="1"/>
  <c r="C1525" i="1"/>
  <c r="B1526" i="1"/>
  <c r="C1526" i="1"/>
  <c r="B1527" i="1"/>
  <c r="C1527" i="1"/>
  <c r="B1528" i="1"/>
  <c r="C1528" i="1"/>
  <c r="B1529" i="1"/>
  <c r="C1529" i="1"/>
  <c r="B1530" i="1"/>
  <c r="C1530" i="1"/>
  <c r="B1531" i="1"/>
  <c r="C1531" i="1"/>
  <c r="B1532" i="1"/>
  <c r="C1532" i="1"/>
  <c r="B1533" i="1"/>
  <c r="C1533" i="1"/>
  <c r="B1534" i="1"/>
  <c r="C1534" i="1"/>
  <c r="B1535" i="1"/>
  <c r="C1535" i="1"/>
  <c r="B1536" i="1"/>
  <c r="C1536" i="1"/>
  <c r="B1537" i="1"/>
  <c r="C1537" i="1"/>
  <c r="B1538" i="1"/>
  <c r="C1538" i="1"/>
  <c r="B1539" i="1"/>
  <c r="C1539" i="1"/>
  <c r="B1540" i="1"/>
  <c r="C1540" i="1"/>
  <c r="B1541" i="1"/>
  <c r="C1541" i="1"/>
  <c r="B1542" i="1"/>
  <c r="C1542" i="1"/>
  <c r="B1543" i="1"/>
  <c r="C1543" i="1"/>
  <c r="B1544" i="1"/>
  <c r="C1544" i="1"/>
  <c r="B1545" i="1"/>
  <c r="C1545" i="1"/>
  <c r="B1546" i="1"/>
  <c r="C1546" i="1"/>
  <c r="B1547" i="1"/>
  <c r="C1547" i="1"/>
  <c r="B1548" i="1"/>
  <c r="C1548" i="1"/>
  <c r="B1549" i="1"/>
  <c r="C1549" i="1"/>
  <c r="B1550" i="1"/>
  <c r="C1550" i="1"/>
  <c r="B1551" i="1"/>
  <c r="C1551" i="1"/>
  <c r="B1552" i="1"/>
  <c r="C1552" i="1"/>
  <c r="B1553" i="1"/>
  <c r="C1553" i="1"/>
  <c r="B1554" i="1"/>
  <c r="C1554" i="1"/>
  <c r="B1555" i="1"/>
  <c r="C1555" i="1"/>
  <c r="B1556" i="1"/>
  <c r="C1556" i="1"/>
  <c r="B1557" i="1"/>
  <c r="C1557" i="1"/>
  <c r="B1558" i="1"/>
  <c r="C1558" i="1"/>
  <c r="B1559" i="1"/>
  <c r="C1559" i="1"/>
  <c r="B1560" i="1"/>
  <c r="C1560" i="1"/>
  <c r="B1561" i="1"/>
  <c r="C1561" i="1"/>
  <c r="B1562" i="1"/>
  <c r="C1562" i="1"/>
  <c r="B1563" i="1"/>
  <c r="C1563" i="1"/>
  <c r="B1564" i="1"/>
  <c r="C1564" i="1"/>
  <c r="B1565" i="1"/>
  <c r="C1565" i="1"/>
  <c r="B1566" i="1"/>
  <c r="C1566" i="1"/>
  <c r="B1567" i="1"/>
  <c r="C1567" i="1"/>
  <c r="B1568" i="1"/>
  <c r="C1568" i="1"/>
  <c r="B1569" i="1"/>
  <c r="C1569" i="1"/>
  <c r="B1570" i="1"/>
  <c r="C1570" i="1"/>
  <c r="B1571" i="1"/>
  <c r="C1571" i="1"/>
  <c r="B1572" i="1"/>
  <c r="C1572" i="1"/>
  <c r="B1573" i="1"/>
  <c r="C1573" i="1"/>
  <c r="B1574" i="1"/>
  <c r="C1574" i="1"/>
  <c r="B1575" i="1"/>
  <c r="C1575" i="1"/>
  <c r="B1576" i="1"/>
  <c r="C1576" i="1"/>
  <c r="B1577" i="1"/>
  <c r="C1577" i="1"/>
  <c r="B1578" i="1"/>
  <c r="C1578" i="1"/>
  <c r="B1579" i="1"/>
  <c r="C1579" i="1"/>
  <c r="B1580" i="1"/>
  <c r="C1580" i="1"/>
  <c r="B1581" i="1"/>
  <c r="C1581" i="1"/>
  <c r="B1582" i="1"/>
  <c r="C1582" i="1"/>
  <c r="B1583" i="1"/>
  <c r="C1583" i="1"/>
  <c r="B1584" i="1"/>
  <c r="C1584" i="1"/>
  <c r="B1585" i="1"/>
  <c r="C1585" i="1"/>
  <c r="B1586" i="1"/>
  <c r="C1586" i="1"/>
  <c r="B1587" i="1"/>
  <c r="C1587" i="1"/>
  <c r="B1588" i="1"/>
  <c r="C1588" i="1"/>
  <c r="B1589" i="1"/>
  <c r="C1589" i="1"/>
  <c r="B1590" i="1"/>
  <c r="C1590" i="1"/>
  <c r="B1591" i="1"/>
  <c r="C1591" i="1"/>
  <c r="B1592" i="1"/>
  <c r="C1592" i="1"/>
  <c r="B1593" i="1"/>
  <c r="C1593" i="1"/>
  <c r="B1594" i="1"/>
  <c r="C1594" i="1"/>
  <c r="B1595" i="1"/>
  <c r="C1595" i="1"/>
  <c r="B1596" i="1"/>
  <c r="C1596" i="1"/>
  <c r="B1597" i="1"/>
  <c r="C1597" i="1"/>
  <c r="B1598" i="1"/>
  <c r="C1598" i="1"/>
  <c r="B1599" i="1"/>
  <c r="C1599" i="1"/>
  <c r="B1600" i="1"/>
  <c r="C1600" i="1"/>
  <c r="B1601" i="1"/>
  <c r="C1601" i="1"/>
  <c r="B1602" i="1"/>
  <c r="C1602" i="1"/>
  <c r="B1603" i="1"/>
  <c r="C1603" i="1"/>
  <c r="B1604" i="1"/>
  <c r="C1604" i="1"/>
  <c r="B1605" i="1"/>
  <c r="C1605" i="1"/>
  <c r="B1606" i="1"/>
  <c r="C1606" i="1"/>
  <c r="B1607" i="1"/>
  <c r="C1607" i="1"/>
  <c r="B1608" i="1"/>
  <c r="C1608" i="1"/>
  <c r="B1609" i="1"/>
  <c r="C1609" i="1"/>
  <c r="B1610" i="1"/>
  <c r="C1610" i="1"/>
  <c r="B1611" i="1"/>
  <c r="C1611" i="1"/>
  <c r="B1612" i="1"/>
  <c r="C1612" i="1"/>
  <c r="B1613" i="1"/>
  <c r="C1613" i="1"/>
  <c r="B1614" i="1"/>
  <c r="C1614" i="1"/>
  <c r="B1615" i="1"/>
  <c r="C1615" i="1"/>
  <c r="B1616" i="1"/>
  <c r="C1616" i="1"/>
  <c r="B1617" i="1"/>
  <c r="C1617" i="1"/>
  <c r="B1618" i="1"/>
  <c r="C1618" i="1"/>
  <c r="B1619" i="1"/>
  <c r="C1619" i="1"/>
  <c r="B1620" i="1"/>
  <c r="C1620" i="1"/>
  <c r="B1621" i="1"/>
  <c r="C1621" i="1"/>
  <c r="B1622" i="1"/>
  <c r="C1622" i="1"/>
  <c r="B1623" i="1"/>
  <c r="C1623" i="1"/>
  <c r="B1624" i="1"/>
  <c r="C1624" i="1"/>
  <c r="B1625" i="1"/>
  <c r="C1625" i="1"/>
  <c r="B1626" i="1"/>
  <c r="C1626" i="1"/>
  <c r="B1627" i="1"/>
  <c r="C1627" i="1"/>
  <c r="B1628" i="1"/>
  <c r="C1628" i="1"/>
  <c r="B1629" i="1"/>
  <c r="C1629" i="1"/>
  <c r="B1630" i="1"/>
  <c r="C1630" i="1"/>
  <c r="B1631" i="1"/>
  <c r="C1631" i="1"/>
  <c r="B1632" i="1"/>
  <c r="C1632" i="1"/>
  <c r="B1633" i="1"/>
  <c r="C1633" i="1"/>
  <c r="B1634" i="1"/>
  <c r="C1634" i="1"/>
  <c r="B1635" i="1"/>
  <c r="C1635" i="1"/>
  <c r="B1636" i="1"/>
  <c r="C1636" i="1"/>
  <c r="B1637" i="1"/>
  <c r="C1637" i="1"/>
  <c r="B1638" i="1"/>
  <c r="C1638" i="1"/>
  <c r="B1639" i="1"/>
  <c r="C1639" i="1"/>
  <c r="B1640" i="1"/>
  <c r="C1640" i="1"/>
  <c r="B1641" i="1"/>
  <c r="C1641" i="1"/>
  <c r="B1642" i="1"/>
  <c r="C1642" i="1"/>
  <c r="B1643" i="1"/>
  <c r="C1643" i="1"/>
  <c r="B1644" i="1"/>
  <c r="C1644" i="1"/>
  <c r="B1645" i="1"/>
  <c r="C1645" i="1"/>
  <c r="B1646" i="1"/>
  <c r="C1646" i="1"/>
  <c r="B1647" i="1"/>
  <c r="C1647" i="1"/>
  <c r="B1648" i="1"/>
  <c r="C1648" i="1"/>
  <c r="B1649" i="1"/>
  <c r="C1649" i="1"/>
  <c r="B1650" i="1"/>
  <c r="C1650" i="1"/>
  <c r="B1651" i="1"/>
  <c r="C1651" i="1"/>
  <c r="B1652" i="1"/>
  <c r="C1652" i="1"/>
  <c r="B1653" i="1"/>
  <c r="C1653" i="1"/>
  <c r="B1654" i="1"/>
  <c r="C1654" i="1"/>
  <c r="B1655" i="1"/>
  <c r="C1655" i="1"/>
  <c r="B1656" i="1"/>
  <c r="C1656" i="1"/>
  <c r="B1657" i="1"/>
  <c r="C1657" i="1"/>
  <c r="B1658" i="1"/>
  <c r="C1658" i="1"/>
  <c r="B1659" i="1"/>
  <c r="C1659" i="1"/>
  <c r="B1660" i="1"/>
  <c r="C1660" i="1"/>
  <c r="B1661" i="1"/>
  <c r="C1661" i="1"/>
  <c r="B1662" i="1"/>
  <c r="C1662" i="1"/>
  <c r="B1663" i="1"/>
  <c r="C1663" i="1"/>
  <c r="B1664" i="1"/>
  <c r="C1664" i="1"/>
  <c r="B1665" i="1"/>
  <c r="C1665" i="1"/>
  <c r="B1666" i="1"/>
  <c r="C1666" i="1"/>
  <c r="B1667" i="1"/>
  <c r="C1667" i="1"/>
  <c r="B1668" i="1"/>
  <c r="C1668" i="1"/>
  <c r="B1669" i="1"/>
  <c r="C1669" i="1"/>
  <c r="B1670" i="1"/>
  <c r="C1670" i="1"/>
  <c r="B1671" i="1"/>
  <c r="C1671" i="1"/>
  <c r="B1672" i="1"/>
  <c r="C1672" i="1"/>
  <c r="B1673" i="1"/>
  <c r="C1673" i="1"/>
  <c r="B1674" i="1"/>
  <c r="C1674" i="1"/>
  <c r="B1675" i="1"/>
  <c r="C1675" i="1"/>
  <c r="B1676" i="1"/>
  <c r="C1676" i="1"/>
  <c r="B1677" i="1"/>
  <c r="C1677" i="1"/>
  <c r="B1678" i="1"/>
  <c r="C1678" i="1"/>
  <c r="B1679" i="1"/>
  <c r="C1679" i="1"/>
  <c r="B1680" i="1"/>
  <c r="C1680" i="1"/>
  <c r="B1681" i="1"/>
  <c r="C1681" i="1"/>
  <c r="B1682" i="1"/>
  <c r="C1682" i="1"/>
  <c r="B1683" i="1"/>
  <c r="C1683" i="1"/>
  <c r="B1684" i="1"/>
  <c r="C1684" i="1"/>
  <c r="B1685" i="1"/>
  <c r="C1685" i="1"/>
  <c r="B1686" i="1"/>
  <c r="C1686" i="1"/>
  <c r="B1687" i="1"/>
  <c r="C1687" i="1"/>
  <c r="B1688" i="1"/>
  <c r="C1688" i="1"/>
  <c r="B1689" i="1"/>
  <c r="C1689" i="1"/>
  <c r="B1690" i="1"/>
  <c r="C1690" i="1"/>
  <c r="B1691" i="1"/>
  <c r="C1691" i="1"/>
  <c r="B1692" i="1"/>
  <c r="C1692" i="1"/>
  <c r="B1693" i="1"/>
  <c r="C1693" i="1"/>
  <c r="B1694" i="1"/>
  <c r="C1694" i="1"/>
  <c r="B1695" i="1"/>
  <c r="C1695" i="1"/>
  <c r="B1696" i="1"/>
  <c r="C1696" i="1"/>
  <c r="B1697" i="1"/>
  <c r="C1697" i="1"/>
  <c r="B1698" i="1"/>
  <c r="C1698" i="1"/>
  <c r="B1699" i="1"/>
  <c r="C1699" i="1"/>
  <c r="B1700" i="1"/>
  <c r="C1700" i="1"/>
  <c r="B1701" i="1"/>
  <c r="C1701" i="1"/>
  <c r="B1702" i="1"/>
  <c r="C1702" i="1"/>
  <c r="B1703" i="1"/>
  <c r="C1703" i="1"/>
  <c r="B1704" i="1"/>
  <c r="C1704" i="1"/>
  <c r="B1705" i="1"/>
  <c r="C1705" i="1"/>
  <c r="B1706" i="1"/>
  <c r="C1706" i="1"/>
  <c r="B1707" i="1"/>
  <c r="C1707" i="1"/>
  <c r="B1708" i="1"/>
  <c r="C1708" i="1"/>
  <c r="B1709" i="1"/>
  <c r="C1709" i="1"/>
  <c r="B1710" i="1"/>
  <c r="C1710" i="1"/>
  <c r="B1711" i="1"/>
  <c r="C1711" i="1"/>
  <c r="B1712" i="1"/>
  <c r="C1712" i="1"/>
  <c r="B1713" i="1"/>
  <c r="C1713" i="1"/>
  <c r="B1714" i="1"/>
  <c r="C1714" i="1"/>
  <c r="B1715" i="1"/>
  <c r="C1715" i="1"/>
  <c r="B1716" i="1"/>
  <c r="C1716" i="1"/>
  <c r="B1717" i="1"/>
  <c r="C1717" i="1"/>
  <c r="B1718" i="1"/>
  <c r="C1718" i="1"/>
  <c r="B1719" i="1"/>
  <c r="C1719" i="1"/>
  <c r="B1720" i="1"/>
  <c r="C1720" i="1"/>
  <c r="B1721" i="1"/>
  <c r="C1721" i="1"/>
  <c r="B1722" i="1"/>
  <c r="C1722" i="1"/>
  <c r="B1723" i="1"/>
  <c r="C1723" i="1"/>
  <c r="B1724" i="1"/>
  <c r="C1724" i="1"/>
  <c r="B1725" i="1"/>
  <c r="C1725" i="1"/>
  <c r="B1726" i="1"/>
  <c r="C1726" i="1"/>
  <c r="B1727" i="1"/>
  <c r="C1727" i="1"/>
  <c r="B1728" i="1"/>
  <c r="C1728" i="1"/>
  <c r="B1729" i="1"/>
  <c r="C1729" i="1"/>
  <c r="B1730" i="1"/>
  <c r="C1730" i="1"/>
  <c r="B1731" i="1"/>
  <c r="C1731" i="1"/>
  <c r="B1732" i="1"/>
  <c r="C1732" i="1"/>
  <c r="B1733" i="1"/>
  <c r="C1733" i="1"/>
  <c r="B1734" i="1"/>
  <c r="C1734" i="1"/>
  <c r="B1735" i="1"/>
  <c r="C1735" i="1"/>
  <c r="B1736" i="1"/>
  <c r="C1736" i="1"/>
  <c r="B1737" i="1"/>
  <c r="C1737" i="1"/>
  <c r="B1738" i="1"/>
  <c r="C1738" i="1"/>
  <c r="B1739" i="1"/>
  <c r="C1739" i="1"/>
  <c r="B1740" i="1"/>
  <c r="C1740" i="1"/>
  <c r="B1741" i="1"/>
  <c r="C1741" i="1"/>
  <c r="B1742" i="1"/>
  <c r="C1742" i="1"/>
  <c r="B1743" i="1"/>
  <c r="C1743" i="1"/>
  <c r="B1744" i="1"/>
  <c r="C1744" i="1"/>
  <c r="B1745" i="1"/>
  <c r="C1745" i="1"/>
  <c r="B1746" i="1"/>
  <c r="C1746" i="1"/>
  <c r="B1747" i="1"/>
  <c r="C1747" i="1"/>
  <c r="B1748" i="1"/>
  <c r="C1748" i="1"/>
  <c r="B1749" i="1"/>
  <c r="C1749" i="1"/>
  <c r="B1750" i="1"/>
  <c r="C1750" i="1"/>
  <c r="B1751" i="1"/>
  <c r="C1751" i="1"/>
  <c r="B1752" i="1"/>
  <c r="C1752" i="1"/>
  <c r="B1753" i="1"/>
  <c r="C1753" i="1"/>
  <c r="B1754" i="1"/>
  <c r="C1754" i="1"/>
  <c r="B1755" i="1"/>
  <c r="C1755" i="1"/>
  <c r="B1756" i="1"/>
  <c r="C1756" i="1"/>
  <c r="B1757" i="1"/>
  <c r="C1757" i="1"/>
  <c r="B1758" i="1"/>
  <c r="C1758" i="1"/>
  <c r="B1759" i="1"/>
  <c r="C1759" i="1"/>
  <c r="B1760" i="1"/>
  <c r="C1760" i="1"/>
  <c r="B1761" i="1"/>
  <c r="C1761" i="1"/>
  <c r="B1762" i="1"/>
  <c r="C1762" i="1"/>
  <c r="B1763" i="1"/>
  <c r="C1763" i="1"/>
  <c r="B1764" i="1"/>
  <c r="C1764" i="1"/>
  <c r="B1765" i="1"/>
  <c r="C1765" i="1"/>
  <c r="B1766" i="1"/>
  <c r="C1766" i="1"/>
  <c r="B1767" i="1"/>
  <c r="C1767" i="1"/>
  <c r="B1768" i="1"/>
  <c r="C1768" i="1"/>
  <c r="B1769" i="1"/>
  <c r="C1769" i="1"/>
  <c r="B1770" i="1"/>
  <c r="C1770" i="1"/>
  <c r="B1771" i="1"/>
  <c r="C1771" i="1"/>
  <c r="B1772" i="1"/>
  <c r="C1772" i="1"/>
  <c r="B1773" i="1"/>
  <c r="C1773" i="1"/>
  <c r="B1774" i="1"/>
  <c r="C1774" i="1"/>
  <c r="B1775" i="1"/>
  <c r="C1775" i="1"/>
  <c r="B1776" i="1"/>
  <c r="C1776" i="1"/>
  <c r="B1777" i="1"/>
  <c r="C1777" i="1"/>
  <c r="B1778" i="1"/>
  <c r="C1778" i="1"/>
  <c r="B1779" i="1"/>
  <c r="C1779" i="1"/>
  <c r="B1780" i="1"/>
  <c r="C1780" i="1"/>
  <c r="B1781" i="1"/>
  <c r="C1781" i="1"/>
  <c r="B1782" i="1"/>
  <c r="C1782" i="1"/>
  <c r="B1783" i="1"/>
  <c r="C1783" i="1"/>
  <c r="B1784" i="1"/>
  <c r="C1784" i="1"/>
  <c r="B1785" i="1"/>
  <c r="C1785" i="1"/>
  <c r="B1786" i="1"/>
  <c r="C1786" i="1"/>
  <c r="B1787" i="1"/>
  <c r="C1787" i="1"/>
  <c r="B1788" i="1"/>
  <c r="C1788" i="1"/>
  <c r="B1789" i="1"/>
  <c r="C1789" i="1"/>
  <c r="B1790" i="1"/>
  <c r="C1790" i="1"/>
  <c r="B1791" i="1"/>
  <c r="C1791" i="1"/>
  <c r="B1792" i="1"/>
  <c r="C1792" i="1"/>
  <c r="B1793" i="1"/>
  <c r="C1793" i="1"/>
  <c r="B1794" i="1"/>
  <c r="C1794" i="1"/>
  <c r="B1795" i="1"/>
  <c r="C1795" i="1"/>
  <c r="B1796" i="1"/>
  <c r="C1796" i="1"/>
  <c r="B1797" i="1"/>
  <c r="C1797" i="1"/>
  <c r="B1798" i="1"/>
  <c r="C1798" i="1"/>
  <c r="B1799" i="1"/>
  <c r="C1799" i="1"/>
  <c r="B1800" i="1"/>
  <c r="C1800" i="1"/>
  <c r="B1801" i="1"/>
  <c r="C1801" i="1"/>
  <c r="B1802" i="1"/>
  <c r="C1802" i="1"/>
  <c r="B1803" i="1"/>
  <c r="C1803" i="1"/>
  <c r="B1804" i="1"/>
  <c r="C1804" i="1"/>
  <c r="B1805" i="1"/>
  <c r="C1805" i="1"/>
  <c r="B1806" i="1"/>
  <c r="C1806" i="1"/>
  <c r="B1807" i="1"/>
  <c r="C1807" i="1"/>
  <c r="B1808" i="1"/>
  <c r="C1808" i="1"/>
  <c r="B1809" i="1"/>
  <c r="C1809" i="1"/>
  <c r="B1810" i="1"/>
  <c r="C1810" i="1"/>
  <c r="B1811" i="1"/>
  <c r="C1811" i="1"/>
  <c r="B1812" i="1"/>
  <c r="C1812" i="1"/>
  <c r="B1813" i="1"/>
  <c r="C1813" i="1"/>
  <c r="B1814" i="1"/>
  <c r="C1814" i="1"/>
  <c r="B1815" i="1"/>
  <c r="C1815" i="1"/>
  <c r="B1816" i="1"/>
  <c r="C1816" i="1"/>
  <c r="B1817" i="1"/>
  <c r="C1817" i="1"/>
  <c r="B1818" i="1"/>
  <c r="C1818" i="1"/>
  <c r="B1819" i="1"/>
  <c r="C1819" i="1"/>
  <c r="B1820" i="1"/>
  <c r="C1820" i="1"/>
  <c r="B1821" i="1"/>
  <c r="C1821" i="1"/>
  <c r="B1822" i="1"/>
  <c r="C1822" i="1"/>
  <c r="B1823" i="1"/>
  <c r="C1823" i="1"/>
  <c r="B1824" i="1"/>
  <c r="C1824" i="1"/>
  <c r="B1825" i="1"/>
  <c r="C1825" i="1"/>
  <c r="B1826" i="1"/>
  <c r="C1826" i="1"/>
  <c r="B1827" i="1"/>
  <c r="C1827" i="1"/>
  <c r="B1828" i="1"/>
  <c r="C1828" i="1"/>
  <c r="B1829" i="1"/>
  <c r="C1829" i="1"/>
  <c r="B1830" i="1"/>
  <c r="C1830" i="1"/>
  <c r="B1831" i="1"/>
  <c r="C1831" i="1"/>
  <c r="B1832" i="1"/>
  <c r="C1832" i="1"/>
  <c r="B1833" i="1"/>
  <c r="C1833" i="1"/>
  <c r="B1834" i="1"/>
  <c r="C1834" i="1"/>
  <c r="B1835" i="1"/>
  <c r="C1835" i="1"/>
  <c r="B1836" i="1"/>
  <c r="C1836" i="1"/>
  <c r="B1837" i="1"/>
  <c r="C1837" i="1"/>
  <c r="B1838" i="1"/>
  <c r="C1838" i="1"/>
  <c r="B1839" i="1"/>
  <c r="C1839" i="1"/>
  <c r="B1840" i="1"/>
  <c r="C1840" i="1"/>
  <c r="B1841" i="1"/>
  <c r="C1841" i="1"/>
  <c r="B1842" i="1"/>
  <c r="C1842" i="1"/>
  <c r="B1843" i="1"/>
  <c r="C1843" i="1"/>
  <c r="B1844" i="1"/>
  <c r="C1844" i="1"/>
  <c r="B1845" i="1"/>
  <c r="C1845" i="1"/>
  <c r="B1846" i="1"/>
  <c r="C1846" i="1"/>
  <c r="B1847" i="1"/>
  <c r="C1847" i="1"/>
  <c r="B1848" i="1"/>
  <c r="C1848" i="1"/>
  <c r="B1849" i="1"/>
  <c r="C1849" i="1"/>
  <c r="B1850" i="1"/>
  <c r="C1850" i="1"/>
  <c r="B1851" i="1"/>
  <c r="C1851" i="1"/>
  <c r="B1852" i="1"/>
  <c r="C1852" i="1"/>
  <c r="B1853" i="1"/>
  <c r="C1853" i="1"/>
  <c r="B1854" i="1"/>
  <c r="C1854" i="1"/>
  <c r="B1855" i="1"/>
  <c r="C1855" i="1"/>
  <c r="B1856" i="1"/>
  <c r="C1856" i="1"/>
  <c r="B1857" i="1"/>
  <c r="C1857" i="1"/>
  <c r="B1858" i="1"/>
  <c r="C1858" i="1"/>
  <c r="B1859" i="1"/>
  <c r="C1859" i="1"/>
  <c r="B1860" i="1"/>
  <c r="C1860" i="1"/>
  <c r="B1861" i="1"/>
  <c r="C1861" i="1"/>
  <c r="B1862" i="1"/>
  <c r="C1862" i="1"/>
  <c r="B1863" i="1"/>
  <c r="C1863" i="1"/>
  <c r="B1864" i="1"/>
  <c r="C1864" i="1"/>
  <c r="B1865" i="1"/>
  <c r="C1865" i="1"/>
  <c r="B1866" i="1"/>
  <c r="C1866" i="1"/>
  <c r="B1867" i="1"/>
  <c r="C1867" i="1"/>
  <c r="B1868" i="1"/>
  <c r="C1868" i="1"/>
  <c r="B1869" i="1"/>
  <c r="C1869" i="1"/>
  <c r="B1870" i="1"/>
  <c r="C1870" i="1"/>
  <c r="B1871" i="1"/>
  <c r="C1871" i="1"/>
  <c r="B1872" i="1"/>
  <c r="C1872" i="1"/>
  <c r="B1873" i="1"/>
  <c r="C1873" i="1"/>
  <c r="B1874" i="1"/>
  <c r="C1874" i="1"/>
  <c r="B1875" i="1"/>
  <c r="C1875" i="1"/>
  <c r="B1876" i="1"/>
  <c r="C1876" i="1"/>
  <c r="B1877" i="1"/>
  <c r="C1877" i="1"/>
  <c r="B1878" i="1"/>
  <c r="C1878" i="1"/>
  <c r="B1879" i="1"/>
  <c r="C1879" i="1"/>
  <c r="B1880" i="1"/>
  <c r="C1880" i="1"/>
  <c r="B1881" i="1"/>
  <c r="C1881" i="1"/>
  <c r="B1882" i="1"/>
  <c r="C1882" i="1"/>
  <c r="B1883" i="1"/>
  <c r="C1883" i="1"/>
  <c r="B1884" i="1"/>
  <c r="C1884" i="1"/>
  <c r="B1885" i="1"/>
  <c r="C1885" i="1"/>
  <c r="B1886" i="1"/>
  <c r="C1886" i="1"/>
  <c r="B1887" i="1"/>
  <c r="C1887" i="1"/>
  <c r="B1888" i="1"/>
  <c r="C1888" i="1"/>
  <c r="B1889" i="1"/>
  <c r="C1889" i="1"/>
  <c r="B1890" i="1"/>
  <c r="C1890" i="1"/>
  <c r="B1891" i="1"/>
  <c r="C1891" i="1"/>
  <c r="B1892" i="1"/>
  <c r="C1892" i="1"/>
  <c r="B1893" i="1"/>
  <c r="C1893" i="1"/>
  <c r="B1894" i="1"/>
  <c r="C1894" i="1"/>
  <c r="B1895" i="1"/>
  <c r="C1895" i="1"/>
  <c r="B1896" i="1"/>
  <c r="C1896" i="1"/>
  <c r="B1897" i="1"/>
  <c r="C1897" i="1"/>
  <c r="B1898" i="1"/>
  <c r="C1898" i="1"/>
  <c r="B1899" i="1"/>
  <c r="C1899" i="1"/>
  <c r="B1900" i="1"/>
  <c r="C1900" i="1"/>
  <c r="B1901" i="1"/>
  <c r="C1901" i="1"/>
  <c r="B1902" i="1"/>
  <c r="C1902" i="1"/>
  <c r="B1903" i="1"/>
  <c r="C1903" i="1"/>
  <c r="B1904" i="1"/>
  <c r="C1904" i="1"/>
  <c r="B1905" i="1"/>
  <c r="C1905" i="1"/>
  <c r="B1906" i="1"/>
  <c r="C1906" i="1"/>
  <c r="B1907" i="1"/>
  <c r="C1907" i="1"/>
  <c r="B1908" i="1"/>
  <c r="C1908" i="1"/>
  <c r="B1909" i="1"/>
  <c r="C1909" i="1"/>
  <c r="B1910" i="1"/>
  <c r="C1910" i="1"/>
  <c r="B1911" i="1"/>
  <c r="C1911" i="1"/>
  <c r="B1912" i="1"/>
  <c r="C1912" i="1"/>
  <c r="B1913" i="1"/>
  <c r="C1913" i="1"/>
  <c r="B1914" i="1"/>
  <c r="C1914" i="1"/>
  <c r="B1915" i="1"/>
  <c r="C1915" i="1"/>
  <c r="B1916" i="1"/>
  <c r="C1916" i="1"/>
  <c r="B1917" i="1"/>
  <c r="C1917" i="1"/>
  <c r="B1918" i="1"/>
  <c r="C1918" i="1"/>
  <c r="B1919" i="1"/>
  <c r="C1919" i="1"/>
  <c r="B1920" i="1"/>
  <c r="C1920" i="1"/>
  <c r="B1921" i="1"/>
  <c r="C1921" i="1"/>
  <c r="B1922" i="1"/>
  <c r="C1922" i="1"/>
  <c r="B1923" i="1"/>
  <c r="C1923" i="1"/>
  <c r="B1924" i="1"/>
  <c r="C1924" i="1"/>
  <c r="B1925" i="1"/>
  <c r="C1925" i="1"/>
  <c r="B1926" i="1"/>
  <c r="C1926" i="1"/>
  <c r="B1927" i="1"/>
  <c r="C1927" i="1"/>
  <c r="B1928" i="1"/>
  <c r="C1928" i="1"/>
  <c r="B1929" i="1"/>
  <c r="C1929" i="1"/>
  <c r="B1930" i="1"/>
  <c r="C1930" i="1"/>
  <c r="B1931" i="1"/>
  <c r="C1931" i="1"/>
  <c r="B1932" i="1"/>
  <c r="C1932" i="1"/>
  <c r="B1933" i="1"/>
  <c r="C1933" i="1"/>
  <c r="B1934" i="1"/>
  <c r="C1934" i="1"/>
  <c r="B1935" i="1"/>
  <c r="C1935" i="1"/>
  <c r="B1936" i="1"/>
  <c r="C1936" i="1"/>
  <c r="B1937" i="1"/>
  <c r="C1937" i="1"/>
  <c r="B1938" i="1"/>
  <c r="C1938" i="1"/>
  <c r="B1939" i="1"/>
  <c r="C1939" i="1"/>
  <c r="B1940" i="1"/>
  <c r="C1940" i="1"/>
  <c r="B1941" i="1"/>
  <c r="C1941" i="1"/>
  <c r="B1942" i="1"/>
  <c r="C1942" i="1"/>
  <c r="B1943" i="1"/>
  <c r="C1943" i="1"/>
  <c r="B1944" i="1"/>
  <c r="C1944" i="1"/>
  <c r="B1945" i="1"/>
  <c r="C1945" i="1"/>
  <c r="B1946" i="1"/>
  <c r="C1946" i="1"/>
  <c r="B1947" i="1"/>
  <c r="C1947" i="1"/>
  <c r="B1948" i="1"/>
  <c r="C1948" i="1"/>
  <c r="B1949" i="1"/>
  <c r="C1949" i="1"/>
  <c r="B1950" i="1"/>
  <c r="C1950" i="1"/>
  <c r="B1951" i="1"/>
  <c r="C1951" i="1"/>
  <c r="B1952" i="1"/>
  <c r="C1952" i="1"/>
  <c r="B1953" i="1"/>
  <c r="C1953" i="1"/>
  <c r="B1954" i="1"/>
  <c r="C1954" i="1"/>
  <c r="B1955" i="1"/>
  <c r="C1955" i="1"/>
  <c r="B1956" i="1"/>
  <c r="C1956" i="1"/>
  <c r="B1957" i="1"/>
  <c r="C1957" i="1"/>
  <c r="B1958" i="1"/>
  <c r="C1958" i="1"/>
  <c r="B1959" i="1"/>
  <c r="C1959" i="1"/>
  <c r="B1960" i="1"/>
  <c r="C1960" i="1"/>
  <c r="B1961" i="1"/>
  <c r="C1961" i="1"/>
  <c r="B1962" i="1"/>
  <c r="C1962" i="1"/>
  <c r="B1963" i="1"/>
  <c r="C1963" i="1"/>
  <c r="B1964" i="1"/>
  <c r="C1964" i="1"/>
  <c r="B1965" i="1"/>
  <c r="C1965" i="1"/>
  <c r="B1966" i="1"/>
  <c r="C1966" i="1"/>
  <c r="B1967" i="1"/>
  <c r="C1967" i="1"/>
  <c r="B1968" i="1"/>
  <c r="C1968" i="1"/>
  <c r="B1969" i="1"/>
  <c r="C1969" i="1"/>
  <c r="B1970" i="1"/>
  <c r="C1970" i="1"/>
  <c r="B1971" i="1"/>
  <c r="C1971" i="1"/>
  <c r="B1972" i="1"/>
  <c r="C1972" i="1"/>
  <c r="B1973" i="1"/>
  <c r="C1973" i="1"/>
  <c r="B1974" i="1"/>
  <c r="C1974" i="1"/>
  <c r="B1975" i="1"/>
  <c r="C1975" i="1"/>
  <c r="B1976" i="1"/>
  <c r="C1976" i="1"/>
  <c r="B1977" i="1"/>
  <c r="C1977" i="1"/>
  <c r="B1978" i="1"/>
  <c r="C1978" i="1"/>
  <c r="B1979" i="1"/>
  <c r="C1979" i="1"/>
  <c r="B1980" i="1"/>
  <c r="C1980" i="1"/>
  <c r="B1981" i="1"/>
  <c r="C1981" i="1"/>
  <c r="B1982" i="1"/>
  <c r="C1982" i="1"/>
  <c r="B1983" i="1"/>
  <c r="C1983" i="1"/>
  <c r="B1984" i="1"/>
  <c r="C1984" i="1"/>
  <c r="B1985" i="1"/>
  <c r="C1985" i="1"/>
  <c r="B1986" i="1"/>
  <c r="C1986" i="1"/>
  <c r="B1987" i="1"/>
  <c r="C1987" i="1"/>
  <c r="B1988" i="1"/>
  <c r="C1988" i="1"/>
  <c r="B1989" i="1"/>
  <c r="C1989" i="1"/>
  <c r="B1990" i="1"/>
  <c r="C1990" i="1"/>
  <c r="B1991" i="1"/>
  <c r="C1991" i="1"/>
  <c r="B1992" i="1"/>
  <c r="C1992" i="1"/>
  <c r="B1993" i="1"/>
  <c r="C1993" i="1"/>
  <c r="B1994" i="1"/>
  <c r="C1994" i="1"/>
  <c r="B1995" i="1"/>
  <c r="C1995" i="1"/>
  <c r="B1996" i="1"/>
  <c r="C1996" i="1"/>
  <c r="B1997" i="1"/>
  <c r="C1997" i="1"/>
  <c r="B1998" i="1"/>
  <c r="C1998" i="1"/>
  <c r="B1999" i="1"/>
  <c r="C1999" i="1"/>
  <c r="B2000" i="1"/>
  <c r="C2000" i="1"/>
  <c r="B2001" i="1"/>
  <c r="C2001" i="1"/>
  <c r="B2002" i="1"/>
  <c r="C2002" i="1"/>
  <c r="B2003" i="1"/>
  <c r="C2003" i="1"/>
  <c r="B2004" i="1"/>
  <c r="C2004" i="1"/>
  <c r="B2005" i="1"/>
  <c r="C2005" i="1"/>
  <c r="B2006" i="1"/>
  <c r="C2006" i="1"/>
  <c r="B2007" i="1"/>
  <c r="C2007" i="1"/>
  <c r="B2008" i="1"/>
  <c r="C2008" i="1"/>
  <c r="B2009" i="1"/>
  <c r="C2009" i="1"/>
  <c r="B2010" i="1"/>
  <c r="C2010" i="1"/>
  <c r="B2011" i="1"/>
  <c r="C2011" i="1"/>
  <c r="B2012" i="1"/>
  <c r="C2012" i="1"/>
  <c r="B2013" i="1"/>
  <c r="C2013" i="1"/>
  <c r="B2014" i="1"/>
  <c r="C2014" i="1"/>
  <c r="B2015" i="1"/>
  <c r="C2015" i="1"/>
  <c r="B2016" i="1"/>
  <c r="C2016" i="1"/>
  <c r="B2017" i="1"/>
  <c r="C2017" i="1"/>
  <c r="B2018" i="1"/>
  <c r="C2018" i="1"/>
  <c r="B2019" i="1"/>
  <c r="C2019" i="1"/>
  <c r="B2020" i="1"/>
  <c r="C2020" i="1"/>
  <c r="B2021" i="1"/>
  <c r="C2021" i="1"/>
  <c r="B2022" i="1"/>
  <c r="C2022" i="1"/>
  <c r="B2023" i="1"/>
  <c r="C2023" i="1"/>
  <c r="B2024" i="1"/>
  <c r="C2024" i="1"/>
  <c r="B2025" i="1"/>
  <c r="C2025" i="1"/>
  <c r="B2026" i="1"/>
  <c r="C2026" i="1"/>
  <c r="B2027" i="1"/>
  <c r="C2027" i="1"/>
  <c r="B2028" i="1"/>
  <c r="C2028" i="1"/>
  <c r="B2029" i="1"/>
  <c r="C2029" i="1"/>
  <c r="B2030" i="1"/>
  <c r="C2030" i="1"/>
  <c r="B2031" i="1"/>
  <c r="C2031" i="1"/>
  <c r="B2032" i="1"/>
  <c r="C2032" i="1"/>
  <c r="B2033" i="1"/>
  <c r="C2033" i="1"/>
  <c r="B2034" i="1"/>
  <c r="C2034" i="1"/>
  <c r="B2035" i="1"/>
  <c r="C2035" i="1"/>
  <c r="B2036" i="1"/>
  <c r="C2036" i="1"/>
  <c r="B2037" i="1"/>
  <c r="C2037" i="1"/>
  <c r="B2038" i="1"/>
  <c r="C2038" i="1"/>
  <c r="B2039" i="1"/>
  <c r="C2039" i="1"/>
  <c r="B2040" i="1"/>
  <c r="C2040" i="1"/>
  <c r="B2041" i="1"/>
  <c r="C2041" i="1"/>
  <c r="B2042" i="1"/>
  <c r="C2042" i="1"/>
  <c r="B2043" i="1"/>
  <c r="C2043" i="1"/>
  <c r="B2044" i="1"/>
  <c r="C2044" i="1"/>
  <c r="B2045" i="1"/>
  <c r="C2045" i="1"/>
  <c r="B2046" i="1"/>
  <c r="C2046" i="1"/>
  <c r="B2047" i="1"/>
  <c r="C2047" i="1"/>
  <c r="B2048" i="1"/>
  <c r="C2048" i="1"/>
  <c r="B2049" i="1"/>
  <c r="C2049" i="1"/>
  <c r="B2050" i="1"/>
  <c r="C2050" i="1"/>
  <c r="B2051" i="1"/>
  <c r="C2051" i="1"/>
  <c r="B2052" i="1"/>
  <c r="C2052" i="1"/>
  <c r="B2053" i="1"/>
  <c r="C2053" i="1"/>
  <c r="B2054" i="1"/>
  <c r="C2054" i="1"/>
  <c r="B2055" i="1"/>
  <c r="C2055" i="1"/>
  <c r="B2056" i="1"/>
  <c r="C2056" i="1"/>
  <c r="B2057" i="1"/>
  <c r="C2057" i="1"/>
  <c r="B2058" i="1"/>
  <c r="C2058" i="1"/>
  <c r="B2059" i="1"/>
  <c r="C2059" i="1"/>
  <c r="B2060" i="1"/>
  <c r="C2060" i="1"/>
  <c r="B2061" i="1"/>
  <c r="C2061" i="1"/>
  <c r="B2062" i="1"/>
  <c r="C2062" i="1"/>
  <c r="B2063" i="1"/>
  <c r="C2063" i="1"/>
  <c r="B2064" i="1"/>
  <c r="C2064" i="1"/>
  <c r="B2065" i="1"/>
  <c r="C2065" i="1"/>
  <c r="B2066" i="1"/>
  <c r="C2066" i="1"/>
  <c r="B2067" i="1"/>
  <c r="C2067" i="1"/>
  <c r="B2068" i="1"/>
  <c r="C2068" i="1"/>
  <c r="B2069" i="1"/>
  <c r="C2069" i="1"/>
  <c r="B2070" i="1"/>
  <c r="C2070" i="1"/>
  <c r="B2071" i="1"/>
  <c r="C2071" i="1"/>
  <c r="B2072" i="1"/>
  <c r="C2072" i="1"/>
  <c r="B2073" i="1"/>
  <c r="C2073" i="1"/>
  <c r="B2074" i="1"/>
  <c r="C2074" i="1"/>
  <c r="B2075" i="1"/>
  <c r="C2075" i="1"/>
  <c r="B2076" i="1"/>
  <c r="C2076" i="1"/>
  <c r="B2077" i="1"/>
  <c r="C2077" i="1"/>
  <c r="B2078" i="1"/>
  <c r="C2078" i="1"/>
  <c r="B2079" i="1"/>
  <c r="C2079" i="1"/>
  <c r="B2080" i="1"/>
  <c r="C2080" i="1"/>
  <c r="B2081" i="1"/>
  <c r="C2081" i="1"/>
  <c r="B2082" i="1"/>
  <c r="C2082" i="1"/>
  <c r="B2083" i="1"/>
  <c r="C2083" i="1"/>
  <c r="B2084" i="1"/>
  <c r="C2084" i="1"/>
  <c r="B2085" i="1"/>
  <c r="C2085" i="1"/>
  <c r="B2086" i="1"/>
  <c r="C2086" i="1"/>
  <c r="B2087" i="1"/>
  <c r="C2087" i="1"/>
  <c r="B2088" i="1"/>
  <c r="C2088" i="1"/>
  <c r="B2089" i="1"/>
  <c r="C2089" i="1"/>
  <c r="B2090" i="1"/>
  <c r="C2090" i="1"/>
  <c r="B2091" i="1"/>
  <c r="C2091" i="1"/>
  <c r="B2092" i="1"/>
  <c r="C2092" i="1"/>
  <c r="B2093" i="1"/>
  <c r="C2093" i="1"/>
  <c r="B2094" i="1"/>
  <c r="C2094" i="1"/>
  <c r="B2095" i="1"/>
  <c r="C2095" i="1"/>
  <c r="B2096" i="1"/>
  <c r="C2096" i="1"/>
  <c r="B2097" i="1"/>
  <c r="C2097" i="1"/>
  <c r="B2098" i="1"/>
  <c r="C2098" i="1"/>
  <c r="B2099" i="1"/>
  <c r="C2099" i="1"/>
  <c r="B2100" i="1"/>
  <c r="C2100" i="1"/>
  <c r="B2101" i="1"/>
  <c r="C2101" i="1"/>
  <c r="B2102" i="1"/>
  <c r="C2102" i="1"/>
  <c r="B2103" i="1"/>
  <c r="C2103" i="1"/>
  <c r="B2104" i="1"/>
  <c r="C2104" i="1"/>
  <c r="B2105" i="1"/>
  <c r="C2105" i="1"/>
  <c r="B2106" i="1"/>
  <c r="C2106" i="1"/>
  <c r="B2107" i="1"/>
  <c r="C2107" i="1"/>
  <c r="B2108" i="1"/>
  <c r="C2108" i="1"/>
  <c r="B2109" i="1"/>
  <c r="C2109" i="1"/>
  <c r="B2110" i="1"/>
  <c r="C2110" i="1"/>
  <c r="B2111" i="1"/>
  <c r="C2111" i="1"/>
  <c r="B2112" i="1"/>
  <c r="C2112" i="1"/>
  <c r="B2113" i="1"/>
  <c r="C2113" i="1"/>
  <c r="B2114" i="1"/>
  <c r="C2114" i="1"/>
  <c r="B2115" i="1"/>
  <c r="C2115" i="1"/>
  <c r="B2116" i="1"/>
  <c r="C2116" i="1"/>
  <c r="B2117" i="1"/>
  <c r="C2117" i="1"/>
  <c r="B2118" i="1"/>
  <c r="C2118" i="1"/>
  <c r="B2119" i="1"/>
  <c r="C2119" i="1"/>
  <c r="B2120" i="1"/>
  <c r="C2120" i="1"/>
  <c r="B2121" i="1"/>
  <c r="C2121" i="1"/>
  <c r="B2122" i="1"/>
  <c r="C2122" i="1"/>
  <c r="B2123" i="1"/>
  <c r="C2123" i="1"/>
  <c r="B2124" i="1"/>
  <c r="C2124" i="1"/>
  <c r="B2125" i="1"/>
  <c r="C2125" i="1"/>
  <c r="B2126" i="1"/>
  <c r="C2126" i="1"/>
  <c r="B2127" i="1"/>
  <c r="C2127" i="1"/>
  <c r="B2128" i="1"/>
  <c r="C2128" i="1"/>
  <c r="B2129" i="1"/>
  <c r="C2129" i="1"/>
  <c r="B2130" i="1"/>
  <c r="C2130" i="1"/>
  <c r="B2131" i="1"/>
  <c r="C2131" i="1"/>
  <c r="B2132" i="1"/>
  <c r="C2132" i="1"/>
  <c r="B2133" i="1"/>
  <c r="C2133" i="1"/>
  <c r="B2134" i="1"/>
  <c r="C2134" i="1"/>
  <c r="B2135" i="1"/>
  <c r="C2135" i="1"/>
  <c r="B2136" i="1"/>
  <c r="C2136" i="1"/>
  <c r="B2137" i="1"/>
  <c r="C2137" i="1"/>
  <c r="B2138" i="1"/>
  <c r="C2138" i="1"/>
  <c r="B2139" i="1"/>
  <c r="C2139" i="1"/>
  <c r="B2140" i="1"/>
  <c r="C2140" i="1"/>
  <c r="B2141" i="1"/>
  <c r="C2141" i="1"/>
  <c r="B2142" i="1"/>
  <c r="C2142" i="1"/>
  <c r="B2143" i="1"/>
  <c r="C2143" i="1"/>
  <c r="B2144" i="1"/>
  <c r="C2144" i="1"/>
  <c r="B2145" i="1"/>
  <c r="C2145" i="1"/>
  <c r="B2146" i="1"/>
  <c r="C2146" i="1"/>
  <c r="B2147" i="1"/>
  <c r="C2147" i="1"/>
  <c r="B2148" i="1"/>
  <c r="C2148" i="1"/>
  <c r="B2149" i="1"/>
  <c r="C2149" i="1"/>
  <c r="B2150" i="1"/>
  <c r="C2150" i="1"/>
  <c r="B2151" i="1"/>
  <c r="C2151" i="1"/>
  <c r="B2152" i="1"/>
  <c r="C2152" i="1"/>
  <c r="B2153" i="1"/>
  <c r="C2153" i="1"/>
  <c r="B2154" i="1"/>
  <c r="C2154" i="1"/>
  <c r="B2155" i="1"/>
  <c r="C2155" i="1"/>
  <c r="B2156" i="1"/>
  <c r="C2156" i="1"/>
  <c r="B2157" i="1"/>
  <c r="C2157" i="1"/>
  <c r="B2158" i="1"/>
  <c r="C2158" i="1"/>
  <c r="B2159" i="1"/>
  <c r="C2159" i="1"/>
  <c r="B2160" i="1"/>
  <c r="C2160" i="1"/>
  <c r="B2161" i="1"/>
  <c r="C2161" i="1"/>
  <c r="B2162" i="1"/>
  <c r="C2162" i="1"/>
  <c r="B2163" i="1"/>
  <c r="C2163" i="1"/>
  <c r="B2164" i="1"/>
  <c r="C2164" i="1"/>
  <c r="B2165" i="1"/>
  <c r="C2165" i="1"/>
  <c r="B2166" i="1"/>
  <c r="C2166" i="1"/>
  <c r="B2167" i="1"/>
  <c r="C2167" i="1"/>
  <c r="B2168" i="1"/>
  <c r="C2168" i="1"/>
  <c r="B2169" i="1"/>
  <c r="C2169" i="1"/>
  <c r="B2170" i="1"/>
  <c r="C2170" i="1"/>
  <c r="B2171" i="1"/>
  <c r="C2171" i="1"/>
  <c r="B2172" i="1"/>
  <c r="C2172" i="1"/>
  <c r="B2173" i="1"/>
  <c r="C2173" i="1"/>
  <c r="B2174" i="1"/>
  <c r="C2174" i="1"/>
  <c r="B2175" i="1"/>
  <c r="C2175" i="1"/>
  <c r="B2176" i="1"/>
  <c r="C2176" i="1"/>
  <c r="B2177" i="1"/>
  <c r="C2177" i="1"/>
  <c r="B2178" i="1"/>
  <c r="C2178" i="1"/>
  <c r="B2179" i="1"/>
  <c r="C2179" i="1"/>
  <c r="B2180" i="1"/>
  <c r="C2180" i="1"/>
  <c r="B2181" i="1"/>
  <c r="C2181" i="1"/>
  <c r="B2182" i="1"/>
  <c r="C2182" i="1"/>
  <c r="B2183" i="1"/>
  <c r="C2183" i="1"/>
  <c r="B2184" i="1"/>
  <c r="C2184" i="1"/>
  <c r="B2185" i="1"/>
  <c r="C2185" i="1"/>
  <c r="B2186" i="1"/>
  <c r="C2186" i="1"/>
  <c r="B2187" i="1"/>
  <c r="C2187" i="1"/>
  <c r="B2188" i="1"/>
  <c r="C2188" i="1"/>
  <c r="B2189" i="1"/>
  <c r="C2189" i="1"/>
  <c r="B2190" i="1"/>
  <c r="C2190" i="1"/>
  <c r="B2191" i="1"/>
  <c r="C2191" i="1"/>
  <c r="B2192" i="1"/>
  <c r="C2192" i="1"/>
  <c r="B2193" i="1"/>
  <c r="C2193" i="1"/>
  <c r="B2194" i="1"/>
  <c r="C2194" i="1"/>
  <c r="B2195" i="1"/>
  <c r="C2195" i="1"/>
  <c r="B2196" i="1"/>
  <c r="C2196" i="1"/>
  <c r="B2197" i="1"/>
  <c r="C2197" i="1"/>
  <c r="B2198" i="1"/>
  <c r="C2198" i="1"/>
  <c r="B2199" i="1"/>
  <c r="C2199" i="1"/>
  <c r="B2200" i="1"/>
  <c r="C2200" i="1"/>
  <c r="B2201" i="1"/>
  <c r="C2201" i="1"/>
  <c r="B2202" i="1"/>
  <c r="C2202" i="1"/>
  <c r="B2203" i="1"/>
  <c r="C2203" i="1"/>
  <c r="B2204" i="1"/>
  <c r="C2204" i="1"/>
  <c r="B2205" i="1"/>
  <c r="C2205" i="1"/>
  <c r="B2206" i="1"/>
  <c r="C2206" i="1"/>
  <c r="B2207" i="1"/>
  <c r="C2207" i="1"/>
  <c r="B2208" i="1"/>
  <c r="C2208" i="1"/>
  <c r="B2209" i="1"/>
  <c r="C2209" i="1"/>
  <c r="B2210" i="1"/>
  <c r="C2210" i="1"/>
  <c r="B2211" i="1"/>
  <c r="C2211" i="1"/>
  <c r="B2212" i="1"/>
  <c r="C2212" i="1"/>
  <c r="B2213" i="1"/>
  <c r="C2213" i="1"/>
  <c r="B2214" i="1"/>
  <c r="C2214" i="1"/>
  <c r="B2215" i="1"/>
  <c r="C2215" i="1"/>
  <c r="B2216" i="1"/>
  <c r="C2216" i="1"/>
  <c r="B2217" i="1"/>
  <c r="C2217" i="1"/>
  <c r="B2218" i="1"/>
  <c r="C2218" i="1"/>
  <c r="B2219" i="1"/>
  <c r="C2219" i="1"/>
  <c r="B2220" i="1"/>
  <c r="C2220" i="1"/>
  <c r="B2221" i="1"/>
  <c r="C2221" i="1"/>
  <c r="B2222" i="1"/>
  <c r="C2222" i="1"/>
  <c r="B2223" i="1"/>
  <c r="C2223" i="1"/>
  <c r="B2224" i="1"/>
  <c r="C2224" i="1"/>
  <c r="B2225" i="1"/>
  <c r="C2225" i="1"/>
  <c r="B2226" i="1"/>
  <c r="C2226" i="1"/>
  <c r="B2227" i="1"/>
  <c r="C2227" i="1"/>
  <c r="B2228" i="1"/>
  <c r="C2228" i="1"/>
  <c r="B2229" i="1"/>
  <c r="C2229" i="1"/>
  <c r="B2230" i="1"/>
  <c r="C2230" i="1"/>
  <c r="B2231" i="1"/>
  <c r="C2231" i="1"/>
  <c r="B2232" i="1"/>
  <c r="C2232" i="1"/>
  <c r="B2233" i="1"/>
  <c r="C2233" i="1"/>
  <c r="B2234" i="1"/>
  <c r="C2234" i="1"/>
  <c r="B2235" i="1"/>
  <c r="C2235" i="1"/>
  <c r="B2236" i="1"/>
  <c r="C2236" i="1"/>
  <c r="B2237" i="1"/>
  <c r="C2237" i="1"/>
  <c r="B2238" i="1"/>
  <c r="C2238" i="1"/>
  <c r="B2239" i="1"/>
  <c r="C2239" i="1"/>
  <c r="B2240" i="1"/>
  <c r="C2240" i="1"/>
  <c r="B2241" i="1"/>
  <c r="C2241" i="1"/>
  <c r="B2242" i="1"/>
  <c r="C2242" i="1"/>
  <c r="B2243" i="1"/>
  <c r="C2243" i="1"/>
  <c r="B2244" i="1"/>
  <c r="C2244" i="1"/>
  <c r="B2245" i="1"/>
  <c r="C2245" i="1"/>
  <c r="B2246" i="1"/>
  <c r="C2246" i="1"/>
  <c r="B2247" i="1"/>
  <c r="C2247" i="1"/>
  <c r="B2248" i="1"/>
  <c r="C2248" i="1"/>
  <c r="B2249" i="1"/>
  <c r="C2249" i="1"/>
  <c r="B2250" i="1"/>
  <c r="C2250" i="1"/>
  <c r="B2251" i="1"/>
  <c r="C2251" i="1"/>
  <c r="B2252" i="1"/>
  <c r="C2252" i="1"/>
  <c r="B2253" i="1"/>
  <c r="C2253" i="1"/>
  <c r="B2254" i="1"/>
  <c r="C2254" i="1"/>
  <c r="B2255" i="1"/>
  <c r="C2255" i="1"/>
  <c r="B2256" i="1"/>
  <c r="C2256" i="1"/>
  <c r="B2257" i="1"/>
  <c r="C2257" i="1"/>
  <c r="B2258" i="1"/>
  <c r="C2258" i="1"/>
  <c r="B2259" i="1"/>
  <c r="C2259" i="1"/>
  <c r="B2260" i="1"/>
  <c r="C2260" i="1"/>
  <c r="B2261" i="1"/>
  <c r="C2261" i="1"/>
  <c r="B2262" i="1"/>
  <c r="C2262" i="1"/>
  <c r="B2263" i="1"/>
  <c r="C2263" i="1"/>
  <c r="B2264" i="1"/>
  <c r="C2264" i="1"/>
  <c r="B2265" i="1"/>
  <c r="C2265" i="1"/>
  <c r="B2266" i="1"/>
  <c r="C2266" i="1"/>
  <c r="B2267" i="1"/>
  <c r="C2267" i="1"/>
  <c r="B2268" i="1"/>
  <c r="C2268" i="1"/>
  <c r="B2269" i="1"/>
  <c r="C2269" i="1"/>
  <c r="B2270" i="1"/>
  <c r="C2270" i="1"/>
  <c r="B2271" i="1"/>
  <c r="C2271" i="1"/>
  <c r="B2272" i="1"/>
  <c r="C2272" i="1"/>
  <c r="B2273" i="1"/>
  <c r="C2273" i="1"/>
  <c r="B2274" i="1"/>
  <c r="C2274" i="1"/>
  <c r="B2275" i="1"/>
  <c r="C2275" i="1"/>
  <c r="B2276" i="1"/>
  <c r="C2276" i="1"/>
  <c r="B2277" i="1"/>
  <c r="C2277" i="1"/>
  <c r="B2278" i="1"/>
  <c r="C2278" i="1"/>
  <c r="B2279" i="1"/>
  <c r="C2279" i="1"/>
  <c r="B2280" i="1"/>
  <c r="C2280" i="1"/>
  <c r="B2281" i="1"/>
  <c r="C2281" i="1"/>
  <c r="B2282" i="1"/>
  <c r="C2282" i="1"/>
  <c r="B2283" i="1"/>
  <c r="C2283" i="1"/>
  <c r="B2284" i="1"/>
  <c r="C2284" i="1"/>
  <c r="B2285" i="1"/>
  <c r="C2285" i="1"/>
  <c r="B2286" i="1"/>
  <c r="C2286" i="1"/>
  <c r="B2287" i="1"/>
  <c r="C2287" i="1"/>
  <c r="B2288" i="1"/>
  <c r="C2288" i="1"/>
  <c r="B2289" i="1"/>
  <c r="C2289" i="1"/>
  <c r="B2290" i="1"/>
  <c r="C2290" i="1"/>
  <c r="B2291" i="1"/>
  <c r="C2291" i="1"/>
  <c r="B2292" i="1"/>
  <c r="C2292" i="1"/>
  <c r="B2293" i="1"/>
  <c r="C2293" i="1"/>
  <c r="B2294" i="1"/>
  <c r="C2294" i="1"/>
  <c r="B2295" i="1"/>
  <c r="C2295" i="1"/>
  <c r="B2296" i="1"/>
  <c r="C2296" i="1"/>
  <c r="B2297" i="1"/>
  <c r="C2297" i="1"/>
  <c r="B2298" i="1"/>
  <c r="C2298" i="1"/>
  <c r="B2299" i="1"/>
  <c r="C2299" i="1"/>
  <c r="B2300" i="1"/>
  <c r="C2300" i="1"/>
  <c r="B2301" i="1"/>
  <c r="C2301" i="1"/>
  <c r="B2302" i="1"/>
  <c r="C2302" i="1"/>
  <c r="B2303" i="1"/>
  <c r="C2303" i="1"/>
  <c r="B2304" i="1"/>
  <c r="C2304" i="1"/>
  <c r="B2305" i="1"/>
  <c r="C2305" i="1"/>
  <c r="B2306" i="1"/>
  <c r="C2306" i="1"/>
  <c r="B2307" i="1"/>
  <c r="C2307" i="1"/>
  <c r="B2308" i="1"/>
  <c r="C2308" i="1"/>
  <c r="B2309" i="1"/>
  <c r="C2309" i="1"/>
  <c r="B2310" i="1"/>
  <c r="C2310" i="1"/>
  <c r="B2311" i="1"/>
  <c r="C2311" i="1"/>
  <c r="B2312" i="1"/>
  <c r="C2312" i="1"/>
  <c r="B2313" i="1"/>
  <c r="C2313" i="1"/>
  <c r="B2314" i="1"/>
  <c r="C2314" i="1"/>
  <c r="B2315" i="1"/>
  <c r="C2315" i="1"/>
  <c r="B2316" i="1"/>
  <c r="C2316" i="1"/>
  <c r="B2317" i="1"/>
  <c r="C2317" i="1"/>
  <c r="B2318" i="1"/>
  <c r="C2318" i="1"/>
  <c r="B2319" i="1"/>
  <c r="C2319" i="1"/>
  <c r="B2320" i="1"/>
  <c r="C2320" i="1"/>
  <c r="B2321" i="1"/>
  <c r="C2321" i="1"/>
  <c r="B2322" i="1"/>
  <c r="C2322" i="1"/>
  <c r="B2323" i="1"/>
  <c r="C2323" i="1"/>
  <c r="B2324" i="1"/>
  <c r="C2324" i="1"/>
  <c r="B2325" i="1"/>
  <c r="C2325" i="1"/>
  <c r="B2326" i="1"/>
  <c r="C2326" i="1"/>
  <c r="B2327" i="1"/>
  <c r="C2327" i="1"/>
  <c r="B2328" i="1"/>
  <c r="C2328" i="1"/>
  <c r="B2329" i="1"/>
  <c r="C2329" i="1"/>
  <c r="B2330" i="1"/>
  <c r="C2330" i="1"/>
  <c r="B2331" i="1"/>
  <c r="C2331" i="1"/>
  <c r="B2332" i="1"/>
  <c r="C2332" i="1"/>
  <c r="B2333" i="1"/>
  <c r="C2333" i="1"/>
  <c r="B2334" i="1"/>
  <c r="C2334" i="1"/>
  <c r="B2335" i="1"/>
  <c r="C2335" i="1"/>
  <c r="B2336" i="1"/>
  <c r="C2336" i="1"/>
  <c r="B2337" i="1"/>
  <c r="C2337" i="1"/>
  <c r="B2338" i="1"/>
  <c r="C2338" i="1"/>
  <c r="B2339" i="1"/>
  <c r="C2339" i="1"/>
  <c r="B2340" i="1"/>
  <c r="C2340" i="1"/>
  <c r="B2341" i="1"/>
  <c r="C2341" i="1"/>
  <c r="B2342" i="1"/>
  <c r="C2342" i="1"/>
  <c r="B2343" i="1"/>
  <c r="C2343" i="1"/>
  <c r="B2344" i="1"/>
  <c r="C2344" i="1"/>
  <c r="B2345" i="1"/>
  <c r="C2345" i="1"/>
  <c r="B2346" i="1"/>
  <c r="C2346" i="1"/>
  <c r="B2347" i="1"/>
  <c r="C2347" i="1"/>
  <c r="B2348" i="1"/>
  <c r="C2348" i="1"/>
  <c r="B2349" i="1"/>
  <c r="C2349" i="1"/>
  <c r="B2350" i="1"/>
  <c r="C2350" i="1"/>
  <c r="B2351" i="1"/>
  <c r="C2351" i="1"/>
  <c r="B2352" i="1"/>
  <c r="C2352" i="1"/>
  <c r="B2353" i="1"/>
  <c r="C2353" i="1"/>
  <c r="B2354" i="1"/>
  <c r="C2354" i="1"/>
  <c r="B2355" i="1"/>
  <c r="C2355" i="1"/>
  <c r="B2356" i="1"/>
  <c r="C2356" i="1"/>
  <c r="B2357" i="1"/>
  <c r="C2357" i="1"/>
  <c r="B2358" i="1"/>
  <c r="C2358" i="1"/>
  <c r="B2359" i="1"/>
  <c r="C2359" i="1"/>
  <c r="B2360" i="1"/>
  <c r="C2360" i="1"/>
  <c r="B2361" i="1"/>
  <c r="C2361" i="1"/>
  <c r="B2362" i="1"/>
  <c r="C2362" i="1"/>
  <c r="B2363" i="1"/>
  <c r="C2363" i="1"/>
  <c r="B2364" i="1"/>
  <c r="C2364" i="1"/>
  <c r="B2365" i="1"/>
  <c r="C2365" i="1"/>
  <c r="B2366" i="1"/>
  <c r="C2366" i="1"/>
  <c r="B2367" i="1"/>
  <c r="C2367" i="1"/>
  <c r="B2368" i="1"/>
  <c r="C2368" i="1"/>
  <c r="B2369" i="1"/>
  <c r="C2369" i="1"/>
  <c r="B2370" i="1"/>
  <c r="C2370" i="1"/>
  <c r="B2371" i="1"/>
  <c r="C2371" i="1"/>
  <c r="B2372" i="1"/>
  <c r="C2372" i="1"/>
  <c r="B2373" i="1"/>
  <c r="C2373" i="1"/>
  <c r="B2374" i="1"/>
  <c r="C2374" i="1"/>
  <c r="B2375" i="1"/>
  <c r="C2375" i="1"/>
  <c r="B2376" i="1"/>
  <c r="C2376" i="1"/>
  <c r="B2377" i="1"/>
  <c r="C2377" i="1"/>
  <c r="B2378" i="1"/>
  <c r="C2378" i="1"/>
  <c r="B2379" i="1"/>
  <c r="C2379" i="1"/>
  <c r="B2380" i="1"/>
  <c r="C2380" i="1"/>
  <c r="B2381" i="1"/>
  <c r="C2381" i="1"/>
  <c r="B2382" i="1"/>
  <c r="C2382" i="1"/>
  <c r="B2383" i="1"/>
  <c r="C2383" i="1"/>
  <c r="B2384" i="1"/>
  <c r="C2384" i="1"/>
  <c r="B2385" i="1"/>
  <c r="C2385" i="1"/>
  <c r="B2386" i="1"/>
  <c r="C2386" i="1"/>
  <c r="B2387" i="1"/>
  <c r="C2387" i="1"/>
  <c r="B2388" i="1"/>
  <c r="C2388" i="1"/>
  <c r="B2389" i="1"/>
  <c r="C2389" i="1"/>
  <c r="B2390" i="1"/>
  <c r="C2390" i="1"/>
  <c r="B2391" i="1"/>
  <c r="C2391" i="1"/>
  <c r="B2392" i="1"/>
  <c r="C2392" i="1"/>
  <c r="B2393" i="1"/>
  <c r="C2393" i="1"/>
  <c r="B2394" i="1"/>
  <c r="C2394" i="1"/>
  <c r="B2395" i="1"/>
  <c r="C2395" i="1"/>
  <c r="B2396" i="1"/>
  <c r="C2396" i="1"/>
  <c r="B2397" i="1"/>
  <c r="C2397" i="1"/>
  <c r="B2398" i="1"/>
  <c r="C2398" i="1"/>
  <c r="B2399" i="1"/>
  <c r="C2399" i="1"/>
  <c r="B2400" i="1"/>
  <c r="C2400" i="1"/>
  <c r="B2401" i="1"/>
  <c r="C2401" i="1"/>
  <c r="B2402" i="1"/>
  <c r="C2402" i="1"/>
  <c r="B2403" i="1"/>
  <c r="C2403" i="1"/>
  <c r="B2404" i="1"/>
  <c r="C2404" i="1"/>
  <c r="B2405" i="1"/>
  <c r="C2405" i="1"/>
  <c r="B2406" i="1"/>
  <c r="C2406" i="1"/>
  <c r="B2407" i="1"/>
  <c r="C2407" i="1"/>
  <c r="B2408" i="1"/>
  <c r="C2408" i="1"/>
  <c r="B2409" i="1"/>
  <c r="C2409" i="1"/>
  <c r="B2410" i="1"/>
  <c r="C2410" i="1"/>
  <c r="B2411" i="1"/>
  <c r="C2411" i="1"/>
  <c r="B2412" i="1"/>
  <c r="C2412" i="1"/>
  <c r="B2413" i="1"/>
  <c r="C2413" i="1"/>
  <c r="B2414" i="1"/>
  <c r="C2414" i="1"/>
  <c r="B2415" i="1"/>
  <c r="C2415" i="1"/>
  <c r="B2416" i="1"/>
  <c r="C2416" i="1"/>
  <c r="B2417" i="1"/>
  <c r="C2417" i="1"/>
  <c r="B2418" i="1"/>
  <c r="C2418" i="1"/>
  <c r="B2419" i="1"/>
  <c r="C2419" i="1"/>
  <c r="B2420" i="1"/>
  <c r="C2420" i="1"/>
  <c r="B2421" i="1"/>
  <c r="C2421" i="1"/>
  <c r="B2422" i="1"/>
  <c r="C2422" i="1"/>
  <c r="B2423" i="1"/>
  <c r="C2423" i="1"/>
  <c r="B2424" i="1"/>
  <c r="C2424" i="1"/>
  <c r="B2425" i="1"/>
  <c r="C2425" i="1"/>
  <c r="B2426" i="1"/>
  <c r="C2426" i="1"/>
  <c r="B2427" i="1"/>
  <c r="C2427" i="1"/>
  <c r="B2428" i="1"/>
  <c r="C2428" i="1"/>
  <c r="B2429" i="1"/>
  <c r="C2429" i="1"/>
  <c r="B2430" i="1"/>
  <c r="C2430" i="1"/>
  <c r="B2431" i="1"/>
  <c r="C2431" i="1"/>
  <c r="B2432" i="1"/>
  <c r="C2432" i="1"/>
  <c r="B2433" i="1"/>
  <c r="C2433" i="1"/>
  <c r="B2434" i="1"/>
  <c r="C2434" i="1"/>
  <c r="B2435" i="1"/>
  <c r="C2435" i="1"/>
  <c r="B2436" i="1"/>
  <c r="C2436" i="1"/>
  <c r="B2437" i="1"/>
  <c r="C2437" i="1"/>
  <c r="B2438" i="1"/>
  <c r="C2438" i="1"/>
  <c r="B2439" i="1"/>
  <c r="C2439" i="1"/>
  <c r="B2440" i="1"/>
  <c r="C2440" i="1"/>
  <c r="B2441" i="1"/>
  <c r="C2441" i="1"/>
  <c r="B2442" i="1"/>
  <c r="C2442" i="1"/>
  <c r="B2443" i="1"/>
  <c r="C2443" i="1"/>
  <c r="B2444" i="1"/>
  <c r="C2444" i="1"/>
  <c r="B2445" i="1"/>
  <c r="C2445" i="1"/>
  <c r="B2446" i="1"/>
  <c r="C2446" i="1"/>
  <c r="B2447" i="1"/>
  <c r="C2447" i="1"/>
  <c r="B2448" i="1"/>
  <c r="C2448" i="1"/>
  <c r="B2449" i="1"/>
  <c r="C2449" i="1"/>
  <c r="B2450" i="1"/>
  <c r="C2450" i="1"/>
  <c r="B2451" i="1"/>
  <c r="C2451" i="1"/>
  <c r="B2452" i="1"/>
  <c r="C2452" i="1"/>
  <c r="B2453" i="1"/>
  <c r="C2453" i="1"/>
  <c r="B2454" i="1"/>
  <c r="C2454" i="1"/>
  <c r="B2455" i="1"/>
  <c r="C2455" i="1"/>
  <c r="B2456" i="1"/>
  <c r="C2456" i="1"/>
  <c r="B2457" i="1"/>
  <c r="C2457" i="1"/>
  <c r="B2458" i="1"/>
  <c r="C2458" i="1"/>
  <c r="B2459" i="1"/>
  <c r="C2459" i="1"/>
  <c r="B2460" i="1"/>
  <c r="C2460" i="1"/>
  <c r="B2461" i="1"/>
  <c r="C2461" i="1"/>
  <c r="B2462" i="1"/>
  <c r="C2462" i="1"/>
  <c r="B2463" i="1"/>
  <c r="C2463" i="1"/>
  <c r="B2464" i="1"/>
  <c r="C2464" i="1"/>
  <c r="B2465" i="1"/>
  <c r="C2465" i="1"/>
  <c r="B2466" i="1"/>
  <c r="C2466" i="1"/>
  <c r="B2467" i="1"/>
  <c r="C2467" i="1"/>
  <c r="B2468" i="1"/>
  <c r="C2468" i="1"/>
  <c r="B2469" i="1"/>
  <c r="C2469" i="1"/>
  <c r="B2470" i="1"/>
  <c r="C2470" i="1"/>
  <c r="B2471" i="1"/>
  <c r="C2471" i="1"/>
  <c r="B2472" i="1"/>
  <c r="C2472" i="1"/>
  <c r="B2473" i="1"/>
  <c r="C2473" i="1"/>
  <c r="B2474" i="1"/>
  <c r="C2474" i="1"/>
  <c r="B2475" i="1"/>
  <c r="C2475" i="1"/>
  <c r="B2476" i="1"/>
  <c r="C2476" i="1"/>
  <c r="B2477" i="1"/>
  <c r="C2477" i="1"/>
  <c r="B2478" i="1"/>
  <c r="C2478" i="1"/>
  <c r="B2479" i="1"/>
  <c r="C2479" i="1"/>
  <c r="B2480" i="1"/>
  <c r="C2480" i="1"/>
  <c r="B2481" i="1"/>
  <c r="C2481" i="1"/>
  <c r="B2482" i="1"/>
  <c r="C2482" i="1"/>
  <c r="B2483" i="1"/>
  <c r="C2483" i="1"/>
  <c r="B2484" i="1"/>
  <c r="C2484" i="1"/>
  <c r="B2485" i="1"/>
  <c r="C2485" i="1"/>
  <c r="B2486" i="1"/>
  <c r="C2486" i="1"/>
  <c r="B2487" i="1"/>
  <c r="C2487" i="1"/>
  <c r="B2488" i="1"/>
  <c r="C2488" i="1"/>
  <c r="B2489" i="1"/>
  <c r="C2489" i="1"/>
  <c r="B2490" i="1"/>
  <c r="C2490" i="1"/>
  <c r="B2491" i="1"/>
  <c r="C2491" i="1"/>
  <c r="B2492" i="1"/>
  <c r="C2492" i="1"/>
  <c r="B2493" i="1"/>
  <c r="C2493" i="1"/>
  <c r="B2494" i="1"/>
  <c r="C2494" i="1"/>
  <c r="B2495" i="1"/>
  <c r="C2495" i="1"/>
  <c r="B2496" i="1"/>
  <c r="C2496" i="1"/>
  <c r="B2497" i="1"/>
  <c r="C2497" i="1"/>
  <c r="B2498" i="1"/>
  <c r="C2498" i="1"/>
  <c r="B2499" i="1"/>
  <c r="C2499" i="1"/>
  <c r="B2500" i="1"/>
  <c r="C2500" i="1"/>
  <c r="B2501" i="1"/>
  <c r="C2501" i="1"/>
  <c r="B2502" i="1"/>
  <c r="C2502" i="1"/>
  <c r="B2503" i="1"/>
  <c r="C2503" i="1"/>
  <c r="B2504" i="1"/>
  <c r="C2504" i="1"/>
  <c r="B2505" i="1"/>
  <c r="C2505" i="1"/>
  <c r="B2506" i="1"/>
  <c r="C2506" i="1"/>
  <c r="B2507" i="1"/>
  <c r="C2507" i="1"/>
  <c r="B2508" i="1"/>
  <c r="C2508" i="1"/>
  <c r="B2509" i="1"/>
  <c r="C2509" i="1"/>
  <c r="B2510" i="1"/>
  <c r="C2510" i="1"/>
  <c r="B2511" i="1"/>
  <c r="C2511" i="1"/>
  <c r="B2512" i="1"/>
  <c r="C2512" i="1"/>
  <c r="B2513" i="1"/>
  <c r="C2513" i="1"/>
  <c r="B2514" i="1"/>
  <c r="C2514" i="1"/>
  <c r="B2515" i="1"/>
  <c r="C2515" i="1"/>
  <c r="B2516" i="1"/>
  <c r="C2516" i="1"/>
  <c r="B2517" i="1"/>
  <c r="C2517" i="1"/>
  <c r="B2518" i="1"/>
  <c r="C2518" i="1"/>
  <c r="B2519" i="1"/>
  <c r="C2519" i="1"/>
  <c r="B2520" i="1"/>
  <c r="C2520" i="1"/>
  <c r="B2521" i="1"/>
  <c r="C2521" i="1"/>
  <c r="B2522" i="1"/>
  <c r="C2522" i="1"/>
  <c r="B2523" i="1"/>
  <c r="C2523" i="1"/>
  <c r="B2524" i="1"/>
  <c r="C2524" i="1"/>
  <c r="B2525" i="1"/>
  <c r="C2525" i="1"/>
  <c r="B2526" i="1"/>
  <c r="C2526" i="1"/>
  <c r="B2527" i="1"/>
  <c r="C2527" i="1"/>
  <c r="B2528" i="1"/>
  <c r="C2528" i="1"/>
  <c r="B2529" i="1"/>
  <c r="C2529" i="1"/>
  <c r="B2530" i="1"/>
  <c r="C2530" i="1"/>
  <c r="B2531" i="1"/>
  <c r="C2531" i="1"/>
  <c r="B2532" i="1"/>
  <c r="C2532" i="1"/>
  <c r="B2533" i="1"/>
  <c r="C2533" i="1"/>
  <c r="B2534" i="1"/>
  <c r="C2534" i="1"/>
  <c r="B2535" i="1"/>
  <c r="C2535" i="1"/>
  <c r="B2536" i="1"/>
  <c r="C2536" i="1"/>
  <c r="B2537" i="1"/>
  <c r="C2537" i="1"/>
  <c r="B2538" i="1"/>
  <c r="C2538" i="1"/>
  <c r="B2539" i="1"/>
  <c r="C2539" i="1"/>
  <c r="B2540" i="1"/>
  <c r="C2540" i="1"/>
  <c r="B2541" i="1"/>
  <c r="C2541" i="1"/>
  <c r="B2542" i="1"/>
  <c r="C2542" i="1"/>
  <c r="B2543" i="1"/>
  <c r="C2543" i="1"/>
  <c r="B2544" i="1"/>
  <c r="C2544" i="1"/>
  <c r="B2545" i="1"/>
  <c r="C2545" i="1"/>
  <c r="B2546" i="1"/>
  <c r="C2546" i="1"/>
  <c r="B2547" i="1"/>
  <c r="C2547" i="1"/>
  <c r="B2548" i="1"/>
  <c r="C2548" i="1"/>
  <c r="B2549" i="1"/>
  <c r="C2549" i="1"/>
  <c r="B2550" i="1"/>
  <c r="C2550" i="1"/>
  <c r="B2551" i="1"/>
  <c r="C2551" i="1"/>
  <c r="B2552" i="1"/>
  <c r="C2552" i="1"/>
  <c r="B2553" i="1"/>
  <c r="C2553" i="1"/>
  <c r="B2554" i="1"/>
  <c r="C2554" i="1"/>
  <c r="B2555" i="1"/>
  <c r="C2555" i="1"/>
  <c r="B2556" i="1"/>
  <c r="C2556" i="1"/>
  <c r="B2557" i="1"/>
  <c r="C2557" i="1"/>
  <c r="B2558" i="1"/>
  <c r="C2558" i="1"/>
  <c r="B2559" i="1"/>
  <c r="C2559" i="1"/>
  <c r="B2560" i="1"/>
  <c r="C2560" i="1"/>
  <c r="B2561" i="1"/>
  <c r="C2561" i="1"/>
  <c r="B2562" i="1"/>
  <c r="C2562" i="1"/>
  <c r="B2563" i="1"/>
  <c r="C2563" i="1"/>
  <c r="B2564" i="1"/>
  <c r="C2564" i="1"/>
  <c r="B2565" i="1"/>
  <c r="C2565" i="1"/>
  <c r="B2566" i="1"/>
  <c r="C2566" i="1"/>
  <c r="B2567" i="1"/>
  <c r="C2567" i="1"/>
  <c r="B2568" i="1"/>
  <c r="C2568" i="1"/>
  <c r="B2569" i="1"/>
  <c r="C2569" i="1"/>
  <c r="B2570" i="1"/>
  <c r="C2570" i="1"/>
  <c r="B2571" i="1"/>
  <c r="C2571" i="1"/>
  <c r="B2572" i="1"/>
  <c r="C2572" i="1"/>
  <c r="B2573" i="1"/>
  <c r="C2573" i="1"/>
  <c r="B2574" i="1"/>
  <c r="C2574" i="1"/>
  <c r="B2575" i="1"/>
  <c r="C2575" i="1"/>
  <c r="B2576" i="1"/>
  <c r="C2576" i="1"/>
  <c r="B2577" i="1"/>
  <c r="C2577" i="1"/>
  <c r="B2578" i="1"/>
  <c r="C2578" i="1"/>
  <c r="B2579" i="1"/>
  <c r="C2579" i="1"/>
  <c r="B2580" i="1"/>
  <c r="C2580" i="1"/>
  <c r="B2581" i="1"/>
  <c r="C2581" i="1"/>
  <c r="B2582" i="1"/>
  <c r="C2582" i="1"/>
  <c r="B2583" i="1"/>
  <c r="C2583" i="1"/>
  <c r="B2584" i="1"/>
  <c r="C2584" i="1"/>
  <c r="B2585" i="1"/>
  <c r="C2585" i="1"/>
  <c r="B2586" i="1"/>
  <c r="C2586" i="1"/>
  <c r="B2587" i="1"/>
  <c r="C2587" i="1"/>
  <c r="B2588" i="1"/>
  <c r="C2588" i="1"/>
  <c r="B2589" i="1"/>
  <c r="C2589" i="1"/>
  <c r="B2590" i="1"/>
  <c r="C2590" i="1"/>
  <c r="B2591" i="1"/>
  <c r="C2591" i="1"/>
  <c r="B2592" i="1"/>
  <c r="C2592" i="1"/>
  <c r="B2593" i="1"/>
  <c r="C2593" i="1"/>
  <c r="B2594" i="1"/>
  <c r="C2594" i="1"/>
  <c r="B2595" i="1"/>
  <c r="C2595" i="1"/>
  <c r="B2596" i="1"/>
  <c r="C2596" i="1"/>
  <c r="B2597" i="1"/>
  <c r="C2597" i="1"/>
  <c r="B2598" i="1"/>
  <c r="C2598" i="1"/>
  <c r="B2599" i="1"/>
  <c r="C2599" i="1"/>
  <c r="B2600" i="1"/>
  <c r="C2600" i="1"/>
  <c r="B2601" i="1"/>
  <c r="C2601" i="1"/>
  <c r="B2602" i="1"/>
  <c r="C2602" i="1"/>
  <c r="B2603" i="1"/>
  <c r="C2603" i="1"/>
  <c r="B2604" i="1"/>
  <c r="C2604" i="1"/>
  <c r="B2605" i="1"/>
  <c r="C2605" i="1"/>
  <c r="B2606" i="1"/>
  <c r="C2606" i="1"/>
  <c r="B2607" i="1"/>
  <c r="C2607" i="1"/>
  <c r="B2608" i="1"/>
  <c r="C2608" i="1"/>
  <c r="B2609" i="1"/>
  <c r="C2609" i="1"/>
  <c r="B2610" i="1"/>
  <c r="C2610" i="1"/>
  <c r="B2611" i="1"/>
  <c r="C2611" i="1"/>
  <c r="B2612" i="1"/>
  <c r="C2612" i="1"/>
  <c r="B2613" i="1"/>
  <c r="C2613" i="1"/>
  <c r="B2614" i="1"/>
  <c r="C2614" i="1"/>
  <c r="B2615" i="1"/>
  <c r="C2615" i="1"/>
  <c r="B2616" i="1"/>
  <c r="C2616" i="1"/>
  <c r="B2617" i="1"/>
  <c r="C2617" i="1"/>
  <c r="B2618" i="1"/>
  <c r="C2618" i="1"/>
  <c r="B2619" i="1"/>
  <c r="C2619" i="1"/>
  <c r="B2620" i="1"/>
  <c r="C2620" i="1"/>
  <c r="B2621" i="1"/>
  <c r="C2621" i="1"/>
  <c r="B2622" i="1"/>
  <c r="C2622" i="1"/>
  <c r="B2623" i="1"/>
  <c r="C2623" i="1"/>
  <c r="B2624" i="1"/>
  <c r="C2624" i="1"/>
  <c r="B2625" i="1"/>
  <c r="C2625" i="1"/>
  <c r="B2626" i="1"/>
  <c r="C2626" i="1"/>
  <c r="B2627" i="1"/>
  <c r="C2627" i="1"/>
  <c r="B2628" i="1"/>
  <c r="C2628" i="1"/>
  <c r="B2629" i="1"/>
  <c r="C2629" i="1"/>
  <c r="B2630" i="1"/>
  <c r="C2630" i="1"/>
  <c r="B2631" i="1"/>
  <c r="C2631" i="1"/>
  <c r="B2632" i="1"/>
  <c r="C2632" i="1"/>
  <c r="B2633" i="1"/>
  <c r="C2633" i="1"/>
  <c r="B2634" i="1"/>
  <c r="C2634" i="1"/>
  <c r="B2635" i="1"/>
  <c r="C2635" i="1"/>
  <c r="B2636" i="1"/>
  <c r="C2636" i="1"/>
  <c r="B2637" i="1"/>
  <c r="C2637" i="1"/>
  <c r="B2638" i="1"/>
  <c r="C2638" i="1"/>
  <c r="B2639" i="1"/>
  <c r="C2639" i="1"/>
  <c r="B2640" i="1"/>
  <c r="C2640" i="1"/>
  <c r="B2641" i="1"/>
  <c r="C2641" i="1"/>
  <c r="B2642" i="1"/>
  <c r="C2642" i="1"/>
  <c r="B2643" i="1"/>
  <c r="C2643" i="1"/>
  <c r="B2644" i="1"/>
  <c r="C2644" i="1"/>
  <c r="B2645" i="1"/>
  <c r="C2645" i="1"/>
  <c r="B2646" i="1"/>
  <c r="C2646" i="1"/>
  <c r="B2647" i="1"/>
  <c r="C2647" i="1"/>
  <c r="B2648" i="1"/>
  <c r="C2648" i="1"/>
  <c r="B2649" i="1"/>
  <c r="C2649" i="1"/>
  <c r="B2650" i="1"/>
  <c r="C2650" i="1"/>
  <c r="B2651" i="1"/>
  <c r="C2651" i="1"/>
  <c r="B2652" i="1"/>
  <c r="C2652" i="1"/>
  <c r="B2653" i="1"/>
  <c r="C2653" i="1"/>
  <c r="B2654" i="1"/>
  <c r="C2654" i="1"/>
  <c r="B2655" i="1"/>
  <c r="C2655" i="1"/>
  <c r="B2656" i="1"/>
  <c r="C2656" i="1"/>
  <c r="B2657" i="1"/>
  <c r="C2657" i="1"/>
  <c r="B2658" i="1"/>
  <c r="C2658" i="1"/>
  <c r="B2659" i="1"/>
  <c r="C2659" i="1"/>
  <c r="B2660" i="1"/>
  <c r="C2660" i="1"/>
  <c r="B2661" i="1"/>
  <c r="C2661" i="1"/>
  <c r="B2662" i="1"/>
  <c r="C2662" i="1"/>
  <c r="B2663" i="1"/>
  <c r="C2663" i="1"/>
  <c r="B2664" i="1"/>
  <c r="C2664" i="1"/>
  <c r="B2665" i="1"/>
  <c r="C2665" i="1"/>
  <c r="B2666" i="1"/>
  <c r="C2666" i="1"/>
  <c r="B2667" i="1"/>
  <c r="C2667" i="1"/>
  <c r="B2668" i="1"/>
  <c r="C2668" i="1"/>
  <c r="B2669" i="1"/>
  <c r="C2669" i="1"/>
  <c r="B2670" i="1"/>
  <c r="C2670" i="1"/>
  <c r="B2671" i="1"/>
  <c r="C2671" i="1"/>
  <c r="B2672" i="1"/>
  <c r="C2672" i="1"/>
  <c r="B2673" i="1"/>
  <c r="C2673" i="1"/>
  <c r="B2674" i="1"/>
  <c r="C2674" i="1"/>
  <c r="B2675" i="1"/>
  <c r="C2675" i="1"/>
  <c r="B2676" i="1"/>
  <c r="C2676" i="1"/>
  <c r="B2677" i="1"/>
  <c r="C2677" i="1"/>
  <c r="B2678" i="1"/>
  <c r="C2678" i="1"/>
  <c r="B2679" i="1"/>
  <c r="C2679" i="1"/>
  <c r="B2680" i="1"/>
  <c r="C2680" i="1"/>
  <c r="B2681" i="1"/>
  <c r="C2681" i="1"/>
  <c r="B2682" i="1"/>
  <c r="C2682" i="1"/>
  <c r="B2683" i="1"/>
  <c r="C2683" i="1"/>
  <c r="B2684" i="1"/>
  <c r="C2684" i="1"/>
  <c r="B2685" i="1"/>
  <c r="C2685" i="1"/>
  <c r="B2686" i="1"/>
  <c r="C2686" i="1"/>
  <c r="B2687" i="1"/>
  <c r="C2687" i="1"/>
  <c r="B2688" i="1"/>
  <c r="C2688" i="1"/>
  <c r="B2689" i="1"/>
  <c r="C2689" i="1"/>
  <c r="B2690" i="1"/>
  <c r="C2690" i="1"/>
  <c r="B2691" i="1"/>
  <c r="C2691" i="1"/>
  <c r="B2692" i="1"/>
  <c r="C2692" i="1"/>
  <c r="B2693" i="1"/>
  <c r="C2693" i="1"/>
  <c r="B2694" i="1"/>
  <c r="C2694" i="1"/>
  <c r="B2695" i="1"/>
  <c r="C2695" i="1"/>
  <c r="B2696" i="1"/>
  <c r="C2696" i="1"/>
  <c r="B2697" i="1"/>
  <c r="C2697" i="1"/>
  <c r="B2698" i="1"/>
  <c r="C2698" i="1"/>
  <c r="B2699" i="1"/>
  <c r="C2699" i="1"/>
  <c r="B2700" i="1"/>
  <c r="C2700" i="1"/>
  <c r="B2701" i="1"/>
  <c r="C2701" i="1"/>
  <c r="B2702" i="1"/>
  <c r="C2702" i="1"/>
  <c r="B2703" i="1"/>
  <c r="C2703" i="1"/>
  <c r="B2704" i="1"/>
  <c r="C2704" i="1"/>
  <c r="B2705" i="1"/>
  <c r="C2705" i="1"/>
  <c r="B2706" i="1"/>
  <c r="C2706" i="1"/>
  <c r="B2707" i="1"/>
  <c r="C2707" i="1"/>
  <c r="C2" i="1"/>
  <c r="B2" i="1"/>
</calcChain>
</file>

<file path=xl/sharedStrings.xml><?xml version="1.0" encoding="utf-8"?>
<sst xmlns="http://schemas.openxmlformats.org/spreadsheetml/2006/main" count="13753" uniqueCount="594">
  <si>
    <t>Date</t>
  </si>
  <si>
    <t>Inv.No</t>
  </si>
  <si>
    <t>Customer</t>
  </si>
  <si>
    <t>Product</t>
  </si>
  <si>
    <t>Alt Qty</t>
  </si>
  <si>
    <t>Qty</t>
  </si>
  <si>
    <t>Rate</t>
  </si>
  <si>
    <t>Basic Amount</t>
  </si>
  <si>
    <t>Discount</t>
  </si>
  <si>
    <t>Cash Discount</t>
  </si>
  <si>
    <t>VAT</t>
  </si>
  <si>
    <t>Total Amount</t>
  </si>
  <si>
    <t>SHUBHASHREE MARKETING</t>
  </si>
  <si>
    <t>ARUNIMA TRADERS</t>
  </si>
  <si>
    <t>B G TRADING CONCERN</t>
  </si>
  <si>
    <t>BEERA BARJEE INTERNATIONAL PVT.LTD</t>
  </si>
  <si>
    <t>RAJU KIRANA PASAL</t>
  </si>
  <si>
    <t>NAWA ATITHI STORES</t>
  </si>
  <si>
    <t>MALIKA DISTRIBUTORS NEPAL PVT LTD.</t>
  </si>
  <si>
    <t>CHHATRA DEV GENERAL SUPPLIERS</t>
  </si>
  <si>
    <t>NEW AAKRITI SUPPLIERS</t>
  </si>
  <si>
    <t>SHREE EXIM</t>
  </si>
  <si>
    <t>ABIRAL SUPPLIERS AND TRADERS</t>
  </si>
  <si>
    <t>AASHI TRADERS</t>
  </si>
  <si>
    <t>KATYANI DARSHAN PVT. LTD.</t>
  </si>
  <si>
    <t>MEGA MART PVT.LTD</t>
  </si>
  <si>
    <t>Row Labels</t>
  </si>
  <si>
    <t>Grand Total</t>
  </si>
  <si>
    <t>Sum of Alt Qty</t>
  </si>
  <si>
    <t>Column Labels</t>
  </si>
  <si>
    <t>FY</t>
  </si>
  <si>
    <t>2025-26</t>
  </si>
  <si>
    <t>Month</t>
  </si>
  <si>
    <t>2025-26 Total</t>
  </si>
  <si>
    <t>Aug-2025</t>
  </si>
  <si>
    <t>Jul-2025</t>
  </si>
  <si>
    <t>Jun-2025</t>
  </si>
  <si>
    <t>Nov-2025</t>
  </si>
  <si>
    <t>Oct-2025</t>
  </si>
  <si>
    <t>Sep-2025</t>
  </si>
  <si>
    <t>Sum of Total Amount</t>
  </si>
  <si>
    <t>QTR</t>
  </si>
  <si>
    <t>(Multiple Items)</t>
  </si>
  <si>
    <t>Dec-2025</t>
  </si>
  <si>
    <t>Jan-2026</t>
  </si>
  <si>
    <t>KEPL/02899/81-82</t>
  </si>
  <si>
    <t>SHREE BHOLEY SHANKAR KIRANA STORE</t>
  </si>
  <si>
    <t>NILONS CHILLI PICKLE 350GM*40</t>
  </si>
  <si>
    <t>KEPL/02900/81-82</t>
  </si>
  <si>
    <t>NILONS MANGO PICKLE 350GM*40</t>
  </si>
  <si>
    <t>KEPL/02905/81-82</t>
  </si>
  <si>
    <t>NEW YASHISH TRADERS</t>
  </si>
  <si>
    <t>NILONS PAPAYA  FRUIT  GREEN 800 GM*18</t>
  </si>
  <si>
    <t>KEPL/03021/81-82</t>
  </si>
  <si>
    <t>MITHASH TRADE CONCERN PVT LTD</t>
  </si>
  <si>
    <t>NILONS MIX FRUIT JAM-500GM*20</t>
  </si>
  <si>
    <t>NILONS MANGO PICKLE 500GM*20</t>
  </si>
  <si>
    <t>NILONS ASSORTED MIX PICKLES 50 GM*6*30</t>
  </si>
  <si>
    <t>NILONS MIX PICKLE 350GM*40</t>
  </si>
  <si>
    <t>NILONS PASTA ELBOW-350GM*42</t>
  </si>
  <si>
    <t>NILONS  PASTA PENNE-350GM*42</t>
  </si>
  <si>
    <t>NILONS MIX PICKLE 500GM*20</t>
  </si>
  <si>
    <t>NILONS PASTA FUSILLI-350GM*42</t>
  </si>
  <si>
    <t>NILONS MANGO PICKLE 400GM*20</t>
  </si>
  <si>
    <t>KEPL/03022/81-82</t>
  </si>
  <si>
    <t>NILONS CUT SEWAI 130GM*130</t>
  </si>
  <si>
    <t>NILONS SCHEZWAN CHUTNEY 250GM*24</t>
  </si>
  <si>
    <t>NILONS SOYA SAUCE-700GM*24</t>
  </si>
  <si>
    <t>NILONS CHILLI PICKLE 500GM*20</t>
  </si>
  <si>
    <t>NILONS LIME PICKLE 400GM*20</t>
  </si>
  <si>
    <t>NILONS CHILLI PICKLE 400GM*20</t>
  </si>
  <si>
    <t>NILONS MANGO PICKLE 900*15</t>
  </si>
  <si>
    <t>NILONS SOYA SAUCE 180GM*40</t>
  </si>
  <si>
    <t>NILONS TOMATO KETCHUP 8GM*100*16</t>
  </si>
  <si>
    <t>KEPL/03028/81-82</t>
  </si>
  <si>
    <t>KEPL/03036/81-82</t>
  </si>
  <si>
    <t>NILONS SCHEZWAN FRIED RICE MASALA 20GM*240</t>
  </si>
  <si>
    <t>NILONS PIZZA PASTA SAUCE 250GM*24</t>
  </si>
  <si>
    <t>NILONS PASTA MASALA 8GM*600</t>
  </si>
  <si>
    <t>KEPL/00004/82-83</t>
  </si>
  <si>
    <t>NILLONS L&amp;D</t>
  </si>
  <si>
    <t>KEPL/00029/82-83</t>
  </si>
  <si>
    <t>KEPL/00045/82-83</t>
  </si>
  <si>
    <t>KEPL/00179/82-83</t>
  </si>
  <si>
    <t>NILONS PAPAYA FRUIT PRESERVED-RED 800GM*18</t>
  </si>
  <si>
    <t>NILONS PAPAYA FRUIT PRESERVED-YELLOW 800GM*18</t>
  </si>
  <si>
    <t>NILONS PAPAYA FRUIT PRESERVED-MIXED 800GM*18</t>
  </si>
  <si>
    <t>KEPL/00180/82-83</t>
  </si>
  <si>
    <t>AAFNAI PASAL PVT.LTD</t>
  </si>
  <si>
    <t>NILONS ROASTED SEWAI 100GM*70</t>
  </si>
  <si>
    <t>NILONS STANDARD MIXED PICKLE 400GM*20</t>
  </si>
  <si>
    <t>NILONS STANDARD MANGO PICKLE 400GM*20</t>
  </si>
  <si>
    <t>NILONS STANDARD GARLIC PICKLE 400GM*20</t>
  </si>
  <si>
    <t>KEPL/00181/82-83</t>
  </si>
  <si>
    <t>NILONS DOSA MIX 200G*60</t>
  </si>
  <si>
    <t>NILONS IDLI MIX 200GM*60</t>
  </si>
  <si>
    <t>NILONS GINGER GARLIC PASTE 180GM*40</t>
  </si>
  <si>
    <t>NILONS GINGER PASTE 180GM*40</t>
  </si>
  <si>
    <t>NILONS GULAB JAMUN MIX 175GM*60</t>
  </si>
  <si>
    <t>NILONS CHINESE RED CHILLI SAUCE 180GM*40</t>
  </si>
  <si>
    <t>NILONS CHINESE GREEN CHILLI SAUCE 180GM*40</t>
  </si>
  <si>
    <t>NILONS CHINESE SOYA SAUCE 700GM*24</t>
  </si>
  <si>
    <t>NILONS GODKERI PICKLE 475GM*20</t>
  </si>
  <si>
    <t>NILONS CHOWMEIN MASALA 10GM*600</t>
  </si>
  <si>
    <t>NILONS GARLIC PASTE 180GM*40</t>
  </si>
  <si>
    <t>NILONS GULABJAMUN MIX 500GM*30</t>
  </si>
  <si>
    <t>NILONS KHAMAN DHOKLA MIX 200G*60</t>
  </si>
  <si>
    <t>KEPL/00182/82-83</t>
  </si>
  <si>
    <t>NILONS RED CHILLI SAUCE 660GM*24</t>
  </si>
  <si>
    <t>NILONS KHANA KHAZANA MANGO PICKLE 900GM*15</t>
  </si>
  <si>
    <t>NILONS KHANA KHAZANA MIX PICKLE 500GM*20</t>
  </si>
  <si>
    <t>NILONS KHANA KHAZANA MIX PICKLE 350GM*40</t>
  </si>
  <si>
    <t>NILONS STANDARD LIME PICKLE 400GM*20</t>
  </si>
  <si>
    <t>NILONS KHANA KHAZANA MIX PICKLE 900GM*15</t>
  </si>
  <si>
    <t>NILONS MANCHURIAN MASALA 20GM*240</t>
  </si>
  <si>
    <t>NILONS SOYA CHUNKS 160GM*50</t>
  </si>
  <si>
    <t>KEPL/00183/82-83</t>
  </si>
  <si>
    <t>NILONS CLASSIC MIX PICKLE 5KG*4</t>
  </si>
  <si>
    <t>KEPL/00184/82-83</t>
  </si>
  <si>
    <t>NEW CHANDESHWARI SUPPLIERS</t>
  </si>
  <si>
    <t>NILONS CHINESE SOYA SAUCE 180GM*40</t>
  </si>
  <si>
    <t>KEPL/00185/82-83</t>
  </si>
  <si>
    <t>KEPL/00186/82-83</t>
  </si>
  <si>
    <t>NILONS KHANA KHAZANA CHILLI PICKLE 500GM*20</t>
  </si>
  <si>
    <t>NILONS KHANA KHAZANA MANGO PICKLE 500GM*20</t>
  </si>
  <si>
    <t>NILONS GINGER GARLIC PASTE 25GM*800</t>
  </si>
  <si>
    <t>KEPL/00187/82-83</t>
  </si>
  <si>
    <t>KEPL/00188/82-83</t>
  </si>
  <si>
    <t>KEPL/00189/82-83</t>
  </si>
  <si>
    <t>KEPL/00190/82-83</t>
  </si>
  <si>
    <t>KRISHMA ENTERPRISES</t>
  </si>
  <si>
    <t>KEPL/00191/82-83</t>
  </si>
  <si>
    <t>KEPL/00192/82-83</t>
  </si>
  <si>
    <t>KEPL/00193/82-83</t>
  </si>
  <si>
    <t>KEPL/00194/82-83</t>
  </si>
  <si>
    <t>KEPL/00195/82-83</t>
  </si>
  <si>
    <t>NILONS KHANA KHAZANA MANGO PICKLE 350GM*40</t>
  </si>
  <si>
    <t>KEPL/00196/82-83</t>
  </si>
  <si>
    <t>NILONS KHANA KHAZANA CHILLI PICKLE 350GM*40</t>
  </si>
  <si>
    <t>KEPL/00197/82-83</t>
  </si>
  <si>
    <t>NILONS STANDARD CHILLI PICKLE 400GM*20</t>
  </si>
  <si>
    <t>KEPL/00198/82-83</t>
  </si>
  <si>
    <t>R.P DISTRIBUTOR TRADE CENTER</t>
  </si>
  <si>
    <t>KEPL/00199/82-83</t>
  </si>
  <si>
    <t>KEPL/00200/82-83</t>
  </si>
  <si>
    <t>KEPL/00233/82-83</t>
  </si>
  <si>
    <t>KEPL/00238/82-83</t>
  </si>
  <si>
    <t>S GAUTAM STORE</t>
  </si>
  <si>
    <t>KEPL/00239/82-83</t>
  </si>
  <si>
    <t>KEPL/00240/82-83</t>
  </si>
  <si>
    <t>KEPL/00241/82-83</t>
  </si>
  <si>
    <t>KEPL/00244/82-83</t>
  </si>
  <si>
    <t>KEPL/00245/82-83</t>
  </si>
  <si>
    <t>KEPL/00246/82-83</t>
  </si>
  <si>
    <t>KEPL/00250/82-83</t>
  </si>
  <si>
    <t>KEPL/00258/82-83</t>
  </si>
  <si>
    <t>KEPL/00259/82-83</t>
  </si>
  <si>
    <t>KEPL/00260/82-83</t>
  </si>
  <si>
    <t>KEPL/00261/82-83</t>
  </si>
  <si>
    <t>ISHWORI SUPPLIERS</t>
  </si>
  <si>
    <t>KEPL/00269/82-83</t>
  </si>
  <si>
    <t>KEPL/00270/82-83</t>
  </si>
  <si>
    <t>KEPL/00274/82-83</t>
  </si>
  <si>
    <t>KEPL/00294/82-83</t>
  </si>
  <si>
    <t>KEPL/00295/82-83</t>
  </si>
  <si>
    <t>KEPL/00302/82-83</t>
  </si>
  <si>
    <t>KEPL/00303/82-83</t>
  </si>
  <si>
    <t>KEPL/00307/82-83</t>
  </si>
  <si>
    <t>KESR/0004/82-83</t>
  </si>
  <si>
    <t>KEPL/00316/82-83</t>
  </si>
  <si>
    <t>KEPL/00317/82-83</t>
  </si>
  <si>
    <t>NEW MATA RANI SUPPLIERS</t>
  </si>
  <si>
    <t>KEPL/00318/82-83</t>
  </si>
  <si>
    <t>KEPL/00323/82-83</t>
  </si>
  <si>
    <t>KEPL/00324/82-83</t>
  </si>
  <si>
    <t>KEPL/00325/82-83</t>
  </si>
  <si>
    <t>KEPL/00326/82-83</t>
  </si>
  <si>
    <t>KEPL/00346/82-83</t>
  </si>
  <si>
    <t>KEPL/00351/82-83</t>
  </si>
  <si>
    <t>SAKSHAM ENTERPRISES</t>
  </si>
  <si>
    <t>NILONS TOMATO KETCHUP 8GM*100*10</t>
  </si>
  <si>
    <t>KEPL/00352/82-83</t>
  </si>
  <si>
    <t>SAFAL MART PVT.LTD</t>
  </si>
  <si>
    <t>KEPL/00353/82-83</t>
  </si>
  <si>
    <t>KEPL/00354/82-83</t>
  </si>
  <si>
    <t>KEPL/00355/82-83</t>
  </si>
  <si>
    <t>KEPL/00356/82-83</t>
  </si>
  <si>
    <t xml:space="preserve">GORIN TRADING </t>
  </si>
  <si>
    <t>KEPL/00357/82-83</t>
  </si>
  <si>
    <t>KEPL/00358/82-83</t>
  </si>
  <si>
    <t>KEPL/00359/82-83</t>
  </si>
  <si>
    <t>KEPL/00360/82-83</t>
  </si>
  <si>
    <t>KEPL/00371/82-83</t>
  </si>
  <si>
    <t>KEPL/00372/82-83</t>
  </si>
  <si>
    <t>KEPL/00373/82-83</t>
  </si>
  <si>
    <t>KEPL/00375/82-83</t>
  </si>
  <si>
    <t>KEPL/00376/82-83</t>
  </si>
  <si>
    <t>KEPL/00377/82-83</t>
  </si>
  <si>
    <t>KEPL/00397/82-83</t>
  </si>
  <si>
    <t>KEPL/00405/82-83</t>
  </si>
  <si>
    <t>KEPL/00406/82-83</t>
  </si>
  <si>
    <t>KEPL/00408/82-83</t>
  </si>
  <si>
    <t>KEPL/00433/82-83</t>
  </si>
  <si>
    <t>KEPL/00434/82-83</t>
  </si>
  <si>
    <t>KEPL/00435/82-83</t>
  </si>
  <si>
    <t>KEPL/00436/82-83</t>
  </si>
  <si>
    <t>WELSON TRADE &amp; RASAN MART</t>
  </si>
  <si>
    <t>KEPL/00437/82-83</t>
  </si>
  <si>
    <t>KEPL/00438/82-83</t>
  </si>
  <si>
    <t>KEPL/00439/82-83</t>
  </si>
  <si>
    <t>KEPL/00440/82-83</t>
  </si>
  <si>
    <t>KEPL/00441/82-83</t>
  </si>
  <si>
    <t>KEPL/00443/82-83</t>
  </si>
  <si>
    <t>KEPL/00445/82-83</t>
  </si>
  <si>
    <t>KEPL/00453/82-83</t>
  </si>
  <si>
    <t>DURGA LAXMI AND SONS</t>
  </si>
  <si>
    <t>KEPL/00454/82-83</t>
  </si>
  <si>
    <t>KEPL/00455/82-83</t>
  </si>
  <si>
    <t>KEPL/00456/82-83</t>
  </si>
  <si>
    <t>KEPL/00522/82-83</t>
  </si>
  <si>
    <t>KEPL/00532/82-83</t>
  </si>
  <si>
    <t>KEPL/00533/82-83</t>
  </si>
  <si>
    <t>KEPL/00542/82-83</t>
  </si>
  <si>
    <t>KEPL/00548/82-83</t>
  </si>
  <si>
    <t>KEPL/00549/82-83</t>
  </si>
  <si>
    <t>KEPL/00550/82-83</t>
  </si>
  <si>
    <t>KEPL/00552/82-83</t>
  </si>
  <si>
    <t>KEPL/00553/82-83</t>
  </si>
  <si>
    <t>KEPL/00554/82-83</t>
  </si>
  <si>
    <t>KEPL/00555/82-83</t>
  </si>
  <si>
    <t>KEPL/00556/82-83</t>
  </si>
  <si>
    <t>KEPL/00557/82-83</t>
  </si>
  <si>
    <t>KEPL/00558/82-83</t>
  </si>
  <si>
    <t>KEPL/00562/82-83</t>
  </si>
  <si>
    <t>KEPL/00566/82-83</t>
  </si>
  <si>
    <t>NEW HORIZON DISTRIBUTORS</t>
  </si>
  <si>
    <t>KEPL/00567/82-83</t>
  </si>
  <si>
    <t>KEPL/00577/82-83</t>
  </si>
  <si>
    <t>KEPL/00589/82-83</t>
  </si>
  <si>
    <t>KEPL/00590/82-83</t>
  </si>
  <si>
    <t>KEPL/00593/82-83</t>
  </si>
  <si>
    <t>KEPL/00594/82-83</t>
  </si>
  <si>
    <t>BIJAYA TRADERS</t>
  </si>
  <si>
    <t>KEPL/00595/82-83</t>
  </si>
  <si>
    <t>P and B Traders</t>
  </si>
  <si>
    <t>KEPL/00601/82-83</t>
  </si>
  <si>
    <t>KEPL/00605/82-83</t>
  </si>
  <si>
    <t>KEPL/00613/82-83</t>
  </si>
  <si>
    <t>KEPL/00616/82-83</t>
  </si>
  <si>
    <t>KEPL/00627/82-83</t>
  </si>
  <si>
    <t>KEPL/00628/82-83</t>
  </si>
  <si>
    <t>KEPL/00629/82-83</t>
  </si>
  <si>
    <t>KEPL/00630/82-83</t>
  </si>
  <si>
    <t>KEPL/00631/82-83</t>
  </si>
  <si>
    <t>KEPL/00632/82-83</t>
  </si>
  <si>
    <t>KEPL/00633/82-83</t>
  </si>
  <si>
    <t>KEPL/00634/82-83</t>
  </si>
  <si>
    <t>KEPL/00635/82-83</t>
  </si>
  <si>
    <t>KEPL/00636/82-83</t>
  </si>
  <si>
    <t>KEPL/00637/82-83</t>
  </si>
  <si>
    <t>KEPL/00638/82-83</t>
  </si>
  <si>
    <t>KEPL/00639/82-83</t>
  </si>
  <si>
    <t>KEPL/00640/82-83</t>
  </si>
  <si>
    <t>KEPL/00641/82-83</t>
  </si>
  <si>
    <t>KEPL/00642/82-83</t>
  </si>
  <si>
    <t>KEPL/00643/82-83</t>
  </si>
  <si>
    <t>KEPL/00645/82-83</t>
  </si>
  <si>
    <t>KEPL/00646/82-83</t>
  </si>
  <si>
    <t>KEPL/00647/82-83</t>
  </si>
  <si>
    <t>KESR/0013/82-83</t>
  </si>
  <si>
    <t>KEPL/00669/82-83</t>
  </si>
  <si>
    <t>KEPL/00670/82-83</t>
  </si>
  <si>
    <t>KEPL/00705/82-83</t>
  </si>
  <si>
    <t>KEPL/00797/82-83</t>
  </si>
  <si>
    <t>KEPL/00798/82-83</t>
  </si>
  <si>
    <t>KEPL/00799/82-83</t>
  </si>
  <si>
    <t>KEPL/00800/82-83</t>
  </si>
  <si>
    <t>KEPL/00801/82-83</t>
  </si>
  <si>
    <t>KEPL/00802/82-83</t>
  </si>
  <si>
    <t>KEPL/00803/82-83</t>
  </si>
  <si>
    <t>KEPL/00809/82-83</t>
  </si>
  <si>
    <t>KEPL/00811/82-83</t>
  </si>
  <si>
    <t>KEPL/00812/82-83</t>
  </si>
  <si>
    <t>KEPL/00813/82-83</t>
  </si>
  <si>
    <t>KEPL/00814/82-83</t>
  </si>
  <si>
    <t>KEPL/00815/82-83</t>
  </si>
  <si>
    <t>KEPL/00842/82-83</t>
  </si>
  <si>
    <t>KEPL/00843/82-83</t>
  </si>
  <si>
    <t>KEPL/00884/82-83</t>
  </si>
  <si>
    <t>KEPL/00902/82-83</t>
  </si>
  <si>
    <t>KEPL/00904/82-83</t>
  </si>
  <si>
    <t>KEPL/00933/82-83</t>
  </si>
  <si>
    <t>KEPL/00934/82-83</t>
  </si>
  <si>
    <t>KEPL/00935/82-83</t>
  </si>
  <si>
    <t>KEPL/00946/82-83</t>
  </si>
  <si>
    <t>KEPL/00978/82-83</t>
  </si>
  <si>
    <t>KEPL/00994/82-83</t>
  </si>
  <si>
    <t>KESR/0018/82-83</t>
  </si>
  <si>
    <t>KEPL/00997/82-83</t>
  </si>
  <si>
    <t>KEPL/01001/82-83</t>
  </si>
  <si>
    <t>KEPL/01004/82-83</t>
  </si>
  <si>
    <t>KEPL/01006/82-83</t>
  </si>
  <si>
    <t>KEPL/01010/82-83</t>
  </si>
  <si>
    <t>KEPL/01011/82-83</t>
  </si>
  <si>
    <t>KEPL/01012/82-83</t>
  </si>
  <si>
    <t>KEPL/01023/82-83</t>
  </si>
  <si>
    <t>SIMPEX SOLUTION PVT. LTD</t>
  </si>
  <si>
    <t>KEPL/01024/82-83</t>
  </si>
  <si>
    <t>KEPL/01025/82-83</t>
  </si>
  <si>
    <t>KEPL/01028/82-83</t>
  </si>
  <si>
    <t>KEPL/01030/82-83</t>
  </si>
  <si>
    <t>KEPL/01088/82-83</t>
  </si>
  <si>
    <t>KEPL/01093/82-83</t>
  </si>
  <si>
    <t>KEPL/01095/82-83</t>
  </si>
  <si>
    <t>KEPL/01140/82-83</t>
  </si>
  <si>
    <t>KEPL/01142/82-83</t>
  </si>
  <si>
    <t>KEPL/01144/82-83</t>
  </si>
  <si>
    <t>KEPL/01158/82-83</t>
  </si>
  <si>
    <t>KEPL/01159/82-83</t>
  </si>
  <si>
    <t>KEPL/01161/82-83</t>
  </si>
  <si>
    <t>KEPL/01162/82-83</t>
  </si>
  <si>
    <t>KEPL/01165/82-83</t>
  </si>
  <si>
    <t>KEPL/01177/82-83</t>
  </si>
  <si>
    <t>KEPL/01178/82-83</t>
  </si>
  <si>
    <t>KEPL/01179/82-83</t>
  </si>
  <si>
    <t>KEPL/01180/82-83</t>
  </si>
  <si>
    <t>KEPL/01182/82-83</t>
  </si>
  <si>
    <t>KEPL/01186/82-83</t>
  </si>
  <si>
    <t>KEPL/01200/82-83</t>
  </si>
  <si>
    <t>KEPL/01201/82-83</t>
  </si>
  <si>
    <t>KEPL/01202/82-83</t>
  </si>
  <si>
    <t>KEPL/01203/82-83</t>
  </si>
  <si>
    <t>KEPL/01210/82-83</t>
  </si>
  <si>
    <t>KEPL/01212/82-83</t>
  </si>
  <si>
    <t>KEPL/01229/82-83</t>
  </si>
  <si>
    <t>KEPL/01243/82-83</t>
  </si>
  <si>
    <t>KEPL/01245/82-83</t>
  </si>
  <si>
    <t>KEPL/01246/82-83</t>
  </si>
  <si>
    <t>KEPL/01274/82-83</t>
  </si>
  <si>
    <t>KEPL/01275/82-83</t>
  </si>
  <si>
    <t>KEPL/01278/82-83</t>
  </si>
  <si>
    <t>KEPL/01285/82-83</t>
  </si>
  <si>
    <t>KEPL/01292/82-83</t>
  </si>
  <si>
    <t>KEPL/01298/82-83</t>
  </si>
  <si>
    <t>KEPL/01302/82-83</t>
  </si>
  <si>
    <t>M AND P TRADE SUPPLIERS</t>
  </si>
  <si>
    <t>KEPL/01303/82-83</t>
  </si>
  <si>
    <t>DINESH TRADING HOUSE</t>
  </si>
  <si>
    <t>KEPL/01304/82-83</t>
  </si>
  <si>
    <t>KEPL/01308/82-83</t>
  </si>
  <si>
    <t>KEPL/01309/82-83</t>
  </si>
  <si>
    <t>KEPL/01310/82-83</t>
  </si>
  <si>
    <t>KEPL/01315/82-83</t>
  </si>
  <si>
    <t>KEPL/01316/82-83</t>
  </si>
  <si>
    <t>KEPL/01324/82-83</t>
  </si>
  <si>
    <t>KESR/0029/82-83</t>
  </si>
  <si>
    <t>KEPL/01325/82-83</t>
  </si>
  <si>
    <t>KEPL/01329/82-83</t>
  </si>
  <si>
    <t>KEPL/01332/82-83</t>
  </si>
  <si>
    <t>KEPL/01339/82-83</t>
  </si>
  <si>
    <t>KEPL/01340/82-83</t>
  </si>
  <si>
    <t>KEPL/01341/82-83</t>
  </si>
  <si>
    <t>KEPL/01342/82-83</t>
  </si>
  <si>
    <t>KEPL/01362/82-83</t>
  </si>
  <si>
    <t>KEPL/01363/82-83</t>
  </si>
  <si>
    <t>KEPL/01364/82-83</t>
  </si>
  <si>
    <t>KEPL/01365/82-83</t>
  </si>
  <si>
    <t>KEPL/01366/82-83</t>
  </si>
  <si>
    <t>KEPL/01367/82-83</t>
  </si>
  <si>
    <t>KEPL/01368/82-83</t>
  </si>
  <si>
    <t>KEPL/01369/82-83</t>
  </si>
  <si>
    <t>KEPL/01370/82-83</t>
  </si>
  <si>
    <t>KEPL/01371/82-83</t>
  </si>
  <si>
    <t>KEPL/01372/82-83</t>
  </si>
  <si>
    <t>KEPL/01373/82-83</t>
  </si>
  <si>
    <t>KEPL/01374/82-83</t>
  </si>
  <si>
    <t>KEPL/01375/82-83</t>
  </si>
  <si>
    <t>KEPL/01376/82-83</t>
  </si>
  <si>
    <t>KEPL/01377/82-83</t>
  </si>
  <si>
    <t>KEPL/01379/82-83</t>
  </si>
  <si>
    <t>EMERALD TRADE LINK</t>
  </si>
  <si>
    <t>KEPL/01380/82-83</t>
  </si>
  <si>
    <t>KEPL/01381/82-83</t>
  </si>
  <si>
    <t>KEPL/01382/82-83</t>
  </si>
  <si>
    <t>KEPL/01383/82-83</t>
  </si>
  <si>
    <t>KEPL/01389/82-83</t>
  </si>
  <si>
    <t>BHAT BHATENI SUPERMARKET &amp; DEPARTMENTAL STORE PVT. LTD.</t>
  </si>
  <si>
    <t>KEPL/01456/82-83</t>
  </si>
  <si>
    <t>KEPL/01466/82-83</t>
  </si>
  <si>
    <t>KEPL/01467/82-83</t>
  </si>
  <si>
    <t>KEPL/01469/82-83</t>
  </si>
  <si>
    <t>KEPL/01470/82-83</t>
  </si>
  <si>
    <t>KEPL/01471/82-83</t>
  </si>
  <si>
    <t>KEPL/01476/82-83</t>
  </si>
  <si>
    <t>KESR/0030/82-83</t>
  </si>
  <si>
    <t>KESR/0031/82-83</t>
  </si>
  <si>
    <t>KEPL/01481/82-83</t>
  </si>
  <si>
    <t>KEPL/01484/82-83</t>
  </si>
  <si>
    <t>KEPL/01485/82-83</t>
  </si>
  <si>
    <t>KEPL/01495/82-83</t>
  </si>
  <si>
    <t>KEPL/01496/82-83</t>
  </si>
  <si>
    <t>KEPL/01497/82-83</t>
  </si>
  <si>
    <t>KEPL/01504/82-83</t>
  </si>
  <si>
    <t>KEPL/01506/82-83</t>
  </si>
  <si>
    <t>KEPL/01510/82-83</t>
  </si>
  <si>
    <t>KEPL/01511/82-83</t>
  </si>
  <si>
    <t>KEPL/01521/82-83</t>
  </si>
  <si>
    <t>KEPL/01522/82-83</t>
  </si>
  <si>
    <t>KEPL/01523/82-83</t>
  </si>
  <si>
    <t>KEPL/01524/82-83</t>
  </si>
  <si>
    <t>KEPL/01535/82-83</t>
  </si>
  <si>
    <t>KEPL/01542/82-83</t>
  </si>
  <si>
    <t>KEPL/01544/82-83</t>
  </si>
  <si>
    <t>KEPL/01550/82-83</t>
  </si>
  <si>
    <t>KESR/0037/82-83</t>
  </si>
  <si>
    <t>KEPL/01556/82-83</t>
  </si>
  <si>
    <t>KEPL/01557/82-83</t>
  </si>
  <si>
    <t>KEPL/01561/82-83</t>
  </si>
  <si>
    <t>NILONS SOYA CHUNKS 200GM*50</t>
  </si>
  <si>
    <t>NILONS RED STUFF CHILLI PICKLE 400GM*20</t>
  </si>
  <si>
    <t>KEPL/01564/82-83</t>
  </si>
  <si>
    <t>KEPL/01565/82-83</t>
  </si>
  <si>
    <t>KEPL/01566/82-83</t>
  </si>
  <si>
    <t>KEPL/01567/82-83</t>
  </si>
  <si>
    <t>KEPL/01568/82-83</t>
  </si>
  <si>
    <t>KEPL/01570/82-83</t>
  </si>
  <si>
    <t>KEPL/01571/82-83</t>
  </si>
  <si>
    <t>KESR/0040/82-83</t>
  </si>
  <si>
    <t>KEPL/01591/82-83</t>
  </si>
  <si>
    <t>KEPL/01593/82-83</t>
  </si>
  <si>
    <t>KEPL/01594/82-83</t>
  </si>
  <si>
    <t>KEPL/01595/82-83</t>
  </si>
  <si>
    <t>KEPL/01606/82-83</t>
  </si>
  <si>
    <t>KEPL/01619/82-83</t>
  </si>
  <si>
    <t>KEPL/01621/82-83</t>
  </si>
  <si>
    <t>KESR/0042/82-83</t>
  </si>
  <si>
    <t>KEPL/01629/82-83</t>
  </si>
  <si>
    <t>KEPL/01640/82-83</t>
  </si>
  <si>
    <t>KEPL/01641/82-83</t>
  </si>
  <si>
    <t>KEPL/01647/82-83</t>
  </si>
  <si>
    <t>KEPL/01650/82-83</t>
  </si>
  <si>
    <t>KEPL/01651/82-83</t>
  </si>
  <si>
    <t>KEPL/01652/82-83</t>
  </si>
  <si>
    <t>KEPL/01662/82-83</t>
  </si>
  <si>
    <t>KEPL/01663/82-83</t>
  </si>
  <si>
    <t>KEPL/01664/82-83</t>
  </si>
  <si>
    <t>KEPL/01665/82-83</t>
  </si>
  <si>
    <t>KEPL/01667/82-83</t>
  </si>
  <si>
    <t>KEPL/01669/82-83</t>
  </si>
  <si>
    <t>KEPL/01670/82-83</t>
  </si>
  <si>
    <t xml:space="preserve">SALEWAYS CASH AND CARRY PVT LTD </t>
  </si>
  <si>
    <t>KEPL/01671/82-83</t>
  </si>
  <si>
    <t>KEPL/01676/82-83</t>
  </si>
  <si>
    <t>KEPL/01680/82-83</t>
  </si>
  <si>
    <t>KEPL/01681/82-83</t>
  </si>
  <si>
    <t>KEPL/01682/82-83</t>
  </si>
  <si>
    <t>KEPL/01683/82-83</t>
  </si>
  <si>
    <t>KEPL/01710/82-83</t>
  </si>
  <si>
    <t>KEPL/01717/82-83</t>
  </si>
  <si>
    <t>B AND B SUPPLIERS-LEKHNATH</t>
  </si>
  <si>
    <t>KEPL/01775/82-83</t>
  </si>
  <si>
    <t>KEPL/01781/82-83</t>
  </si>
  <si>
    <t>KEPL/01782/82-83</t>
  </si>
  <si>
    <t>KESR/0043/82-83</t>
  </si>
  <si>
    <t>KEPL/01785/82-83</t>
  </si>
  <si>
    <t>UMALAXMI TRADERS</t>
  </si>
  <si>
    <t>KEPL/01786/82-83</t>
  </si>
  <si>
    <t>KEPL/01787/82-83</t>
  </si>
  <si>
    <t>KEPL/01796/82-83</t>
  </si>
  <si>
    <t>KEPL/01798/82-83</t>
  </si>
  <si>
    <t>KEPL/01799/82-83</t>
  </si>
  <si>
    <t>KEPL/01800/82-83</t>
  </si>
  <si>
    <t>KEPL/01801/82-83</t>
  </si>
  <si>
    <t>KEPL/01808/82-83</t>
  </si>
  <si>
    <t>KESR/0045/82-83</t>
  </si>
  <si>
    <t>KESR/0046/82-83</t>
  </si>
  <si>
    <t>KESR/0047/82-83</t>
  </si>
  <si>
    <t>KEPL/01810/82-83</t>
  </si>
  <si>
    <t>KEPL/01812/82-83</t>
  </si>
  <si>
    <t>KEPL/01813/82-83</t>
  </si>
  <si>
    <t>KEPL/01815/82-83</t>
  </si>
  <si>
    <t>KEPL/01816/82-83</t>
  </si>
  <si>
    <t>KESR/0050/82-83</t>
  </si>
  <si>
    <t>KEPL/01845/82-83</t>
  </si>
  <si>
    <t>KESR/0054/82-83</t>
  </si>
  <si>
    <t>KEPL/01851/82-83</t>
  </si>
  <si>
    <t>KEPL/01859/82-83</t>
  </si>
  <si>
    <t>KEPL/01865/82-83</t>
  </si>
  <si>
    <t>KEPL/01870/82-83</t>
  </si>
  <si>
    <t>KEPL/01871/82-83</t>
  </si>
  <si>
    <t>KEPL/01874/82-83</t>
  </si>
  <si>
    <t>KEPL/01876/82-83</t>
  </si>
  <si>
    <t>KEPL/01900/82-83</t>
  </si>
  <si>
    <t>KEPL/01913/82-83</t>
  </si>
  <si>
    <t xml:space="preserve"> THE RED DOOR BAKERS PVT.LTD</t>
  </si>
  <si>
    <t>KEPL/01942/82-83</t>
  </si>
  <si>
    <t>KEPL/01943/82-83</t>
  </si>
  <si>
    <t>KEPL/01944/82-83</t>
  </si>
  <si>
    <t>KEPL/01945/82-83</t>
  </si>
  <si>
    <t>KEPL/01946/82-83</t>
  </si>
  <si>
    <t>KEPL/01947/82-83</t>
  </si>
  <si>
    <t>KEPL/01948/82-83</t>
  </si>
  <si>
    <t>KEPL/01949/82-83</t>
  </si>
  <si>
    <t>KEPL/01950/82-83</t>
  </si>
  <si>
    <t>KEPL/01953/82-83</t>
  </si>
  <si>
    <t>JENISH STORE</t>
  </si>
  <si>
    <t>KEPL/01954/82-83</t>
  </si>
  <si>
    <t>KEPL/01955/82-83</t>
  </si>
  <si>
    <t>KEPL/01956/82-83</t>
  </si>
  <si>
    <t>KEPL/01957/82-83</t>
  </si>
  <si>
    <t>KEPL/01958/82-83</t>
  </si>
  <si>
    <t>KEPL/01959/82-83</t>
  </si>
  <si>
    <t>KEPL/01960/82-83</t>
  </si>
  <si>
    <t>KEPL/01983/82-83</t>
  </si>
  <si>
    <t>KESR/0062/82-83</t>
  </si>
  <si>
    <t>KEPL/01987/82-83</t>
  </si>
  <si>
    <t>KEPL/01988/82-83</t>
  </si>
  <si>
    <t>KESR/0066/82-83</t>
  </si>
  <si>
    <t>KEPL/01996/82-83</t>
  </si>
  <si>
    <t>KEPL/01997/82-83</t>
  </si>
  <si>
    <t>KEPL/01998/82-83</t>
  </si>
  <si>
    <t>KEPL/02003/82-83</t>
  </si>
  <si>
    <t>KEPL/02025/82-83</t>
  </si>
  <si>
    <t>NAMERU TRADE LINK PVT.LTD</t>
  </si>
  <si>
    <t>KEPL/02027/82-83</t>
  </si>
  <si>
    <t>KEPL/02029/82-83</t>
  </si>
  <si>
    <t>KEPL/02031/82-83</t>
  </si>
  <si>
    <t>KEPL/02039/82-83</t>
  </si>
  <si>
    <t>KEPL/02040/82-83</t>
  </si>
  <si>
    <t>KEPL/02041/82-83</t>
  </si>
  <si>
    <t>KESR/0067/82-83</t>
  </si>
  <si>
    <t>KESR/0068/82-83</t>
  </si>
  <si>
    <t>KEPL/02047/82-83</t>
  </si>
  <si>
    <t>KEPL/02048/82-83</t>
  </si>
  <si>
    <t>KEPL/02050/82-83</t>
  </si>
  <si>
    <t>KEPL/02052/82-83</t>
  </si>
  <si>
    <t>KEPL/02054/82-83</t>
  </si>
  <si>
    <t>KEPL/02065/82-83</t>
  </si>
  <si>
    <t>KEPL/02066/82-83</t>
  </si>
  <si>
    <t>KEPL/02068/82-83</t>
  </si>
  <si>
    <t>KEPL/02073/82-83</t>
  </si>
  <si>
    <t>KEPL/02093/82-83</t>
  </si>
  <si>
    <t>KEPL/02105/82-83</t>
  </si>
  <si>
    <t>KEPL/02106/82-83</t>
  </si>
  <si>
    <t>KEPL/02114/82-83</t>
  </si>
  <si>
    <t>KEPL/02115/82-83</t>
  </si>
  <si>
    <t>KEPL/02131/82-83</t>
  </si>
  <si>
    <t>KESR/0077/82-83</t>
  </si>
  <si>
    <t>KEPL/02148/82-83</t>
  </si>
  <si>
    <t>KEPL/02150/82-83</t>
  </si>
  <si>
    <t>KEPL/02164/82-83</t>
  </si>
  <si>
    <t>KEPL/02166/82-83</t>
  </si>
  <si>
    <t>KEPL/02167/82-83</t>
  </si>
  <si>
    <t>KEPL/02173/82-83</t>
  </si>
  <si>
    <t>KEPL/02174/82-83</t>
  </si>
  <si>
    <t>KEPL/02175/82-83</t>
  </si>
  <si>
    <t>KEPL/02179/82-83</t>
  </si>
  <si>
    <t>KEPL/02180/82-83</t>
  </si>
  <si>
    <t>KEPL/02181/82-83</t>
  </si>
  <si>
    <t>KEPL/02182/82-83</t>
  </si>
  <si>
    <t>KEPL/02183/82-83</t>
  </si>
  <si>
    <t>KEPL/02184/82-83</t>
  </si>
  <si>
    <t>KEPL/02185/82-83</t>
  </si>
  <si>
    <t>KEPL/02186/82-83</t>
  </si>
  <si>
    <t>KEPL/02199/82-83</t>
  </si>
  <si>
    <t>KEPL/02200/82-83</t>
  </si>
  <si>
    <t>KEPL/02202/82-83</t>
  </si>
  <si>
    <t>SHREE BUDDHA ENTERPRISES</t>
  </si>
  <si>
    <t>KEPL/02203/82-83</t>
  </si>
  <si>
    <t>KEPL/02204/82-83</t>
  </si>
  <si>
    <t>KEPL/02231/82-83</t>
  </si>
  <si>
    <t>Feb-2026</t>
  </si>
  <si>
    <t>SUBGROUP</t>
  </si>
  <si>
    <t>PICKLE-350</t>
  </si>
  <si>
    <t xml:space="preserve">PAPAYA FRUIT </t>
  </si>
  <si>
    <t>JAM</t>
  </si>
  <si>
    <t>PICKLE-500</t>
  </si>
  <si>
    <t>PICKLE-Assorted</t>
  </si>
  <si>
    <t>PASTA</t>
  </si>
  <si>
    <t>PICKLE-400</t>
  </si>
  <si>
    <t>SEWAI</t>
  </si>
  <si>
    <t>PASTE</t>
  </si>
  <si>
    <t>SAUCE</t>
  </si>
  <si>
    <t>PICKLE-900</t>
  </si>
  <si>
    <t>SAUCE-180</t>
  </si>
  <si>
    <t>KETCHUP</t>
  </si>
  <si>
    <t>MASALA</t>
  </si>
  <si>
    <t xml:space="preserve">DOSA </t>
  </si>
  <si>
    <t>IDLI</t>
  </si>
  <si>
    <t>GULAB JAMUN</t>
  </si>
  <si>
    <t>PICKLE-GODKERI</t>
  </si>
  <si>
    <t xml:space="preserve">DHOKLA </t>
  </si>
  <si>
    <t xml:space="preserve">CHUNKS </t>
  </si>
  <si>
    <t>PICKLE-5kg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</si>
</sst>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6" x14ac:knownFonts="1">
    <font>
      <sz val="9"/>
      <color theme="1"/>
      <name val="Arial"/>
      <family val="2"/>
    </font>
    <font>
      <b/>
      <sz val="11"/>
      <name val="Calibri"/>
      <family val="2"/>
    </font>
    <font>
      <sz val="11"/>
      <name val="Calibri"/>
      <family val="2"/>
      <scheme val="minor"/>
    </font>
    <font>
      <sz val="8"/>
      <name val="Arial"/>
      <family val="2"/>
    </font>
    <font>
      <b/>
      <sz val="11"/>
      <name val="Calibri"/>
      <family val="2"/>
    </font>
    <font>
      <sz val="11"/>
      <name val="Calibri"/>
      <family val="2"/>
      <scheme val="minor"/>
    </font>
  </fonts>
  <fills count="4">
    <fill>
      <patternFill patternType="none"/>
    </fill>
    <fill>
      <patternFill patternType="gray125"/>
    </fill>
    <fill>
      <patternFill patternType="solid">
        <fgColor rgb="FF6495ED"/>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left" vertical="center"/>
    </xf>
    <xf numFmtId="0" fontId="0" fillId="0" borderId="2" xfId="0" pivotButton="1" applyBorder="1"/>
    <xf numFmtId="0" fontId="0" fillId="0" borderId="2" xfId="0" applyBorder="1"/>
    <xf numFmtId="0" fontId="0" fillId="0" borderId="2" xfId="0" applyBorder="1" applyAlignment="1">
      <alignment horizontal="left"/>
    </xf>
    <xf numFmtId="164" fontId="0" fillId="0" borderId="2" xfId="0" applyNumberFormat="1" applyBorder="1"/>
    <xf numFmtId="0" fontId="0" fillId="0" borderId="0" xfId="0" pivotButton="1"/>
    <xf numFmtId="0" fontId="0" fillId="0" borderId="0" xfId="0" applyAlignment="1">
      <alignment horizontal="left"/>
    </xf>
    <xf numFmtId="164" fontId="0" fillId="0" borderId="0" xfId="0" applyNumberFormat="1"/>
    <xf numFmtId="14"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4" fontId="5" fillId="0" borderId="1" xfId="0" applyNumberFormat="1" applyFont="1" applyBorder="1" applyAlignment="1">
      <alignment horizontal="left" vertical="center"/>
    </xf>
    <xf numFmtId="0" fontId="5" fillId="0" borderId="1" xfId="0" applyFont="1" applyBorder="1" applyAlignment="1">
      <alignment horizontal="left" vertical="center"/>
    </xf>
    <xf numFmtId="164" fontId="5" fillId="0" borderId="1" xfId="0" applyNumberFormat="1" applyFont="1" applyBorder="1" applyAlignment="1">
      <alignment horizontal="right" vertical="center"/>
    </xf>
    <xf numFmtId="14" fontId="2" fillId="0" borderId="1" xfId="0" applyNumberFormat="1" applyFont="1" applyBorder="1" applyAlignment="1">
      <alignment horizontal="left" vertical="center"/>
    </xf>
    <xf numFmtId="14" fontId="2" fillId="3" borderId="1" xfId="0" applyNumberFormat="1" applyFont="1" applyFill="1" applyBorder="1" applyAlignment="1">
      <alignment horizontal="left" vertical="center"/>
    </xf>
    <xf numFmtId="0" fontId="2" fillId="3" borderId="1" xfId="0" applyFont="1" applyFill="1" applyBorder="1" applyAlignment="1">
      <alignment horizontal="left" vertical="center"/>
    </xf>
    <xf numFmtId="164" fontId="2" fillId="0" borderId="1" xfId="0" applyNumberFormat="1" applyFont="1" applyBorder="1" applyAlignment="1">
      <alignment horizontal="right" vertical="center"/>
    </xf>
    <xf numFmtId="0" fontId="1" fillId="3" borderId="2" xfId="0" applyFont="1" applyFill="1" applyBorder="1" applyAlignment="1">
      <alignment vertical="center" wrapText="1"/>
    </xf>
    <xf numFmtId="0" fontId="2" fillId="0" borderId="3" xfId="0" applyFont="1" applyBorder="1" applyAlignment="1">
      <alignment horizontal="left" vertical="center"/>
    </xf>
    <xf numFmtId="0" fontId="0" fillId="0" borderId="2" xfId="0" applyBorder="1" applyAlignment="1">
      <alignment horizontal="left" indent="1"/>
    </xf>
  </cellXfs>
  <cellStyles count="1">
    <cellStyle name="Normal" xfId="0" builtinId="0"/>
  </cellStyles>
  <dxfs count="2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2257424</xdr:colOff>
      <xdr:row>3</xdr:row>
      <xdr:rowOff>123825</xdr:rowOff>
    </xdr:to>
    <mc:AlternateContent xmlns:mc="http://schemas.openxmlformats.org/markup-compatibility/2006" xmlns:a14="http://schemas.microsoft.com/office/drawing/2010/main">
      <mc:Choice Requires="a14">
        <xdr:graphicFrame macro="">
          <xdr:nvGraphicFramePr>
            <xdr:cNvPr id="2" name="QTR 1">
              <a:extLst>
                <a:ext uri="{FF2B5EF4-FFF2-40B4-BE49-F238E27FC236}">
                  <a16:creationId xmlns:a16="http://schemas.microsoft.com/office/drawing/2014/main" id="{6C158CC8-CD93-A558-A4BD-6EF4127C80D3}"/>
                </a:ext>
              </a:extLst>
            </xdr:cNvPr>
            <xdr:cNvGraphicFramePr/>
          </xdr:nvGraphicFramePr>
          <xdr:xfrm>
            <a:off x="0" y="0"/>
            <a:ext cx="0" cy="0"/>
          </xdr:xfrm>
          <a:graphic>
            <a:graphicData uri="http://schemas.microsoft.com/office/drawing/2010/slicer">
              <sle:slicer xmlns:sle="http://schemas.microsoft.com/office/drawing/2010/slicer" name="QTR 1"/>
            </a:graphicData>
          </a:graphic>
        </xdr:graphicFrame>
      </mc:Choice>
      <mc:Fallback xmlns="">
        <xdr:sp macro="" textlink="">
          <xdr:nvSpPr>
            <xdr:cNvPr id="0" name=""/>
            <xdr:cNvSpPr>
              <a:spLocks noTextEdit="1"/>
            </xdr:cNvSpPr>
          </xdr:nvSpPr>
          <xdr:spPr>
            <a:xfrm>
              <a:off x="0" y="0"/>
              <a:ext cx="2257424" cy="581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9526</xdr:rowOff>
    </xdr:from>
    <xdr:to>
      <xdr:col>0</xdr:col>
      <xdr:colOff>2247900</xdr:colOff>
      <xdr:row>7</xdr:row>
      <xdr:rowOff>123826</xdr:rowOff>
    </xdr:to>
    <mc:AlternateContent xmlns:mc="http://schemas.openxmlformats.org/markup-compatibility/2006" xmlns:a14="http://schemas.microsoft.com/office/drawing/2010/main">
      <mc:Choice Requires="a14">
        <xdr:graphicFrame macro="">
          <xdr:nvGraphicFramePr>
            <xdr:cNvPr id="3" name="FY 1">
              <a:extLst>
                <a:ext uri="{FF2B5EF4-FFF2-40B4-BE49-F238E27FC236}">
                  <a16:creationId xmlns:a16="http://schemas.microsoft.com/office/drawing/2014/main" id="{8016E8AD-196B-264C-D544-2897366578B7}"/>
                </a:ext>
              </a:extLst>
            </xdr:cNvPr>
            <xdr:cNvGraphicFramePr/>
          </xdr:nvGraphicFramePr>
          <xdr:xfrm>
            <a:off x="0" y="0"/>
            <a:ext cx="0" cy="0"/>
          </xdr:xfrm>
          <a:graphic>
            <a:graphicData uri="http://schemas.microsoft.com/office/drawing/2010/slicer">
              <sle:slicer xmlns:sle="http://schemas.microsoft.com/office/drawing/2010/slicer" name="FY 1"/>
            </a:graphicData>
          </a:graphic>
        </xdr:graphicFrame>
      </mc:Choice>
      <mc:Fallback xmlns="">
        <xdr:sp macro="" textlink="">
          <xdr:nvSpPr>
            <xdr:cNvPr id="0" name=""/>
            <xdr:cNvSpPr>
              <a:spLocks noTextEdit="1"/>
            </xdr:cNvSpPr>
          </xdr:nvSpPr>
          <xdr:spPr>
            <a:xfrm>
              <a:off x="0" y="619126"/>
              <a:ext cx="2247900"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9524</xdr:colOff>
      <xdr:row>4</xdr:row>
      <xdr:rowOff>0</xdr:rowOff>
    </xdr:from>
    <xdr:to>
      <xdr:col>0</xdr:col>
      <xdr:colOff>2057399</xdr:colOff>
      <xdr:row>8</xdr:row>
      <xdr:rowOff>28575</xdr:rowOff>
    </xdr:to>
    <mc:AlternateContent xmlns:mc="http://schemas.openxmlformats.org/markup-compatibility/2006" xmlns:a14="http://schemas.microsoft.com/office/drawing/2010/main">
      <mc:Choice Requires="a14">
        <xdr:graphicFrame macro="">
          <xdr:nvGraphicFramePr>
            <xdr:cNvPr id="2" name="QTR">
              <a:extLst>
                <a:ext uri="{FF2B5EF4-FFF2-40B4-BE49-F238E27FC236}">
                  <a16:creationId xmlns:a16="http://schemas.microsoft.com/office/drawing/2014/main" id="{428DF492-3E98-AC77-9E12-D8A0C40F8F7B}"/>
                </a:ext>
              </a:extLst>
            </xdr:cNvPr>
            <xdr:cNvGraphicFramePr/>
          </xdr:nvGraphicFramePr>
          <xdr:xfrm>
            <a:off x="0" y="0"/>
            <a:ext cx="0" cy="0"/>
          </xdr:xfrm>
          <a:graphic>
            <a:graphicData uri="http://schemas.microsoft.com/office/drawing/2010/slicer">
              <sle:slicer xmlns:sle="http://schemas.microsoft.com/office/drawing/2010/slicer" name="QTR"/>
            </a:graphicData>
          </a:graphic>
        </xdr:graphicFrame>
      </mc:Choice>
      <mc:Fallback xmlns="">
        <xdr:sp macro="" textlink="">
          <xdr:nvSpPr>
            <xdr:cNvPr id="0" name=""/>
            <xdr:cNvSpPr>
              <a:spLocks noTextEdit="1"/>
            </xdr:cNvSpPr>
          </xdr:nvSpPr>
          <xdr:spPr>
            <a:xfrm>
              <a:off x="9524" y="609600"/>
              <a:ext cx="2047875"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19051</xdr:rowOff>
    </xdr:from>
    <xdr:to>
      <xdr:col>0</xdr:col>
      <xdr:colOff>2057400</xdr:colOff>
      <xdr:row>4</xdr:row>
      <xdr:rowOff>9525</xdr:rowOff>
    </xdr:to>
    <mc:AlternateContent xmlns:mc="http://schemas.openxmlformats.org/markup-compatibility/2006" xmlns:a14="http://schemas.microsoft.com/office/drawing/2010/main">
      <mc:Choice Requires="a14">
        <xdr:graphicFrame macro="">
          <xdr:nvGraphicFramePr>
            <xdr:cNvPr id="3" name="FY">
              <a:extLst>
                <a:ext uri="{FF2B5EF4-FFF2-40B4-BE49-F238E27FC236}">
                  <a16:creationId xmlns:a16="http://schemas.microsoft.com/office/drawing/2014/main" id="{2DE1C429-7189-E0A7-144F-0BE74A39099C}"/>
                </a:ext>
              </a:extLst>
            </xdr:cNvPr>
            <xdr:cNvGraphicFramePr/>
          </xdr:nvGraphicFramePr>
          <xdr:xfrm>
            <a:off x="0" y="0"/>
            <a:ext cx="0" cy="0"/>
          </xdr:xfrm>
          <a:graphic>
            <a:graphicData uri="http://schemas.microsoft.com/office/drawing/2010/slicer">
              <sle:slicer xmlns:sle="http://schemas.microsoft.com/office/drawing/2010/slicer" name="FY"/>
            </a:graphicData>
          </a:graphic>
        </xdr:graphicFrame>
      </mc:Choice>
      <mc:Fallback xmlns="">
        <xdr:sp macro="" textlink="">
          <xdr:nvSpPr>
            <xdr:cNvPr id="0" name=""/>
            <xdr:cNvSpPr>
              <a:spLocks noTextEdit="1"/>
            </xdr:cNvSpPr>
          </xdr:nvSpPr>
          <xdr:spPr>
            <a:xfrm>
              <a:off x="0" y="19051"/>
              <a:ext cx="2057400" cy="600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1.59182858796" createdVersion="7" refreshedVersion="7" minRefreshableVersion="3" recordCount="2706" xr:uid="{C2AE971C-FD91-4D9A-8996-2A30C2FAABE6}">
  <cacheSource type="worksheet">
    <worksheetSource ref="A1:P2707" sheet="Main"/>
  </cacheSource>
  <cacheFields count="19">
    <cacheField name="SUBGROUP" numFmtId="0">
      <sharedItems count="21">
        <s v="PICKLE-350"/>
        <s v="PAPAYA FRUIT "/>
        <s v="JAM"/>
        <s v="PICKLE-500"/>
        <s v="PICKLE-Assorted"/>
        <s v="PASTA"/>
        <s v="PICKLE-400"/>
        <s v="SEWAI"/>
        <s v="PASTE"/>
        <s v="SAUCE"/>
        <s v="PICKLE-900"/>
        <s v="SAUCE-180"/>
        <s v="KETCHUP"/>
        <s v="MASALA"/>
        <s v="DOSA "/>
        <s v="IDLI"/>
        <s v="GULAB JAMUN"/>
        <s v="PICKLE-GODKERI"/>
        <s v="DHOKLA "/>
        <s v="CHUNKS "/>
        <s v="PICKLE-5kg"/>
      </sharedItems>
    </cacheField>
    <cacheField name="Month" numFmtId="0">
      <sharedItems count="9">
        <s v="Jun-2025"/>
        <s v="Jul-2025"/>
        <s v="Aug-2025"/>
        <s v="Sep-2025"/>
        <s v="Oct-2025"/>
        <s v="Nov-2025"/>
        <s v="Dec-2025"/>
        <s v="Jan-2026"/>
        <s v="Feb-2026"/>
      </sharedItems>
    </cacheField>
    <cacheField name="QTR" numFmtId="0">
      <sharedItems count="4">
        <s v="Q1"/>
        <s v="Q2"/>
        <s v="Q3"/>
        <s v="Q4"/>
      </sharedItems>
    </cacheField>
    <cacheField name="FY" numFmtId="0">
      <sharedItems count="1">
        <s v="2025-26"/>
      </sharedItems>
    </cacheField>
    <cacheField name="Date" numFmtId="14">
      <sharedItems containsSemiMixedTypes="0" containsNonDate="0" containsDate="1" containsString="0" minDate="2025-06-25T00:00:00" maxDate="2026-03-01T00:00:00" count="124">
        <d v="2025-06-25T00:00:00"/>
        <d v="2025-06-26T00:00:00"/>
        <d v="2025-06-27T00:00:00"/>
        <d v="2025-07-04T00:00:00"/>
        <d v="2025-07-07T00:00:00"/>
        <d v="2025-07-09T00:00:00"/>
        <d v="2025-07-21T00:00:00"/>
        <d v="2025-07-22T00:00:00"/>
        <d v="2025-07-24T00:00:00"/>
        <d v="2025-08-05T00:00:00"/>
        <d v="2025-08-10T00:00:00"/>
        <d v="2025-08-11T00:00:00"/>
        <d v="2025-08-12T00:00:00"/>
        <d v="2025-08-13T00:00:00"/>
        <d v="2025-08-14T00:00:00"/>
        <d v="2025-08-15T00:00:00"/>
        <d v="2025-08-17T00:00:00"/>
        <d v="2025-08-18T00:00:00"/>
        <d v="2025-08-19T00:00:00"/>
        <d v="2025-08-20T00:00:00"/>
        <d v="2025-08-22T00:00:00"/>
        <d v="2025-08-24T00:00:00"/>
        <d v="2025-08-25T00:00:00"/>
        <d v="2025-08-27T00:00:00"/>
        <d v="2025-08-28T00:00:00"/>
        <d v="2025-08-29T00:00:00"/>
        <d v="2025-08-31T00:00:00"/>
        <d v="2025-09-01T00:00:00"/>
        <d v="2025-09-04T00:00:00"/>
        <d v="2025-09-05T00:00:00"/>
        <d v="2025-09-08T00:00:00"/>
        <d v="2025-09-14T00:00:00"/>
        <d v="2025-09-15T00:00:00"/>
        <d v="2025-09-16T00:00:00"/>
        <d v="2025-09-17T00:00:00"/>
        <d v="2025-09-18T00:00:00"/>
        <d v="2025-09-19T00:00:00"/>
        <d v="2025-09-21T00:00:00"/>
        <d v="2025-09-22T00:00:00"/>
        <d v="2025-09-23T00:00:00"/>
        <d v="2025-09-26T00:00:00"/>
        <d v="2025-10-05T00:00:00"/>
        <d v="2025-10-06T00:00:00"/>
        <d v="2025-10-07T00:00:00"/>
        <d v="2025-10-09T00:00:00"/>
        <d v="2025-10-10T00:00:00"/>
        <d v="2025-10-12T00:00:00"/>
        <d v="2025-10-13T00:00:00"/>
        <d v="2025-10-14T00:00:00"/>
        <d v="2025-10-15T00:00:00"/>
        <d v="2025-10-16T00:00:00"/>
        <d v="2025-10-17T00:00:00"/>
        <d v="2025-10-28T00:00:00"/>
        <d v="2025-10-30T00:00:00"/>
        <d v="2025-10-31T00:00:00"/>
        <d v="2025-11-06T00:00:00"/>
        <d v="2025-11-07T00:00:00"/>
        <d v="2025-11-09T00:00:00"/>
        <d v="2025-11-10T00:00:00"/>
        <d v="2025-11-11T00:00:00"/>
        <d v="2025-11-14T00:00:00"/>
        <d v="2025-11-16T00:00:00"/>
        <d v="2025-11-17T00:00:00"/>
        <d v="2025-11-19T00:00:00"/>
        <d v="2025-11-20T00:00:00"/>
        <d v="2025-11-21T00:00:00"/>
        <d v="2025-11-23T00:00:00"/>
        <d v="2025-11-24T00:00:00"/>
        <d v="2025-11-25T00:00:00"/>
        <d v="2025-11-26T00:00:00"/>
        <d v="2025-11-27T00:00:00"/>
        <d v="2025-11-28T00:00:00"/>
        <d v="2025-11-30T00:00:00"/>
        <d v="2025-12-01T00:00:00"/>
        <d v="2025-12-02T00:00:00"/>
        <d v="2025-12-03T00:00:00"/>
        <d v="2025-12-04T00:00:00"/>
        <d v="2025-12-05T00:00:00"/>
        <d v="2025-12-08T00:00:00"/>
        <d v="2025-12-09T00:00:00"/>
        <d v="2025-12-10T00:00:00"/>
        <d v="2025-12-12T00:00:00"/>
        <d v="2025-12-14T00:00:00"/>
        <d v="2025-12-15T00:00:00"/>
        <d v="2025-12-16T00:00:00"/>
        <d v="2025-12-18T00:00:00"/>
        <d v="2025-12-21T00:00:00"/>
        <d v="2025-12-22T00:00:00"/>
        <d v="2025-12-23T00:00:00"/>
        <d v="2025-12-24T00:00:00"/>
        <d v="2025-12-25T00:00:00"/>
        <d v="2025-12-26T00:00:00"/>
        <d v="2025-12-29T00:00:00"/>
        <d v="2025-12-30T00:00:00"/>
        <d v="2025-12-31T00:00:00"/>
        <d v="2026-01-02T00:00:00"/>
        <d v="2026-01-05T00:00:00"/>
        <d v="2026-01-06T00:00:00"/>
        <d v="2026-01-11T00:00:00"/>
        <d v="2026-01-13T00:00:00"/>
        <d v="2026-01-14T00:00:00"/>
        <d v="2026-01-15T00:00:00"/>
        <d v="2026-01-16T00:00:00"/>
        <d v="2026-01-19T00:00:00"/>
        <d v="2026-01-20T00:00:00"/>
        <d v="2026-01-23T00:00:00"/>
        <d v="2026-01-25T00:00:00"/>
        <d v="2026-01-27T00:00:00"/>
        <d v="2026-01-28T00:00:00"/>
        <d v="2026-01-30T00:00:00"/>
        <d v="2026-02-02T00:00:00"/>
        <d v="2026-02-03T00:00:00"/>
        <d v="2026-02-04T00:00:00"/>
        <d v="2026-02-06T00:00:00"/>
        <d v="2026-02-09T00:00:00"/>
        <d v="2026-02-10T00:00:00"/>
        <d v="2026-02-13T00:00:00"/>
        <d v="2026-02-17T00:00:00"/>
        <d v="2026-02-18T00:00:00"/>
        <d v="2026-02-22T00:00:00"/>
        <d v="2026-02-25T00:00:00"/>
        <d v="2026-02-26T00:00:00"/>
        <d v="2026-02-27T00:00:00"/>
        <d v="2026-02-28T00:00:00"/>
      </sharedItems>
      <fieldGroup par="18"/>
    </cacheField>
    <cacheField name="Inv.No" numFmtId="0">
      <sharedItems/>
    </cacheField>
    <cacheField name="Customer" numFmtId="0">
      <sharedItems/>
    </cacheField>
    <cacheField name="Product" numFmtId="0">
      <sharedItems count="63">
        <s v="NILONS CHILLI PICKLE 350GM*40"/>
        <s v="NILONS MANGO PICKLE 350GM*40"/>
        <s v="NILONS PAPAYA  FRUIT  GREEN 800 GM*18"/>
        <s v="NILONS MIX FRUIT JAM-500GM*20"/>
        <s v="NILONS MANGO PICKLE 500GM*20"/>
        <s v="NILONS ASSORTED MIX PICKLES 50 GM*6*30"/>
        <s v="NILONS MIX PICKLE 350GM*40"/>
        <s v="NILONS PASTA ELBOW-350GM*42"/>
        <s v="NILONS  PASTA PENNE-350GM*42"/>
        <s v="NILONS MIX PICKLE 500GM*20"/>
        <s v="NILONS PASTA FUSILLI-350GM*42"/>
        <s v="NILONS MANGO PICKLE 400GM*20"/>
        <s v="NILONS CUT SEWAI 130GM*130"/>
        <s v="NILONS SCHEZWAN CHUTNEY 250GM*24"/>
        <s v="NILONS SOYA SAUCE-700GM*24"/>
        <s v="NILONS CHILLI PICKLE 500GM*20"/>
        <s v="NILONS LIME PICKLE 400GM*20"/>
        <s v="NILONS CHILLI PICKLE 400GM*20"/>
        <s v="NILONS MANGO PICKLE 900*15"/>
        <s v="NILONS SOYA SAUCE 180GM*40"/>
        <s v="NILONS TOMATO KETCHUP 8GM*100*16"/>
        <s v="NILONS SCHEZWAN FRIED RICE MASALA 20GM*240"/>
        <s v="NILONS PIZZA PASTA SAUCE 250GM*24"/>
        <s v="NILONS PASTA MASALA 8GM*600"/>
        <s v="NILONS PAPAYA FRUIT PRESERVED-RED 800GM*18"/>
        <s v="NILONS PAPAYA FRUIT PRESERVED-YELLOW 800GM*18"/>
        <s v="NILONS PAPAYA FRUIT PRESERVED-MIXED 800GM*18"/>
        <s v="NILONS ROASTED SEWAI 100GM*70"/>
        <s v="NILONS STANDARD MIXED PICKLE 400GM*20"/>
        <s v="NILONS STANDARD MANGO PICKLE 400GM*20"/>
        <s v="NILONS STANDARD GARLIC PICKLE 400GM*20"/>
        <s v="NILONS DOSA MIX 200G*60"/>
        <s v="NILONS IDLI MIX 200GM*60"/>
        <s v="NILONS GINGER GARLIC PASTE 180GM*40"/>
        <s v="NILONS GINGER PASTE 180GM*40"/>
        <s v="NILONS GULAB JAMUN MIX 175GM*60"/>
        <s v="NILONS CHINESE RED CHILLI SAUCE 180GM*40"/>
        <s v="NILONS CHINESE GREEN CHILLI SAUCE 180GM*40"/>
        <s v="NILONS CHINESE SOYA SAUCE 700GM*24"/>
        <s v="NILONS GODKERI PICKLE 475GM*20"/>
        <s v="NILONS CHOWMEIN MASALA 10GM*600"/>
        <s v="NILONS GARLIC PASTE 180GM*40"/>
        <s v="NILONS GULABJAMUN MIX 500GM*30"/>
        <s v="NILONS KHAMAN DHOKLA MIX 200G*60"/>
        <s v="NILONS RED CHILLI SAUCE 660GM*24"/>
        <s v="NILONS KHANA KHAZANA MANGO PICKLE 900GM*15"/>
        <s v="NILONS KHANA KHAZANA MIX PICKLE 500GM*20"/>
        <s v="NILONS KHANA KHAZANA MIX PICKLE 350GM*40"/>
        <s v="NILONS STANDARD LIME PICKLE 400GM*20"/>
        <s v="NILONS KHANA KHAZANA MIX PICKLE 900GM*15"/>
        <s v="NILONS MANCHURIAN MASALA 20GM*240"/>
        <s v="NILONS SOYA CHUNKS 160GM*50"/>
        <s v="NILONS CLASSIC MIX PICKLE 5KG*4"/>
        <s v="NILONS CHINESE SOYA SAUCE 180GM*40"/>
        <s v="NILONS KHANA KHAZANA CHILLI PICKLE 500GM*20"/>
        <s v="NILONS KHANA KHAZANA MANGO PICKLE 500GM*20"/>
        <s v="NILONS GINGER GARLIC PASTE 25GM*800"/>
        <s v="NILONS KHANA KHAZANA MANGO PICKLE 350GM*40"/>
        <s v="NILONS KHANA KHAZANA CHILLI PICKLE 350GM*40"/>
        <s v="NILONS STANDARD CHILLI PICKLE 400GM*20"/>
        <s v="NILONS TOMATO KETCHUP 8GM*100*10"/>
        <s v="NILONS SOYA CHUNKS 200GM*50"/>
        <s v="NILONS RED STUFF CHILLI PICKLE 400GM*20"/>
      </sharedItems>
    </cacheField>
    <cacheField name="Alt Qty" numFmtId="164">
      <sharedItems containsSemiMixedTypes="0" containsString="0" containsNumber="1" minValue="-50" maxValue="349"/>
    </cacheField>
    <cacheField name="Qty" numFmtId="164">
      <sharedItems containsSemiMixedTypes="0" containsString="0" containsNumber="1" minValue="-1600" maxValue="6282"/>
    </cacheField>
    <cacheField name="Rate" numFmtId="164">
      <sharedItems containsSemiMixedTypes="0" containsString="0" containsNumber="1" minValue="1.76" maxValue="595.94000000000005"/>
    </cacheField>
    <cacheField name="Basic Amount" numFmtId="164">
      <sharedItems containsSemiMixedTypes="0" containsString="0" containsNumber="1" minValue="-160902" maxValue="1123095.96"/>
    </cacheField>
    <cacheField name="Discount" numFmtId="164">
      <sharedItems containsSemiMixedTypes="0" containsString="0" containsNumber="1" minValue="-86366.080000000002" maxValue="12373.36"/>
    </cacheField>
    <cacheField name="Cash Discount" numFmtId="164">
      <sharedItems containsSemiMixedTypes="0" containsString="0" containsNumber="1" minValue="-1178.7836580000001" maxValue="0"/>
    </cacheField>
    <cacheField name="VAT" numFmtId="164">
      <sharedItems containsSemiMixedTypes="0" containsString="0" containsNumber="1" minValue="-19308.722778000003" maxValue="134774.88899000001"/>
    </cacheField>
    <cacheField name="Total Amount" numFmtId="164">
      <sharedItems containsSemiMixedTypes="0" containsString="0" containsNumber="1" minValue="-167837.36277800001" maxValue="1171504.76899"/>
    </cacheField>
    <cacheField name="Months (Date)" numFmtId="0" databaseField="0">
      <fieldGroup base="4">
        <rangePr groupBy="months" startDate="2025-06-25T00:00:00" endDate="2026-03-01T00:00:00"/>
        <groupItems count="14">
          <s v="&lt;25-06-2025"/>
          <s v="Jan"/>
          <s v="Feb"/>
          <s v="Mar"/>
          <s v="Apr"/>
          <s v="May"/>
          <s v="Jun"/>
          <s v="Jul"/>
          <s v="Aug"/>
          <s v="Sep"/>
          <s v="Oct"/>
          <s v="Nov"/>
          <s v="Dec"/>
          <s v="&gt;01-03-2026"/>
        </groupItems>
      </fieldGroup>
    </cacheField>
    <cacheField name="Quarters (Date)" numFmtId="0" databaseField="0">
      <fieldGroup base="4">
        <rangePr groupBy="quarters" startDate="2025-06-25T00:00:00" endDate="2026-03-01T00:00:00"/>
        <groupItems count="6">
          <s v="&lt;25-06-2025"/>
          <s v="Qtr1"/>
          <s v="Qtr2"/>
          <s v="Qtr3"/>
          <s v="Qtr4"/>
          <s v="&gt;01-03-2026"/>
        </groupItems>
      </fieldGroup>
    </cacheField>
    <cacheField name="Years (Date)" numFmtId="0" databaseField="0">
      <fieldGroup base="4">
        <rangePr groupBy="years" startDate="2025-06-25T00:00:00" endDate="2026-03-01T00:00:00"/>
        <groupItems count="4">
          <s v="&lt;25-06-2025"/>
          <s v="2025"/>
          <s v="2026"/>
          <s v="&gt;01-03-2026"/>
        </groupItems>
      </fieldGroup>
    </cacheField>
  </cacheFields>
  <extLst>
    <ext xmlns:x14="http://schemas.microsoft.com/office/spreadsheetml/2009/9/main" uri="{725AE2AE-9491-48be-B2B4-4EB974FC3084}">
      <x14:pivotCacheDefinition pivotCacheId="3086255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1.591829861114" createdVersion="8" refreshedVersion="7" minRefreshableVersion="3" recordCount="2438" xr:uid="{FEC22015-CDE9-4E7A-ACC4-51BE88F20507}">
  <cacheSource type="worksheet">
    <worksheetSource ref="B1:P2439" sheet="Main"/>
  </cacheSource>
  <cacheFields count="18">
    <cacheField name="Month" numFmtId="0">
      <sharedItems count="26">
        <s v="Jun-2025"/>
        <s v="Jul-2025"/>
        <s v="Aug-2025"/>
        <s v="Sep-2025"/>
        <s v="Oct-2025"/>
        <s v="Nov-2025"/>
        <s v="Dec-2025"/>
        <s v="Jan-2026"/>
        <s v="Mar-2025" u="1"/>
        <s v="Nov-2024" u="1"/>
        <s v="Dec-2024" u="1"/>
        <s v="Oct-2024" u="1"/>
        <s v="Jul-2024" u="1"/>
        <s v="Mar-2024" u="1"/>
        <s v="May-2025" u="1"/>
        <s v="Aug-2024" u="1"/>
        <s v="Jun-2024" u="1"/>
        <s v="Dec-2023" u="1"/>
        <s v="May-2024" u="1"/>
        <s v="Jan-2025" u="1"/>
        <s v="Feb-2025" u="1"/>
        <s v="Apr-2025" u="1"/>
        <s v="Sep-2024" u="1"/>
        <s v="Jan-2024" u="1"/>
        <s v="Feb-2024" u="1"/>
        <s v="Apr-2024" u="1"/>
      </sharedItems>
    </cacheField>
    <cacheField name="QTR" numFmtId="0">
      <sharedItems/>
    </cacheField>
    <cacheField name="FY" numFmtId="0">
      <sharedItems count="3">
        <s v="2025-26"/>
        <s v="2024-25" u="1"/>
        <s v="2023-24" u="1"/>
      </sharedItems>
    </cacheField>
    <cacheField name="Date" numFmtId="14">
      <sharedItems containsSemiMixedTypes="0" containsNonDate="0" containsDate="1" containsString="0" minDate="2023-12-22T00:00:00" maxDate="2026-01-31T00:00:00" count="472">
        <d v="2025-06-25T00:00:00"/>
        <d v="2025-06-26T00:00:00"/>
        <d v="2025-06-27T00:00:00"/>
        <d v="2025-07-04T00:00:00"/>
        <d v="2025-07-07T00:00:00"/>
        <d v="2025-07-09T00:00:00"/>
        <d v="2025-07-21T00:00:00"/>
        <d v="2025-07-22T00:00:00"/>
        <d v="2025-07-24T00:00:00"/>
        <d v="2025-08-05T00:00:00"/>
        <d v="2025-08-10T00:00:00"/>
        <d v="2025-08-11T00:00:00"/>
        <d v="2025-08-12T00:00:00"/>
        <d v="2025-08-13T00:00:00"/>
        <d v="2025-08-14T00:00:00"/>
        <d v="2025-08-15T00:00:00"/>
        <d v="2025-08-17T00:00:00"/>
        <d v="2025-08-18T00:00:00"/>
        <d v="2025-08-19T00:00:00"/>
        <d v="2025-08-20T00:00:00"/>
        <d v="2025-08-22T00:00:00"/>
        <d v="2025-08-24T00:00:00"/>
        <d v="2025-08-25T00:00:00"/>
        <d v="2025-08-27T00:00:00"/>
        <d v="2025-08-28T00:00:00"/>
        <d v="2025-08-29T00:00:00"/>
        <d v="2025-08-31T00:00:00"/>
        <d v="2025-09-01T00:00:00"/>
        <d v="2025-09-04T00:00:00"/>
        <d v="2025-09-05T00:00:00"/>
        <d v="2025-09-08T00:00:00"/>
        <d v="2025-09-14T00:00:00"/>
        <d v="2025-09-15T00:00:00"/>
        <d v="2025-09-16T00:00:00"/>
        <d v="2025-09-17T00:00:00"/>
        <d v="2025-09-18T00:00:00"/>
        <d v="2025-09-19T00:00:00"/>
        <d v="2025-09-21T00:00:00"/>
        <d v="2025-09-22T00:00:00"/>
        <d v="2025-09-23T00:00:00"/>
        <d v="2025-09-26T00:00:00"/>
        <d v="2025-10-05T00:00:00"/>
        <d v="2025-10-06T00:00:00"/>
        <d v="2025-10-07T00:00:00"/>
        <d v="2025-10-09T00:00:00"/>
        <d v="2025-10-10T00:00:00"/>
        <d v="2025-10-12T00:00:00"/>
        <d v="2025-10-13T00:00:00"/>
        <d v="2025-10-14T00:00:00"/>
        <d v="2025-10-15T00:00:00"/>
        <d v="2025-10-16T00:00:00"/>
        <d v="2025-10-17T00:00:00"/>
        <d v="2025-10-28T00:00:00"/>
        <d v="2025-10-30T00:00:00"/>
        <d v="2025-10-31T00:00:00"/>
        <d v="2025-11-06T00:00:00"/>
        <d v="2025-11-07T00:00:00"/>
        <d v="2025-11-09T00:00:00"/>
        <d v="2025-11-10T00:00:00"/>
        <d v="2025-11-11T00:00:00"/>
        <d v="2025-11-14T00:00:00"/>
        <d v="2025-11-16T00:00:00"/>
        <d v="2025-11-17T00:00:00"/>
        <d v="2025-11-19T00:00:00"/>
        <d v="2025-11-20T00:00:00"/>
        <d v="2025-11-21T00:00:00"/>
        <d v="2025-11-23T00:00:00"/>
        <d v="2025-11-24T00:00:00"/>
        <d v="2025-11-25T00:00:00"/>
        <d v="2025-11-26T00:00:00"/>
        <d v="2025-11-27T00:00:00"/>
        <d v="2025-11-28T00:00:00"/>
        <d v="2025-11-30T00:00:00"/>
        <d v="2025-12-01T00:00:00"/>
        <d v="2025-12-02T00:00:00"/>
        <d v="2025-12-03T00:00:00"/>
        <d v="2025-12-04T00:00:00"/>
        <d v="2025-12-05T00:00:00"/>
        <d v="2025-12-08T00:00:00"/>
        <d v="2025-12-09T00:00:00"/>
        <d v="2025-12-10T00:00:00"/>
        <d v="2025-12-12T00:00:00"/>
        <d v="2025-12-14T00:00:00"/>
        <d v="2025-12-15T00:00:00"/>
        <d v="2025-12-16T00:00:00"/>
        <d v="2025-12-18T00:00:00"/>
        <d v="2025-12-21T00:00:00"/>
        <d v="2025-12-22T00:00:00"/>
        <d v="2025-12-23T00:00:00"/>
        <d v="2025-12-24T00:00:00"/>
        <d v="2025-12-25T00:00:00"/>
        <d v="2025-12-26T00:00:00"/>
        <d v="2025-12-29T00:00:00"/>
        <d v="2025-12-30T00:00:00"/>
        <d v="2025-12-31T00:00:00"/>
        <d v="2026-01-02T00:00:00"/>
        <d v="2026-01-05T00:00:00"/>
        <d v="2026-01-06T00:00:00"/>
        <d v="2026-01-11T00:00:00"/>
        <d v="2026-01-13T00:00:00"/>
        <d v="2026-01-14T00:00:00"/>
        <d v="2026-01-15T00:00:00"/>
        <d v="2026-01-16T00:00:00"/>
        <d v="2026-01-19T00:00:00"/>
        <d v="2026-01-20T00:00:00"/>
        <d v="2026-01-23T00:00:00"/>
        <d v="2026-01-25T00:00:00"/>
        <d v="2026-01-27T00:00:00"/>
        <d v="2026-01-28T00:00:00"/>
        <d v="2026-01-30T00:00:00"/>
        <d v="2024-05-26T00:00:00" u="1"/>
        <d v="2024-09-08T00:00:00" u="1"/>
        <d v="2024-12-30T00:00:00" u="1"/>
        <d v="2025-06-12T00:00:00" u="1"/>
        <d v="2025-08-03T00:00:00" u="1"/>
        <d v="2024-01-18T00:00:00" u="1"/>
        <d v="2024-08-22T00:00:00" u="1"/>
        <d v="2025-05-26T00:00:00" u="1"/>
        <d v="2024-04-14T00:00:00" u="1"/>
        <d v="2024-06-05T00:00:00" u="1"/>
        <d v="2024-09-27T00:00:00" u="1"/>
        <d v="2024-11-18T00:00:00" u="1"/>
        <d v="2025-03-09T00:00:00" u="1"/>
        <d v="2024-03-28T00:00:00" u="1"/>
        <d v="2024-05-19T00:00:00" u="1"/>
        <d v="2024-07-10T00:00:00" u="1"/>
        <d v="2024-12-23T00:00:00" u="1"/>
        <d v="2025-02-23T00:00:00" u="1"/>
        <d v="2025-06-05T00:00:00" u="1"/>
        <d v="2025-11-18T00:00:00" u="1"/>
        <d v="2024-01-11T00:00:00" u="1"/>
        <d v="2024-06-24T00:00:00" u="1"/>
        <d v="2024-08-15T00:00:00" u="1"/>
        <d v="2024-10-06T00:00:00" u="1"/>
        <d v="2025-03-28T00:00:00" u="1"/>
        <d v="2025-05-19T00:00:00" u="1"/>
        <d v="2025-07-10T00:00:00" u="1"/>
        <d v="2024-02-16T00:00:00" u="1"/>
        <d v="2024-04-07T00:00:00" u="1"/>
        <d v="2024-07-29T00:00:00" u="1"/>
        <d v="2024-09-20T00:00:00" u="1"/>
        <d v="2024-11-11T00:00:00" u="1"/>
        <d v="2025-03-02T00:00:00" u="1"/>
        <d v="2025-06-24T00:00:00" u="1"/>
        <d v="2024-01-30T00:00:00" u="1"/>
        <d v="2024-03-21T00:00:00" u="1"/>
        <d v="2024-07-03T00:00:00" u="1"/>
        <d v="2024-10-25T00:00:00" u="1"/>
        <d v="2025-02-16T00:00:00" u="1"/>
        <d v="2025-04-07T00:00:00" u="1"/>
        <d v="2025-07-29T00:00:00" u="1"/>
        <d v="2024-06-17T00:00:00" u="1"/>
        <d v="2025-01-30T00:00:00" u="1"/>
        <d v="2025-03-21T00:00:00" u="1"/>
        <d v="2025-07-03T00:00:00" u="1"/>
        <d v="2024-05-31T00:00:00" u="1"/>
        <d v="2024-07-22T00:00:00" u="1"/>
        <d v="2025-06-17T00:00:00" u="1"/>
        <d v="2025-08-08T00:00:00" u="1"/>
        <d v="2024-01-23T00:00:00" u="1"/>
        <d v="2024-03-14T00:00:00" u="1"/>
        <d v="2024-08-27T00:00:00" u="1"/>
        <d v="2024-10-18T00:00:00" u="1"/>
        <d v="2025-09-13T00:00:00" u="1"/>
        <d v="2025-11-04T00:00:00" u="1"/>
        <d v="2023-12-28T00:00:00" u="1"/>
        <d v="2024-02-28T00:00:00" u="1"/>
        <d v="2024-04-19T00:00:00" u="1"/>
        <d v="2024-06-10T00:00:00" u="1"/>
        <d v="2025-01-23T00:00:00" u="1"/>
        <d v="2025-03-14T00:00:00" u="1"/>
        <d v="2025-05-05T00:00:00" u="1"/>
        <d v="2024-05-24T00:00:00" u="1"/>
        <d v="2025-02-28T00:00:00" u="1"/>
        <d v="2025-06-10T00:00:00" u="1"/>
        <d v="2024-03-07T00:00:00" u="1"/>
        <d v="2024-02-21T00:00:00" u="1"/>
        <d v="2024-04-12T00:00:00" u="1"/>
        <d v="2024-09-25T00:00:00" u="1"/>
        <d v="2025-03-07T00:00:00" u="1"/>
        <d v="2024-03-26T00:00:00" u="1"/>
        <d v="2024-05-17T00:00:00" u="1"/>
        <d v="2024-07-08T00:00:00" u="1"/>
        <d v="2024-10-30T00:00:00" u="1"/>
        <d v="2025-02-21T00:00:00" u="1"/>
        <d v="2025-06-03T00:00:00" u="1"/>
        <d v="2025-09-25T00:00:00" u="1"/>
        <d v="2024-01-09T00:00:00" u="1"/>
        <d v="2024-08-13T00:00:00" u="1"/>
        <d v="2025-03-26T00:00:00" u="1"/>
        <d v="2025-07-08T00:00:00" u="1"/>
        <d v="2024-02-14T00:00:00" u="1"/>
        <d v="2024-09-18T00:00:00" u="1"/>
        <d v="2025-01-09T00:00:00" u="1"/>
        <d v="2025-06-22T00:00:00" u="1"/>
        <d v="2024-01-28T00:00:00" u="1"/>
        <d v="2024-05-10T00:00:00" u="1"/>
        <d v="2024-10-23T00:00:00" u="1"/>
        <d v="2025-02-14T00:00:00" u="1"/>
        <d v="2025-07-27T00:00:00" u="1"/>
        <d v="2024-04-24T00:00:00" u="1"/>
        <d v="2024-08-06T00:00:00" u="1"/>
        <d v="2024-11-28T00:00:00" u="1"/>
        <d v="2025-01-28T00:00:00" u="1"/>
        <d v="2025-03-19T00:00:00" u="1"/>
        <d v="2025-07-01T00:00:00" u="1"/>
        <d v="2024-02-07T00:00:00" u="1"/>
        <d v="2024-09-11T00:00:00" u="1"/>
        <d v="2025-06-15T00:00:00" u="1"/>
        <d v="2024-01-21T00:00:00" u="1"/>
        <d v="2024-03-12T00:00:00" u="1"/>
        <d v="2024-08-25T00:00:00" u="1"/>
        <d v="2024-10-16T00:00:00" u="1"/>
        <d v="2025-02-07T00:00:00" u="1"/>
        <d v="2025-05-29T00:00:00" u="1"/>
        <d v="2025-11-02T00:00:00" u="1"/>
        <d v="2023-12-26T00:00:00" u="1"/>
        <d v="2024-02-26T00:00:00" u="1"/>
        <d v="2024-04-17T00:00:00" u="1"/>
        <d v="2024-09-30T00:00:00" u="1"/>
        <d v="2024-11-21T00:00:00" u="1"/>
        <d v="2025-01-21T00:00:00" u="1"/>
        <d v="2025-03-12T00:00:00" u="1"/>
        <d v="2024-03-31T00:00:00" u="1"/>
        <d v="2024-05-22T00:00:00" u="1"/>
        <d v="2024-12-26T00:00:00" u="1"/>
        <d v="2025-04-17T00:00:00" u="1"/>
        <d v="2025-06-08T00:00:00" u="1"/>
        <d v="2024-01-14T00:00:00" u="1"/>
        <d v="2024-03-05T00:00:00" u="1"/>
        <d v="2024-06-27T00:00:00" u="1"/>
        <d v="2024-08-18T00:00:00" u="1"/>
        <d v="2025-03-31T00:00:00" u="1"/>
        <d v="2025-07-13T00:00:00" u="1"/>
        <d v="2024-02-19T00:00:00" u="1"/>
        <d v="2024-04-10T00:00:00" u="1"/>
        <d v="2024-09-23T00:00:00" u="1"/>
        <d v="2025-01-14T00:00:00" u="1"/>
        <d v="2025-03-05T00:00:00" u="1"/>
        <d v="2024-05-15T00:00:00" u="1"/>
        <d v="2024-10-28T00:00:00" u="1"/>
        <d v="2024-12-19T00:00:00" u="1"/>
        <d v="2025-02-19T00:00:00" u="1"/>
        <d v="2025-04-10T00:00:00" u="1"/>
        <d v="2025-06-01T00:00:00" u="1"/>
        <d v="2024-01-07T00:00:00" u="1"/>
        <d v="2025-03-24T00:00:00" u="1"/>
        <d v="2025-07-06T00:00:00" u="1"/>
        <d v="2024-02-12T00:00:00" u="1"/>
        <d v="2024-07-25T00:00:00" u="1"/>
        <d v="2024-09-16T00:00:00" u="1"/>
        <d v="2025-01-07T00:00:00" u="1"/>
        <d v="2025-06-20T00:00:00" u="1"/>
        <d v="2024-01-26T00:00:00" u="1"/>
        <d v="2024-03-17T00:00:00" u="1"/>
        <d v="2024-05-08T00:00:00" u="1"/>
        <d v="2024-08-30T00:00:00" u="1"/>
        <d v="2024-10-21T00:00:00" u="1"/>
        <d v="2024-12-12T00:00:00" u="1"/>
        <d v="2025-02-12T00:00:00" u="1"/>
        <d v="2025-04-03T00:00:00" u="1"/>
        <d v="2025-07-25T00:00:00" u="1"/>
        <d v="2023-12-31T00:00:00" u="1"/>
        <d v="2024-04-22T00:00:00" u="1"/>
        <d v="2024-06-13T00:00:00" u="1"/>
        <d v="2024-11-26T00:00:00" u="1"/>
        <d v="2025-01-26T00:00:00" u="1"/>
        <d v="2025-03-17T00:00:00" u="1"/>
        <d v="2025-05-08T00:00:00" u="1"/>
        <d v="2024-05-27T00:00:00" u="1"/>
        <d v="2024-09-09T00:00:00" u="1"/>
        <d v="2024-12-31T00:00:00" u="1"/>
        <d v="2025-06-13T00:00:00" u="1"/>
        <d v="2024-01-19T00:00:00" u="1"/>
        <d v="2024-03-10T00:00:00" u="1"/>
        <d v="2024-12-05T00:00:00" u="1"/>
        <d v="2025-02-05T00:00:00" u="1"/>
        <d v="2025-05-27T00:00:00" u="1"/>
        <d v="2024-04-15T00:00:00" u="1"/>
        <d v="2024-06-06T00:00:00" u="1"/>
        <d v="2025-01-19T00:00:00" u="1"/>
        <d v="2025-03-10T00:00:00" u="1"/>
        <d v="2024-03-29T00:00:00" u="1"/>
        <d v="2024-09-02T00:00:00" u="1"/>
        <d v="2024-12-24T00:00:00" u="1"/>
        <d v="2025-02-24T00:00:00" u="1"/>
        <d v="2025-09-28T00:00:00" u="1"/>
        <d v="2024-06-25T00:00:00" u="1"/>
        <d v="2024-08-16T00:00:00" u="1"/>
        <d v="2024-10-07T00:00:00" u="1"/>
        <d v="2025-05-20T00:00:00" u="1"/>
        <d v="2025-09-02T00:00:00" u="1"/>
        <d v="2024-04-08T00:00:00" u="1"/>
        <d v="2024-07-30T00:00:00" u="1"/>
        <d v="2025-01-12T00:00:00" u="1"/>
        <d v="2024-01-31T00:00:00" u="1"/>
        <d v="2024-03-22T00:00:00" u="1"/>
        <d v="2024-07-04T00:00:00" u="1"/>
        <d v="2024-12-17T00:00:00" u="1"/>
        <d v="2025-02-17T00:00:00" u="1"/>
        <d v="2025-04-08T00:00:00" u="1"/>
        <d v="2025-07-30T00:00:00" u="1"/>
        <d v="2025-11-12T00:00:00" u="1"/>
        <d v="2024-01-05T00:00:00" u="1"/>
        <d v="2024-06-18T00:00:00" u="1"/>
        <d v="2025-01-31T00:00:00" u="1"/>
        <d v="2024-07-23T00:00:00" u="1"/>
        <d v="2025-06-18T00:00:00" u="1"/>
        <d v="2024-01-24T00:00:00" u="1"/>
        <d v="2024-08-28T00:00:00" u="1"/>
        <d v="2024-12-10T00:00:00" u="1"/>
        <d v="2025-02-10T00:00:00" u="1"/>
        <d v="2025-04-01T00:00:00" u="1"/>
        <d v="2025-07-23T00:00:00" u="1"/>
        <d v="2025-11-05T00:00:00" u="1"/>
        <d v="2023-12-29T00:00:00" u="1"/>
        <d v="2024-02-29T00:00:00" u="1"/>
        <d v="2024-06-11T00:00:00" u="1"/>
        <d v="2024-12-29T00:00:00" u="1"/>
        <d v="2025-04-20T00:00:00" u="1"/>
        <d v="2024-01-17T00:00:00" u="1"/>
        <d v="2024-06-30T00:00:00" u="1"/>
        <d v="2024-08-21T00:00:00" u="1"/>
        <d v="2025-02-03T00:00:00" u="1"/>
        <d v="2025-05-25T00:00:00" u="1"/>
        <d v="2025-09-07T00:00:00" u="1"/>
        <d v="2023-12-22T00:00:00" u="1"/>
        <d v="2024-02-22T00:00:00" u="1"/>
        <d v="2024-06-04T00:00:00" u="1"/>
        <d v="2024-09-26T00:00:00" u="1"/>
        <d v="2024-11-17T00:00:00" u="1"/>
        <d v="2025-01-17T00:00:00" u="1"/>
        <d v="2025-08-21T00:00:00" u="1"/>
        <d v="2024-03-27T00:00:00" u="1"/>
        <d v="2024-07-09T00:00:00" u="1"/>
        <d v="2025-04-13T00:00:00" u="1"/>
        <d v="2025-06-04T00:00:00" u="1"/>
        <d v="2024-08-14T00:00:00" u="1"/>
        <d v="2025-03-27T00:00:00" u="1"/>
        <d v="2025-05-18T00:00:00" u="1"/>
        <d v="2024-02-15T00:00:00" u="1"/>
        <d v="2024-07-28T00:00:00" u="1"/>
        <d v="2024-09-19T00:00:00" u="1"/>
        <d v="2025-01-10T00:00:00" u="1"/>
        <d v="2025-06-23T00:00:00" u="1"/>
        <d v="2024-01-29T00:00:00" u="1"/>
        <d v="2024-03-20T00:00:00" u="1"/>
        <d v="2024-10-24T00:00:00" u="1"/>
        <d v="2024-12-15T00:00:00" u="1"/>
        <d v="2025-04-06T00:00:00" u="1"/>
        <d v="2025-07-28T00:00:00" u="1"/>
        <d v="2024-01-03T00:00:00" u="1"/>
        <d v="2024-04-25T00:00:00" u="1"/>
        <d v="2024-06-16T00:00:00" u="1"/>
        <d v="2024-08-07T00:00:00" u="1"/>
        <d v="2024-11-29T00:00:00" u="1"/>
        <d v="2025-01-29T00:00:00" u="1"/>
        <d v="2025-03-20T00:00:00" u="1"/>
        <d v="2025-05-11T00:00:00" u="1"/>
        <d v="2025-07-02T00:00:00" u="1"/>
        <d v="2024-02-08T00:00:00" u="1"/>
        <d v="2024-07-21T00:00:00" u="1"/>
        <d v="2024-09-12T00:00:00" u="1"/>
        <d v="2025-01-03T00:00:00" u="1"/>
        <d v="2025-06-16T00:00:00" u="1"/>
        <d v="2025-08-07T00:00:00" u="1"/>
        <d v="2024-01-22T00:00:00" u="1"/>
        <d v="2024-03-13T00:00:00" u="1"/>
        <d v="2024-10-17T00:00:00" u="1"/>
        <d v="2024-12-08T00:00:00" u="1"/>
        <d v="2025-05-30T00:00:00" u="1"/>
        <d v="2025-11-03T00:00:00" u="1"/>
        <d v="2023-12-27T00:00:00" u="1"/>
        <d v="2024-02-27T00:00:00" u="1"/>
        <d v="2024-04-18T00:00:00" u="1"/>
        <d v="2024-11-22T00:00:00" u="1"/>
        <d v="2025-01-22T00:00:00" u="1"/>
        <d v="2025-05-04T00:00:00" u="1"/>
        <d v="2024-05-23T00:00:00" u="1"/>
        <d v="2024-07-14T00:00:00" u="1"/>
        <d v="2024-09-05T00:00:00" u="1"/>
        <d v="2025-04-18T00:00:00" u="1"/>
        <d v="2025-06-09T00:00:00" u="1"/>
        <d v="2024-01-15T00:00:00" u="1"/>
        <d v="2024-03-06T00:00:00" u="1"/>
        <d v="2024-06-28T00:00:00" u="1"/>
        <d v="2025-07-14T00:00:00" u="1"/>
        <d v="2024-04-11T00:00:00" u="1"/>
        <d v="2024-09-24T00:00:00" u="1"/>
        <d v="2024-11-15T00:00:00" u="1"/>
        <d v="2025-01-15T00:00:00" u="1"/>
        <d v="2024-03-25T00:00:00" u="1"/>
        <d v="2024-05-16T00:00:00" u="1"/>
        <d v="2024-10-29T00:00:00" u="1"/>
        <d v="2024-12-20T00:00:00" u="1"/>
        <d v="2025-02-20T00:00:00" u="1"/>
        <d v="2025-09-24T00:00:00" u="1"/>
        <d v="2024-01-08T00:00:00" u="1"/>
        <d v="2024-04-30T00:00:00" u="1"/>
        <d v="2024-06-21T00:00:00" u="1"/>
        <d v="2024-08-12T00:00:00" u="1"/>
        <d v="2025-03-25T00:00:00" u="1"/>
        <d v="2025-10-29T00:00:00" u="1"/>
        <d v="2024-02-13T00:00:00" u="1"/>
        <d v="2024-04-04T00:00:00" u="1"/>
        <d v="2024-09-17T00:00:00" u="1"/>
        <d v="2025-04-30T00:00:00" u="1"/>
        <d v="2024-03-18T00:00:00" u="1"/>
        <d v="2024-05-09T00:00:00" u="1"/>
        <d v="2024-10-22T00:00:00" u="1"/>
        <d v="2025-02-13T00:00:00" u="1"/>
        <d v="2025-04-04T00:00:00" u="1"/>
        <d v="2024-04-23T00:00:00" u="1"/>
        <d v="2024-06-14T00:00:00" u="1"/>
        <d v="2024-08-05T00:00:00" u="1"/>
        <d v="2024-11-27T00:00:00" u="1"/>
        <d v="2025-01-27T00:00:00" u="1"/>
        <d v="2025-03-18T00:00:00" u="1"/>
        <d v="2025-05-09T00:00:00" u="1"/>
        <d v="2024-02-06T00:00:00" u="1"/>
        <d v="2024-05-28T00:00:00" u="1"/>
        <d v="2024-07-19T00:00:00" u="1"/>
        <d v="2024-09-10T00:00:00" u="1"/>
        <d v="2025-01-01T00:00:00" u="1"/>
        <d v="2024-03-11T00:00:00" u="1"/>
        <d v="2024-05-02T00:00:00" u="1"/>
        <d v="2024-12-06T00:00:00" u="1"/>
        <d v="2025-02-06T00:00:00" u="1"/>
        <d v="2023-12-25T00:00:00" u="1"/>
        <d v="2024-02-25T00:00:00" u="1"/>
        <d v="2024-04-16T00:00:00" u="1"/>
        <d v="2024-06-07T00:00:00" u="1"/>
        <d v="2025-01-20T00:00:00" u="1"/>
        <d v="2025-03-11T00:00:00" u="1"/>
        <d v="2024-05-21T00:00:00" u="1"/>
        <d v="2024-07-12T00:00:00" u="1"/>
        <d v="2024-12-25T00:00:00" u="1"/>
        <d v="2025-02-25T00:00:00" u="1"/>
        <d v="2025-04-16T00:00:00" u="1"/>
        <d v="2024-03-04T00:00:00" u="1"/>
        <d v="2024-06-26T00:00:00" u="1"/>
        <d v="2024-10-08T00:00:00" u="1"/>
        <d v="2025-03-30T00:00:00" u="1"/>
        <d v="2024-02-18T00:00:00" u="1"/>
        <d v="2024-04-09T00:00:00" u="1"/>
        <d v="2024-07-31T00:00:00" u="1"/>
        <d v="2024-09-22T00:00:00" u="1"/>
        <d v="2024-11-13T00:00:00" u="1"/>
        <d v="2025-01-13T00:00:00" u="1"/>
        <d v="2025-03-04T00:00:00" u="1"/>
        <d v="2024-10-27T00:00:00" u="1"/>
        <d v="2024-12-18T00:00:00" u="1"/>
        <d v="2025-04-09T00:00:00" u="1"/>
        <d v="2025-07-31T00:00:00" u="1"/>
        <d v="2024-10-01T00:00:00" u="1"/>
        <d v="2025-03-23T00:00:00" u="1"/>
        <d v="2025-05-14T00:00:00" u="1"/>
        <d v="2024-02-11T00:00:00" u="1"/>
        <d v="2024-04-02T00:00:00" u="1"/>
        <d v="2024-07-24T00:00:00" u="1"/>
        <d v="2024-09-15T00:00:00" u="1"/>
        <d v="2025-01-06T00:00:00" u="1"/>
        <d v="2025-06-19T00:00:00" u="1"/>
        <d v="2024-01-25T00:00:00" u="1"/>
        <d v="2024-05-07T00:00:00" u="1"/>
        <d v="2024-08-29T00:00:00" u="1"/>
        <d v="2024-12-11T00:00:00" u="1"/>
        <d v="2025-02-11T00:00:00" u="1"/>
        <d v="2024-04-21T00:00:00" u="1"/>
        <d v="2024-06-12T00:00:00" u="1"/>
        <d v="2024-11-25T00:00:00" u="1"/>
        <d v="2025-03-16T00:00:00" u="1"/>
      </sharedItems>
      <fieldGroup par="17"/>
    </cacheField>
    <cacheField name="Inv.No" numFmtId="0">
      <sharedItems/>
    </cacheField>
    <cacheField name="Customer" numFmtId="0">
      <sharedItems/>
    </cacheField>
    <cacheField name="Product" numFmtId="0">
      <sharedItems count="88">
        <s v="NILONS CHILLI PICKLE 350GM*40"/>
        <s v="NILONS MANGO PICKLE 350GM*40"/>
        <s v="NILONS PAPAYA  FRUIT  GREEN 800 GM*18"/>
        <s v="NILONS MIX FRUIT JAM-500GM*20"/>
        <s v="NILONS MANGO PICKLE 500GM*20"/>
        <s v="NILONS ASSORTED MIX PICKLES 50 GM*6*30"/>
        <s v="NILONS MIX PICKLE 350GM*40"/>
        <s v="NILONS PASTA ELBOW-350GM*42"/>
        <s v="NILONS  PASTA PENNE-350GM*42"/>
        <s v="NILONS MIX PICKLE 500GM*20"/>
        <s v="NILONS PASTA FUSILLI-350GM*42"/>
        <s v="NILONS MANGO PICKLE 400GM*20"/>
        <s v="NILONS CUT SEWAI 130GM*130"/>
        <s v="NILONS SCHEZWAN CHUTNEY 250GM*24"/>
        <s v="NILONS SOYA SAUCE-700GM*24"/>
        <s v="NILONS CHILLI PICKLE 500GM*20"/>
        <s v="NILONS LIME PICKLE 400GM*20"/>
        <s v="NILONS CHILLI PICKLE 400GM*20"/>
        <s v="NILONS MANGO PICKLE 900*15"/>
        <s v="NILONS SOYA SAUCE 180GM*40"/>
        <s v="NILONS TOMATO KETCHUP 8GM*100*16"/>
        <s v="NILONS SCHEZWAN FRIED RICE MASALA 20GM*240"/>
        <s v="NILONS PIZZA PASTA SAUCE 250GM*24"/>
        <s v="NILONS PASTA MASALA 8GM*600"/>
        <s v="NILONS PAPAYA FRUIT PRESERVED-RED 800GM*18"/>
        <s v="NILONS PAPAYA FRUIT PRESERVED-YELLOW 800GM*18"/>
        <s v="NILONS PAPAYA FRUIT PRESERVED-MIXED 800GM*18"/>
        <s v="NILONS ROASTED SEWAI 100GM*70"/>
        <s v="NILONS STANDARD MIXED PICKLE 400GM*20"/>
        <s v="NILONS STANDARD MANGO PICKLE 400GM*20"/>
        <s v="NILONS STANDARD GARLIC PICKLE 400GM*20"/>
        <s v="NILONS DOSA MIX 200G*60"/>
        <s v="NILONS IDLI MIX 200GM*60"/>
        <s v="NILONS GINGER GARLIC PASTE 180GM*40"/>
        <s v="NILONS GINGER PASTE 180GM*40"/>
        <s v="NILONS GULAB JAMUN MIX 175GM*60"/>
        <s v="NILONS CHINESE RED CHILLI SAUCE 180GM*40"/>
        <s v="NILONS CHINESE GREEN CHILLI SAUCE 180GM*40"/>
        <s v="NILONS CHINESE SOYA SAUCE 700GM*24"/>
        <s v="NILONS GODKERI PICKLE 475GM*20"/>
        <s v="NILONS CHOWMEIN MASALA 10GM*600"/>
        <s v="NILONS GARLIC PASTE 180GM*40"/>
        <s v="NILONS GULABJAMUN MIX 500GM*30"/>
        <s v="NILONS KHAMAN DHOKLA MIX 200G*60"/>
        <s v="NILONS RED CHILLI SAUCE 660GM*24"/>
        <s v="NILONS KHANA KHAZANA MANGO PICKLE 900GM*15"/>
        <s v="NILONS KHANA KHAZANA MIX PICKLE 500GM*20"/>
        <s v="NILONS KHANA KHAZANA MIX PICKLE 350GM*40"/>
        <s v="NILONS STANDARD LIME PICKLE 400GM*20"/>
        <s v="NILONS KHANA KHAZANA MIX PICKLE 900GM*15"/>
        <s v="NILONS MANCHURIAN MASALA 20GM*240"/>
        <s v="NILONS SOYA CHUNKS 160GM*50"/>
        <s v="NILONS CLASSIC MIX PICKLE 5KG*4"/>
        <s v="NILONS CHINESE SOYA SAUCE 180GM*40"/>
        <s v="NILONS KHANA KHAZANA CHILLI PICKLE 500GM*20"/>
        <s v="NILONS KHANA KHAZANA MANGO PICKLE 500GM*20"/>
        <s v="NILONS GINGER GARLIC PASTE 25GM*800"/>
        <s v="NILONS KHANA KHAZANA MANGO PICKLE 350GM*40"/>
        <s v="NILONS KHANA KHAZANA CHILLI PICKLE 350GM*40"/>
        <s v="NILONS STANDARD CHILLI PICKLE 400GM*20"/>
        <s v="NILONS TOMATO KETCHUP 8GM*100*10"/>
        <s v="NILONS SOYA CHUNKS 200GM*50"/>
        <s v="NILONS RED STUFF CHILLI PICKLE 400GM*20"/>
        <s v="BSK SF Cream Cracker 300gm*20" u="1"/>
        <s v="BSK Heylo Custard Cookies 200g*30" u="1"/>
        <s v="BSK Top Gold 200g*24" u="1"/>
        <s v="BSK Rich Marie 280g*20" u="1"/>
        <s v="NILONS ASSORTED MICED PICKLE 50GM" u="1"/>
        <s v="BSK Marie SF 300gm*20" u="1"/>
        <s v="BSK Eatfit Digestive 100% Atta 175gm*30" u="1"/>
        <s v="BSK Top Herb 57g*72" u="1"/>
        <s v="BSK Googly 225g*24" u="1"/>
        <s v="BSK Top Tadka 180g*30" u="1"/>
        <s v="BSK Rich Marie 300g*20" u="1"/>
        <s v="BSK GOOGLY 240GM*24 " u="1"/>
        <s v="BSK Top Gold 60g*72" u="1"/>
        <s v="BSK Masala Cream Cracker SF 250g*24" u="1"/>
        <s v="BSK Sugar Free Cream Cracker 300g*20" u="1"/>
        <s v="BSK Bread Ruskit Milk 180g*24" u="1"/>
        <s v="BSK Top Gold 56g*72" u="1"/>
        <s v="BSK Half Half Masti 175g*36" u="1"/>
        <s v="BSK Top Herbs 200g*30" u="1"/>
        <s v="BSK Googly 190g+50g Extra(BIG)*24" u="1"/>
        <s v="BSK English Cracker 150gm*40" u="1"/>
        <s v="BSK Bread Ruskit Gold  180g*24" u="1"/>
        <s v="BSK Top Gold 185g*24" u="1"/>
        <s v="BSK Top Herb 60g*72" u="1"/>
        <s v="BSK Bread Ruskit Gold 180g*24" u="1"/>
      </sharedItems>
    </cacheField>
    <cacheField name="Alt Qty" numFmtId="164">
      <sharedItems containsSemiMixedTypes="0" containsString="0" containsNumber="1" minValue="-50" maxValue="349"/>
    </cacheField>
    <cacheField name="Qty" numFmtId="164">
      <sharedItems containsSemiMixedTypes="0" containsString="0" containsNumber="1" containsInteger="1" minValue="-1600" maxValue="6282"/>
    </cacheField>
    <cacheField name="Rate" numFmtId="164">
      <sharedItems containsSemiMixedTypes="0" containsString="0" containsNumber="1" minValue="1.76" maxValue="595.94000000000005"/>
    </cacheField>
    <cacheField name="Basic Amount" numFmtId="164">
      <sharedItems containsSemiMixedTypes="0" containsString="0" containsNumber="1" minValue="-160902" maxValue="1123095.96"/>
    </cacheField>
    <cacheField name="Discount" numFmtId="164">
      <sharedItems containsSemiMixedTypes="0" containsString="0" containsNumber="1" minValue="-86366.080000000002" maxValue="12373.36"/>
    </cacheField>
    <cacheField name="Cash Discount" numFmtId="164">
      <sharedItems containsSemiMixedTypes="0" containsString="0" containsNumber="1" minValue="-1178.7836580000001" maxValue="0"/>
    </cacheField>
    <cacheField name="VAT" numFmtId="164">
      <sharedItems containsSemiMixedTypes="0" containsString="0" containsNumber="1" minValue="-19308.722778000003" maxValue="134774.88899000001"/>
    </cacheField>
    <cacheField name="Total Amount" numFmtId="164">
      <sharedItems containsSemiMixedTypes="0" containsString="0" containsNumber="1" minValue="-167837.36277800001" maxValue="1171504.76899"/>
    </cacheField>
    <cacheField name="Months (Date)" numFmtId="0" databaseField="0">
      <fieldGroup base="3">
        <rangePr groupBy="months" startDate="2025-06-25T00:00:00" endDate="2026-01-31T00:00:00"/>
        <groupItems count="14">
          <s v="&lt;25-06-2025"/>
          <s v="Jan"/>
          <s v="Feb"/>
          <s v="Mar"/>
          <s v="Apr"/>
          <s v="May"/>
          <s v="Jun"/>
          <s v="Jul"/>
          <s v="Aug"/>
          <s v="Sep"/>
          <s v="Oct"/>
          <s v="Nov"/>
          <s v="Dec"/>
          <s v="&gt;31-01-2026"/>
        </groupItems>
      </fieldGroup>
    </cacheField>
    <cacheField name="Quarters (Date)" numFmtId="0" databaseField="0">
      <fieldGroup base="3">
        <rangePr groupBy="quarters" startDate="2025-06-25T00:00:00" endDate="2026-01-31T00:00:00"/>
        <groupItems count="6">
          <s v="&lt;25-06-2025"/>
          <s v="Qtr1"/>
          <s v="Qtr2"/>
          <s v="Qtr3"/>
          <s v="Qtr4"/>
          <s v="&gt;31-01-2026"/>
        </groupItems>
      </fieldGroup>
    </cacheField>
    <cacheField name="Years (Date)" numFmtId="0" databaseField="0">
      <fieldGroup base="3">
        <rangePr groupBy="years" startDate="2025-06-25T00:00:00" endDate="2026-01-31T00:00:00"/>
        <groupItems count="4">
          <s v="&lt;25-06-2025"/>
          <s v="2025"/>
          <s v="2026"/>
          <s v="&gt;31-01-2026"/>
        </groupItems>
      </fieldGroup>
    </cacheField>
  </cacheFields>
  <extLst>
    <ext xmlns:x14="http://schemas.microsoft.com/office/spreadsheetml/2009/9/main" uri="{725AE2AE-9491-48be-B2B4-4EB974FC3084}">
      <x14:pivotCacheDefinition pivotCacheId="16187929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6">
  <r>
    <x v="0"/>
    <x v="0"/>
    <x v="0"/>
    <x v="0"/>
    <x v="0"/>
    <s v="KEPL/02899/81-82"/>
    <s v="SHREE BHOLEY SHANKAR KIRANA STORE"/>
    <x v="0"/>
    <n v="10"/>
    <n v="400"/>
    <n v="111.74"/>
    <n v="44696"/>
    <n v="-3437.12"/>
    <n v="0"/>
    <n v="5363.6500000000005"/>
    <n v="46622.53"/>
  </r>
  <r>
    <x v="0"/>
    <x v="0"/>
    <x v="0"/>
    <x v="0"/>
    <x v="1"/>
    <s v="KEPL/02900/81-82"/>
    <s v="SHREE BHOLEY SHANKAR KIRANA STORE"/>
    <x v="1"/>
    <n v="1"/>
    <n v="40"/>
    <n v="111.74"/>
    <n v="4469.6000000000004"/>
    <n v="-343.71"/>
    <n v="0"/>
    <n v="536.37"/>
    <n v="4662.26"/>
  </r>
  <r>
    <x v="1"/>
    <x v="0"/>
    <x v="0"/>
    <x v="0"/>
    <x v="2"/>
    <s v="KEPL/02905/81-82"/>
    <s v="NEW YASHISH TRADERS"/>
    <x v="2"/>
    <n v="30"/>
    <n v="540"/>
    <n v="178.78"/>
    <n v="96541.2"/>
    <n v="-7424.0199999999995"/>
    <n v="0"/>
    <n v="11585.23"/>
    <n v="100702.41"/>
  </r>
  <r>
    <x v="2"/>
    <x v="1"/>
    <x v="1"/>
    <x v="0"/>
    <x v="3"/>
    <s v="KEPL/03021/81-82"/>
    <s v="MITHASH TRADE CONCERN PVT LTD"/>
    <x v="3"/>
    <n v="3"/>
    <n v="60"/>
    <n v="186.23"/>
    <n v="11173.8"/>
    <n v="-859.2700000000001"/>
    <n v="0"/>
    <n v="1340.888191"/>
    <n v="11655.418191000001"/>
  </r>
  <r>
    <x v="3"/>
    <x v="1"/>
    <x v="1"/>
    <x v="0"/>
    <x v="3"/>
    <s v="KEPL/03021/81-82"/>
    <s v="MITHASH TRADE CONCERN PVT LTD"/>
    <x v="4"/>
    <n v="1"/>
    <n v="20"/>
    <n v="175.05"/>
    <n v="3500.9999999999995"/>
    <n v="-269.23"/>
    <n v="0"/>
    <n v="420.12987799999996"/>
    <n v="3651.8998780000002"/>
  </r>
  <r>
    <x v="4"/>
    <x v="1"/>
    <x v="1"/>
    <x v="0"/>
    <x v="3"/>
    <s v="KEPL/03021/81-82"/>
    <s v="MITHASH TRADE CONCERN PVT LTD"/>
    <x v="5"/>
    <n v="1"/>
    <n v="180"/>
    <n v="18.62"/>
    <n v="3351.6"/>
    <n v="-257.74"/>
    <n v="0"/>
    <n v="402.20158699999996"/>
    <n v="3496.0615870000001"/>
  </r>
  <r>
    <x v="0"/>
    <x v="1"/>
    <x v="1"/>
    <x v="0"/>
    <x v="3"/>
    <s v="KEPL/03021/81-82"/>
    <s v="MITHASH TRADE CONCERN PVT LTD"/>
    <x v="1"/>
    <n v="2"/>
    <n v="80"/>
    <n v="111.74"/>
    <n v="8939.2000000000007"/>
    <n v="-687.42"/>
    <n v="0"/>
    <n v="1072.730832"/>
    <n v="9324.5108319999999"/>
  </r>
  <r>
    <x v="0"/>
    <x v="1"/>
    <x v="1"/>
    <x v="0"/>
    <x v="3"/>
    <s v="KEPL/03021/81-82"/>
    <s v="MITHASH TRADE CONCERN PVT LTD"/>
    <x v="6"/>
    <n v="0.4"/>
    <n v="16"/>
    <n v="111.74"/>
    <n v="1787.84"/>
    <n v="-137.47999999999999"/>
    <n v="0"/>
    <n v="214.54668599999999"/>
    <n v="1864.906686"/>
  </r>
  <r>
    <x v="5"/>
    <x v="1"/>
    <x v="1"/>
    <x v="0"/>
    <x v="3"/>
    <s v="KEPL/03021/81-82"/>
    <s v="MITHASH TRADE CONCERN PVT LTD"/>
    <x v="7"/>
    <n v="2"/>
    <n v="84"/>
    <n v="74.489999999999995"/>
    <n v="6257.16"/>
    <n v="-481.18"/>
    <n v="0"/>
    <n v="750.87700300000006"/>
    <n v="6526.8570030000001"/>
  </r>
  <r>
    <x v="5"/>
    <x v="1"/>
    <x v="1"/>
    <x v="0"/>
    <x v="3"/>
    <s v="KEPL/03021/81-82"/>
    <s v="MITHASH TRADE CONCERN PVT LTD"/>
    <x v="8"/>
    <n v="2"/>
    <n v="84"/>
    <n v="74.489999999999995"/>
    <n v="6257.16"/>
    <n v="-481.18"/>
    <n v="0"/>
    <n v="750.87700300000006"/>
    <n v="6526.8570030000001"/>
  </r>
  <r>
    <x v="3"/>
    <x v="1"/>
    <x v="1"/>
    <x v="0"/>
    <x v="3"/>
    <s v="KEPL/03021/81-82"/>
    <s v="MITHASH TRADE CONCERN PVT LTD"/>
    <x v="9"/>
    <n v="1"/>
    <n v="20"/>
    <n v="175.05"/>
    <n v="3500.9999999999995"/>
    <n v="-269.23"/>
    <n v="0"/>
    <n v="420.12987799999996"/>
    <n v="3651.8998780000002"/>
  </r>
  <r>
    <x v="5"/>
    <x v="1"/>
    <x v="1"/>
    <x v="0"/>
    <x v="3"/>
    <s v="KEPL/03021/81-82"/>
    <s v="MITHASH TRADE CONCERN PVT LTD"/>
    <x v="10"/>
    <n v="2"/>
    <n v="84"/>
    <n v="74.489999999999995"/>
    <n v="6257.16"/>
    <n v="-481.18"/>
    <n v="0"/>
    <n v="750.87700300000006"/>
    <n v="6526.8570030000001"/>
  </r>
  <r>
    <x v="6"/>
    <x v="1"/>
    <x v="1"/>
    <x v="0"/>
    <x v="3"/>
    <s v="KEPL/03021/81-82"/>
    <s v="MITHASH TRADE CONCERN PVT LTD"/>
    <x v="11"/>
    <n v="1"/>
    <n v="20"/>
    <n v="204.85"/>
    <n v="4097"/>
    <n v="-315.06"/>
    <n v="0"/>
    <n v="491.65193999999997"/>
    <n v="4273.5919400000002"/>
  </r>
  <r>
    <x v="7"/>
    <x v="1"/>
    <x v="1"/>
    <x v="0"/>
    <x v="3"/>
    <s v="KEPL/03022/81-82"/>
    <s v="ABIRAL SUPPLIERS AND TRADERS"/>
    <x v="12"/>
    <n v="1"/>
    <n v="130"/>
    <n v="33.520000000000003"/>
    <n v="4357.6000000000004"/>
    <n v="-335.1"/>
    <n v="0"/>
    <n v="522.92513099999996"/>
    <n v="4545.425131"/>
  </r>
  <r>
    <x v="3"/>
    <x v="1"/>
    <x v="1"/>
    <x v="0"/>
    <x v="3"/>
    <s v="KEPL/03022/81-82"/>
    <s v="ABIRAL SUPPLIERS AND TRADERS"/>
    <x v="9"/>
    <n v="1"/>
    <n v="20"/>
    <n v="175.05"/>
    <n v="3500.9999999999995"/>
    <n v="-269.23"/>
    <n v="0"/>
    <n v="420.13020499999999"/>
    <n v="3651.9002049999999"/>
  </r>
  <r>
    <x v="8"/>
    <x v="1"/>
    <x v="1"/>
    <x v="0"/>
    <x v="3"/>
    <s v="KEPL/03022/81-82"/>
    <s v="ABIRAL SUPPLIERS AND TRADERS"/>
    <x v="13"/>
    <n v="1"/>
    <n v="24"/>
    <n v="141.53"/>
    <n v="3396.72"/>
    <n v="-261.20999999999998"/>
    <n v="0"/>
    <n v="407.61640199999999"/>
    <n v="3543.1264019999999"/>
  </r>
  <r>
    <x v="9"/>
    <x v="1"/>
    <x v="1"/>
    <x v="0"/>
    <x v="3"/>
    <s v="KEPL/03022/81-82"/>
    <s v="ABIRAL SUPPLIERS AND TRADERS"/>
    <x v="14"/>
    <n v="1"/>
    <n v="24"/>
    <n v="186.23"/>
    <n v="4469.5200000000004"/>
    <n v="-343.71"/>
    <n v="0"/>
    <n v="536.35543400000006"/>
    <n v="4662.1654339999995"/>
  </r>
  <r>
    <x v="4"/>
    <x v="1"/>
    <x v="1"/>
    <x v="0"/>
    <x v="3"/>
    <s v="KEPL/03022/81-82"/>
    <s v="ABIRAL SUPPLIERS AND TRADERS"/>
    <x v="5"/>
    <n v="2"/>
    <n v="360"/>
    <n v="18.62"/>
    <n v="6703.2"/>
    <n v="-515.48"/>
    <n v="0"/>
    <n v="804.40380099999993"/>
    <n v="6992.1238009999997"/>
  </r>
  <r>
    <x v="3"/>
    <x v="1"/>
    <x v="1"/>
    <x v="0"/>
    <x v="3"/>
    <s v="KEPL/03022/81-82"/>
    <s v="ABIRAL SUPPLIERS AND TRADERS"/>
    <x v="15"/>
    <n v="1"/>
    <n v="20"/>
    <n v="175.05"/>
    <n v="3500.9999999999995"/>
    <n v="-269.23"/>
    <n v="0"/>
    <n v="420.13020499999999"/>
    <n v="3651.9002049999999"/>
  </r>
  <r>
    <x v="2"/>
    <x v="1"/>
    <x v="1"/>
    <x v="0"/>
    <x v="3"/>
    <s v="KEPL/03022/81-82"/>
    <s v="ABIRAL SUPPLIERS AND TRADERS"/>
    <x v="3"/>
    <n v="5"/>
    <n v="100"/>
    <n v="186.23"/>
    <n v="18623"/>
    <n v="-1432.1100000000001"/>
    <n v="0"/>
    <n v="2234.8162580000003"/>
    <n v="19425.706257999998"/>
  </r>
  <r>
    <x v="5"/>
    <x v="1"/>
    <x v="1"/>
    <x v="0"/>
    <x v="3"/>
    <s v="KEPL/03022/81-82"/>
    <s v="ABIRAL SUPPLIERS AND TRADERS"/>
    <x v="7"/>
    <n v="5"/>
    <n v="210"/>
    <n v="74.489999999999995"/>
    <n v="15642.9"/>
    <n v="-1202.94"/>
    <n v="0"/>
    <n v="1877.1952689999998"/>
    <n v="16317.155269000001"/>
  </r>
  <r>
    <x v="6"/>
    <x v="1"/>
    <x v="1"/>
    <x v="0"/>
    <x v="3"/>
    <s v="KEPL/03022/81-82"/>
    <s v="ABIRAL SUPPLIERS AND TRADERS"/>
    <x v="11"/>
    <n v="1"/>
    <n v="20"/>
    <n v="204.85"/>
    <n v="4097"/>
    <n v="-315.06"/>
    <n v="0"/>
    <n v="491.65232299999997"/>
    <n v="4273.5923229999999"/>
  </r>
  <r>
    <x v="3"/>
    <x v="1"/>
    <x v="1"/>
    <x v="0"/>
    <x v="3"/>
    <s v="KEPL/03022/81-82"/>
    <s v="ABIRAL SUPPLIERS AND TRADERS"/>
    <x v="4"/>
    <n v="1"/>
    <n v="20"/>
    <n v="175.05"/>
    <n v="3500.9999999999995"/>
    <n v="-269.23"/>
    <n v="0"/>
    <n v="420.13020499999999"/>
    <n v="3651.9002049999999"/>
  </r>
  <r>
    <x v="6"/>
    <x v="1"/>
    <x v="1"/>
    <x v="0"/>
    <x v="3"/>
    <s v="KEPL/03022/81-82"/>
    <s v="ABIRAL SUPPLIERS AND TRADERS"/>
    <x v="16"/>
    <n v="1"/>
    <n v="20"/>
    <n v="204.85"/>
    <n v="4097"/>
    <n v="-315.06"/>
    <n v="0"/>
    <n v="491.65232299999997"/>
    <n v="4273.5923229999999"/>
  </r>
  <r>
    <x v="0"/>
    <x v="1"/>
    <x v="1"/>
    <x v="0"/>
    <x v="3"/>
    <s v="KEPL/03022/81-82"/>
    <s v="ABIRAL SUPPLIERS AND TRADERS"/>
    <x v="1"/>
    <n v="2"/>
    <n v="80"/>
    <n v="111.74"/>
    <n v="8939.2000000000007"/>
    <n v="-687.42"/>
    <n v="0"/>
    <n v="1072.7316680000001"/>
    <n v="9324.5116679999992"/>
  </r>
  <r>
    <x v="6"/>
    <x v="1"/>
    <x v="1"/>
    <x v="0"/>
    <x v="3"/>
    <s v="KEPL/03022/81-82"/>
    <s v="ABIRAL SUPPLIERS AND TRADERS"/>
    <x v="17"/>
    <n v="1"/>
    <n v="20"/>
    <n v="201.13"/>
    <n v="4022.6"/>
    <n v="-309.33999999999997"/>
    <n v="0"/>
    <n v="482.72392100000002"/>
    <n v="4195.983921"/>
  </r>
  <r>
    <x v="10"/>
    <x v="1"/>
    <x v="1"/>
    <x v="0"/>
    <x v="3"/>
    <s v="KEPL/03022/81-82"/>
    <s v="ABIRAL SUPPLIERS AND TRADERS"/>
    <x v="18"/>
    <n v="2"/>
    <n v="30"/>
    <n v="260.72000000000003"/>
    <n v="7821.6"/>
    <n v="-601.48"/>
    <n v="0"/>
    <n v="938.61583400000006"/>
    <n v="8158.7358340000001"/>
  </r>
  <r>
    <x v="5"/>
    <x v="1"/>
    <x v="1"/>
    <x v="0"/>
    <x v="3"/>
    <s v="KEPL/03022/81-82"/>
    <s v="ABIRAL SUPPLIERS AND TRADERS"/>
    <x v="8"/>
    <n v="5"/>
    <n v="210"/>
    <n v="74.489999999999995"/>
    <n v="15642.9"/>
    <n v="-1202.94"/>
    <n v="0"/>
    <n v="1877.1952689999998"/>
    <n v="16317.155269000001"/>
  </r>
  <r>
    <x v="5"/>
    <x v="1"/>
    <x v="1"/>
    <x v="0"/>
    <x v="3"/>
    <s v="KEPL/03022/81-82"/>
    <s v="ABIRAL SUPPLIERS AND TRADERS"/>
    <x v="10"/>
    <n v="5"/>
    <n v="210"/>
    <n v="74.489999999999995"/>
    <n v="15642.9"/>
    <n v="-1202.94"/>
    <n v="0"/>
    <n v="1877.1952689999998"/>
    <n v="16317.155269000001"/>
  </r>
  <r>
    <x v="11"/>
    <x v="1"/>
    <x v="1"/>
    <x v="0"/>
    <x v="3"/>
    <s v="KEPL/03022/81-82"/>
    <s v="ABIRAL SUPPLIERS AND TRADERS"/>
    <x v="19"/>
    <n v="1"/>
    <n v="40"/>
    <n v="81.94"/>
    <n v="3277.6"/>
    <n v="-252.05"/>
    <n v="0"/>
    <n v="393.32159799999999"/>
    <n v="3418.8715980000002"/>
  </r>
  <r>
    <x v="12"/>
    <x v="1"/>
    <x v="1"/>
    <x v="0"/>
    <x v="3"/>
    <s v="KEPL/03022/81-82"/>
    <s v="ABIRAL SUPPLIERS AND TRADERS"/>
    <x v="20"/>
    <n v="1"/>
    <n v="1600"/>
    <n v="1.79"/>
    <n v="2864"/>
    <n v="-220.24"/>
    <n v="0"/>
    <n v="343.68888599999997"/>
    <n v="2987.4488860000001"/>
  </r>
  <r>
    <x v="8"/>
    <x v="1"/>
    <x v="1"/>
    <x v="0"/>
    <x v="4"/>
    <s v="KEPL/03028/81-82"/>
    <s v="SHREE BHOLEY SHANKAR KIRANA STORE"/>
    <x v="13"/>
    <n v="2"/>
    <n v="48"/>
    <n v="141.53"/>
    <n v="6793.44"/>
    <n v="-522.41999999999996"/>
    <n v="0"/>
    <n v="815.23"/>
    <n v="7086.25"/>
  </r>
  <r>
    <x v="5"/>
    <x v="1"/>
    <x v="1"/>
    <x v="0"/>
    <x v="5"/>
    <s v="KEPL/03036/81-82"/>
    <s v="SHREE EXIM"/>
    <x v="8"/>
    <n v="10"/>
    <n v="420"/>
    <n v="74.489999999999995"/>
    <n v="31285.8"/>
    <n v="-2405.88"/>
    <n v="0"/>
    <n v="3754.3893630000002"/>
    <n v="32634.309363"/>
  </r>
  <r>
    <x v="3"/>
    <x v="1"/>
    <x v="1"/>
    <x v="0"/>
    <x v="5"/>
    <s v="KEPL/03036/81-82"/>
    <s v="SHREE EXIM"/>
    <x v="4"/>
    <n v="2"/>
    <n v="40"/>
    <n v="175.05"/>
    <n v="7001.9999999999991"/>
    <n v="-538.45000000000005"/>
    <n v="0"/>
    <n v="840.26144700000009"/>
    <n v="7303.811447"/>
  </r>
  <r>
    <x v="0"/>
    <x v="1"/>
    <x v="1"/>
    <x v="0"/>
    <x v="5"/>
    <s v="KEPL/03036/81-82"/>
    <s v="SHREE EXIM"/>
    <x v="1"/>
    <n v="3"/>
    <n v="120"/>
    <n v="111.74"/>
    <n v="13408.8"/>
    <n v="-1031.1400000000001"/>
    <n v="0"/>
    <n v="1609.0956980000001"/>
    <n v="13986.755698000001"/>
  </r>
  <r>
    <x v="7"/>
    <x v="1"/>
    <x v="1"/>
    <x v="0"/>
    <x v="5"/>
    <s v="KEPL/03036/81-82"/>
    <s v="SHREE EXIM"/>
    <x v="12"/>
    <n v="2"/>
    <n v="260"/>
    <n v="33.520000000000003"/>
    <n v="8715.2000000000007"/>
    <n v="-670.2"/>
    <n v="0"/>
    <n v="1045.8499339999998"/>
    <n v="9090.8499339999998"/>
  </r>
  <r>
    <x v="13"/>
    <x v="1"/>
    <x v="1"/>
    <x v="0"/>
    <x v="5"/>
    <s v="KEPL/03036/81-82"/>
    <s v="SHREE EXIM"/>
    <x v="21"/>
    <n v="1"/>
    <n v="240"/>
    <n v="18.62"/>
    <n v="4468.8"/>
    <n v="-343.65"/>
    <n v="0"/>
    <n v="536.26946600000008"/>
    <n v="4661.4194660000003"/>
  </r>
  <r>
    <x v="12"/>
    <x v="1"/>
    <x v="1"/>
    <x v="0"/>
    <x v="5"/>
    <s v="KEPL/03036/81-82"/>
    <s v="SHREE EXIM"/>
    <x v="20"/>
    <n v="1"/>
    <n v="1600"/>
    <n v="1.79"/>
    <n v="2864"/>
    <n v="-220.24"/>
    <n v="0"/>
    <n v="343.68877800000001"/>
    <n v="2987.4487779999999"/>
  </r>
  <r>
    <x v="5"/>
    <x v="1"/>
    <x v="1"/>
    <x v="0"/>
    <x v="5"/>
    <s v="KEPL/03036/81-82"/>
    <s v="SHREE EXIM"/>
    <x v="7"/>
    <n v="10"/>
    <n v="420"/>
    <n v="74.489999999999995"/>
    <n v="31285.8"/>
    <n v="-2405.88"/>
    <n v="0"/>
    <n v="3754.3893630000002"/>
    <n v="32634.309363"/>
  </r>
  <r>
    <x v="9"/>
    <x v="1"/>
    <x v="1"/>
    <x v="0"/>
    <x v="5"/>
    <s v="KEPL/03036/81-82"/>
    <s v="SHREE EXIM"/>
    <x v="22"/>
    <n v="1"/>
    <n v="24"/>
    <n v="204.85"/>
    <n v="4916.4000000000005"/>
    <n v="-378.07"/>
    <n v="0"/>
    <n v="589.98286299999995"/>
    <n v="5128.3128630000001"/>
  </r>
  <r>
    <x v="10"/>
    <x v="1"/>
    <x v="1"/>
    <x v="0"/>
    <x v="5"/>
    <s v="KEPL/03036/81-82"/>
    <s v="SHREE EXIM"/>
    <x v="18"/>
    <n v="2"/>
    <n v="30"/>
    <n v="260.72000000000003"/>
    <n v="7821.6"/>
    <n v="-601.48"/>
    <n v="0"/>
    <n v="938.61554100000001"/>
    <n v="8158.735541"/>
  </r>
  <r>
    <x v="3"/>
    <x v="1"/>
    <x v="1"/>
    <x v="0"/>
    <x v="5"/>
    <s v="KEPL/03036/81-82"/>
    <s v="SHREE EXIM"/>
    <x v="9"/>
    <n v="2"/>
    <n v="40"/>
    <n v="175.05"/>
    <n v="7001.9999999999991"/>
    <n v="-538.45000000000005"/>
    <n v="0"/>
    <n v="840.26144700000009"/>
    <n v="7303.811447"/>
  </r>
  <r>
    <x v="3"/>
    <x v="1"/>
    <x v="1"/>
    <x v="0"/>
    <x v="5"/>
    <s v="KEPL/03036/81-82"/>
    <s v="SHREE EXIM"/>
    <x v="15"/>
    <n v="2"/>
    <n v="40"/>
    <n v="175.05"/>
    <n v="7001.9999999999991"/>
    <n v="-538.45000000000005"/>
    <n v="0"/>
    <n v="840.26144700000009"/>
    <n v="7303.811447"/>
  </r>
  <r>
    <x v="6"/>
    <x v="1"/>
    <x v="1"/>
    <x v="0"/>
    <x v="5"/>
    <s v="KEPL/03036/81-82"/>
    <s v="SHREE EXIM"/>
    <x v="16"/>
    <n v="1"/>
    <n v="20"/>
    <n v="204.85"/>
    <n v="4097"/>
    <n v="-315.06"/>
    <n v="0"/>
    <n v="491.65216900000001"/>
    <n v="4273.5921689999996"/>
  </r>
  <r>
    <x v="4"/>
    <x v="1"/>
    <x v="1"/>
    <x v="0"/>
    <x v="5"/>
    <s v="KEPL/03036/81-82"/>
    <s v="SHREE EXIM"/>
    <x v="5"/>
    <n v="3"/>
    <n v="540"/>
    <n v="18.62"/>
    <n v="10054.799999999999"/>
    <n v="-773.20999999999992"/>
    <n v="0"/>
    <n v="1206.6066239999998"/>
    <n v="10488.196624"/>
  </r>
  <r>
    <x v="5"/>
    <x v="1"/>
    <x v="1"/>
    <x v="0"/>
    <x v="5"/>
    <s v="KEPL/03036/81-82"/>
    <s v="SHREE EXIM"/>
    <x v="10"/>
    <n v="10"/>
    <n v="420"/>
    <n v="74.489999999999995"/>
    <n v="31285.8"/>
    <n v="-2405.88"/>
    <n v="0"/>
    <n v="3754.3893630000002"/>
    <n v="32634.309363"/>
  </r>
  <r>
    <x v="13"/>
    <x v="1"/>
    <x v="1"/>
    <x v="0"/>
    <x v="5"/>
    <s v="KEPL/03036/81-82"/>
    <s v="SHREE EXIM"/>
    <x v="23"/>
    <n v="1"/>
    <n v="600"/>
    <n v="7.45"/>
    <n v="4470"/>
    <n v="-343.74"/>
    <n v="0"/>
    <n v="536.41376600000001"/>
    <n v="4662.6737659999999"/>
  </r>
  <r>
    <x v="0"/>
    <x v="1"/>
    <x v="1"/>
    <x v="0"/>
    <x v="5"/>
    <s v="KEPL/03036/81-82"/>
    <s v="SHREE EXIM"/>
    <x v="0"/>
    <n v="3"/>
    <n v="120"/>
    <n v="111.74"/>
    <n v="13408.8"/>
    <n v="-1031.1400000000001"/>
    <n v="0"/>
    <n v="1609.0956980000001"/>
    <n v="13986.755698000001"/>
  </r>
  <r>
    <x v="2"/>
    <x v="1"/>
    <x v="1"/>
    <x v="0"/>
    <x v="5"/>
    <s v="KEPL/03036/81-82"/>
    <s v="SHREE EXIM"/>
    <x v="3"/>
    <n v="5"/>
    <n v="100"/>
    <n v="186.23"/>
    <n v="18623"/>
    <n v="-1432.1100000000001"/>
    <n v="0"/>
    <n v="2234.8155590000001"/>
    <n v="19425.705559000002"/>
  </r>
  <r>
    <x v="11"/>
    <x v="1"/>
    <x v="1"/>
    <x v="0"/>
    <x v="5"/>
    <s v="KEPL/03036/81-82"/>
    <s v="SHREE EXIM"/>
    <x v="19"/>
    <n v="1"/>
    <n v="40"/>
    <n v="81.94"/>
    <n v="3277.6"/>
    <n v="-252.05"/>
    <n v="0"/>
    <n v="393.32147499999996"/>
    <n v="3418.8714749999999"/>
  </r>
  <r>
    <x v="3"/>
    <x v="1"/>
    <x v="1"/>
    <x v="0"/>
    <x v="6"/>
    <s v="KEPL/00004/82-83"/>
    <s v="NILLONS L&amp;D"/>
    <x v="9"/>
    <n v="0.05"/>
    <n v="1"/>
    <n v="175.05"/>
    <n v="175.05"/>
    <n v="-13.46"/>
    <n v="0"/>
    <n v="21.01"/>
    <n v="182.6"/>
  </r>
  <r>
    <x v="3"/>
    <x v="1"/>
    <x v="1"/>
    <x v="0"/>
    <x v="7"/>
    <s v="KEPL/00029/82-83"/>
    <s v="SHREE EXIM"/>
    <x v="9"/>
    <n v="8.9"/>
    <n v="178"/>
    <n v="175.05"/>
    <n v="31158.9"/>
    <n v="-2396.1200000000003"/>
    <n v="0"/>
    <n v="3739.1600000000003"/>
    <n v="32501.94"/>
  </r>
  <r>
    <x v="5"/>
    <x v="1"/>
    <x v="1"/>
    <x v="0"/>
    <x v="8"/>
    <s v="KEPL/00045/82-83"/>
    <s v="NILLONS L&amp;D"/>
    <x v="7"/>
    <n v="7.0000000000000007E-2"/>
    <n v="3"/>
    <n v="74.489999999999995"/>
    <n v="223.47"/>
    <n v="-17.18"/>
    <n v="0"/>
    <n v="26.816666999999999"/>
    <n v="233.10666699999999"/>
  </r>
  <r>
    <x v="5"/>
    <x v="1"/>
    <x v="1"/>
    <x v="0"/>
    <x v="8"/>
    <s v="KEPL/00045/82-83"/>
    <s v="NILLONS L&amp;D"/>
    <x v="10"/>
    <n v="7.0000000000000007E-2"/>
    <n v="3"/>
    <n v="74.489999999999995"/>
    <n v="223.47"/>
    <n v="-17.18"/>
    <n v="0"/>
    <n v="26.816666999999999"/>
    <n v="233.10666699999999"/>
  </r>
  <r>
    <x v="5"/>
    <x v="1"/>
    <x v="1"/>
    <x v="0"/>
    <x v="8"/>
    <s v="KEPL/00045/82-83"/>
    <s v="NILLONS L&amp;D"/>
    <x v="8"/>
    <n v="7.0000000000000007E-2"/>
    <n v="3"/>
    <n v="74.489999999999995"/>
    <n v="223.47"/>
    <n v="-17.18"/>
    <n v="0"/>
    <n v="26.816666999999999"/>
    <n v="233.10666699999999"/>
  </r>
  <r>
    <x v="1"/>
    <x v="2"/>
    <x v="1"/>
    <x v="0"/>
    <x v="9"/>
    <s v="KEPL/00179/82-83"/>
    <s v="NEW YASHISH TRADERS"/>
    <x v="24"/>
    <n v="100"/>
    <n v="1800"/>
    <n v="178.78"/>
    <n v="321804"/>
    <n v="-24746.73"/>
    <n v="0"/>
    <n v="38617.4421"/>
    <n v="335674.7121"/>
  </r>
  <r>
    <x v="1"/>
    <x v="2"/>
    <x v="1"/>
    <x v="0"/>
    <x v="9"/>
    <s v="KEPL/00179/82-83"/>
    <s v="NEW YASHISH TRADERS"/>
    <x v="2"/>
    <n v="5"/>
    <n v="90"/>
    <n v="178.78"/>
    <n v="16090.2"/>
    <n v="-1237.3400000000001"/>
    <n v="0"/>
    <n v="1930.87165"/>
    <n v="16783.731650000002"/>
  </r>
  <r>
    <x v="1"/>
    <x v="2"/>
    <x v="1"/>
    <x v="0"/>
    <x v="9"/>
    <s v="KEPL/00179/82-83"/>
    <s v="NEW YASHISH TRADERS"/>
    <x v="25"/>
    <n v="5"/>
    <n v="90"/>
    <n v="178.78"/>
    <n v="16090.2"/>
    <n v="-1237.3400000000001"/>
    <n v="0"/>
    <n v="1930.87165"/>
    <n v="16783.731650000002"/>
  </r>
  <r>
    <x v="1"/>
    <x v="2"/>
    <x v="1"/>
    <x v="0"/>
    <x v="9"/>
    <s v="KEPL/00179/82-83"/>
    <s v="NEW YASHISH TRADERS"/>
    <x v="26"/>
    <n v="10"/>
    <n v="180"/>
    <n v="178.78"/>
    <n v="32180.400000000001"/>
    <n v="-2474.6699999999996"/>
    <n v="0"/>
    <n v="3861.7446"/>
    <n v="33567.474600000001"/>
  </r>
  <r>
    <x v="7"/>
    <x v="2"/>
    <x v="1"/>
    <x v="0"/>
    <x v="9"/>
    <s v="KEPL/00180/82-83"/>
    <s v="AAFNAI PASAL PVT.LTD"/>
    <x v="27"/>
    <n v="1"/>
    <n v="70"/>
    <n v="32.78"/>
    <n v="2294.6"/>
    <n v="-176.45"/>
    <n v="0"/>
    <n v="275.35973899999999"/>
    <n v="2393.5097390000001"/>
  </r>
  <r>
    <x v="6"/>
    <x v="2"/>
    <x v="1"/>
    <x v="0"/>
    <x v="9"/>
    <s v="KEPL/00180/82-83"/>
    <s v="AAFNAI PASAL PVT.LTD"/>
    <x v="28"/>
    <n v="1"/>
    <n v="20"/>
    <n v="204.85"/>
    <n v="4097"/>
    <n v="-315.06"/>
    <n v="0"/>
    <n v="491.65262799999999"/>
    <n v="4273.5926280000003"/>
  </r>
  <r>
    <x v="6"/>
    <x v="2"/>
    <x v="1"/>
    <x v="0"/>
    <x v="9"/>
    <s v="KEPL/00180/82-83"/>
    <s v="AAFNAI PASAL PVT.LTD"/>
    <x v="29"/>
    <n v="1"/>
    <n v="20"/>
    <n v="204.85"/>
    <n v="4097"/>
    <n v="-315.06"/>
    <n v="0"/>
    <n v="491.65262799999999"/>
    <n v="4273.5926280000003"/>
  </r>
  <r>
    <x v="6"/>
    <x v="2"/>
    <x v="1"/>
    <x v="0"/>
    <x v="9"/>
    <s v="KEPL/00180/82-83"/>
    <s v="AAFNAI PASAL PVT.LTD"/>
    <x v="30"/>
    <n v="1"/>
    <n v="20"/>
    <n v="242.1"/>
    <n v="4841.9999999999991"/>
    <n v="-372.35"/>
    <n v="0"/>
    <n v="581.05500500000005"/>
    <n v="5050.7050049999998"/>
  </r>
  <r>
    <x v="4"/>
    <x v="2"/>
    <x v="1"/>
    <x v="0"/>
    <x v="9"/>
    <s v="KEPL/00181/82-83"/>
    <s v="SHUBHASHREE MARKETING"/>
    <x v="5"/>
    <n v="1"/>
    <n v="180"/>
    <n v="18.62"/>
    <n v="3351.6"/>
    <n v="-257.74"/>
    <n v="0"/>
    <n v="402.20184800000004"/>
    <n v="3496.0618479999998"/>
  </r>
  <r>
    <x v="14"/>
    <x v="2"/>
    <x v="1"/>
    <x v="0"/>
    <x v="9"/>
    <s v="KEPL/00181/82-83"/>
    <s v="SHUBHASHREE MARKETING"/>
    <x v="31"/>
    <n v="1"/>
    <n v="60"/>
    <n v="111.74"/>
    <n v="6704.4"/>
    <n v="-515.57000000000005"/>
    <n v="0"/>
    <n v="804.54799600000001"/>
    <n v="6993.3779960000002"/>
  </r>
  <r>
    <x v="15"/>
    <x v="2"/>
    <x v="1"/>
    <x v="0"/>
    <x v="9"/>
    <s v="KEPL/00181/82-83"/>
    <s v="SHUBHASHREE MARKETING"/>
    <x v="32"/>
    <n v="1"/>
    <n v="60"/>
    <n v="111.74"/>
    <n v="6704.4"/>
    <n v="-515.57000000000005"/>
    <n v="0"/>
    <n v="804.54799600000001"/>
    <n v="6993.3779960000002"/>
  </r>
  <r>
    <x v="8"/>
    <x v="2"/>
    <x v="1"/>
    <x v="0"/>
    <x v="9"/>
    <s v="KEPL/00181/82-83"/>
    <s v="SHUBHASHREE MARKETING"/>
    <x v="33"/>
    <n v="2"/>
    <n v="80"/>
    <n v="67.040000000000006"/>
    <n v="5363.2"/>
    <n v="-412.43"/>
    <n v="0"/>
    <n v="643.60017600000003"/>
    <n v="5594.3701760000004"/>
  </r>
  <r>
    <x v="8"/>
    <x v="2"/>
    <x v="1"/>
    <x v="0"/>
    <x v="9"/>
    <s v="KEPL/00181/82-83"/>
    <s v="SHUBHASHREE MARKETING"/>
    <x v="34"/>
    <n v="2"/>
    <n v="80"/>
    <n v="67.040000000000006"/>
    <n v="5363.2"/>
    <n v="-412.43"/>
    <n v="0"/>
    <n v="643.60017600000003"/>
    <n v="5594.3701760000004"/>
  </r>
  <r>
    <x v="16"/>
    <x v="2"/>
    <x v="1"/>
    <x v="0"/>
    <x v="9"/>
    <s v="KEPL/00181/82-83"/>
    <s v="SHUBHASHREE MARKETING"/>
    <x v="35"/>
    <n v="1"/>
    <n v="60"/>
    <n v="145.26"/>
    <n v="8715.6"/>
    <n v="-670.23"/>
    <n v="0"/>
    <n v="1045.898224"/>
    <n v="9091.2682239999995"/>
  </r>
  <r>
    <x v="5"/>
    <x v="2"/>
    <x v="1"/>
    <x v="0"/>
    <x v="9"/>
    <s v="KEPL/00181/82-83"/>
    <s v="SHUBHASHREE MARKETING"/>
    <x v="8"/>
    <n v="2"/>
    <n v="84"/>
    <n v="74.489999999999995"/>
    <n v="6257.16"/>
    <n v="-481.18"/>
    <n v="0"/>
    <n v="750.87748899999997"/>
    <n v="6526.857489"/>
  </r>
  <r>
    <x v="0"/>
    <x v="2"/>
    <x v="1"/>
    <x v="0"/>
    <x v="9"/>
    <s v="KEPL/00181/82-83"/>
    <s v="SHUBHASHREE MARKETING"/>
    <x v="0"/>
    <n v="1"/>
    <n v="40"/>
    <n v="111.74"/>
    <n v="4469.6000000000004"/>
    <n v="-343.71"/>
    <n v="0"/>
    <n v="536.36576400000001"/>
    <n v="4662.2557640000005"/>
  </r>
  <r>
    <x v="3"/>
    <x v="2"/>
    <x v="1"/>
    <x v="0"/>
    <x v="9"/>
    <s v="KEPL/00181/82-83"/>
    <s v="SHUBHASHREE MARKETING"/>
    <x v="15"/>
    <n v="1"/>
    <n v="20"/>
    <n v="175.05"/>
    <n v="3500.9999999999995"/>
    <n v="-269.23"/>
    <n v="0"/>
    <n v="420.13014999999996"/>
    <n v="3651.9001499999999"/>
  </r>
  <r>
    <x v="11"/>
    <x v="2"/>
    <x v="1"/>
    <x v="0"/>
    <x v="9"/>
    <s v="KEPL/00181/82-83"/>
    <s v="SHUBHASHREE MARKETING"/>
    <x v="36"/>
    <n v="2"/>
    <n v="80"/>
    <n v="81.94"/>
    <n v="6555.2"/>
    <n v="-504.09"/>
    <n v="0"/>
    <n v="786.64439300000004"/>
    <n v="6837.7543930000002"/>
  </r>
  <r>
    <x v="6"/>
    <x v="2"/>
    <x v="1"/>
    <x v="0"/>
    <x v="9"/>
    <s v="KEPL/00181/82-83"/>
    <s v="SHUBHASHREE MARKETING"/>
    <x v="17"/>
    <n v="1"/>
    <n v="20"/>
    <n v="201.13"/>
    <n v="4022.6"/>
    <n v="-309.33999999999997"/>
    <n v="0"/>
    <n v="482.72385700000001"/>
    <n v="4195.9838570000002"/>
  </r>
  <r>
    <x v="11"/>
    <x v="2"/>
    <x v="1"/>
    <x v="0"/>
    <x v="9"/>
    <s v="KEPL/00181/82-83"/>
    <s v="SHUBHASHREE MARKETING"/>
    <x v="37"/>
    <n v="1"/>
    <n v="40"/>
    <n v="81.94"/>
    <n v="3277.6"/>
    <n v="-252.05"/>
    <n v="0"/>
    <n v="393.32154700000001"/>
    <n v="3418.8715470000002"/>
  </r>
  <r>
    <x v="9"/>
    <x v="2"/>
    <x v="1"/>
    <x v="0"/>
    <x v="9"/>
    <s v="KEPL/00181/82-83"/>
    <s v="SHUBHASHREE MARKETING"/>
    <x v="38"/>
    <n v="2"/>
    <n v="48"/>
    <n v="186.23"/>
    <n v="8939.0400000000009"/>
    <n v="-687.41"/>
    <n v="0"/>
    <n v="1072.712027"/>
    <n v="9324.3420270000006"/>
  </r>
  <r>
    <x v="7"/>
    <x v="2"/>
    <x v="1"/>
    <x v="0"/>
    <x v="9"/>
    <s v="KEPL/00181/82-83"/>
    <s v="SHUBHASHREE MARKETING"/>
    <x v="12"/>
    <n v="2"/>
    <n v="260"/>
    <n v="33.520000000000003"/>
    <n v="8715.2000000000007"/>
    <n v="-670.2"/>
    <n v="0"/>
    <n v="1045.8501240000001"/>
    <n v="9090.8501240000005"/>
  </r>
  <r>
    <x v="17"/>
    <x v="2"/>
    <x v="1"/>
    <x v="0"/>
    <x v="9"/>
    <s v="KEPL/00181/82-83"/>
    <s v="SHUBHASHREE MARKETING"/>
    <x v="39"/>
    <n v="5"/>
    <n v="100"/>
    <n v="249.55"/>
    <n v="24955"/>
    <n v="-1919.04"/>
    <n v="0"/>
    <n v="2994.6751559999998"/>
    <n v="26030.635156"/>
  </r>
  <r>
    <x v="13"/>
    <x v="2"/>
    <x v="1"/>
    <x v="0"/>
    <x v="9"/>
    <s v="KEPL/00181/82-83"/>
    <s v="SHUBHASHREE MARKETING"/>
    <x v="40"/>
    <n v="1"/>
    <n v="600"/>
    <n v="7.46"/>
    <n v="4476"/>
    <n v="-344.2"/>
    <n v="0"/>
    <n v="537.13406399999997"/>
    <n v="4668.934064"/>
  </r>
  <r>
    <x v="8"/>
    <x v="2"/>
    <x v="1"/>
    <x v="0"/>
    <x v="9"/>
    <s v="KEPL/00181/82-83"/>
    <s v="SHUBHASHREE MARKETING"/>
    <x v="41"/>
    <n v="2"/>
    <n v="80"/>
    <n v="67.040000000000006"/>
    <n v="5363.2"/>
    <n v="-412.43"/>
    <n v="0"/>
    <n v="643.60017600000003"/>
    <n v="5594.3701760000004"/>
  </r>
  <r>
    <x v="16"/>
    <x v="2"/>
    <x v="1"/>
    <x v="0"/>
    <x v="9"/>
    <s v="KEPL/00181/82-83"/>
    <s v="SHUBHASHREE MARKETING"/>
    <x v="42"/>
    <n v="4"/>
    <n v="120"/>
    <n v="316.58999999999997"/>
    <n v="37990.799999999996"/>
    <n v="-2921.4900000000002"/>
    <n v="0"/>
    <n v="4559.0108410000003"/>
    <n v="39628.320841000001"/>
  </r>
  <r>
    <x v="18"/>
    <x v="2"/>
    <x v="1"/>
    <x v="0"/>
    <x v="9"/>
    <s v="KEPL/00181/82-83"/>
    <s v="SHUBHASHREE MARKETING"/>
    <x v="43"/>
    <n v="1"/>
    <n v="60"/>
    <n v="111.74"/>
    <n v="6704.4"/>
    <n v="-515.57000000000005"/>
    <n v="0"/>
    <n v="804.54799600000001"/>
    <n v="6993.3779960000002"/>
  </r>
  <r>
    <x v="9"/>
    <x v="2"/>
    <x v="1"/>
    <x v="0"/>
    <x v="9"/>
    <s v="KEPL/00182/82-83"/>
    <s v="SHUBHASHREE MARKETING"/>
    <x v="44"/>
    <n v="2"/>
    <n v="48"/>
    <n v="186.23"/>
    <n v="8939.0400000000009"/>
    <n v="-687.41"/>
    <n v="0"/>
    <n v="1072.7121050000001"/>
    <n v="9324.3421049999997"/>
  </r>
  <r>
    <x v="7"/>
    <x v="2"/>
    <x v="1"/>
    <x v="0"/>
    <x v="9"/>
    <s v="KEPL/00182/82-83"/>
    <s v="SHUBHASHREE MARKETING"/>
    <x v="27"/>
    <n v="5"/>
    <n v="350"/>
    <n v="32.78"/>
    <n v="11473"/>
    <n v="-882.2700000000001"/>
    <n v="0"/>
    <n v="1376.795163"/>
    <n v="11967.525163"/>
  </r>
  <r>
    <x v="8"/>
    <x v="2"/>
    <x v="1"/>
    <x v="0"/>
    <x v="9"/>
    <s v="KEPL/00182/82-83"/>
    <s v="SHUBHASHREE MARKETING"/>
    <x v="13"/>
    <n v="1"/>
    <n v="24"/>
    <n v="141.53"/>
    <n v="3396.72"/>
    <n v="-261.20999999999998"/>
    <n v="0"/>
    <n v="407.616378"/>
    <n v="3543.1263779999999"/>
  </r>
  <r>
    <x v="10"/>
    <x v="2"/>
    <x v="1"/>
    <x v="0"/>
    <x v="9"/>
    <s v="KEPL/00182/82-83"/>
    <s v="SHUBHASHREE MARKETING"/>
    <x v="45"/>
    <n v="2"/>
    <n v="30"/>
    <n v="260.72000000000003"/>
    <n v="7821.6"/>
    <n v="-601.48"/>
    <n v="0"/>
    <n v="938.61577900000009"/>
    <n v="8158.7357789999996"/>
  </r>
  <r>
    <x v="3"/>
    <x v="2"/>
    <x v="1"/>
    <x v="0"/>
    <x v="9"/>
    <s v="KEPL/00182/82-83"/>
    <s v="SHUBHASHREE MARKETING"/>
    <x v="46"/>
    <n v="5"/>
    <n v="100"/>
    <n v="175.05"/>
    <n v="17505"/>
    <n v="-1346.1299999999999"/>
    <n v="0"/>
    <n v="2100.6535009999998"/>
    <n v="18259.523501"/>
  </r>
  <r>
    <x v="0"/>
    <x v="2"/>
    <x v="1"/>
    <x v="0"/>
    <x v="9"/>
    <s v="KEPL/00182/82-83"/>
    <s v="SHUBHASHREE MARKETING"/>
    <x v="47"/>
    <n v="5"/>
    <n v="200"/>
    <n v="111.74"/>
    <n v="22348"/>
    <n v="-1718.56"/>
    <n v="0"/>
    <n v="2681.8277130000001"/>
    <n v="23311.267713000001"/>
  </r>
  <r>
    <x v="13"/>
    <x v="2"/>
    <x v="1"/>
    <x v="0"/>
    <x v="9"/>
    <s v="KEPL/00182/82-83"/>
    <s v="SHUBHASHREE MARKETING"/>
    <x v="23"/>
    <n v="1"/>
    <n v="600"/>
    <n v="7.45"/>
    <n v="4470"/>
    <n v="-343.74"/>
    <n v="0"/>
    <n v="536.413903"/>
    <n v="4662.6739029999999"/>
  </r>
  <r>
    <x v="9"/>
    <x v="2"/>
    <x v="1"/>
    <x v="0"/>
    <x v="9"/>
    <s v="KEPL/00182/82-83"/>
    <s v="SHUBHASHREE MARKETING"/>
    <x v="22"/>
    <n v="1"/>
    <n v="24"/>
    <n v="204.85"/>
    <n v="4916.4000000000005"/>
    <n v="-378.07"/>
    <n v="0"/>
    <n v="589.98301300000003"/>
    <n v="5128.313013"/>
  </r>
  <r>
    <x v="6"/>
    <x v="2"/>
    <x v="1"/>
    <x v="0"/>
    <x v="9"/>
    <s v="KEPL/00182/82-83"/>
    <s v="SHUBHASHREE MARKETING"/>
    <x v="48"/>
    <n v="1"/>
    <n v="20"/>
    <n v="204.85"/>
    <n v="4097"/>
    <n v="-315.06"/>
    <n v="0"/>
    <n v="491.65229399999998"/>
    <n v="4273.592294"/>
  </r>
  <r>
    <x v="6"/>
    <x v="2"/>
    <x v="1"/>
    <x v="0"/>
    <x v="9"/>
    <s v="KEPL/00182/82-83"/>
    <s v="SHUBHASHREE MARKETING"/>
    <x v="28"/>
    <n v="5"/>
    <n v="100"/>
    <n v="204.85"/>
    <n v="20485"/>
    <n v="-1575.3"/>
    <n v="0"/>
    <n v="2458.2614699999999"/>
    <n v="21367.961469999998"/>
  </r>
  <r>
    <x v="10"/>
    <x v="2"/>
    <x v="1"/>
    <x v="0"/>
    <x v="9"/>
    <s v="KEPL/00182/82-83"/>
    <s v="SHUBHASHREE MARKETING"/>
    <x v="49"/>
    <n v="3"/>
    <n v="45"/>
    <n v="260.72000000000003"/>
    <n v="11732.4"/>
    <n v="-902.22"/>
    <n v="0"/>
    <n v="1407.923669"/>
    <n v="12238.103669"/>
  </r>
  <r>
    <x v="6"/>
    <x v="2"/>
    <x v="1"/>
    <x v="0"/>
    <x v="9"/>
    <s v="KEPL/00182/82-83"/>
    <s v="SHUBHASHREE MARKETING"/>
    <x v="29"/>
    <n v="8"/>
    <n v="160"/>
    <n v="204.85"/>
    <n v="32776"/>
    <n v="-2520.4700000000003"/>
    <n v="0"/>
    <n v="3933.2196519999998"/>
    <n v="34188.749651999999"/>
  </r>
  <r>
    <x v="12"/>
    <x v="2"/>
    <x v="1"/>
    <x v="0"/>
    <x v="9"/>
    <s v="KEPL/00182/82-83"/>
    <s v="SHUBHASHREE MARKETING"/>
    <x v="20"/>
    <n v="1"/>
    <n v="1600"/>
    <n v="1.79"/>
    <n v="2864"/>
    <n v="-220.24"/>
    <n v="0"/>
    <n v="343.68886600000002"/>
    <n v="2987.4488660000002"/>
  </r>
  <r>
    <x v="13"/>
    <x v="2"/>
    <x v="1"/>
    <x v="0"/>
    <x v="9"/>
    <s v="KEPL/00182/82-83"/>
    <s v="SHUBHASHREE MARKETING"/>
    <x v="50"/>
    <n v="1"/>
    <n v="240"/>
    <n v="14.9"/>
    <n v="3576"/>
    <n v="-274.99"/>
    <n v="0"/>
    <n v="429.13138199999997"/>
    <n v="3730.1413819999998"/>
  </r>
  <r>
    <x v="5"/>
    <x v="2"/>
    <x v="1"/>
    <x v="0"/>
    <x v="9"/>
    <s v="KEPL/00182/82-83"/>
    <s v="SHUBHASHREE MARKETING"/>
    <x v="10"/>
    <n v="2"/>
    <n v="84"/>
    <n v="74.489999999999995"/>
    <n v="6257.16"/>
    <n v="-481.18"/>
    <n v="0"/>
    <n v="750.87754399999994"/>
    <n v="6526.8575440000004"/>
  </r>
  <r>
    <x v="19"/>
    <x v="2"/>
    <x v="1"/>
    <x v="0"/>
    <x v="9"/>
    <s v="KEPL/00182/82-83"/>
    <s v="SHUBHASHREE MARKETING"/>
    <x v="51"/>
    <n v="1"/>
    <n v="50"/>
    <n v="89.39"/>
    <n v="4469.5"/>
    <n v="-343.7"/>
    <n v="0"/>
    <n v="536.35410300000001"/>
    <n v="4662.1541029999998"/>
  </r>
  <r>
    <x v="0"/>
    <x v="2"/>
    <x v="1"/>
    <x v="0"/>
    <x v="9"/>
    <s v="KEPL/00182/82-83"/>
    <s v="SHUBHASHREE MARKETING"/>
    <x v="1"/>
    <n v="2"/>
    <n v="80"/>
    <n v="111.74"/>
    <n v="8939.2000000000007"/>
    <n v="-687.42"/>
    <n v="0"/>
    <n v="1072.7316049999999"/>
    <n v="9324.5116049999997"/>
  </r>
  <r>
    <x v="5"/>
    <x v="2"/>
    <x v="1"/>
    <x v="0"/>
    <x v="9"/>
    <s v="KEPL/00182/82-83"/>
    <s v="SHUBHASHREE MARKETING"/>
    <x v="7"/>
    <n v="2"/>
    <n v="84"/>
    <n v="74.489999999999995"/>
    <n v="6257.16"/>
    <n v="-481.18"/>
    <n v="0"/>
    <n v="750.87754399999994"/>
    <n v="6526.8575440000004"/>
  </r>
  <r>
    <x v="13"/>
    <x v="2"/>
    <x v="1"/>
    <x v="0"/>
    <x v="9"/>
    <s v="KEPL/00182/82-83"/>
    <s v="SHUBHASHREE MARKETING"/>
    <x v="21"/>
    <n v="1"/>
    <n v="240"/>
    <n v="18.62"/>
    <n v="4468.8"/>
    <n v="-343.65"/>
    <n v="0"/>
    <n v="536.26960199999996"/>
    <n v="4661.4196019999999"/>
  </r>
  <r>
    <x v="6"/>
    <x v="2"/>
    <x v="1"/>
    <x v="0"/>
    <x v="9"/>
    <s v="KEPL/00182/82-83"/>
    <s v="SHUBHASHREE MARKETING"/>
    <x v="30"/>
    <n v="5"/>
    <n v="100"/>
    <n v="242.1"/>
    <n v="24210"/>
    <n v="-1861.75"/>
    <n v="0"/>
    <n v="2905.2730550000001"/>
    <n v="25253.523055000001"/>
  </r>
  <r>
    <x v="3"/>
    <x v="2"/>
    <x v="1"/>
    <x v="0"/>
    <x v="9"/>
    <s v="KEPL/00182/82-83"/>
    <s v="SHUBHASHREE MARKETING"/>
    <x v="4"/>
    <n v="2"/>
    <n v="40"/>
    <n v="175.05"/>
    <n v="7001.9999999999991"/>
    <n v="-538.45000000000005"/>
    <n v="0"/>
    <n v="840.26166099999989"/>
    <n v="7303.8116609999997"/>
  </r>
  <r>
    <x v="20"/>
    <x v="2"/>
    <x v="1"/>
    <x v="0"/>
    <x v="9"/>
    <s v="KEPL/00183/82-83"/>
    <s v="SHREE BHOLEY SHANKAR KIRANA STORE"/>
    <x v="52"/>
    <n v="5"/>
    <n v="20"/>
    <n v="595.92999999999995"/>
    <n v="11918.6"/>
    <n v="-916.54"/>
    <n v="0"/>
    <n v="1430.2682540000001"/>
    <n v="12432.328254"/>
  </r>
  <r>
    <x v="16"/>
    <x v="2"/>
    <x v="1"/>
    <x v="0"/>
    <x v="9"/>
    <s v="KEPL/00183/82-83"/>
    <s v="SHREE BHOLEY SHANKAR KIRANA STORE"/>
    <x v="42"/>
    <n v="4"/>
    <n v="120"/>
    <n v="316.58999999999997"/>
    <n v="37990.799999999996"/>
    <n v="-2921.4900000000002"/>
    <n v="0"/>
    <n v="4559.0117460000001"/>
    <n v="39628.321746000001"/>
  </r>
  <r>
    <x v="19"/>
    <x v="2"/>
    <x v="1"/>
    <x v="0"/>
    <x v="9"/>
    <s v="KEPL/00184/82-83"/>
    <s v="NEW CHANDESHWARI SUPPLIERS"/>
    <x v="51"/>
    <n v="1"/>
    <n v="50"/>
    <n v="89.39"/>
    <n v="4469.5"/>
    <n v="-343.7"/>
    <n v="0"/>
    <n v="536.35421599999995"/>
    <n v="4662.1542159999999"/>
  </r>
  <r>
    <x v="7"/>
    <x v="2"/>
    <x v="1"/>
    <x v="0"/>
    <x v="9"/>
    <s v="KEPL/00184/82-83"/>
    <s v="NEW CHANDESHWARI SUPPLIERS"/>
    <x v="12"/>
    <n v="1"/>
    <n v="130"/>
    <n v="33.520000000000003"/>
    <n v="4357.6000000000004"/>
    <n v="-335.1"/>
    <n v="0"/>
    <n v="522.92520999999999"/>
    <n v="4545.4252100000003"/>
  </r>
  <r>
    <x v="0"/>
    <x v="2"/>
    <x v="1"/>
    <x v="0"/>
    <x v="9"/>
    <s v="KEPL/00184/82-83"/>
    <s v="NEW CHANDESHWARI SUPPLIERS"/>
    <x v="1"/>
    <n v="1"/>
    <n v="40"/>
    <n v="111.74"/>
    <n v="4469.6000000000004"/>
    <n v="-343.71"/>
    <n v="0"/>
    <n v="536.36591599999997"/>
    <n v="4662.2559160000001"/>
  </r>
  <r>
    <x v="11"/>
    <x v="2"/>
    <x v="1"/>
    <x v="0"/>
    <x v="9"/>
    <s v="KEPL/00184/82-83"/>
    <s v="NEW CHANDESHWARI SUPPLIERS"/>
    <x v="36"/>
    <n v="1"/>
    <n v="40"/>
    <n v="81.94"/>
    <n v="3277.6"/>
    <n v="-252.05"/>
    <n v="0"/>
    <n v="393.32165800000001"/>
    <n v="3418.871658"/>
  </r>
  <r>
    <x v="11"/>
    <x v="2"/>
    <x v="1"/>
    <x v="0"/>
    <x v="9"/>
    <s v="KEPL/00184/82-83"/>
    <s v="NEW CHANDESHWARI SUPPLIERS"/>
    <x v="53"/>
    <n v="1"/>
    <n v="40"/>
    <n v="81.94"/>
    <n v="3277.6"/>
    <n v="-252.05"/>
    <n v="0"/>
    <n v="393.32165800000001"/>
    <n v="3418.871658"/>
  </r>
  <r>
    <x v="4"/>
    <x v="2"/>
    <x v="1"/>
    <x v="0"/>
    <x v="9"/>
    <s v="KEPL/00184/82-83"/>
    <s v="NEW CHANDESHWARI SUPPLIERS"/>
    <x v="5"/>
    <n v="1"/>
    <n v="180"/>
    <n v="18.62"/>
    <n v="3351.6"/>
    <n v="-257.74"/>
    <n v="0"/>
    <n v="402.20196200000004"/>
    <n v="3496.0619620000002"/>
  </r>
  <r>
    <x v="16"/>
    <x v="2"/>
    <x v="1"/>
    <x v="0"/>
    <x v="9"/>
    <s v="KEPL/00184/82-83"/>
    <s v="NEW CHANDESHWARI SUPPLIERS"/>
    <x v="42"/>
    <n v="1"/>
    <n v="30"/>
    <n v="316.58999999999997"/>
    <n v="9497.6999999999989"/>
    <n v="-730.36999999999989"/>
    <n v="0"/>
    <n v="1139.7533579999999"/>
    <n v="9907.0833579999999"/>
  </r>
  <r>
    <x v="8"/>
    <x v="2"/>
    <x v="1"/>
    <x v="0"/>
    <x v="9"/>
    <s v="KEPL/00184/82-83"/>
    <s v="NEW CHANDESHWARI SUPPLIERS"/>
    <x v="13"/>
    <n v="1"/>
    <n v="24"/>
    <n v="141.53"/>
    <n v="3396.72"/>
    <n v="-261.20999999999998"/>
    <n v="0"/>
    <n v="407.61646400000001"/>
    <n v="3543.1264639999999"/>
  </r>
  <r>
    <x v="5"/>
    <x v="2"/>
    <x v="1"/>
    <x v="0"/>
    <x v="9"/>
    <s v="KEPL/00184/82-83"/>
    <s v="NEW CHANDESHWARI SUPPLIERS"/>
    <x v="8"/>
    <n v="1"/>
    <n v="42"/>
    <n v="74.489999999999995"/>
    <n v="3128.58"/>
    <n v="-240.59"/>
    <n v="0"/>
    <n v="375.438851"/>
    <n v="3263.4288510000001"/>
  </r>
  <r>
    <x v="16"/>
    <x v="2"/>
    <x v="1"/>
    <x v="0"/>
    <x v="9"/>
    <s v="KEPL/00184/82-83"/>
    <s v="NEW CHANDESHWARI SUPPLIERS"/>
    <x v="35"/>
    <n v="1"/>
    <n v="60"/>
    <n v="145.26"/>
    <n v="8715.6"/>
    <n v="-670.23"/>
    <n v="0"/>
    <n v="1045.89852"/>
    <n v="9091.2685199999996"/>
  </r>
  <r>
    <x v="0"/>
    <x v="2"/>
    <x v="1"/>
    <x v="0"/>
    <x v="9"/>
    <s v="KEPL/00184/82-83"/>
    <s v="NEW CHANDESHWARI SUPPLIERS"/>
    <x v="47"/>
    <n v="2"/>
    <n v="80"/>
    <n v="111.74"/>
    <n v="8939.2000000000007"/>
    <n v="-687.42"/>
    <n v="0"/>
    <n v="1072.7318310000001"/>
    <n v="9324.5118309999998"/>
  </r>
  <r>
    <x v="5"/>
    <x v="2"/>
    <x v="1"/>
    <x v="0"/>
    <x v="9"/>
    <s v="KEPL/00184/82-83"/>
    <s v="NEW CHANDESHWARI SUPPLIERS"/>
    <x v="10"/>
    <n v="1"/>
    <n v="42"/>
    <n v="74.489999999999995"/>
    <n v="3128.58"/>
    <n v="-240.59"/>
    <n v="0"/>
    <n v="375.438851"/>
    <n v="3263.4288510000001"/>
  </r>
  <r>
    <x v="2"/>
    <x v="2"/>
    <x v="1"/>
    <x v="0"/>
    <x v="9"/>
    <s v="KEPL/00184/82-83"/>
    <s v="NEW CHANDESHWARI SUPPLIERS"/>
    <x v="3"/>
    <n v="2"/>
    <n v="40"/>
    <n v="186.23"/>
    <n v="7449.2000000000007"/>
    <n v="-572.84"/>
    <n v="0"/>
    <n v="893.92715899999996"/>
    <n v="7770.2871590000004"/>
  </r>
  <r>
    <x v="0"/>
    <x v="2"/>
    <x v="1"/>
    <x v="0"/>
    <x v="9"/>
    <s v="KEPL/00184/82-83"/>
    <s v="NEW CHANDESHWARI SUPPLIERS"/>
    <x v="0"/>
    <n v="1"/>
    <n v="40"/>
    <n v="111.74"/>
    <n v="4469.6000000000004"/>
    <n v="-343.71"/>
    <n v="0"/>
    <n v="536.36591599999997"/>
    <n v="4662.2559160000001"/>
  </r>
  <r>
    <x v="11"/>
    <x v="2"/>
    <x v="1"/>
    <x v="0"/>
    <x v="9"/>
    <s v="KEPL/00184/82-83"/>
    <s v="NEW CHANDESHWARI SUPPLIERS"/>
    <x v="37"/>
    <n v="1"/>
    <n v="40"/>
    <n v="81.94"/>
    <n v="3277.6"/>
    <n v="-252.05"/>
    <n v="0"/>
    <n v="393.32165800000001"/>
    <n v="3418.871658"/>
  </r>
  <r>
    <x v="5"/>
    <x v="2"/>
    <x v="1"/>
    <x v="0"/>
    <x v="9"/>
    <s v="KEPL/00184/82-83"/>
    <s v="NEW CHANDESHWARI SUPPLIERS"/>
    <x v="7"/>
    <n v="1"/>
    <n v="42"/>
    <n v="74.489999999999995"/>
    <n v="3128.58"/>
    <n v="-240.59"/>
    <n v="0"/>
    <n v="375.438851"/>
    <n v="3263.4288510000001"/>
  </r>
  <r>
    <x v="7"/>
    <x v="2"/>
    <x v="1"/>
    <x v="0"/>
    <x v="9"/>
    <s v="KEPL/00184/82-83"/>
    <s v="NEW CHANDESHWARI SUPPLIERS"/>
    <x v="27"/>
    <n v="2"/>
    <n v="140"/>
    <n v="32.78"/>
    <n v="4589.2"/>
    <n v="-352.91"/>
    <n v="0"/>
    <n v="550.71792100000005"/>
    <n v="4787.0079210000004"/>
  </r>
  <r>
    <x v="20"/>
    <x v="2"/>
    <x v="1"/>
    <x v="0"/>
    <x v="9"/>
    <s v="KEPL/00185/82-83"/>
    <s v="SHUBHASHREE MARKETING"/>
    <x v="52"/>
    <n v="40"/>
    <n v="160"/>
    <n v="595.92999999999995"/>
    <n v="95348.800000000003"/>
    <n v="-7332.32"/>
    <n v="0"/>
    <n v="11442.140000000001"/>
    <n v="99458.62"/>
  </r>
  <r>
    <x v="11"/>
    <x v="2"/>
    <x v="1"/>
    <x v="0"/>
    <x v="9"/>
    <s v="KEPL/00186/82-83"/>
    <s v="ABIRAL SUPPLIERS AND TRADERS"/>
    <x v="36"/>
    <n v="2"/>
    <n v="80"/>
    <n v="81.94"/>
    <n v="6555.2"/>
    <n v="-504.09"/>
    <n v="0"/>
    <n v="786.64413400000001"/>
    <n v="6837.7541339999998"/>
  </r>
  <r>
    <x v="9"/>
    <x v="2"/>
    <x v="1"/>
    <x v="0"/>
    <x v="9"/>
    <s v="KEPL/00186/82-83"/>
    <s v="ABIRAL SUPPLIERS AND TRADERS"/>
    <x v="38"/>
    <n v="2"/>
    <n v="48"/>
    <n v="186.23"/>
    <n v="8939.0400000000009"/>
    <n v="-687.41"/>
    <n v="0"/>
    <n v="1072.711673"/>
    <n v="9324.3416730000008"/>
  </r>
  <r>
    <x v="13"/>
    <x v="2"/>
    <x v="1"/>
    <x v="0"/>
    <x v="9"/>
    <s v="KEPL/00186/82-83"/>
    <s v="ABIRAL SUPPLIERS AND TRADERS"/>
    <x v="40"/>
    <n v="1"/>
    <n v="600"/>
    <n v="7.45"/>
    <n v="4470"/>
    <n v="-343.74"/>
    <n v="0"/>
    <n v="536.41368699999998"/>
    <n v="4662.6736870000004"/>
  </r>
  <r>
    <x v="8"/>
    <x v="2"/>
    <x v="1"/>
    <x v="0"/>
    <x v="9"/>
    <s v="KEPL/00186/82-83"/>
    <s v="ABIRAL SUPPLIERS AND TRADERS"/>
    <x v="34"/>
    <n v="3"/>
    <n v="120"/>
    <n v="67.040000000000006"/>
    <n v="8044.8"/>
    <n v="-618.65"/>
    <n v="0"/>
    <n v="965.39929600000005"/>
    <n v="8391.5492959999992"/>
  </r>
  <r>
    <x v="3"/>
    <x v="2"/>
    <x v="1"/>
    <x v="0"/>
    <x v="9"/>
    <s v="KEPL/00186/82-83"/>
    <s v="ABIRAL SUPPLIERS AND TRADERS"/>
    <x v="54"/>
    <n v="3"/>
    <n v="60"/>
    <n v="175.05"/>
    <n v="10503"/>
    <n v="-807.68"/>
    <n v="0"/>
    <n v="1260.3913339999999"/>
    <n v="10955.711334"/>
  </r>
  <r>
    <x v="16"/>
    <x v="2"/>
    <x v="1"/>
    <x v="0"/>
    <x v="9"/>
    <s v="KEPL/00186/82-83"/>
    <s v="ABIRAL SUPPLIERS AND TRADERS"/>
    <x v="42"/>
    <n v="1"/>
    <n v="30"/>
    <n v="316.58999999999997"/>
    <n v="9497.6999999999989"/>
    <n v="-730.36999999999989"/>
    <n v="0"/>
    <n v="1139.752659"/>
    <n v="9907.0826589999997"/>
  </r>
  <r>
    <x v="3"/>
    <x v="2"/>
    <x v="1"/>
    <x v="0"/>
    <x v="9"/>
    <s v="KEPL/00186/82-83"/>
    <s v="ABIRAL SUPPLIERS AND TRADERS"/>
    <x v="55"/>
    <n v="5"/>
    <n v="100"/>
    <n v="175.05"/>
    <n v="17505"/>
    <n v="-1346.1299999999999"/>
    <n v="0"/>
    <n v="2100.6526560000002"/>
    <n v="18259.522656000001"/>
  </r>
  <r>
    <x v="0"/>
    <x v="2"/>
    <x v="1"/>
    <x v="0"/>
    <x v="9"/>
    <s v="KEPL/00186/82-83"/>
    <s v="ABIRAL SUPPLIERS AND TRADERS"/>
    <x v="47"/>
    <n v="5"/>
    <n v="200"/>
    <n v="111.74"/>
    <n v="22348"/>
    <n v="-1718.56"/>
    <n v="0"/>
    <n v="2681.8266329999997"/>
    <n v="23311.266632999999"/>
  </r>
  <r>
    <x v="4"/>
    <x v="2"/>
    <x v="1"/>
    <x v="0"/>
    <x v="9"/>
    <s v="KEPL/00186/82-83"/>
    <s v="ABIRAL SUPPLIERS AND TRADERS"/>
    <x v="5"/>
    <n v="5"/>
    <n v="900"/>
    <n v="18.62"/>
    <n v="16758"/>
    <n v="-1288.6899999999998"/>
    <n v="0"/>
    <n v="2011.009875"/>
    <n v="17480.319875000001"/>
  </r>
  <r>
    <x v="7"/>
    <x v="2"/>
    <x v="1"/>
    <x v="0"/>
    <x v="9"/>
    <s v="KEPL/00186/82-83"/>
    <s v="ABIRAL SUPPLIERS AND TRADERS"/>
    <x v="12"/>
    <n v="2"/>
    <n v="260"/>
    <n v="33.520000000000003"/>
    <n v="8715.2000000000007"/>
    <n v="-670.2"/>
    <n v="0"/>
    <n v="1045.8497789999999"/>
    <n v="9090.8497790000001"/>
  </r>
  <r>
    <x v="8"/>
    <x v="2"/>
    <x v="1"/>
    <x v="0"/>
    <x v="9"/>
    <s v="KEPL/00186/82-83"/>
    <s v="ABIRAL SUPPLIERS AND TRADERS"/>
    <x v="33"/>
    <n v="5"/>
    <n v="200"/>
    <n v="67.040000000000006"/>
    <n v="13408"/>
    <n v="-1031.08"/>
    <n v="0"/>
    <n v="1608.9992599999998"/>
    <n v="13985.919260000001"/>
  </r>
  <r>
    <x v="8"/>
    <x v="2"/>
    <x v="1"/>
    <x v="0"/>
    <x v="9"/>
    <s v="KEPL/00186/82-83"/>
    <s v="ABIRAL SUPPLIERS AND TRADERS"/>
    <x v="41"/>
    <n v="3"/>
    <n v="120"/>
    <n v="67.040000000000006"/>
    <n v="8044.8"/>
    <n v="-618.65"/>
    <n v="0"/>
    <n v="965.39929600000005"/>
    <n v="8391.5492959999992"/>
  </r>
  <r>
    <x v="10"/>
    <x v="2"/>
    <x v="1"/>
    <x v="0"/>
    <x v="9"/>
    <s v="KEPL/00186/82-83"/>
    <s v="ABIRAL SUPPLIERS AND TRADERS"/>
    <x v="45"/>
    <n v="3"/>
    <n v="45"/>
    <n v="260.72000000000003"/>
    <n v="11732.4"/>
    <n v="-902.22"/>
    <n v="0"/>
    <n v="1407.9231029999999"/>
    <n v="12238.103102999999"/>
  </r>
  <r>
    <x v="8"/>
    <x v="2"/>
    <x v="1"/>
    <x v="0"/>
    <x v="9"/>
    <s v="KEPL/00186/82-83"/>
    <s v="ABIRAL SUPPLIERS AND TRADERS"/>
    <x v="56"/>
    <n v="2"/>
    <n v="1600"/>
    <n v="7.45"/>
    <n v="11920"/>
    <n v="-916.65"/>
    <n v="0"/>
    <n v="1430.4351979999999"/>
    <n v="12433.785198"/>
  </r>
  <r>
    <x v="11"/>
    <x v="2"/>
    <x v="1"/>
    <x v="0"/>
    <x v="9"/>
    <s v="KEPL/00186/82-83"/>
    <s v="ABIRAL SUPPLIERS AND TRADERS"/>
    <x v="37"/>
    <n v="1"/>
    <n v="40"/>
    <n v="81.94"/>
    <n v="3277.6"/>
    <n v="-252.05"/>
    <n v="0"/>
    <n v="393.32141700000005"/>
    <n v="3418.8714169999998"/>
  </r>
  <r>
    <x v="2"/>
    <x v="2"/>
    <x v="1"/>
    <x v="0"/>
    <x v="9"/>
    <s v="KEPL/00187/82-83"/>
    <s v="ABIRAL SUPPLIERS AND TRADERS"/>
    <x v="3"/>
    <n v="5"/>
    <n v="100"/>
    <n v="186.23"/>
    <n v="18623"/>
    <n v="-1432.1100000000001"/>
    <n v="0"/>
    <n v="2234.815889"/>
    <n v="19425.705889000001"/>
  </r>
  <r>
    <x v="6"/>
    <x v="2"/>
    <x v="1"/>
    <x v="0"/>
    <x v="9"/>
    <s v="KEPL/00187/82-83"/>
    <s v="ABIRAL SUPPLIERS AND TRADERS"/>
    <x v="28"/>
    <n v="5"/>
    <n v="100"/>
    <n v="204.85"/>
    <n v="20485"/>
    <n v="-1575.3"/>
    <n v="0"/>
    <n v="2458.2612080000004"/>
    <n v="21367.961208000001"/>
  </r>
  <r>
    <x v="13"/>
    <x v="2"/>
    <x v="1"/>
    <x v="0"/>
    <x v="9"/>
    <s v="KEPL/00187/82-83"/>
    <s v="ABIRAL SUPPLIERS AND TRADERS"/>
    <x v="23"/>
    <n v="1"/>
    <n v="600"/>
    <n v="7.45"/>
    <n v="4470"/>
    <n v="-343.74"/>
    <n v="0"/>
    <n v="536.41384499999992"/>
    <n v="4662.6738450000003"/>
  </r>
  <r>
    <x v="9"/>
    <x v="2"/>
    <x v="1"/>
    <x v="0"/>
    <x v="9"/>
    <s v="KEPL/00187/82-83"/>
    <s v="ABIRAL SUPPLIERS AND TRADERS"/>
    <x v="22"/>
    <n v="2"/>
    <n v="48"/>
    <n v="204.85"/>
    <n v="9832.8000000000011"/>
    <n v="-756.14"/>
    <n v="0"/>
    <n v="1179.9658999999999"/>
    <n v="10256.625899999999"/>
  </r>
  <r>
    <x v="3"/>
    <x v="2"/>
    <x v="1"/>
    <x v="0"/>
    <x v="9"/>
    <s v="KEPL/00187/82-83"/>
    <s v="ABIRAL SUPPLIERS AND TRADERS"/>
    <x v="46"/>
    <n v="10"/>
    <n v="200"/>
    <n v="175.05"/>
    <n v="35010"/>
    <n v="-2692.27"/>
    <n v="0"/>
    <n v="4201.3052550000002"/>
    <n v="36519.035255000003"/>
  </r>
  <r>
    <x v="6"/>
    <x v="2"/>
    <x v="1"/>
    <x v="0"/>
    <x v="9"/>
    <s v="KEPL/00187/82-83"/>
    <s v="ABIRAL SUPPLIERS AND TRADERS"/>
    <x v="48"/>
    <n v="2"/>
    <n v="40"/>
    <n v="204.85"/>
    <n v="8194"/>
    <n v="-630.12"/>
    <n v="0"/>
    <n v="983.304483"/>
    <n v="8547.1844829999991"/>
  </r>
  <r>
    <x v="10"/>
    <x v="2"/>
    <x v="1"/>
    <x v="0"/>
    <x v="9"/>
    <s v="KEPL/00187/82-83"/>
    <s v="ABIRAL SUPPLIERS AND TRADERS"/>
    <x v="49"/>
    <n v="5"/>
    <n v="75"/>
    <n v="260.72000000000003"/>
    <n v="19554"/>
    <n v="-1503.6999999999998"/>
    <n v="0"/>
    <n v="2346.5391990000003"/>
    <n v="20396.839198999998"/>
  </r>
  <r>
    <x v="6"/>
    <x v="2"/>
    <x v="1"/>
    <x v="0"/>
    <x v="9"/>
    <s v="KEPL/00187/82-83"/>
    <s v="ABIRAL SUPPLIERS AND TRADERS"/>
    <x v="29"/>
    <n v="2"/>
    <n v="40"/>
    <n v="204.85"/>
    <n v="8194"/>
    <n v="-630.12"/>
    <n v="0"/>
    <n v="983.304483"/>
    <n v="8547.1844829999991"/>
  </r>
  <r>
    <x v="9"/>
    <x v="2"/>
    <x v="1"/>
    <x v="0"/>
    <x v="9"/>
    <s v="KEPL/00187/82-83"/>
    <s v="ABIRAL SUPPLIERS AND TRADERS"/>
    <x v="44"/>
    <n v="2"/>
    <n v="48"/>
    <n v="186.23"/>
    <n v="8939.0400000000009"/>
    <n v="-687.41"/>
    <n v="0"/>
    <n v="1072.7119909999999"/>
    <n v="9324.3419909999993"/>
  </r>
  <r>
    <x v="7"/>
    <x v="2"/>
    <x v="1"/>
    <x v="0"/>
    <x v="9"/>
    <s v="KEPL/00187/82-83"/>
    <s v="ABIRAL SUPPLIERS AND TRADERS"/>
    <x v="27"/>
    <n v="2"/>
    <n v="140"/>
    <n v="32.78"/>
    <n v="4589.2"/>
    <n v="-352.91"/>
    <n v="0"/>
    <n v="550.71774700000003"/>
    <n v="4787.0077469999997"/>
  </r>
  <r>
    <x v="20"/>
    <x v="2"/>
    <x v="1"/>
    <x v="0"/>
    <x v="9"/>
    <s v="KEPL/00188/82-83"/>
    <s v="SHREE EXIM"/>
    <x v="52"/>
    <n v="60"/>
    <n v="240"/>
    <n v="595.92999999999995"/>
    <n v="143023.19999999998"/>
    <n v="-10998.48"/>
    <n v="0"/>
    <n v="17163.21"/>
    <n v="149187.93"/>
  </r>
  <r>
    <x v="17"/>
    <x v="2"/>
    <x v="1"/>
    <x v="0"/>
    <x v="9"/>
    <s v="KEPL/00189/82-83"/>
    <s v="SHREE EXIM"/>
    <x v="39"/>
    <n v="5"/>
    <n v="100"/>
    <n v="249.55"/>
    <n v="24955"/>
    <n v="-1919.04"/>
    <n v="0"/>
    <n v="2994.6745019999998"/>
    <n v="26030.634502000001"/>
  </r>
  <r>
    <x v="8"/>
    <x v="2"/>
    <x v="1"/>
    <x v="0"/>
    <x v="9"/>
    <s v="KEPL/00189/82-83"/>
    <s v="SHREE EXIM"/>
    <x v="34"/>
    <n v="5"/>
    <n v="200"/>
    <n v="67.040000000000006"/>
    <n v="13408"/>
    <n v="-1031.08"/>
    <n v="0"/>
    <n v="1608.9994399999998"/>
    <n v="13985.91944"/>
  </r>
  <r>
    <x v="16"/>
    <x v="2"/>
    <x v="1"/>
    <x v="0"/>
    <x v="9"/>
    <s v="KEPL/00189/82-83"/>
    <s v="SHREE EXIM"/>
    <x v="35"/>
    <n v="10"/>
    <n v="600"/>
    <n v="145.26"/>
    <n v="87156"/>
    <n v="-6702.2999999999993"/>
    <n v="0"/>
    <n v="10458.979958"/>
    <n v="90912.679957999993"/>
  </r>
  <r>
    <x v="6"/>
    <x v="2"/>
    <x v="1"/>
    <x v="0"/>
    <x v="9"/>
    <s v="KEPL/00189/82-83"/>
    <s v="SHREE EXIM"/>
    <x v="30"/>
    <n v="2"/>
    <n v="40"/>
    <n v="242.1"/>
    <n v="9683.9999999999982"/>
    <n v="-744.7"/>
    <n v="0"/>
    <n v="1162.108884"/>
    <n v="10101.408884"/>
  </r>
  <r>
    <x v="15"/>
    <x v="2"/>
    <x v="1"/>
    <x v="0"/>
    <x v="9"/>
    <s v="KEPL/00189/82-83"/>
    <s v="SHREE EXIM"/>
    <x v="32"/>
    <n v="1"/>
    <n v="60"/>
    <n v="111.74"/>
    <n v="6704.4"/>
    <n v="-515.57000000000005"/>
    <n v="0"/>
    <n v="804.54782"/>
    <n v="6993.3778199999997"/>
  </r>
  <r>
    <x v="10"/>
    <x v="2"/>
    <x v="1"/>
    <x v="0"/>
    <x v="9"/>
    <s v="KEPL/00189/82-83"/>
    <s v="SHREE EXIM"/>
    <x v="49"/>
    <n v="15"/>
    <n v="225"/>
    <n v="260.72000000000003"/>
    <n v="58662"/>
    <n v="-4511.1099999999997"/>
    <n v="0"/>
    <n v="7039.6149989999994"/>
    <n v="61190.504998999997"/>
  </r>
  <r>
    <x v="14"/>
    <x v="2"/>
    <x v="1"/>
    <x v="0"/>
    <x v="9"/>
    <s v="KEPL/00189/82-83"/>
    <s v="SHREE EXIM"/>
    <x v="31"/>
    <n v="1"/>
    <n v="60"/>
    <n v="111.74"/>
    <n v="6704.4"/>
    <n v="-515.57000000000005"/>
    <n v="0"/>
    <n v="804.54782"/>
    <n v="6993.3778199999997"/>
  </r>
  <r>
    <x v="8"/>
    <x v="2"/>
    <x v="1"/>
    <x v="0"/>
    <x v="9"/>
    <s v="KEPL/00189/82-83"/>
    <s v="SHREE EXIM"/>
    <x v="33"/>
    <n v="3"/>
    <n v="120"/>
    <n v="67.040000000000006"/>
    <n v="8044.8"/>
    <n v="-618.65"/>
    <n v="0"/>
    <n v="965.399404"/>
    <n v="8391.5494039999994"/>
  </r>
  <r>
    <x v="8"/>
    <x v="2"/>
    <x v="1"/>
    <x v="0"/>
    <x v="9"/>
    <s v="KEPL/00189/82-83"/>
    <s v="SHREE EXIM"/>
    <x v="41"/>
    <n v="5"/>
    <n v="200"/>
    <n v="67.040000000000006"/>
    <n v="13408"/>
    <n v="-1031.08"/>
    <n v="0"/>
    <n v="1608.9994399999998"/>
    <n v="13985.91944"/>
  </r>
  <r>
    <x v="8"/>
    <x v="2"/>
    <x v="1"/>
    <x v="0"/>
    <x v="9"/>
    <s v="KEPL/00189/82-83"/>
    <s v="SHREE EXIM"/>
    <x v="56"/>
    <n v="2"/>
    <n v="1600"/>
    <n v="7.45"/>
    <n v="11920"/>
    <n v="-916.65"/>
    <n v="0"/>
    <n v="1430.4353570000001"/>
    <n v="12433.785357000001"/>
  </r>
  <r>
    <x v="18"/>
    <x v="2"/>
    <x v="1"/>
    <x v="0"/>
    <x v="9"/>
    <s v="KEPL/00189/82-83"/>
    <s v="SHREE EXIM"/>
    <x v="43"/>
    <n v="1"/>
    <n v="60"/>
    <n v="111.74"/>
    <n v="6704.4"/>
    <n v="-515.57000000000005"/>
    <n v="0"/>
    <n v="804.54782"/>
    <n v="6993.3778199999997"/>
  </r>
  <r>
    <x v="10"/>
    <x v="2"/>
    <x v="1"/>
    <x v="0"/>
    <x v="9"/>
    <s v="KEPL/00189/82-83"/>
    <s v="SHREE EXIM"/>
    <x v="45"/>
    <n v="15"/>
    <n v="225"/>
    <n v="260.72000000000003"/>
    <n v="58662"/>
    <n v="-4511.1099999999997"/>
    <n v="0"/>
    <n v="7039.6149989999994"/>
    <n v="61190.504998999997"/>
  </r>
  <r>
    <x v="8"/>
    <x v="2"/>
    <x v="1"/>
    <x v="0"/>
    <x v="9"/>
    <s v="KEPL/00189/82-83"/>
    <s v="SHREE EXIM"/>
    <x v="13"/>
    <n v="2"/>
    <n v="48"/>
    <n v="141.53"/>
    <n v="6793.44"/>
    <n v="-522.41999999999996"/>
    <n v="0"/>
    <n v="815.23251900000002"/>
    <n v="7086.2525189999997"/>
  </r>
  <r>
    <x v="9"/>
    <x v="2"/>
    <x v="1"/>
    <x v="0"/>
    <x v="9"/>
    <s v="KEPL/00189/82-83"/>
    <s v="SHREE EXIM"/>
    <x v="44"/>
    <n v="3"/>
    <n v="72"/>
    <n v="186.23"/>
    <n v="13408.560000000001"/>
    <n v="-1031.1199999999999"/>
    <n v="0"/>
    <n v="1609.0670399999999"/>
    <n v="13986.50704"/>
  </r>
  <r>
    <x v="15"/>
    <x v="2"/>
    <x v="1"/>
    <x v="0"/>
    <x v="9"/>
    <s v="KEPL/00190/82-83"/>
    <s v="KRISHMA ENTERPRISES"/>
    <x v="32"/>
    <n v="2"/>
    <n v="120"/>
    <n v="111.74"/>
    <n v="13408.8"/>
    <n v="-1031.1400000000001"/>
    <n v="0"/>
    <n v="1609.095734"/>
    <n v="13986.755734"/>
  </r>
  <r>
    <x v="3"/>
    <x v="2"/>
    <x v="1"/>
    <x v="0"/>
    <x v="9"/>
    <s v="KEPL/00190/82-83"/>
    <s v="KRISHMA ENTERPRISES"/>
    <x v="4"/>
    <n v="3"/>
    <n v="60"/>
    <n v="175.05"/>
    <n v="10503"/>
    <n v="-807.68"/>
    <n v="0"/>
    <n v="1260.3915480000001"/>
    <n v="10955.711547999999"/>
  </r>
  <r>
    <x v="11"/>
    <x v="2"/>
    <x v="1"/>
    <x v="0"/>
    <x v="9"/>
    <s v="KEPL/00190/82-83"/>
    <s v="KRISHMA ENTERPRISES"/>
    <x v="37"/>
    <n v="2"/>
    <n v="80"/>
    <n v="81.94"/>
    <n v="6555.2"/>
    <n v="-504.09"/>
    <n v="0"/>
    <n v="786.6442679999999"/>
    <n v="6837.7542679999997"/>
  </r>
  <r>
    <x v="11"/>
    <x v="2"/>
    <x v="1"/>
    <x v="0"/>
    <x v="9"/>
    <s v="KEPL/00190/82-83"/>
    <s v="KRISHMA ENTERPRISES"/>
    <x v="53"/>
    <n v="3"/>
    <n v="120"/>
    <n v="81.94"/>
    <n v="9832.8000000000011"/>
    <n v="-756.14"/>
    <n v="0"/>
    <n v="1179.9657520000001"/>
    <n v="10256.625752"/>
  </r>
  <r>
    <x v="3"/>
    <x v="2"/>
    <x v="1"/>
    <x v="0"/>
    <x v="9"/>
    <s v="KEPL/00190/82-83"/>
    <s v="KRISHMA ENTERPRISES"/>
    <x v="15"/>
    <n v="2"/>
    <n v="40"/>
    <n v="175.05"/>
    <n v="7001.9999999999991"/>
    <n v="-538.45000000000005"/>
    <n v="0"/>
    <n v="840.26146600000004"/>
    <n v="7303.8114660000001"/>
  </r>
  <r>
    <x v="11"/>
    <x v="2"/>
    <x v="1"/>
    <x v="0"/>
    <x v="9"/>
    <s v="KEPL/00190/82-83"/>
    <s v="KRISHMA ENTERPRISES"/>
    <x v="36"/>
    <n v="3"/>
    <n v="120"/>
    <n v="81.94"/>
    <n v="9832.8000000000011"/>
    <n v="-756.14"/>
    <n v="0"/>
    <n v="1179.9657520000001"/>
    <n v="10256.625752"/>
  </r>
  <r>
    <x v="18"/>
    <x v="2"/>
    <x v="1"/>
    <x v="0"/>
    <x v="9"/>
    <s v="KEPL/00190/82-83"/>
    <s v="KRISHMA ENTERPRISES"/>
    <x v="43"/>
    <n v="2"/>
    <n v="120"/>
    <n v="111.74"/>
    <n v="13408.8"/>
    <n v="-1031.1400000000001"/>
    <n v="0"/>
    <n v="1609.095734"/>
    <n v="13986.755734"/>
  </r>
  <r>
    <x v="3"/>
    <x v="2"/>
    <x v="1"/>
    <x v="0"/>
    <x v="9"/>
    <s v="KEPL/00190/82-83"/>
    <s v="KRISHMA ENTERPRISES"/>
    <x v="46"/>
    <n v="5"/>
    <n v="100"/>
    <n v="175.05"/>
    <n v="17505"/>
    <n v="-1346.1299999999999"/>
    <n v="0"/>
    <n v="2100.653014"/>
    <n v="18259.523013999999"/>
  </r>
  <r>
    <x v="5"/>
    <x v="2"/>
    <x v="1"/>
    <x v="0"/>
    <x v="9"/>
    <s v="KEPL/00190/82-83"/>
    <s v="KRISHMA ENTERPRISES"/>
    <x v="8"/>
    <n v="20"/>
    <n v="840"/>
    <n v="74.489999999999995"/>
    <n v="62571.6"/>
    <n v="-4811.76"/>
    <n v="0"/>
    <n v="7508.7788930000006"/>
    <n v="65268.618892999999"/>
  </r>
  <r>
    <x v="14"/>
    <x v="2"/>
    <x v="1"/>
    <x v="0"/>
    <x v="9"/>
    <s v="KEPL/00190/82-83"/>
    <s v="KRISHMA ENTERPRISES"/>
    <x v="31"/>
    <n v="2"/>
    <n v="120"/>
    <n v="111.74"/>
    <n v="13408.8"/>
    <n v="-1031.1400000000001"/>
    <n v="0"/>
    <n v="1609.095734"/>
    <n v="13986.755734"/>
  </r>
  <r>
    <x v="4"/>
    <x v="2"/>
    <x v="1"/>
    <x v="0"/>
    <x v="9"/>
    <s v="KEPL/00190/82-83"/>
    <s v="KRISHMA ENTERPRISES"/>
    <x v="5"/>
    <n v="5"/>
    <n v="900"/>
    <n v="18.62"/>
    <n v="16758"/>
    <n v="-1288.6899999999998"/>
    <n v="0"/>
    <n v="2011.0102179999999"/>
    <n v="17480.320218000001"/>
  </r>
  <r>
    <x v="6"/>
    <x v="2"/>
    <x v="1"/>
    <x v="0"/>
    <x v="9"/>
    <s v="KEPL/00190/82-83"/>
    <s v="KRISHMA ENTERPRISES"/>
    <x v="17"/>
    <n v="2"/>
    <n v="40"/>
    <n v="201.13"/>
    <n v="8045.2"/>
    <n v="-618.67999999999995"/>
    <n v="0"/>
    <n v="965.44756100000006"/>
    <n v="8391.9675609999995"/>
  </r>
  <r>
    <x v="8"/>
    <x v="2"/>
    <x v="1"/>
    <x v="0"/>
    <x v="9"/>
    <s v="KEPL/00190/82-83"/>
    <s v="KRISHMA ENTERPRISES"/>
    <x v="56"/>
    <n v="2"/>
    <n v="1600"/>
    <n v="7.45"/>
    <n v="11920"/>
    <n v="-916.65"/>
    <n v="0"/>
    <n v="1430.435442"/>
    <n v="12433.785442"/>
  </r>
  <r>
    <x v="8"/>
    <x v="2"/>
    <x v="1"/>
    <x v="0"/>
    <x v="9"/>
    <s v="KEPL/00190/82-83"/>
    <s v="KRISHMA ENTERPRISES"/>
    <x v="41"/>
    <n v="5"/>
    <n v="200"/>
    <n v="67.040000000000006"/>
    <n v="13408"/>
    <n v="-1031.08"/>
    <n v="0"/>
    <n v="1608.999534"/>
    <n v="13985.919534000001"/>
  </r>
  <r>
    <x v="17"/>
    <x v="2"/>
    <x v="1"/>
    <x v="0"/>
    <x v="9"/>
    <s v="KEPL/00190/82-83"/>
    <s v="KRISHMA ENTERPRISES"/>
    <x v="39"/>
    <n v="2"/>
    <n v="40"/>
    <n v="249.55"/>
    <n v="9982"/>
    <n v="-767.62"/>
    <n v="0"/>
    <n v="1197.8693509999998"/>
    <n v="10412.249351"/>
  </r>
  <r>
    <x v="13"/>
    <x v="2"/>
    <x v="1"/>
    <x v="0"/>
    <x v="9"/>
    <s v="KEPL/00191/82-83"/>
    <s v="KRISHMA ENTERPRISES"/>
    <x v="23"/>
    <n v="1"/>
    <n v="600"/>
    <n v="7.45"/>
    <n v="4470"/>
    <n v="-343.74"/>
    <n v="0"/>
    <n v="536.41389400000003"/>
    <n v="4662.6738939999996"/>
  </r>
  <r>
    <x v="6"/>
    <x v="2"/>
    <x v="1"/>
    <x v="0"/>
    <x v="9"/>
    <s v="KEPL/00191/82-83"/>
    <s v="KRISHMA ENTERPRISES"/>
    <x v="28"/>
    <n v="5"/>
    <n v="100"/>
    <n v="204.85"/>
    <n v="20485"/>
    <n v="-1575.3"/>
    <n v="0"/>
    <n v="2458.2614309999999"/>
    <n v="21367.961431"/>
  </r>
  <r>
    <x v="6"/>
    <x v="2"/>
    <x v="1"/>
    <x v="0"/>
    <x v="9"/>
    <s v="KEPL/00191/82-83"/>
    <s v="KRISHMA ENTERPRISES"/>
    <x v="29"/>
    <n v="3"/>
    <n v="60"/>
    <n v="204.85"/>
    <n v="12291"/>
    <n v="-945.18"/>
    <n v="0"/>
    <n v="1474.9568579999998"/>
    <n v="12820.776857999999"/>
  </r>
  <r>
    <x v="5"/>
    <x v="2"/>
    <x v="1"/>
    <x v="0"/>
    <x v="9"/>
    <s v="KEPL/00191/82-83"/>
    <s v="KRISHMA ENTERPRISES"/>
    <x v="7"/>
    <n v="15"/>
    <n v="630"/>
    <n v="74.489999999999995"/>
    <n v="46928.7"/>
    <n v="-3608.8199999999997"/>
    <n v="0"/>
    <n v="5631.5853870000001"/>
    <n v="48951.465386999997"/>
  </r>
  <r>
    <x v="9"/>
    <x v="2"/>
    <x v="1"/>
    <x v="0"/>
    <x v="9"/>
    <s v="KEPL/00191/82-83"/>
    <s v="KRISHMA ENTERPRISES"/>
    <x v="44"/>
    <n v="5"/>
    <n v="120"/>
    <n v="186.23"/>
    <n v="22347.599999999999"/>
    <n v="-1718.53"/>
    <n v="0"/>
    <n v="2681.7795700000001"/>
    <n v="23310.849569999998"/>
  </r>
  <r>
    <x v="6"/>
    <x v="2"/>
    <x v="1"/>
    <x v="0"/>
    <x v="9"/>
    <s v="KEPL/00191/82-83"/>
    <s v="KRISHMA ENTERPRISES"/>
    <x v="30"/>
    <n v="2"/>
    <n v="40"/>
    <n v="242.1"/>
    <n v="9683.9999999999982"/>
    <n v="-744.7"/>
    <n v="0"/>
    <n v="1162.1092040000001"/>
    <n v="10101.409204"/>
  </r>
  <r>
    <x v="19"/>
    <x v="2"/>
    <x v="1"/>
    <x v="0"/>
    <x v="9"/>
    <s v="KEPL/00191/82-83"/>
    <s v="KRISHMA ENTERPRISES"/>
    <x v="51"/>
    <n v="2"/>
    <n v="100"/>
    <n v="89.39"/>
    <n v="8939"/>
    <n v="-687.41"/>
    <n v="0"/>
    <n v="1072.7068879999999"/>
    <n v="9324.2968880000008"/>
  </r>
  <r>
    <x v="6"/>
    <x v="2"/>
    <x v="1"/>
    <x v="0"/>
    <x v="9"/>
    <s v="KEPL/00191/82-83"/>
    <s v="KRISHMA ENTERPRISES"/>
    <x v="48"/>
    <n v="1"/>
    <n v="20"/>
    <n v="204.85"/>
    <n v="4097"/>
    <n v="-315.06"/>
    <n v="0"/>
    <n v="491.652286"/>
    <n v="4273.5922860000001"/>
  </r>
  <r>
    <x v="2"/>
    <x v="2"/>
    <x v="1"/>
    <x v="0"/>
    <x v="9"/>
    <s v="KEPL/00191/82-83"/>
    <s v="KRISHMA ENTERPRISES"/>
    <x v="3"/>
    <n v="5"/>
    <n v="100"/>
    <n v="186.23"/>
    <n v="18623"/>
    <n v="-1432.1100000000001"/>
    <n v="0"/>
    <n v="2234.816092"/>
    <n v="19425.706092"/>
  </r>
  <r>
    <x v="9"/>
    <x v="2"/>
    <x v="1"/>
    <x v="0"/>
    <x v="9"/>
    <s v="KEPL/00191/82-83"/>
    <s v="KRISHMA ENTERPRISES"/>
    <x v="22"/>
    <n v="1"/>
    <n v="24"/>
    <n v="204.85"/>
    <n v="4916.4000000000005"/>
    <n v="-378.07"/>
    <n v="0"/>
    <n v="589.98300300000005"/>
    <n v="5128.3130030000002"/>
  </r>
  <r>
    <x v="5"/>
    <x v="2"/>
    <x v="1"/>
    <x v="0"/>
    <x v="9"/>
    <s v="KEPL/00191/82-83"/>
    <s v="KRISHMA ENTERPRISES"/>
    <x v="10"/>
    <n v="15"/>
    <n v="630"/>
    <n v="74.489999999999995"/>
    <n v="46928.7"/>
    <n v="-3608.8199999999997"/>
    <n v="0"/>
    <n v="5631.5853870000001"/>
    <n v="48951.465386999997"/>
  </r>
  <r>
    <x v="16"/>
    <x v="2"/>
    <x v="1"/>
    <x v="0"/>
    <x v="9"/>
    <s v="KEPL/00192/82-83"/>
    <s v="KRISHMA ENTERPRISES"/>
    <x v="35"/>
    <n v="5"/>
    <n v="300"/>
    <n v="145.26"/>
    <n v="43578"/>
    <n v="-3351.1499999999996"/>
    <n v="0"/>
    <n v="5229.4905000000008"/>
    <n v="45456.340499999998"/>
  </r>
  <r>
    <x v="10"/>
    <x v="2"/>
    <x v="1"/>
    <x v="0"/>
    <x v="9"/>
    <s v="KEPL/00192/82-83"/>
    <s v="KRISHMA ENTERPRISES"/>
    <x v="45"/>
    <n v="5"/>
    <n v="75"/>
    <n v="260.72000000000003"/>
    <n v="19554"/>
    <n v="-1503.6999999999998"/>
    <n v="0"/>
    <n v="2346.5390000000002"/>
    <n v="20396.839"/>
  </r>
  <r>
    <x v="0"/>
    <x v="2"/>
    <x v="1"/>
    <x v="0"/>
    <x v="9"/>
    <s v="KEPL/00192/82-83"/>
    <s v="KRISHMA ENTERPRISES"/>
    <x v="47"/>
    <n v="10"/>
    <n v="400"/>
    <n v="111.74"/>
    <n v="44696"/>
    <n v="-3437.12"/>
    <n v="0"/>
    <n v="5363.6544000000004"/>
    <n v="46622.534399999997"/>
  </r>
  <r>
    <x v="0"/>
    <x v="2"/>
    <x v="1"/>
    <x v="0"/>
    <x v="9"/>
    <s v="KEPL/00192/82-83"/>
    <s v="KRISHMA ENTERPRISES"/>
    <x v="1"/>
    <n v="5"/>
    <n v="200"/>
    <n v="111.74"/>
    <n v="22348"/>
    <n v="-1718.56"/>
    <n v="0"/>
    <n v="2681.8272000000002"/>
    <n v="23311.267199999998"/>
  </r>
  <r>
    <x v="10"/>
    <x v="2"/>
    <x v="1"/>
    <x v="0"/>
    <x v="9"/>
    <s v="KEPL/00192/82-83"/>
    <s v="KRISHMA ENTERPRISES"/>
    <x v="49"/>
    <n v="5"/>
    <n v="75"/>
    <n v="260.72000000000003"/>
    <n v="19554"/>
    <n v="-1503.6999999999998"/>
    <n v="0"/>
    <n v="2346.5390000000002"/>
    <n v="20396.839"/>
  </r>
  <r>
    <x v="0"/>
    <x v="2"/>
    <x v="1"/>
    <x v="0"/>
    <x v="9"/>
    <s v="KEPL/00192/82-83"/>
    <s v="KRISHMA ENTERPRISES"/>
    <x v="0"/>
    <n v="5"/>
    <n v="200"/>
    <n v="111.74"/>
    <n v="22348"/>
    <n v="-1718.56"/>
    <n v="0"/>
    <n v="2681.8272000000002"/>
    <n v="23311.267199999998"/>
  </r>
  <r>
    <x v="7"/>
    <x v="2"/>
    <x v="1"/>
    <x v="0"/>
    <x v="9"/>
    <s v="KEPL/00192/82-83"/>
    <s v="KRISHMA ENTERPRISES"/>
    <x v="12"/>
    <n v="25"/>
    <n v="3250"/>
    <n v="37.25"/>
    <n v="121062.50000000001"/>
    <n v="-9309.7100000000009"/>
    <n v="0"/>
    <n v="14527.862700000001"/>
    <n v="126280.65270000001"/>
  </r>
  <r>
    <x v="20"/>
    <x v="2"/>
    <x v="1"/>
    <x v="0"/>
    <x v="9"/>
    <s v="KEPL/00193/82-83"/>
    <s v="KRISHMA ENTERPRISES"/>
    <x v="52"/>
    <n v="60"/>
    <n v="240"/>
    <n v="595.92999999999995"/>
    <n v="143023.19999999998"/>
    <n v="-10998.48"/>
    <n v="0"/>
    <n v="17163.21"/>
    <n v="149187.93"/>
  </r>
  <r>
    <x v="17"/>
    <x v="2"/>
    <x v="1"/>
    <x v="0"/>
    <x v="9"/>
    <s v="KEPL/00194/82-83"/>
    <s v="AAFNAI PASAL PVT.LTD"/>
    <x v="39"/>
    <n v="1"/>
    <n v="20"/>
    <n v="249.55"/>
    <n v="4991"/>
    <n v="-383.81"/>
    <n v="0"/>
    <n v="598.92999999999995"/>
    <n v="5206.12"/>
  </r>
  <r>
    <x v="0"/>
    <x v="2"/>
    <x v="1"/>
    <x v="0"/>
    <x v="9"/>
    <s v="KEPL/00195/82-83"/>
    <s v="MITHASH TRADE CONCERN PVT LTD"/>
    <x v="47"/>
    <n v="3"/>
    <n v="120"/>
    <n v="111.74"/>
    <n v="13408.8"/>
    <n v="-1031.1400000000001"/>
    <n v="0"/>
    <n v="1609.0962789999999"/>
    <n v="13986.756278999999"/>
  </r>
  <r>
    <x v="13"/>
    <x v="2"/>
    <x v="1"/>
    <x v="0"/>
    <x v="9"/>
    <s v="KEPL/00195/82-83"/>
    <s v="MITHASH TRADE CONCERN PVT LTD"/>
    <x v="23"/>
    <n v="1"/>
    <n v="600"/>
    <n v="7.45"/>
    <n v="4470"/>
    <n v="-343.74"/>
    <n v="0"/>
    <n v="536.41395999999997"/>
    <n v="4662.6739600000001"/>
  </r>
  <r>
    <x v="13"/>
    <x v="2"/>
    <x v="1"/>
    <x v="0"/>
    <x v="9"/>
    <s v="KEPL/00195/82-83"/>
    <s v="MITHASH TRADE CONCERN PVT LTD"/>
    <x v="40"/>
    <n v="1"/>
    <n v="600"/>
    <n v="7.45"/>
    <n v="4470"/>
    <n v="-343.74"/>
    <n v="0"/>
    <n v="536.41395999999997"/>
    <n v="4662.6739600000001"/>
  </r>
  <r>
    <x v="0"/>
    <x v="2"/>
    <x v="1"/>
    <x v="0"/>
    <x v="9"/>
    <s v="KEPL/00195/82-83"/>
    <s v="MITHASH TRADE CONCERN PVT LTD"/>
    <x v="57"/>
    <n v="3"/>
    <n v="120"/>
    <n v="111.74"/>
    <n v="13408.8"/>
    <n v="-1031.1400000000001"/>
    <n v="0"/>
    <n v="1609.0962789999999"/>
    <n v="13986.756278999999"/>
  </r>
  <r>
    <x v="11"/>
    <x v="2"/>
    <x v="1"/>
    <x v="0"/>
    <x v="9"/>
    <s v="KEPL/00195/82-83"/>
    <s v="MITHASH TRADE CONCERN PVT LTD"/>
    <x v="53"/>
    <n v="1"/>
    <n v="40"/>
    <n v="81.94"/>
    <n v="3277.6"/>
    <n v="-252.05"/>
    <n v="0"/>
    <n v="393.321617"/>
    <n v="3418.8716169999998"/>
  </r>
  <r>
    <x v="8"/>
    <x v="2"/>
    <x v="1"/>
    <x v="0"/>
    <x v="9"/>
    <s v="KEPL/00195/82-83"/>
    <s v="MITHASH TRADE CONCERN PVT LTD"/>
    <x v="56"/>
    <n v="3"/>
    <n v="2400"/>
    <n v="7.45"/>
    <n v="17880"/>
    <n v="-1374.97"/>
    <n v="0"/>
    <n v="2145.6545390000001"/>
    <n v="18650.684539000002"/>
  </r>
  <r>
    <x v="3"/>
    <x v="2"/>
    <x v="1"/>
    <x v="0"/>
    <x v="9"/>
    <s v="KEPL/00195/82-83"/>
    <s v="MITHASH TRADE CONCERN PVT LTD"/>
    <x v="4"/>
    <n v="2"/>
    <n v="40"/>
    <n v="175.05"/>
    <n v="7001.9999999999991"/>
    <n v="-538.45000000000005"/>
    <n v="0"/>
    <n v="840.26175000000001"/>
    <n v="7303.8117499999998"/>
  </r>
  <r>
    <x v="11"/>
    <x v="2"/>
    <x v="1"/>
    <x v="0"/>
    <x v="9"/>
    <s v="KEPL/00195/82-83"/>
    <s v="MITHASH TRADE CONCERN PVT LTD"/>
    <x v="36"/>
    <n v="1"/>
    <n v="40"/>
    <n v="81.94"/>
    <n v="3277.6"/>
    <n v="-252.05"/>
    <n v="0"/>
    <n v="393.321617"/>
    <n v="3418.8716169999998"/>
  </r>
  <r>
    <x v="0"/>
    <x v="2"/>
    <x v="1"/>
    <x v="0"/>
    <x v="9"/>
    <s v="KEPL/00196/82-83"/>
    <s v="B G TRADING CONCERN"/>
    <x v="58"/>
    <n v="1"/>
    <n v="40"/>
    <n v="111.74"/>
    <n v="4469.6000000000004"/>
    <n v="-343.71"/>
    <n v="0"/>
    <n v="536.365726"/>
    <n v="4662.2557260000003"/>
  </r>
  <r>
    <x v="2"/>
    <x v="2"/>
    <x v="1"/>
    <x v="0"/>
    <x v="9"/>
    <s v="KEPL/00196/82-83"/>
    <s v="B G TRADING CONCERN"/>
    <x v="3"/>
    <n v="5"/>
    <n v="100"/>
    <n v="186.23"/>
    <n v="18623"/>
    <n v="-1432.1100000000001"/>
    <n v="0"/>
    <n v="2234.8158089999997"/>
    <n v="19425.705808999999"/>
  </r>
  <r>
    <x v="10"/>
    <x v="2"/>
    <x v="1"/>
    <x v="0"/>
    <x v="9"/>
    <s v="KEPL/00196/82-83"/>
    <s v="B G TRADING CONCERN"/>
    <x v="49"/>
    <n v="2"/>
    <n v="30"/>
    <n v="260.72000000000003"/>
    <n v="7821.6"/>
    <n v="-601.48"/>
    <n v="0"/>
    <n v="938.61564599999997"/>
    <n v="8158.7356460000001"/>
  </r>
  <r>
    <x v="5"/>
    <x v="2"/>
    <x v="1"/>
    <x v="0"/>
    <x v="9"/>
    <s v="KEPL/00196/82-83"/>
    <s v="B G TRADING CONCERN"/>
    <x v="7"/>
    <n v="5"/>
    <n v="210"/>
    <n v="74.489999999999995"/>
    <n v="15642.9"/>
    <n v="-1202.94"/>
    <n v="0"/>
    <n v="1877.194892"/>
    <n v="16317.154892"/>
  </r>
  <r>
    <x v="11"/>
    <x v="2"/>
    <x v="1"/>
    <x v="0"/>
    <x v="9"/>
    <s v="KEPL/00196/82-83"/>
    <s v="B G TRADING CONCERN"/>
    <x v="36"/>
    <n v="1"/>
    <n v="40"/>
    <n v="81.94"/>
    <n v="3277.6"/>
    <n v="-252.05"/>
    <n v="0"/>
    <n v="393.32151900000002"/>
    <n v="3418.8715189999998"/>
  </r>
  <r>
    <x v="5"/>
    <x v="2"/>
    <x v="1"/>
    <x v="0"/>
    <x v="9"/>
    <s v="KEPL/00196/82-83"/>
    <s v="B G TRADING CONCERN"/>
    <x v="8"/>
    <n v="5"/>
    <n v="210"/>
    <n v="74.489999999999995"/>
    <n v="15642.9"/>
    <n v="-1202.94"/>
    <n v="0"/>
    <n v="1877.194892"/>
    <n v="16317.154892"/>
  </r>
  <r>
    <x v="17"/>
    <x v="2"/>
    <x v="1"/>
    <x v="0"/>
    <x v="9"/>
    <s v="KEPL/00196/82-83"/>
    <s v="B G TRADING CONCERN"/>
    <x v="39"/>
    <n v="1"/>
    <n v="20"/>
    <n v="249.55"/>
    <n v="4991"/>
    <n v="-383.81"/>
    <n v="0"/>
    <n v="598.93472900000006"/>
    <n v="5206.1247290000001"/>
  </r>
  <r>
    <x v="3"/>
    <x v="2"/>
    <x v="1"/>
    <x v="0"/>
    <x v="9"/>
    <s v="KEPL/00196/82-83"/>
    <s v="B G TRADING CONCERN"/>
    <x v="46"/>
    <n v="5"/>
    <n v="100"/>
    <n v="175.05"/>
    <n v="17505"/>
    <n v="-1346.1299999999999"/>
    <n v="0"/>
    <n v="2100.6532029999998"/>
    <n v="18259.523203000001"/>
  </r>
  <r>
    <x v="11"/>
    <x v="2"/>
    <x v="1"/>
    <x v="0"/>
    <x v="9"/>
    <s v="KEPL/00196/82-83"/>
    <s v="B G TRADING CONCERN"/>
    <x v="37"/>
    <n v="1"/>
    <n v="40"/>
    <n v="81.94"/>
    <n v="3277.6"/>
    <n v="-252.05"/>
    <n v="0"/>
    <n v="393.32151900000002"/>
    <n v="3418.8715189999998"/>
  </r>
  <r>
    <x v="8"/>
    <x v="2"/>
    <x v="1"/>
    <x v="0"/>
    <x v="9"/>
    <s v="KEPL/00196/82-83"/>
    <s v="B G TRADING CONCERN"/>
    <x v="41"/>
    <n v="2"/>
    <n v="80"/>
    <n v="67.040000000000006"/>
    <n v="5363.2"/>
    <n v="-412.43"/>
    <n v="0"/>
    <n v="643.60013100000003"/>
    <n v="5594.3701309999997"/>
  </r>
  <r>
    <x v="9"/>
    <x v="2"/>
    <x v="1"/>
    <x v="0"/>
    <x v="9"/>
    <s v="KEPL/00196/82-83"/>
    <s v="B G TRADING CONCERN"/>
    <x v="22"/>
    <n v="1"/>
    <n v="24"/>
    <n v="204.85"/>
    <n v="4916.4000000000005"/>
    <n v="-378.07"/>
    <n v="0"/>
    <n v="589.98292900000001"/>
    <n v="5128.3129289999997"/>
  </r>
  <r>
    <x v="7"/>
    <x v="2"/>
    <x v="1"/>
    <x v="0"/>
    <x v="9"/>
    <s v="KEPL/00196/82-83"/>
    <s v="B G TRADING CONCERN"/>
    <x v="12"/>
    <n v="5"/>
    <n v="650"/>
    <n v="33.520000000000003"/>
    <n v="21788"/>
    <n v="-1675.5000000000002"/>
    <n v="0"/>
    <n v="2614.6251280000001"/>
    <n v="22727.125128"/>
  </r>
  <r>
    <x v="5"/>
    <x v="2"/>
    <x v="1"/>
    <x v="0"/>
    <x v="9"/>
    <s v="KEPL/00196/82-83"/>
    <s v="B G TRADING CONCERN"/>
    <x v="10"/>
    <n v="5"/>
    <n v="210"/>
    <n v="74.489999999999995"/>
    <n v="15642.9"/>
    <n v="-1202.94"/>
    <n v="0"/>
    <n v="1877.194892"/>
    <n v="16317.154892"/>
  </r>
  <r>
    <x v="3"/>
    <x v="2"/>
    <x v="1"/>
    <x v="0"/>
    <x v="9"/>
    <s v="KEPL/00196/82-83"/>
    <s v="B G TRADING CONCERN"/>
    <x v="54"/>
    <n v="1"/>
    <n v="20"/>
    <n v="175.05"/>
    <n v="3500.9999999999995"/>
    <n v="-269.23"/>
    <n v="0"/>
    <n v="420.13012100000003"/>
    <n v="3651.9001210000001"/>
  </r>
  <r>
    <x v="3"/>
    <x v="2"/>
    <x v="1"/>
    <x v="0"/>
    <x v="9"/>
    <s v="KEPL/00196/82-83"/>
    <s v="B G TRADING CONCERN"/>
    <x v="55"/>
    <n v="2"/>
    <n v="40"/>
    <n v="175.05"/>
    <n v="7001.9999999999991"/>
    <n v="-538.45000000000005"/>
    <n v="0"/>
    <n v="840.26154100000008"/>
    <n v="7303.811541"/>
  </r>
  <r>
    <x v="0"/>
    <x v="2"/>
    <x v="1"/>
    <x v="0"/>
    <x v="9"/>
    <s v="KEPL/00196/82-83"/>
    <s v="B G TRADING CONCERN"/>
    <x v="57"/>
    <n v="2"/>
    <n v="80"/>
    <n v="111.74"/>
    <n v="8939.2000000000007"/>
    <n v="-687.42"/>
    <n v="0"/>
    <n v="1072.731452"/>
    <n v="9324.5114520000006"/>
  </r>
  <r>
    <x v="10"/>
    <x v="2"/>
    <x v="1"/>
    <x v="0"/>
    <x v="9"/>
    <s v="KEPL/00196/82-83"/>
    <s v="B G TRADING CONCERN"/>
    <x v="45"/>
    <n v="2"/>
    <n v="30"/>
    <n v="260.72000000000003"/>
    <n v="7821.6"/>
    <n v="-601.48"/>
    <n v="0"/>
    <n v="938.61564599999997"/>
    <n v="8158.7356460000001"/>
  </r>
  <r>
    <x v="4"/>
    <x v="2"/>
    <x v="1"/>
    <x v="0"/>
    <x v="9"/>
    <s v="KEPL/00196/82-83"/>
    <s v="B G TRADING CONCERN"/>
    <x v="5"/>
    <n v="2"/>
    <n v="360"/>
    <n v="18.62"/>
    <n v="6703.2"/>
    <n v="-515.48"/>
    <n v="0"/>
    <n v="804.403639"/>
    <n v="6992.1236390000004"/>
  </r>
  <r>
    <x v="8"/>
    <x v="2"/>
    <x v="1"/>
    <x v="0"/>
    <x v="9"/>
    <s v="KEPL/00196/82-83"/>
    <s v="B G TRADING CONCERN"/>
    <x v="56"/>
    <n v="1"/>
    <n v="800"/>
    <n v="7.45"/>
    <n v="5960"/>
    <n v="-458.32"/>
    <n v="0"/>
    <n v="715.218435"/>
    <n v="6216.8984350000001"/>
  </r>
  <r>
    <x v="16"/>
    <x v="2"/>
    <x v="1"/>
    <x v="0"/>
    <x v="9"/>
    <s v="KEPL/00196/82-83"/>
    <s v="B G TRADING CONCERN"/>
    <x v="35"/>
    <n v="1"/>
    <n v="60"/>
    <n v="145.26"/>
    <n v="8715.6"/>
    <n v="-670.23"/>
    <n v="0"/>
    <n v="1045.8981510000001"/>
    <n v="9091.2681510000002"/>
  </r>
  <r>
    <x v="11"/>
    <x v="2"/>
    <x v="1"/>
    <x v="0"/>
    <x v="9"/>
    <s v="KEPL/00197/82-83"/>
    <s v="B G TRADING CONCERN"/>
    <x v="19"/>
    <n v="1"/>
    <n v="40"/>
    <n v="81.94"/>
    <n v="3277.6"/>
    <n v="-252.05"/>
    <n v="0"/>
    <n v="393.32147399999997"/>
    <n v="3418.871474"/>
  </r>
  <r>
    <x v="6"/>
    <x v="2"/>
    <x v="1"/>
    <x v="0"/>
    <x v="9"/>
    <s v="KEPL/00197/82-83"/>
    <s v="B G TRADING CONCERN"/>
    <x v="48"/>
    <n v="1"/>
    <n v="20"/>
    <n v="204.85"/>
    <n v="4097"/>
    <n v="-315.06"/>
    <n v="0"/>
    <n v="491.65216799999996"/>
    <n v="4273.5921680000001"/>
  </r>
  <r>
    <x v="6"/>
    <x v="2"/>
    <x v="1"/>
    <x v="0"/>
    <x v="9"/>
    <s v="KEPL/00197/82-83"/>
    <s v="B G TRADING CONCERN"/>
    <x v="28"/>
    <n v="5"/>
    <n v="100"/>
    <n v="204.85"/>
    <n v="20485"/>
    <n v="-1575.3"/>
    <n v="0"/>
    <n v="2458.260839"/>
    <n v="21367.960838999999"/>
  </r>
  <r>
    <x v="6"/>
    <x v="2"/>
    <x v="1"/>
    <x v="0"/>
    <x v="9"/>
    <s v="KEPL/00197/82-83"/>
    <s v="B G TRADING CONCERN"/>
    <x v="59"/>
    <n v="1"/>
    <n v="20"/>
    <n v="204.85"/>
    <n v="4097"/>
    <n v="-315.06"/>
    <n v="0"/>
    <n v="491.65216799999996"/>
    <n v="4273.5921680000001"/>
  </r>
  <r>
    <x v="12"/>
    <x v="2"/>
    <x v="1"/>
    <x v="0"/>
    <x v="9"/>
    <s v="KEPL/00197/82-83"/>
    <s v="B G TRADING CONCERN"/>
    <x v="20"/>
    <n v="1"/>
    <n v="1600"/>
    <n v="1.79"/>
    <n v="2864"/>
    <n v="-220.24"/>
    <n v="0"/>
    <n v="343.68877700000002"/>
    <n v="2987.4487770000001"/>
  </r>
  <r>
    <x v="19"/>
    <x v="2"/>
    <x v="1"/>
    <x v="0"/>
    <x v="9"/>
    <s v="KEPL/00197/82-83"/>
    <s v="B G TRADING CONCERN"/>
    <x v="51"/>
    <n v="1"/>
    <n v="50"/>
    <n v="89.39"/>
    <n v="4469.5"/>
    <n v="-343.7"/>
    <n v="0"/>
    <n v="536.35396500000002"/>
    <n v="4662.1539650000004"/>
  </r>
  <r>
    <x v="6"/>
    <x v="2"/>
    <x v="1"/>
    <x v="0"/>
    <x v="9"/>
    <s v="KEPL/00197/82-83"/>
    <s v="B G TRADING CONCERN"/>
    <x v="29"/>
    <n v="2"/>
    <n v="40"/>
    <n v="204.85"/>
    <n v="8194"/>
    <n v="-630.12"/>
    <n v="0"/>
    <n v="983.30433599999992"/>
    <n v="8547.1843360000003"/>
  </r>
  <r>
    <x v="8"/>
    <x v="2"/>
    <x v="1"/>
    <x v="0"/>
    <x v="9"/>
    <s v="KEPL/00197/82-83"/>
    <s v="B G TRADING CONCERN"/>
    <x v="13"/>
    <n v="1"/>
    <n v="24"/>
    <n v="141.53"/>
    <n v="3396.72"/>
    <n v="-261.20999999999998"/>
    <n v="0"/>
    <n v="407.61627299999998"/>
    <n v="3543.1262729999999"/>
  </r>
  <r>
    <x v="3"/>
    <x v="2"/>
    <x v="1"/>
    <x v="0"/>
    <x v="9"/>
    <s v="KEPL/00198/82-83"/>
    <s v="R.P DISTRIBUTOR TRADE CENTER"/>
    <x v="46"/>
    <n v="10"/>
    <n v="200"/>
    <n v="175.05"/>
    <n v="35010"/>
    <n v="-2692.27"/>
    <n v="0"/>
    <n v="4201.3051270000005"/>
    <n v="36519.035127000003"/>
  </r>
  <r>
    <x v="2"/>
    <x v="2"/>
    <x v="1"/>
    <x v="0"/>
    <x v="9"/>
    <s v="KEPL/00198/82-83"/>
    <s v="R.P DISTRIBUTOR TRADE CENTER"/>
    <x v="3"/>
    <n v="1"/>
    <n v="20"/>
    <n v="186.23"/>
    <n v="3724.6000000000004"/>
    <n v="-286.42"/>
    <n v="0"/>
    <n v="446.96342399999997"/>
    <n v="3885.1434239999999"/>
  </r>
  <r>
    <x v="20"/>
    <x v="2"/>
    <x v="1"/>
    <x v="0"/>
    <x v="9"/>
    <s v="KEPL/00198/82-83"/>
    <s v="R.P DISTRIBUTOR TRADE CENTER"/>
    <x v="52"/>
    <n v="5"/>
    <n v="20"/>
    <n v="595.92999999999995"/>
    <n v="11918.6"/>
    <n v="-916.54"/>
    <n v="0"/>
    <n v="1430.267877"/>
    <n v="12432.327877"/>
  </r>
  <r>
    <x v="8"/>
    <x v="2"/>
    <x v="1"/>
    <x v="0"/>
    <x v="9"/>
    <s v="KEPL/00198/82-83"/>
    <s v="R.P DISTRIBUTOR TRADE CENTER"/>
    <x v="41"/>
    <n v="1"/>
    <n v="40"/>
    <n v="67.040000000000006"/>
    <n v="2681.6"/>
    <n v="-206.22"/>
    <n v="0"/>
    <n v="321.79941700000001"/>
    <n v="2797.1794169999998"/>
  </r>
  <r>
    <x v="10"/>
    <x v="2"/>
    <x v="1"/>
    <x v="0"/>
    <x v="9"/>
    <s v="KEPL/00198/82-83"/>
    <s v="R.P DISTRIBUTOR TRADE CENTER"/>
    <x v="49"/>
    <n v="5"/>
    <n v="75"/>
    <n v="260.72000000000003"/>
    <n v="19554"/>
    <n v="-1503.6999999999998"/>
    <n v="0"/>
    <n v="2346.539127"/>
    <n v="20396.839126999999"/>
  </r>
  <r>
    <x v="7"/>
    <x v="2"/>
    <x v="1"/>
    <x v="0"/>
    <x v="9"/>
    <s v="KEPL/00198/82-83"/>
    <s v="R.P DISTRIBUTOR TRADE CENTER"/>
    <x v="12"/>
    <n v="1"/>
    <n v="130"/>
    <n v="33.520000000000003"/>
    <n v="4357.6000000000004"/>
    <n v="-335.1"/>
    <n v="0"/>
    <n v="522.925028"/>
    <n v="4545.4250279999997"/>
  </r>
  <r>
    <x v="7"/>
    <x v="2"/>
    <x v="1"/>
    <x v="0"/>
    <x v="9"/>
    <s v="KEPL/00199/82-83"/>
    <s v="NAWA ATITHI STORES"/>
    <x v="12"/>
    <n v="3"/>
    <n v="390"/>
    <n v="33.520000000000003"/>
    <n v="13072.8"/>
    <n v="-1005.3"/>
    <n v="0"/>
    <n v="1568.775122"/>
    <n v="13636.275121999999"/>
  </r>
  <r>
    <x v="8"/>
    <x v="2"/>
    <x v="1"/>
    <x v="0"/>
    <x v="9"/>
    <s v="KEPL/00199/82-83"/>
    <s v="NAWA ATITHI STORES"/>
    <x v="41"/>
    <n v="1"/>
    <n v="40"/>
    <n v="67.040000000000006"/>
    <n v="2681.6"/>
    <n v="-206.22"/>
    <n v="0"/>
    <n v="321.79942499999999"/>
    <n v="2797.1794249999998"/>
  </r>
  <r>
    <x v="6"/>
    <x v="2"/>
    <x v="1"/>
    <x v="0"/>
    <x v="9"/>
    <s v="KEPL/00199/82-83"/>
    <s v="NAWA ATITHI STORES"/>
    <x v="17"/>
    <n v="2"/>
    <n v="40"/>
    <n v="201.13"/>
    <n v="8045.2"/>
    <n v="-618.67999999999995"/>
    <n v="0"/>
    <n v="965.447675"/>
    <n v="8391.9676749999999"/>
  </r>
  <r>
    <x v="20"/>
    <x v="2"/>
    <x v="1"/>
    <x v="0"/>
    <x v="9"/>
    <s v="KEPL/00199/82-83"/>
    <s v="NAWA ATITHI STORES"/>
    <x v="52"/>
    <n v="2"/>
    <n v="8"/>
    <n v="595.92999999999995"/>
    <n v="4767.4399999999996"/>
    <n v="-366.62"/>
    <n v="0"/>
    <n v="572.10664499999996"/>
    <n v="4972.9266449999996"/>
  </r>
  <r>
    <x v="14"/>
    <x v="2"/>
    <x v="1"/>
    <x v="0"/>
    <x v="9"/>
    <s v="KEPL/00199/82-83"/>
    <s v="NAWA ATITHI STORES"/>
    <x v="31"/>
    <n v="1"/>
    <n v="60"/>
    <n v="111.74"/>
    <n v="6704.4"/>
    <n v="-515.57000000000005"/>
    <n v="0"/>
    <n v="804.54796299999998"/>
    <n v="6993.3779629999999"/>
  </r>
  <r>
    <x v="5"/>
    <x v="2"/>
    <x v="1"/>
    <x v="0"/>
    <x v="9"/>
    <s v="KEPL/00199/82-83"/>
    <s v="NAWA ATITHI STORES"/>
    <x v="10"/>
    <n v="3"/>
    <n v="126"/>
    <n v="74.489999999999995"/>
    <n v="9385.74"/>
    <n v="-721.76"/>
    <n v="0"/>
    <n v="1126.3174880000001"/>
    <n v="9790.2974880000002"/>
  </r>
  <r>
    <x v="8"/>
    <x v="2"/>
    <x v="1"/>
    <x v="0"/>
    <x v="9"/>
    <s v="KEPL/00199/82-83"/>
    <s v="NAWA ATITHI STORES"/>
    <x v="13"/>
    <n v="1"/>
    <n v="24"/>
    <n v="141.53"/>
    <n v="3396.72"/>
    <n v="-261.20999999999998"/>
    <n v="0"/>
    <n v="407.616332"/>
    <n v="3543.1263319999998"/>
  </r>
  <r>
    <x v="5"/>
    <x v="2"/>
    <x v="1"/>
    <x v="0"/>
    <x v="9"/>
    <s v="KEPL/00199/82-83"/>
    <s v="NAWA ATITHI STORES"/>
    <x v="7"/>
    <n v="5"/>
    <n v="210"/>
    <n v="74.489999999999995"/>
    <n v="15642.9"/>
    <n v="-1202.94"/>
    <n v="0"/>
    <n v="1877.1949460000001"/>
    <n v="16317.154946000001"/>
  </r>
  <r>
    <x v="13"/>
    <x v="2"/>
    <x v="1"/>
    <x v="0"/>
    <x v="9"/>
    <s v="KEPL/00199/82-83"/>
    <s v="NAWA ATITHI STORES"/>
    <x v="23"/>
    <n v="1"/>
    <n v="600"/>
    <n v="7.45"/>
    <n v="4470"/>
    <n v="-343.74"/>
    <n v="0"/>
    <n v="536.41384200000005"/>
    <n v="4662.6738420000001"/>
  </r>
  <r>
    <x v="5"/>
    <x v="2"/>
    <x v="1"/>
    <x v="0"/>
    <x v="9"/>
    <s v="KEPL/00199/82-83"/>
    <s v="NAWA ATITHI STORES"/>
    <x v="8"/>
    <n v="3"/>
    <n v="126"/>
    <n v="74.489999999999995"/>
    <n v="9385.74"/>
    <n v="-721.76"/>
    <n v="0"/>
    <n v="1126.3174880000001"/>
    <n v="9790.2974880000002"/>
  </r>
  <r>
    <x v="15"/>
    <x v="2"/>
    <x v="1"/>
    <x v="0"/>
    <x v="9"/>
    <s v="KEPL/00199/82-83"/>
    <s v="NAWA ATITHI STORES"/>
    <x v="32"/>
    <n v="1"/>
    <n v="60"/>
    <n v="111.74"/>
    <n v="6704.4"/>
    <n v="-515.57000000000005"/>
    <n v="0"/>
    <n v="804.54796299999998"/>
    <n v="6993.3779629999999"/>
  </r>
  <r>
    <x v="6"/>
    <x v="2"/>
    <x v="1"/>
    <x v="0"/>
    <x v="9"/>
    <s v="KEPL/00199/82-83"/>
    <s v="NAWA ATITHI STORES"/>
    <x v="29"/>
    <n v="2"/>
    <n v="40"/>
    <n v="204.85"/>
    <n v="8194"/>
    <n v="-630.12"/>
    <n v="0"/>
    <n v="983.30447699999991"/>
    <n v="8547.1844770000007"/>
  </r>
  <r>
    <x v="16"/>
    <x v="2"/>
    <x v="1"/>
    <x v="0"/>
    <x v="9"/>
    <s v="KEPL/00199/82-83"/>
    <s v="NAWA ATITHI STORES"/>
    <x v="35"/>
    <n v="3"/>
    <n v="180"/>
    <n v="145.26"/>
    <n v="26146.799999999999"/>
    <n v="-2010.6899999999998"/>
    <n v="0"/>
    <n v="3137.6945440000004"/>
    <n v="27273.804543999999"/>
  </r>
  <r>
    <x v="6"/>
    <x v="2"/>
    <x v="1"/>
    <x v="0"/>
    <x v="9"/>
    <s v="KEPL/00199/82-83"/>
    <s v="NAWA ATITHI STORES"/>
    <x v="28"/>
    <n v="2"/>
    <n v="40"/>
    <n v="204.85"/>
    <n v="8194"/>
    <n v="-630.12"/>
    <n v="0"/>
    <n v="983.30447699999991"/>
    <n v="8547.1844770000007"/>
  </r>
  <r>
    <x v="17"/>
    <x v="2"/>
    <x v="1"/>
    <x v="0"/>
    <x v="9"/>
    <s v="KEPL/00199/82-83"/>
    <s v="NAWA ATITHI STORES"/>
    <x v="39"/>
    <n v="1"/>
    <n v="20"/>
    <n v="249.55"/>
    <n v="4991"/>
    <n v="-383.81"/>
    <n v="0"/>
    <n v="598.9347469999999"/>
    <n v="5206.1247469999998"/>
  </r>
  <r>
    <x v="2"/>
    <x v="2"/>
    <x v="1"/>
    <x v="0"/>
    <x v="9"/>
    <s v="KEPL/00199/82-83"/>
    <s v="NAWA ATITHI STORES"/>
    <x v="3"/>
    <n v="2"/>
    <n v="40"/>
    <n v="186.23"/>
    <n v="7449.2000000000007"/>
    <n v="-572.84"/>
    <n v="0"/>
    <n v="893.92687000000001"/>
    <n v="7770.2868699999999"/>
  </r>
  <r>
    <x v="18"/>
    <x v="2"/>
    <x v="1"/>
    <x v="0"/>
    <x v="9"/>
    <s v="KEPL/00200/82-83"/>
    <s v="CHHATRA DEV GENERAL SUPPLIERS"/>
    <x v="43"/>
    <n v="1"/>
    <n v="60"/>
    <n v="111.74"/>
    <n v="6704.4"/>
    <n v="-515.57000000000005"/>
    <n v="0"/>
    <n v="804.54805600000009"/>
    <n v="6993.3780559999996"/>
  </r>
  <r>
    <x v="5"/>
    <x v="2"/>
    <x v="1"/>
    <x v="0"/>
    <x v="9"/>
    <s v="KEPL/00200/82-83"/>
    <s v="CHHATRA DEV GENERAL SUPPLIERS"/>
    <x v="8"/>
    <n v="5"/>
    <n v="210"/>
    <n v="74.489999999999995"/>
    <n v="15642.9"/>
    <n v="-1202.94"/>
    <n v="0"/>
    <n v="1877.1951650000001"/>
    <n v="16317.155165"/>
  </r>
  <r>
    <x v="8"/>
    <x v="2"/>
    <x v="1"/>
    <x v="0"/>
    <x v="9"/>
    <s v="KEPL/00200/82-83"/>
    <s v="CHHATRA DEV GENERAL SUPPLIERS"/>
    <x v="41"/>
    <n v="1"/>
    <n v="40"/>
    <n v="67.040000000000006"/>
    <n v="2681.6"/>
    <n v="-206.22"/>
    <n v="0"/>
    <n v="321.79946299999995"/>
    <n v="2797.1794629999999"/>
  </r>
  <r>
    <x v="5"/>
    <x v="2"/>
    <x v="1"/>
    <x v="0"/>
    <x v="9"/>
    <s v="KEPL/00200/82-83"/>
    <s v="CHHATRA DEV GENERAL SUPPLIERS"/>
    <x v="10"/>
    <n v="5"/>
    <n v="210"/>
    <n v="74.489999999999995"/>
    <n v="15642.9"/>
    <n v="-1202.94"/>
    <n v="0"/>
    <n v="1877.1951650000001"/>
    <n v="16317.155165"/>
  </r>
  <r>
    <x v="11"/>
    <x v="2"/>
    <x v="1"/>
    <x v="0"/>
    <x v="9"/>
    <s v="KEPL/00200/82-83"/>
    <s v="CHHATRA DEV GENERAL SUPPLIERS"/>
    <x v="36"/>
    <n v="2"/>
    <n v="80"/>
    <n v="81.94"/>
    <n v="6555.2"/>
    <n v="-504.09"/>
    <n v="0"/>
    <n v="786.644453"/>
    <n v="6837.7544529999996"/>
  </r>
  <r>
    <x v="7"/>
    <x v="2"/>
    <x v="1"/>
    <x v="0"/>
    <x v="9"/>
    <s v="KEPL/00200/82-83"/>
    <s v="CHHATRA DEV GENERAL SUPPLIERS"/>
    <x v="12"/>
    <n v="5"/>
    <n v="650"/>
    <n v="37.25"/>
    <n v="24212.5"/>
    <n v="-1861.9399999999998"/>
    <n v="0"/>
    <n v="2905.5733650000002"/>
    <n v="25256.133365000002"/>
  </r>
  <r>
    <x v="15"/>
    <x v="2"/>
    <x v="1"/>
    <x v="0"/>
    <x v="9"/>
    <s v="KEPL/00200/82-83"/>
    <s v="CHHATRA DEV GENERAL SUPPLIERS"/>
    <x v="32"/>
    <n v="1"/>
    <n v="60"/>
    <n v="111.74"/>
    <n v="6704.4"/>
    <n v="-515.57000000000005"/>
    <n v="0"/>
    <n v="804.54805600000009"/>
    <n v="6993.3780559999996"/>
  </r>
  <r>
    <x v="0"/>
    <x v="2"/>
    <x v="1"/>
    <x v="0"/>
    <x v="9"/>
    <s v="KEPL/00200/82-83"/>
    <s v="CHHATRA DEV GENERAL SUPPLIERS"/>
    <x v="58"/>
    <n v="3"/>
    <n v="120"/>
    <n v="111.74"/>
    <n v="13408.8"/>
    <n v="-1031.1400000000001"/>
    <n v="0"/>
    <n v="1609.0961130000001"/>
    <n v="13986.756112999999"/>
  </r>
  <r>
    <x v="5"/>
    <x v="2"/>
    <x v="1"/>
    <x v="0"/>
    <x v="9"/>
    <s v="KEPL/00200/82-83"/>
    <s v="CHHATRA DEV GENERAL SUPPLIERS"/>
    <x v="7"/>
    <n v="10"/>
    <n v="420"/>
    <n v="74.489999999999995"/>
    <n v="31285.8"/>
    <n v="-2405.88"/>
    <n v="0"/>
    <n v="3754.3903300000002"/>
    <n v="32634.31033"/>
  </r>
  <r>
    <x v="13"/>
    <x v="2"/>
    <x v="1"/>
    <x v="0"/>
    <x v="9"/>
    <s v="KEPL/00200/82-83"/>
    <s v="CHHATRA DEV GENERAL SUPPLIERS"/>
    <x v="23"/>
    <n v="1"/>
    <n v="600"/>
    <n v="7.45"/>
    <n v="4470"/>
    <n v="-343.74"/>
    <n v="0"/>
    <n v="536.413904"/>
    <n v="4662.6739040000002"/>
  </r>
  <r>
    <x v="16"/>
    <x v="2"/>
    <x v="1"/>
    <x v="0"/>
    <x v="9"/>
    <s v="KEPL/00200/82-83"/>
    <s v="CHHATRA DEV GENERAL SUPPLIERS"/>
    <x v="35"/>
    <n v="3"/>
    <n v="180"/>
    <n v="145.26"/>
    <n v="26146.799999999999"/>
    <n v="-2010.6899999999998"/>
    <n v="0"/>
    <n v="3137.6949099999997"/>
    <n v="27273.804909999999"/>
  </r>
  <r>
    <x v="11"/>
    <x v="2"/>
    <x v="1"/>
    <x v="0"/>
    <x v="9"/>
    <s v="KEPL/00200/82-83"/>
    <s v="CHHATRA DEV GENERAL SUPPLIERS"/>
    <x v="37"/>
    <n v="2"/>
    <n v="80"/>
    <n v="81.94"/>
    <n v="6555.2"/>
    <n v="-504.09"/>
    <n v="0"/>
    <n v="786.644453"/>
    <n v="6837.7544529999996"/>
  </r>
  <r>
    <x v="14"/>
    <x v="2"/>
    <x v="1"/>
    <x v="0"/>
    <x v="9"/>
    <s v="KEPL/00200/82-83"/>
    <s v="CHHATRA DEV GENERAL SUPPLIERS"/>
    <x v="31"/>
    <n v="1"/>
    <n v="60"/>
    <n v="111.74"/>
    <n v="6704.4"/>
    <n v="-515.57000000000005"/>
    <n v="0"/>
    <n v="804.54805600000009"/>
    <n v="6993.3780559999996"/>
  </r>
  <r>
    <x v="17"/>
    <x v="2"/>
    <x v="1"/>
    <x v="0"/>
    <x v="9"/>
    <s v="KEPL/00200/82-83"/>
    <s v="CHHATRA DEV GENERAL SUPPLIERS"/>
    <x v="39"/>
    <n v="2"/>
    <n v="40"/>
    <n v="249.55"/>
    <n v="9982"/>
    <n v="-767.62"/>
    <n v="0"/>
    <n v="1197.869633"/>
    <n v="10412.249632999999"/>
  </r>
  <r>
    <x v="9"/>
    <x v="2"/>
    <x v="1"/>
    <x v="0"/>
    <x v="9"/>
    <s v="KEPL/00200/82-83"/>
    <s v="CHHATRA DEV GENERAL SUPPLIERS"/>
    <x v="22"/>
    <n v="1"/>
    <n v="24"/>
    <n v="204.85"/>
    <n v="4916.4000000000005"/>
    <n v="-378.07"/>
    <n v="0"/>
    <n v="589.98301500000002"/>
    <n v="5128.3130149999997"/>
  </r>
  <r>
    <x v="13"/>
    <x v="2"/>
    <x v="1"/>
    <x v="0"/>
    <x v="9"/>
    <s v="KEPL/00200/82-83"/>
    <s v="CHHATRA DEV GENERAL SUPPLIERS"/>
    <x v="40"/>
    <n v="1"/>
    <n v="600"/>
    <n v="7.45"/>
    <n v="4470"/>
    <n v="-343.74"/>
    <n v="0"/>
    <n v="536.413904"/>
    <n v="4662.6739040000002"/>
  </r>
  <r>
    <x v="20"/>
    <x v="2"/>
    <x v="1"/>
    <x v="0"/>
    <x v="9"/>
    <s v="KEPL/00200/82-83"/>
    <s v="CHHATRA DEV GENERAL SUPPLIERS"/>
    <x v="52"/>
    <n v="2"/>
    <n v="8"/>
    <n v="595.92999999999995"/>
    <n v="4767.4399999999996"/>
    <n v="-366.62"/>
    <n v="0"/>
    <n v="572.10671100000002"/>
    <n v="4972.9267110000001"/>
  </r>
  <r>
    <x v="12"/>
    <x v="2"/>
    <x v="1"/>
    <x v="0"/>
    <x v="9"/>
    <s v="KEPL/00200/82-83"/>
    <s v="CHHATRA DEV GENERAL SUPPLIERS"/>
    <x v="20"/>
    <n v="1"/>
    <n v="1600"/>
    <n v="1.79"/>
    <n v="2864"/>
    <n v="-220.24"/>
    <n v="0"/>
    <n v="343.68886700000002"/>
    <n v="2987.4488670000001"/>
  </r>
  <r>
    <x v="8"/>
    <x v="2"/>
    <x v="1"/>
    <x v="0"/>
    <x v="9"/>
    <s v="KEPL/00200/82-83"/>
    <s v="CHHATRA DEV GENERAL SUPPLIERS"/>
    <x v="13"/>
    <n v="1"/>
    <n v="24"/>
    <n v="141.53"/>
    <n v="3396.72"/>
    <n v="-261.20999999999998"/>
    <n v="0"/>
    <n v="407.61637899999999"/>
    <n v="3543.1263789999998"/>
  </r>
  <r>
    <x v="6"/>
    <x v="2"/>
    <x v="1"/>
    <x v="0"/>
    <x v="10"/>
    <s v="KEPL/00233/82-83"/>
    <s v="NILLONS L&amp;D"/>
    <x v="16"/>
    <n v="0.05"/>
    <n v="1"/>
    <n v="204.85"/>
    <n v="204.85"/>
    <n v="-15.75"/>
    <n v="0"/>
    <n v="24.582803999999999"/>
    <n v="213.682804"/>
  </r>
  <r>
    <x v="13"/>
    <x v="2"/>
    <x v="1"/>
    <x v="0"/>
    <x v="10"/>
    <s v="KEPL/00233/82-83"/>
    <s v="NILLONS L&amp;D"/>
    <x v="23"/>
    <n v="0"/>
    <n v="1"/>
    <n v="7.45"/>
    <n v="7.45"/>
    <n v="-0.56999999999999995"/>
    <n v="0"/>
    <n v="0.89439299999999999"/>
    <n v="7.7743929999999999"/>
  </r>
  <r>
    <x v="2"/>
    <x v="2"/>
    <x v="1"/>
    <x v="0"/>
    <x v="10"/>
    <s v="KEPL/00233/82-83"/>
    <s v="NILLONS L&amp;D"/>
    <x v="3"/>
    <n v="0.05"/>
    <n v="1"/>
    <n v="186.23"/>
    <n v="186.23"/>
    <n v="-14.32"/>
    <n v="0"/>
    <n v="22.348120999999999"/>
    <n v="194.25812099999999"/>
  </r>
  <r>
    <x v="13"/>
    <x v="2"/>
    <x v="1"/>
    <x v="0"/>
    <x v="10"/>
    <s v="KEPL/00233/82-83"/>
    <s v="NILLONS L&amp;D"/>
    <x v="21"/>
    <n v="0"/>
    <n v="1"/>
    <n v="18.62"/>
    <n v="18.62"/>
    <n v="-1.43"/>
    <n v="0"/>
    <n v="2.2346819999999998"/>
    <n v="19.424682000000001"/>
  </r>
  <r>
    <x v="11"/>
    <x v="2"/>
    <x v="1"/>
    <x v="0"/>
    <x v="10"/>
    <s v="KEPL/00238/82-83"/>
    <s v="S GAUTAM STORE"/>
    <x v="53"/>
    <n v="1"/>
    <n v="40"/>
    <n v="81.94"/>
    <n v="3277.6"/>
    <n v="-252.05"/>
    <n v="0"/>
    <n v="393.321572"/>
    <n v="3418.871572"/>
  </r>
  <r>
    <x v="8"/>
    <x v="2"/>
    <x v="1"/>
    <x v="0"/>
    <x v="10"/>
    <s v="KEPL/00238/82-83"/>
    <s v="S GAUTAM STORE"/>
    <x v="34"/>
    <n v="1"/>
    <n v="40"/>
    <n v="67.040000000000006"/>
    <n v="2681.6"/>
    <n v="-206.22"/>
    <n v="0"/>
    <n v="321.79945900000001"/>
    <n v="2797.179459"/>
  </r>
  <r>
    <x v="11"/>
    <x v="2"/>
    <x v="1"/>
    <x v="0"/>
    <x v="10"/>
    <s v="KEPL/00238/82-83"/>
    <s v="S GAUTAM STORE"/>
    <x v="37"/>
    <n v="1"/>
    <n v="40"/>
    <n v="81.94"/>
    <n v="3277.6"/>
    <n v="-252.05"/>
    <n v="0"/>
    <n v="393.321572"/>
    <n v="3418.871572"/>
  </r>
  <r>
    <x v="16"/>
    <x v="2"/>
    <x v="1"/>
    <x v="0"/>
    <x v="10"/>
    <s v="KEPL/00238/82-83"/>
    <s v="S GAUTAM STORE"/>
    <x v="35"/>
    <n v="1"/>
    <n v="60"/>
    <n v="145.26"/>
    <n v="8715.6"/>
    <n v="-670.23"/>
    <n v="0"/>
    <n v="1045.898293"/>
    <n v="9091.2682929999992"/>
  </r>
  <r>
    <x v="8"/>
    <x v="2"/>
    <x v="1"/>
    <x v="0"/>
    <x v="10"/>
    <s v="KEPL/00238/82-83"/>
    <s v="S GAUTAM STORE"/>
    <x v="56"/>
    <n v="1"/>
    <n v="800"/>
    <n v="7.46"/>
    <n v="5968"/>
    <n v="-458.94"/>
    <n v="0"/>
    <n v="716.17793199999994"/>
    <n v="6225.237932"/>
  </r>
  <r>
    <x v="17"/>
    <x v="2"/>
    <x v="1"/>
    <x v="0"/>
    <x v="10"/>
    <s v="KEPL/00238/82-83"/>
    <s v="S GAUTAM STORE"/>
    <x v="39"/>
    <n v="2"/>
    <n v="40"/>
    <n v="249.55"/>
    <n v="9982"/>
    <n v="-767.62"/>
    <n v="0"/>
    <n v="1197.8696210000001"/>
    <n v="10412.249621000001"/>
  </r>
  <r>
    <x v="0"/>
    <x v="2"/>
    <x v="1"/>
    <x v="0"/>
    <x v="10"/>
    <s v="KEPL/00238/82-83"/>
    <s v="S GAUTAM STORE"/>
    <x v="0"/>
    <n v="2"/>
    <n v="80"/>
    <n v="111.74"/>
    <n v="8939.2000000000007"/>
    <n v="-687.42"/>
    <n v="0"/>
    <n v="1072.7315979999998"/>
    <n v="9324.5115979999991"/>
  </r>
  <r>
    <x v="3"/>
    <x v="2"/>
    <x v="1"/>
    <x v="0"/>
    <x v="10"/>
    <s v="KEPL/00238/82-83"/>
    <s v="S GAUTAM STORE"/>
    <x v="15"/>
    <n v="1"/>
    <n v="20"/>
    <n v="175.05"/>
    <n v="3500.9999999999995"/>
    <n v="-269.23"/>
    <n v="0"/>
    <n v="420.130177"/>
    <n v="3651.900177"/>
  </r>
  <r>
    <x v="5"/>
    <x v="2"/>
    <x v="1"/>
    <x v="0"/>
    <x v="10"/>
    <s v="KEPL/00238/82-83"/>
    <s v="S GAUTAM STORE"/>
    <x v="8"/>
    <n v="3"/>
    <n v="126"/>
    <n v="74.489999999999995"/>
    <n v="9385.74"/>
    <n v="-721.76"/>
    <n v="0"/>
    <n v="1126.317607"/>
    <n v="9790.2976070000004"/>
  </r>
  <r>
    <x v="7"/>
    <x v="2"/>
    <x v="1"/>
    <x v="0"/>
    <x v="10"/>
    <s v="KEPL/00238/82-83"/>
    <s v="S GAUTAM STORE"/>
    <x v="12"/>
    <n v="2"/>
    <n v="260"/>
    <n v="37.25"/>
    <n v="9685"/>
    <n v="-744.78"/>
    <n v="0"/>
    <n v="1162.2288139999998"/>
    <n v="10102.448813999999"/>
  </r>
  <r>
    <x v="8"/>
    <x v="2"/>
    <x v="1"/>
    <x v="0"/>
    <x v="10"/>
    <s v="KEPL/00238/82-83"/>
    <s v="S GAUTAM STORE"/>
    <x v="33"/>
    <n v="2"/>
    <n v="80"/>
    <n v="67.040000000000006"/>
    <n v="5363.2"/>
    <n v="-412.43"/>
    <n v="0"/>
    <n v="643.60021899999992"/>
    <n v="5594.3702190000004"/>
  </r>
  <r>
    <x v="20"/>
    <x v="2"/>
    <x v="1"/>
    <x v="0"/>
    <x v="10"/>
    <s v="KEPL/00238/82-83"/>
    <s v="S GAUTAM STORE"/>
    <x v="52"/>
    <n v="2"/>
    <n v="8"/>
    <n v="595.92999999999995"/>
    <n v="4767.4399999999996"/>
    <n v="-366.62"/>
    <n v="0"/>
    <n v="572.10670500000003"/>
    <n v="4972.9267049999999"/>
  </r>
  <r>
    <x v="8"/>
    <x v="2"/>
    <x v="1"/>
    <x v="0"/>
    <x v="10"/>
    <s v="KEPL/00238/82-83"/>
    <s v="S GAUTAM STORE"/>
    <x v="41"/>
    <n v="1"/>
    <n v="40"/>
    <n v="67.040000000000006"/>
    <n v="2681.6"/>
    <n v="-206.22"/>
    <n v="0"/>
    <n v="321.79945900000001"/>
    <n v="2797.179459"/>
  </r>
  <r>
    <x v="11"/>
    <x v="2"/>
    <x v="1"/>
    <x v="0"/>
    <x v="10"/>
    <s v="KEPL/00238/82-83"/>
    <s v="S GAUTAM STORE"/>
    <x v="36"/>
    <n v="1"/>
    <n v="40"/>
    <n v="81.94"/>
    <n v="3277.6"/>
    <n v="-252.05"/>
    <n v="0"/>
    <n v="393.321572"/>
    <n v="3418.871572"/>
  </r>
  <r>
    <x v="9"/>
    <x v="2"/>
    <x v="1"/>
    <x v="0"/>
    <x v="10"/>
    <s v="KEPL/00238/82-83"/>
    <s v="S GAUTAM STORE"/>
    <x v="38"/>
    <n v="1"/>
    <n v="24"/>
    <n v="186.23"/>
    <n v="4469.5200000000004"/>
    <n v="-343.71"/>
    <n v="0"/>
    <n v="536.35539899999992"/>
    <n v="4662.1653990000004"/>
  </r>
  <r>
    <x v="6"/>
    <x v="2"/>
    <x v="1"/>
    <x v="0"/>
    <x v="10"/>
    <s v="KEPL/00239/82-83"/>
    <s v="S GAUTAM STORE"/>
    <x v="30"/>
    <n v="1"/>
    <n v="20"/>
    <n v="242.1"/>
    <n v="4841.9999999999991"/>
    <n v="-372.35"/>
    <n v="0"/>
    <n v="581.05470500000001"/>
    <n v="5050.7047050000001"/>
  </r>
  <r>
    <x v="9"/>
    <x v="2"/>
    <x v="1"/>
    <x v="0"/>
    <x v="10"/>
    <s v="KEPL/00239/82-83"/>
    <s v="S GAUTAM STORE"/>
    <x v="22"/>
    <n v="1"/>
    <n v="24"/>
    <n v="204.85"/>
    <n v="4916.4000000000005"/>
    <n v="-378.07"/>
    <n v="0"/>
    <n v="589.98310800000002"/>
    <n v="5128.3131080000003"/>
  </r>
  <r>
    <x v="5"/>
    <x v="2"/>
    <x v="1"/>
    <x v="0"/>
    <x v="10"/>
    <s v="KEPL/00239/82-83"/>
    <s v="S GAUTAM STORE"/>
    <x v="7"/>
    <n v="2.5"/>
    <n v="105"/>
    <n v="74.489999999999995"/>
    <n v="7821.45"/>
    <n v="-601.47"/>
    <n v="0"/>
    <n v="938.59773199999995"/>
    <n v="8158.5777319999997"/>
  </r>
  <r>
    <x v="12"/>
    <x v="2"/>
    <x v="1"/>
    <x v="0"/>
    <x v="10"/>
    <s v="KEPL/00239/82-83"/>
    <s v="S GAUTAM STORE"/>
    <x v="20"/>
    <n v="1"/>
    <n v="1600"/>
    <n v="1.79"/>
    <n v="2864"/>
    <n v="-220.24"/>
    <n v="0"/>
    <n v="343.68892100000005"/>
    <n v="2987.4489210000002"/>
  </r>
  <r>
    <x v="0"/>
    <x v="2"/>
    <x v="1"/>
    <x v="0"/>
    <x v="10"/>
    <s v="KEPL/00239/82-83"/>
    <s v="S GAUTAM STORE"/>
    <x v="1"/>
    <n v="1"/>
    <n v="40"/>
    <n v="111.74"/>
    <n v="4469.6000000000004"/>
    <n v="-343.71"/>
    <n v="0"/>
    <n v="536.36589000000004"/>
    <n v="4662.2558900000004"/>
  </r>
  <r>
    <x v="19"/>
    <x v="2"/>
    <x v="1"/>
    <x v="0"/>
    <x v="10"/>
    <s v="KEPL/00239/82-83"/>
    <s v="S GAUTAM STORE"/>
    <x v="51"/>
    <n v="1"/>
    <n v="50"/>
    <n v="89.39"/>
    <n v="4469.5"/>
    <n v="-343.7"/>
    <n v="0"/>
    <n v="536.35419000000002"/>
    <n v="4662.1541900000002"/>
  </r>
  <r>
    <x v="0"/>
    <x v="2"/>
    <x v="1"/>
    <x v="0"/>
    <x v="10"/>
    <s v="KEPL/00239/82-83"/>
    <s v="S GAUTAM STORE"/>
    <x v="57"/>
    <n v="1"/>
    <n v="40"/>
    <n v="111.74"/>
    <n v="4469.6000000000004"/>
    <n v="-343.71"/>
    <n v="0"/>
    <n v="536.36589000000004"/>
    <n v="4662.2558900000004"/>
  </r>
  <r>
    <x v="13"/>
    <x v="2"/>
    <x v="1"/>
    <x v="0"/>
    <x v="10"/>
    <s v="KEPL/00239/82-83"/>
    <s v="S GAUTAM STORE"/>
    <x v="50"/>
    <n v="1"/>
    <n v="240"/>
    <n v="14.9"/>
    <n v="3576"/>
    <n v="-274.99"/>
    <n v="0"/>
    <n v="429.13145200000002"/>
    <n v="3730.1414519999998"/>
  </r>
  <r>
    <x v="3"/>
    <x v="2"/>
    <x v="1"/>
    <x v="0"/>
    <x v="10"/>
    <s v="KEPL/00239/82-83"/>
    <s v="S GAUTAM STORE"/>
    <x v="4"/>
    <n v="2"/>
    <n v="40"/>
    <n v="175.05"/>
    <n v="7001.9999999999991"/>
    <n v="-538.45000000000005"/>
    <n v="0"/>
    <n v="840.261797"/>
    <n v="7303.8117970000003"/>
  </r>
  <r>
    <x v="0"/>
    <x v="2"/>
    <x v="1"/>
    <x v="0"/>
    <x v="10"/>
    <s v="KEPL/00239/82-83"/>
    <s v="S GAUTAM STORE"/>
    <x v="47"/>
    <n v="3"/>
    <n v="120"/>
    <n v="111.74"/>
    <n v="13408.8"/>
    <n v="-1031.1400000000001"/>
    <n v="0"/>
    <n v="1609.0963690000001"/>
    <n v="13986.756369000001"/>
  </r>
  <r>
    <x v="3"/>
    <x v="2"/>
    <x v="1"/>
    <x v="0"/>
    <x v="10"/>
    <s v="KEPL/00239/82-83"/>
    <s v="S GAUTAM STORE"/>
    <x v="46"/>
    <n v="3"/>
    <n v="60"/>
    <n v="175.05"/>
    <n v="10503"/>
    <n v="-807.68"/>
    <n v="0"/>
    <n v="1260.3920450000001"/>
    <n v="10955.712045"/>
  </r>
  <r>
    <x v="5"/>
    <x v="2"/>
    <x v="1"/>
    <x v="0"/>
    <x v="10"/>
    <s v="KEPL/00239/82-83"/>
    <s v="S GAUTAM STORE"/>
    <x v="10"/>
    <n v="4"/>
    <n v="168"/>
    <n v="74.489999999999995"/>
    <n v="12514.32"/>
    <n v="-962.35"/>
    <n v="0"/>
    <n v="1501.756631"/>
    <n v="13053.726631"/>
  </r>
  <r>
    <x v="9"/>
    <x v="2"/>
    <x v="1"/>
    <x v="0"/>
    <x v="10"/>
    <s v="KEPL/00239/82-83"/>
    <s v="S GAUTAM STORE"/>
    <x v="44"/>
    <n v="1"/>
    <n v="24"/>
    <n v="186.23"/>
    <n v="4469.5200000000004"/>
    <n v="-343.71"/>
    <n v="0"/>
    <n v="536.35549000000003"/>
    <n v="4662.1654900000003"/>
  </r>
  <r>
    <x v="10"/>
    <x v="2"/>
    <x v="1"/>
    <x v="0"/>
    <x v="10"/>
    <s v="KEPL/00239/82-83"/>
    <s v="S GAUTAM STORE"/>
    <x v="45"/>
    <n v="1"/>
    <n v="15"/>
    <n v="260.72000000000003"/>
    <n v="3910.8"/>
    <n v="-300.74"/>
    <n v="0"/>
    <n v="469.30796600000002"/>
    <n v="4079.3679659999998"/>
  </r>
  <r>
    <x v="10"/>
    <x v="2"/>
    <x v="1"/>
    <x v="0"/>
    <x v="10"/>
    <s v="KEPL/00239/82-83"/>
    <s v="S GAUTAM STORE"/>
    <x v="49"/>
    <n v="2"/>
    <n v="30"/>
    <n v="260.72000000000003"/>
    <n v="7821.6"/>
    <n v="-601.48"/>
    <n v="0"/>
    <n v="938.61593200000004"/>
    <n v="8158.7359319999996"/>
  </r>
  <r>
    <x v="13"/>
    <x v="2"/>
    <x v="1"/>
    <x v="0"/>
    <x v="10"/>
    <s v="KEPL/00239/82-83"/>
    <s v="S GAUTAM STORE"/>
    <x v="23"/>
    <n v="1"/>
    <n v="600"/>
    <n v="7.45"/>
    <n v="4470"/>
    <n v="-343.74"/>
    <n v="0"/>
    <n v="536.41399000000001"/>
    <n v="4662.6739900000002"/>
  </r>
  <r>
    <x v="7"/>
    <x v="2"/>
    <x v="1"/>
    <x v="0"/>
    <x v="10"/>
    <s v="KEPL/00239/82-83"/>
    <s v="S GAUTAM STORE"/>
    <x v="27"/>
    <n v="2"/>
    <n v="140"/>
    <n v="32.78"/>
    <n v="4589.2"/>
    <n v="-352.91"/>
    <n v="0"/>
    <n v="550.717895"/>
    <n v="4787.0078949999997"/>
  </r>
  <r>
    <x v="7"/>
    <x v="2"/>
    <x v="1"/>
    <x v="0"/>
    <x v="10"/>
    <s v="KEPL/00240/82-83"/>
    <s v="NEW YASHISH TRADERS"/>
    <x v="27"/>
    <n v="2"/>
    <n v="140"/>
    <n v="32.78"/>
    <n v="4589.2"/>
    <n v="-352.91"/>
    <n v="0"/>
    <n v="550.71756900000003"/>
    <n v="4787.0075690000003"/>
  </r>
  <r>
    <x v="11"/>
    <x v="2"/>
    <x v="1"/>
    <x v="0"/>
    <x v="10"/>
    <s v="KEPL/00240/82-83"/>
    <s v="NEW YASHISH TRADERS"/>
    <x v="37"/>
    <n v="2"/>
    <n v="80"/>
    <n v="81.94"/>
    <n v="6555.2"/>
    <n v="-504.09"/>
    <n v="0"/>
    <n v="786.64411299999995"/>
    <n v="6837.754113"/>
  </r>
  <r>
    <x v="11"/>
    <x v="2"/>
    <x v="1"/>
    <x v="0"/>
    <x v="10"/>
    <s v="KEPL/00240/82-83"/>
    <s v="NEW YASHISH TRADERS"/>
    <x v="36"/>
    <n v="2"/>
    <n v="80"/>
    <n v="81.94"/>
    <n v="6555.2"/>
    <n v="-504.09"/>
    <n v="0"/>
    <n v="786.64411299999995"/>
    <n v="6837.754113"/>
  </r>
  <r>
    <x v="6"/>
    <x v="2"/>
    <x v="1"/>
    <x v="0"/>
    <x v="10"/>
    <s v="KEPL/00240/82-83"/>
    <s v="NEW YASHISH TRADERS"/>
    <x v="17"/>
    <n v="1"/>
    <n v="20"/>
    <n v="201.13"/>
    <n v="4022.6"/>
    <n v="-309.33999999999997"/>
    <n v="0"/>
    <n v="482.72368499999999"/>
    <n v="4195.9836850000002"/>
  </r>
  <r>
    <x v="3"/>
    <x v="2"/>
    <x v="1"/>
    <x v="0"/>
    <x v="10"/>
    <s v="KEPL/00240/82-83"/>
    <s v="NEW YASHISH TRADERS"/>
    <x v="15"/>
    <n v="1"/>
    <n v="20"/>
    <n v="175.05"/>
    <n v="3500.9999999999995"/>
    <n v="-269.23"/>
    <n v="0"/>
    <n v="420.13"/>
    <n v="3651.9"/>
  </r>
  <r>
    <x v="14"/>
    <x v="2"/>
    <x v="1"/>
    <x v="0"/>
    <x v="10"/>
    <s v="KEPL/00240/82-83"/>
    <s v="NEW YASHISH TRADERS"/>
    <x v="31"/>
    <n v="1"/>
    <n v="60"/>
    <n v="111.74"/>
    <n v="6704.4"/>
    <n v="-515.57000000000005"/>
    <n v="0"/>
    <n v="804.54770800000006"/>
    <n v="6993.377708"/>
  </r>
  <r>
    <x v="8"/>
    <x v="2"/>
    <x v="1"/>
    <x v="0"/>
    <x v="10"/>
    <s v="KEPL/00240/82-83"/>
    <s v="NEW YASHISH TRADERS"/>
    <x v="41"/>
    <n v="2"/>
    <n v="80"/>
    <n v="67.040000000000006"/>
    <n v="5363.2"/>
    <n v="-412.43"/>
    <n v="0"/>
    <n v="643.59994700000004"/>
    <n v="5594.3699470000001"/>
  </r>
  <r>
    <x v="0"/>
    <x v="2"/>
    <x v="1"/>
    <x v="0"/>
    <x v="10"/>
    <s v="KEPL/00240/82-83"/>
    <s v="NEW YASHISH TRADERS"/>
    <x v="0"/>
    <n v="1"/>
    <n v="40"/>
    <n v="111.74"/>
    <n v="4469.6000000000004"/>
    <n v="-343.71"/>
    <n v="0"/>
    <n v="536.36557199999993"/>
    <n v="4662.255572"/>
  </r>
  <r>
    <x v="8"/>
    <x v="2"/>
    <x v="1"/>
    <x v="0"/>
    <x v="10"/>
    <s v="KEPL/00240/82-83"/>
    <s v="NEW YASHISH TRADERS"/>
    <x v="56"/>
    <n v="2"/>
    <n v="1600"/>
    <n v="7.46"/>
    <n v="11936"/>
    <n v="-917.88"/>
    <n v="0"/>
    <n v="1432.3552590000002"/>
    <n v="12450.475259000001"/>
  </r>
  <r>
    <x v="17"/>
    <x v="2"/>
    <x v="1"/>
    <x v="0"/>
    <x v="10"/>
    <s v="KEPL/00240/82-83"/>
    <s v="NEW YASHISH TRADERS"/>
    <x v="39"/>
    <n v="3"/>
    <n v="60"/>
    <n v="249.55"/>
    <n v="14973"/>
    <n v="-1151.42"/>
    <n v="0"/>
    <n v="1796.8049720000001"/>
    <n v="15618.384972"/>
  </r>
  <r>
    <x v="20"/>
    <x v="2"/>
    <x v="1"/>
    <x v="0"/>
    <x v="10"/>
    <s v="KEPL/00240/82-83"/>
    <s v="NEW YASHISH TRADERS"/>
    <x v="52"/>
    <n v="5"/>
    <n v="20"/>
    <n v="595.94000000000005"/>
    <n v="11918.8"/>
    <n v="-916.56"/>
    <n v="0"/>
    <n v="1430.2908600000001"/>
    <n v="12432.530860000001"/>
  </r>
  <r>
    <x v="8"/>
    <x v="2"/>
    <x v="1"/>
    <x v="0"/>
    <x v="10"/>
    <s v="KEPL/00240/82-83"/>
    <s v="NEW YASHISH TRADERS"/>
    <x v="34"/>
    <n v="2"/>
    <n v="80"/>
    <n v="67.040000000000006"/>
    <n v="5363.2"/>
    <n v="-412.43"/>
    <n v="0"/>
    <n v="643.59994700000004"/>
    <n v="5594.3699470000001"/>
  </r>
  <r>
    <x v="11"/>
    <x v="2"/>
    <x v="1"/>
    <x v="0"/>
    <x v="10"/>
    <s v="KEPL/00240/82-83"/>
    <s v="NEW YASHISH TRADERS"/>
    <x v="53"/>
    <n v="2"/>
    <n v="80"/>
    <n v="81.94"/>
    <n v="6555.2"/>
    <n v="-504.09"/>
    <n v="0"/>
    <n v="786.64411299999995"/>
    <n v="6837.754113"/>
  </r>
  <r>
    <x v="8"/>
    <x v="2"/>
    <x v="1"/>
    <x v="0"/>
    <x v="10"/>
    <s v="KEPL/00240/82-83"/>
    <s v="NEW YASHISH TRADERS"/>
    <x v="33"/>
    <n v="2"/>
    <n v="80"/>
    <n v="67.040000000000006"/>
    <n v="5363.2"/>
    <n v="-412.43"/>
    <n v="0"/>
    <n v="643.59994700000004"/>
    <n v="5594.3699470000001"/>
  </r>
  <r>
    <x v="13"/>
    <x v="2"/>
    <x v="1"/>
    <x v="0"/>
    <x v="10"/>
    <s v="KEPL/00240/82-83"/>
    <s v="NEW YASHISH TRADERS"/>
    <x v="40"/>
    <n v="1"/>
    <n v="600"/>
    <n v="7.46"/>
    <n v="4476"/>
    <n v="-344.2"/>
    <n v="0"/>
    <n v="537.133872"/>
    <n v="4668.9338719999996"/>
  </r>
  <r>
    <x v="7"/>
    <x v="2"/>
    <x v="1"/>
    <x v="0"/>
    <x v="10"/>
    <s v="KEPL/00240/82-83"/>
    <s v="NEW YASHISH TRADERS"/>
    <x v="12"/>
    <n v="2"/>
    <n v="260"/>
    <n v="37.25"/>
    <n v="9685"/>
    <n v="-744.78"/>
    <n v="0"/>
    <n v="1162.228323"/>
    <n v="10102.448323000001"/>
  </r>
  <r>
    <x v="13"/>
    <x v="2"/>
    <x v="1"/>
    <x v="0"/>
    <x v="10"/>
    <s v="KEPL/00241/82-83"/>
    <s v="NEW YASHISH TRADERS"/>
    <x v="21"/>
    <n v="1"/>
    <n v="240"/>
    <n v="18.62"/>
    <n v="4468.8"/>
    <n v="-343.65"/>
    <n v="0"/>
    <n v="536.26957399999992"/>
    <n v="4661.4195739999996"/>
  </r>
  <r>
    <x v="6"/>
    <x v="2"/>
    <x v="1"/>
    <x v="0"/>
    <x v="10"/>
    <s v="KEPL/00241/82-83"/>
    <s v="NEW YASHISH TRADERS"/>
    <x v="30"/>
    <n v="1"/>
    <n v="20"/>
    <n v="242.1"/>
    <n v="4841.9999999999991"/>
    <n v="-372.35"/>
    <n v="0"/>
    <n v="581.05457999999999"/>
    <n v="5050.7045799999996"/>
  </r>
  <r>
    <x v="3"/>
    <x v="2"/>
    <x v="1"/>
    <x v="0"/>
    <x v="10"/>
    <s v="KEPL/00241/82-83"/>
    <s v="NEW YASHISH TRADERS"/>
    <x v="46"/>
    <n v="5"/>
    <n v="100"/>
    <n v="175.05"/>
    <n v="17505"/>
    <n v="-1346.1299999999999"/>
    <n v="0"/>
    <n v="2100.6533909999998"/>
    <n v="18259.523390999999"/>
  </r>
  <r>
    <x v="19"/>
    <x v="2"/>
    <x v="1"/>
    <x v="0"/>
    <x v="10"/>
    <s v="KEPL/00241/82-83"/>
    <s v="NEW YASHISH TRADERS"/>
    <x v="51"/>
    <n v="2"/>
    <n v="100"/>
    <n v="89.39"/>
    <n v="8939"/>
    <n v="-687.41"/>
    <n v="0"/>
    <n v="1072.706848"/>
    <n v="9324.296848"/>
  </r>
  <r>
    <x v="10"/>
    <x v="2"/>
    <x v="1"/>
    <x v="0"/>
    <x v="10"/>
    <s v="KEPL/00241/82-83"/>
    <s v="NEW YASHISH TRADERS"/>
    <x v="49"/>
    <n v="5"/>
    <n v="75"/>
    <n v="260.72000000000003"/>
    <n v="19554"/>
    <n v="-1503.6999999999998"/>
    <n v="0"/>
    <n v="2346.5393249999997"/>
    <n v="20396.839325000001"/>
  </r>
  <r>
    <x v="3"/>
    <x v="2"/>
    <x v="1"/>
    <x v="0"/>
    <x v="10"/>
    <s v="KEPL/00241/82-83"/>
    <s v="NEW YASHISH TRADERS"/>
    <x v="4"/>
    <n v="2"/>
    <n v="40"/>
    <n v="175.05"/>
    <n v="7001.9999999999991"/>
    <n v="-538.45000000000005"/>
    <n v="0"/>
    <n v="840.26161600000012"/>
    <n v="7303.811616"/>
  </r>
  <r>
    <x v="16"/>
    <x v="2"/>
    <x v="1"/>
    <x v="0"/>
    <x v="10"/>
    <s v="KEPL/00241/82-83"/>
    <s v="NEW YASHISH TRADERS"/>
    <x v="35"/>
    <n v="2"/>
    <n v="120"/>
    <n v="145.26"/>
    <n v="17431.2"/>
    <n v="-1340.46"/>
    <n v="0"/>
    <n v="2091.7964889999998"/>
    <n v="18182.536488999998"/>
  </r>
  <r>
    <x v="13"/>
    <x v="2"/>
    <x v="1"/>
    <x v="0"/>
    <x v="10"/>
    <s v="KEPL/00241/82-83"/>
    <s v="NEW YASHISH TRADERS"/>
    <x v="50"/>
    <n v="1"/>
    <n v="240"/>
    <n v="14.9"/>
    <n v="3576"/>
    <n v="-274.99"/>
    <n v="0"/>
    <n v="429.13135900000003"/>
    <n v="3730.1413590000002"/>
  </r>
  <r>
    <x v="8"/>
    <x v="2"/>
    <x v="1"/>
    <x v="0"/>
    <x v="10"/>
    <s v="KEPL/00241/82-83"/>
    <s v="NEW YASHISH TRADERS"/>
    <x v="13"/>
    <n v="2"/>
    <n v="48"/>
    <n v="141.53"/>
    <n v="6793.44"/>
    <n v="-522.41999999999996"/>
    <n v="0"/>
    <n v="815.23271299999999"/>
    <n v="7086.2527129999999"/>
  </r>
  <r>
    <x v="6"/>
    <x v="2"/>
    <x v="1"/>
    <x v="0"/>
    <x v="10"/>
    <s v="KEPL/00241/82-83"/>
    <s v="NEW YASHISH TRADERS"/>
    <x v="29"/>
    <n v="1"/>
    <n v="20"/>
    <n v="204.85"/>
    <n v="4097"/>
    <n v="-315.06"/>
    <n v="0"/>
    <n v="491.65226799999999"/>
    <n v="4273.5922680000003"/>
  </r>
  <r>
    <x v="6"/>
    <x v="2"/>
    <x v="1"/>
    <x v="0"/>
    <x v="10"/>
    <s v="KEPL/00241/82-83"/>
    <s v="NEW YASHISH TRADERS"/>
    <x v="28"/>
    <n v="5"/>
    <n v="100"/>
    <n v="204.85"/>
    <n v="20485"/>
    <n v="-1575.3"/>
    <n v="0"/>
    <n v="2458.26134"/>
    <n v="21367.961340000002"/>
  </r>
  <r>
    <x v="2"/>
    <x v="2"/>
    <x v="1"/>
    <x v="0"/>
    <x v="10"/>
    <s v="KEPL/00241/82-83"/>
    <s v="NEW YASHISH TRADERS"/>
    <x v="3"/>
    <n v="5"/>
    <n v="100"/>
    <n v="186.23"/>
    <n v="18623"/>
    <n v="-1432.1100000000001"/>
    <n v="0"/>
    <n v="2234.8160090000001"/>
    <n v="19425.706009000001"/>
  </r>
  <r>
    <x v="10"/>
    <x v="2"/>
    <x v="1"/>
    <x v="0"/>
    <x v="10"/>
    <s v="KEPL/00241/82-83"/>
    <s v="NEW YASHISH TRADERS"/>
    <x v="18"/>
    <n v="5"/>
    <n v="75"/>
    <n v="260.72000000000003"/>
    <n v="19554"/>
    <n v="-1503.6999999999998"/>
    <n v="0"/>
    <n v="2346.5393249999997"/>
    <n v="20396.839325000001"/>
  </r>
  <r>
    <x v="13"/>
    <x v="2"/>
    <x v="1"/>
    <x v="0"/>
    <x v="10"/>
    <s v="KEPL/00241/82-83"/>
    <s v="NEW YASHISH TRADERS"/>
    <x v="23"/>
    <n v="1"/>
    <n v="600"/>
    <n v="7.45"/>
    <n v="4470"/>
    <n v="-343.74"/>
    <n v="0"/>
    <n v="536.41387399999996"/>
    <n v="4662.6738740000001"/>
  </r>
  <r>
    <x v="9"/>
    <x v="2"/>
    <x v="1"/>
    <x v="0"/>
    <x v="10"/>
    <s v="KEPL/00241/82-83"/>
    <s v="NEW YASHISH TRADERS"/>
    <x v="44"/>
    <n v="2"/>
    <n v="48"/>
    <n v="186.23"/>
    <n v="8939.0400000000009"/>
    <n v="-687.41"/>
    <n v="0"/>
    <n v="1072.7120480000001"/>
    <n v="9324.3420480000004"/>
  </r>
  <r>
    <x v="15"/>
    <x v="2"/>
    <x v="1"/>
    <x v="0"/>
    <x v="10"/>
    <s v="KEPL/00241/82-83"/>
    <s v="NEW YASHISH TRADERS"/>
    <x v="32"/>
    <n v="1"/>
    <n v="60"/>
    <n v="111.74"/>
    <n v="6704.4"/>
    <n v="-515.57000000000005"/>
    <n v="0"/>
    <n v="804.54801099999997"/>
    <n v="6993.3780109999998"/>
  </r>
  <r>
    <x v="18"/>
    <x v="2"/>
    <x v="1"/>
    <x v="0"/>
    <x v="10"/>
    <s v="KEPL/00241/82-83"/>
    <s v="NEW YASHISH TRADERS"/>
    <x v="43"/>
    <n v="1"/>
    <n v="60"/>
    <n v="111.74"/>
    <n v="6704.4"/>
    <n v="-515.57000000000005"/>
    <n v="0"/>
    <n v="804.54801099999997"/>
    <n v="6993.3780109999998"/>
  </r>
  <r>
    <x v="0"/>
    <x v="2"/>
    <x v="1"/>
    <x v="0"/>
    <x v="10"/>
    <s v="KEPL/00241/82-83"/>
    <s v="NEW YASHISH TRADERS"/>
    <x v="57"/>
    <n v="2"/>
    <n v="80"/>
    <n v="111.74"/>
    <n v="8939.2000000000007"/>
    <n v="-687.42"/>
    <n v="0"/>
    <n v="1072.731548"/>
    <n v="9324.5115480000004"/>
  </r>
  <r>
    <x v="0"/>
    <x v="2"/>
    <x v="1"/>
    <x v="0"/>
    <x v="10"/>
    <s v="KEPL/00241/82-83"/>
    <s v="NEW YASHISH TRADERS"/>
    <x v="47"/>
    <n v="5"/>
    <n v="200"/>
    <n v="111.74"/>
    <n v="22348"/>
    <n v="-1718.56"/>
    <n v="0"/>
    <n v="2681.8275710000003"/>
    <n v="23311.267571"/>
  </r>
  <r>
    <x v="6"/>
    <x v="2"/>
    <x v="1"/>
    <x v="0"/>
    <x v="10"/>
    <s v="KEPL/00241/82-83"/>
    <s v="NEW YASHISH TRADERS"/>
    <x v="48"/>
    <n v="1"/>
    <n v="20"/>
    <n v="204.85"/>
    <n v="4097"/>
    <n v="-315.06"/>
    <n v="0"/>
    <n v="491.65226799999999"/>
    <n v="4273.5922680000003"/>
  </r>
  <r>
    <x v="12"/>
    <x v="2"/>
    <x v="1"/>
    <x v="0"/>
    <x v="10"/>
    <s v="KEPL/00241/82-83"/>
    <s v="NEW YASHISH TRADERS"/>
    <x v="20"/>
    <n v="1"/>
    <n v="1600"/>
    <n v="1.79"/>
    <n v="2864"/>
    <n v="-220.24"/>
    <n v="0"/>
    <n v="343.68884800000001"/>
    <n v="2987.448848"/>
  </r>
  <r>
    <x v="9"/>
    <x v="2"/>
    <x v="1"/>
    <x v="0"/>
    <x v="10"/>
    <s v="KEPL/00241/82-83"/>
    <s v="NEW YASHISH TRADERS"/>
    <x v="22"/>
    <n v="1"/>
    <n v="24"/>
    <n v="204.85"/>
    <n v="4916.4000000000005"/>
    <n v="-378.07"/>
    <n v="0"/>
    <n v="589.98298199999999"/>
    <n v="5128.3129820000004"/>
  </r>
  <r>
    <x v="1"/>
    <x v="2"/>
    <x v="1"/>
    <x v="0"/>
    <x v="10"/>
    <s v="KEPL/00244/82-83"/>
    <s v="SHUBHASHREE MARKETING"/>
    <x v="24"/>
    <n v="20"/>
    <n v="360"/>
    <n v="178.78"/>
    <n v="64360.800000000003"/>
    <n v="-4949.3499999999995"/>
    <n v="0"/>
    <n v="7723.4885490000006"/>
    <n v="67134.938548999999"/>
  </r>
  <r>
    <x v="17"/>
    <x v="2"/>
    <x v="1"/>
    <x v="0"/>
    <x v="10"/>
    <s v="KEPL/00244/82-83"/>
    <s v="SHUBHASHREE MARKETING"/>
    <x v="39"/>
    <n v="10"/>
    <n v="200"/>
    <n v="249.55"/>
    <n v="49910"/>
    <n v="-3838.08"/>
    <n v="0"/>
    <n v="5989.3496379999997"/>
    <n v="52061.269637999998"/>
  </r>
  <r>
    <x v="1"/>
    <x v="2"/>
    <x v="1"/>
    <x v="0"/>
    <x v="10"/>
    <s v="KEPL/00244/82-83"/>
    <s v="SHUBHASHREE MARKETING"/>
    <x v="2"/>
    <n v="5"/>
    <n v="90"/>
    <n v="178.78"/>
    <n v="16090.2"/>
    <n v="-1237.3400000000001"/>
    <n v="0"/>
    <n v="1930.8718120000001"/>
    <n v="16783.731812000002"/>
  </r>
  <r>
    <x v="20"/>
    <x v="2"/>
    <x v="1"/>
    <x v="0"/>
    <x v="10"/>
    <s v="KEPL/00245/82-83"/>
    <s v="SHREE EXIM"/>
    <x v="52"/>
    <n v="50"/>
    <n v="200"/>
    <n v="595.94000000000005"/>
    <n v="119188"/>
    <n v="-9165.56"/>
    <n v="0"/>
    <n v="14302.915284000001"/>
    <n v="124325.355284"/>
  </r>
  <r>
    <x v="7"/>
    <x v="2"/>
    <x v="1"/>
    <x v="0"/>
    <x v="10"/>
    <s v="KEPL/00245/82-83"/>
    <s v="SHREE EXIM"/>
    <x v="27"/>
    <n v="5"/>
    <n v="350"/>
    <n v="32.78"/>
    <n v="11473"/>
    <n v="-882.2700000000001"/>
    <n v="0"/>
    <n v="1376.7947159999999"/>
    <n v="11967.524716"/>
  </r>
  <r>
    <x v="1"/>
    <x v="2"/>
    <x v="1"/>
    <x v="0"/>
    <x v="10"/>
    <s v="KEPL/00246/82-83"/>
    <s v="NEW YASHISH TRADERS"/>
    <x v="24"/>
    <n v="105"/>
    <n v="1890"/>
    <n v="178.78"/>
    <n v="337894.2"/>
    <n v="-25984.06"/>
    <n v="0"/>
    <n v="40548.313912000005"/>
    <n v="352458.453912"/>
  </r>
  <r>
    <x v="1"/>
    <x v="2"/>
    <x v="1"/>
    <x v="0"/>
    <x v="10"/>
    <s v="KEPL/00246/82-83"/>
    <s v="NEW YASHISH TRADERS"/>
    <x v="26"/>
    <n v="10"/>
    <n v="180"/>
    <n v="178.78"/>
    <n v="32180.400000000001"/>
    <n v="-2474.6699999999996"/>
    <n v="0"/>
    <n v="3861.7444919999998"/>
    <n v="33567.474492000001"/>
  </r>
  <r>
    <x v="1"/>
    <x v="2"/>
    <x v="1"/>
    <x v="0"/>
    <x v="10"/>
    <s v="KEPL/00246/82-83"/>
    <s v="NEW YASHISH TRADERS"/>
    <x v="25"/>
    <n v="5"/>
    <n v="90"/>
    <n v="178.78"/>
    <n v="16090.2"/>
    <n v="-1237.3400000000001"/>
    <n v="0"/>
    <n v="1930.8715960000002"/>
    <n v="16783.731596000001"/>
  </r>
  <r>
    <x v="10"/>
    <x v="2"/>
    <x v="1"/>
    <x v="0"/>
    <x v="11"/>
    <s v="KEPL/00250/82-83"/>
    <s v="SHUBHASHREE MARKETING"/>
    <x v="45"/>
    <n v="1"/>
    <n v="15"/>
    <n v="260.72000000000003"/>
    <n v="3910.8"/>
    <n v="-300.74"/>
    <n v="0"/>
    <n v="469.308333"/>
    <n v="4079.3683329999999"/>
  </r>
  <r>
    <x v="10"/>
    <x v="2"/>
    <x v="1"/>
    <x v="0"/>
    <x v="11"/>
    <s v="KEPL/00250/82-83"/>
    <s v="SHUBHASHREE MARKETING"/>
    <x v="49"/>
    <n v="5"/>
    <n v="75"/>
    <n v="260.72000000000003"/>
    <n v="19554"/>
    <n v="-1503.6999999999998"/>
    <n v="0"/>
    <n v="2346.541667"/>
    <n v="20396.841667000001"/>
  </r>
  <r>
    <x v="1"/>
    <x v="2"/>
    <x v="1"/>
    <x v="0"/>
    <x v="12"/>
    <s v="KEPL/00258/82-83"/>
    <s v="KRISHMA ENTERPRISES"/>
    <x v="25"/>
    <n v="5"/>
    <n v="90"/>
    <n v="178.78"/>
    <n v="16090.2"/>
    <n v="-1237.3400000000001"/>
    <n v="0"/>
    <n v="1930.8719189999999"/>
    <n v="16783.731919000002"/>
  </r>
  <r>
    <x v="2"/>
    <x v="2"/>
    <x v="1"/>
    <x v="0"/>
    <x v="12"/>
    <s v="KEPL/00258/82-83"/>
    <s v="KRISHMA ENTERPRISES"/>
    <x v="3"/>
    <n v="10"/>
    <n v="200"/>
    <n v="186.23"/>
    <n v="37246"/>
    <n v="-2864.2200000000003"/>
    <n v="0"/>
    <n v="4469.631676"/>
    <n v="38851.411676000003"/>
  </r>
  <r>
    <x v="1"/>
    <x v="2"/>
    <x v="1"/>
    <x v="0"/>
    <x v="12"/>
    <s v="KEPL/00258/82-83"/>
    <s v="KRISHMA ENTERPRISES"/>
    <x v="26"/>
    <n v="5"/>
    <n v="90"/>
    <n v="178.78"/>
    <n v="16090.2"/>
    <n v="-1237.3400000000001"/>
    <n v="0"/>
    <n v="1930.8719189999999"/>
    <n v="16783.731919000002"/>
  </r>
  <r>
    <x v="1"/>
    <x v="2"/>
    <x v="1"/>
    <x v="0"/>
    <x v="12"/>
    <s v="KEPL/00258/82-83"/>
    <s v="KRISHMA ENTERPRISES"/>
    <x v="2"/>
    <n v="5"/>
    <n v="90"/>
    <n v="178.78"/>
    <n v="16090.2"/>
    <n v="-1237.3400000000001"/>
    <n v="0"/>
    <n v="1930.8719189999999"/>
    <n v="16783.731919000002"/>
  </r>
  <r>
    <x v="1"/>
    <x v="2"/>
    <x v="1"/>
    <x v="0"/>
    <x v="12"/>
    <s v="KEPL/00258/82-83"/>
    <s v="KRISHMA ENTERPRISES"/>
    <x v="24"/>
    <n v="10"/>
    <n v="180"/>
    <n v="178.78"/>
    <n v="32180.400000000001"/>
    <n v="-2474.6699999999996"/>
    <n v="0"/>
    <n v="3861.7451390000001"/>
    <n v="33567.475139000002"/>
  </r>
  <r>
    <x v="8"/>
    <x v="2"/>
    <x v="1"/>
    <x v="0"/>
    <x v="12"/>
    <s v="KEPL/00258/82-83"/>
    <s v="KRISHMA ENTERPRISES"/>
    <x v="41"/>
    <n v="5"/>
    <n v="200"/>
    <n v="67.040000000000006"/>
    <n v="13408"/>
    <n v="-1031.08"/>
    <n v="0"/>
    <n v="1608.999699"/>
    <n v="13985.919699"/>
  </r>
  <r>
    <x v="8"/>
    <x v="2"/>
    <x v="1"/>
    <x v="0"/>
    <x v="12"/>
    <s v="KEPL/00258/82-83"/>
    <s v="KRISHMA ENTERPRISES"/>
    <x v="34"/>
    <n v="5"/>
    <n v="200"/>
    <n v="67.040000000000006"/>
    <n v="13408"/>
    <n v="-1031.08"/>
    <n v="0"/>
    <n v="1608.999699"/>
    <n v="13985.919699"/>
  </r>
  <r>
    <x v="20"/>
    <x v="2"/>
    <x v="1"/>
    <x v="0"/>
    <x v="12"/>
    <s v="KEPL/00258/82-83"/>
    <s v="KRISHMA ENTERPRISES"/>
    <x v="52"/>
    <n v="30"/>
    <n v="120"/>
    <n v="595.92999999999995"/>
    <n v="71511.599999999991"/>
    <n v="-5499.24"/>
    <n v="0"/>
    <n v="8581.6073299999989"/>
    <n v="74593.967329999999"/>
  </r>
  <r>
    <x v="8"/>
    <x v="2"/>
    <x v="1"/>
    <x v="0"/>
    <x v="12"/>
    <s v="KEPL/00258/82-83"/>
    <s v="KRISHMA ENTERPRISES"/>
    <x v="33"/>
    <n v="10"/>
    <n v="400"/>
    <n v="67.040000000000006"/>
    <n v="26816"/>
    <n v="-2062.15"/>
    <n v="0"/>
    <n v="3218.0006989999997"/>
    <n v="27971.850698999999"/>
  </r>
  <r>
    <x v="19"/>
    <x v="2"/>
    <x v="1"/>
    <x v="0"/>
    <x v="12"/>
    <s v="KEPL/00259/82-83"/>
    <s v="CHHATRA DEV GENERAL SUPPLIERS"/>
    <x v="51"/>
    <n v="5"/>
    <n v="250"/>
    <n v="89.39"/>
    <n v="22347.5"/>
    <n v="-1718.52"/>
    <n v="0"/>
    <n v="2681.7675079999999"/>
    <n v="23310.747508"/>
  </r>
  <r>
    <x v="6"/>
    <x v="2"/>
    <x v="1"/>
    <x v="0"/>
    <x v="12"/>
    <s v="KEPL/00259/82-83"/>
    <s v="CHHATRA DEV GENERAL SUPPLIERS"/>
    <x v="48"/>
    <n v="2"/>
    <n v="40"/>
    <n v="204.85"/>
    <n v="8194"/>
    <n v="-630.12"/>
    <n v="0"/>
    <n v="983.30444"/>
    <n v="8547.1844400000009"/>
  </r>
  <r>
    <x v="0"/>
    <x v="2"/>
    <x v="1"/>
    <x v="0"/>
    <x v="12"/>
    <s v="KEPL/00259/82-83"/>
    <s v="CHHATRA DEV GENERAL SUPPLIERS"/>
    <x v="47"/>
    <n v="3"/>
    <n v="120"/>
    <n v="111.74"/>
    <n v="13408.8"/>
    <n v="-1031.1400000000001"/>
    <n v="0"/>
    <n v="1609.095865"/>
    <n v="13986.755864999999"/>
  </r>
  <r>
    <x v="10"/>
    <x v="2"/>
    <x v="1"/>
    <x v="0"/>
    <x v="12"/>
    <s v="KEPL/00259/82-83"/>
    <s v="CHHATRA DEV GENERAL SUPPLIERS"/>
    <x v="18"/>
    <n v="2"/>
    <n v="30"/>
    <n v="260.72000000000003"/>
    <n v="7821.6"/>
    <n v="-601.48"/>
    <n v="0"/>
    <n v="938.61563799999999"/>
    <n v="8158.7356380000001"/>
  </r>
  <r>
    <x v="6"/>
    <x v="2"/>
    <x v="1"/>
    <x v="0"/>
    <x v="12"/>
    <s v="KEPL/00259/82-83"/>
    <s v="CHHATRA DEV GENERAL SUPPLIERS"/>
    <x v="30"/>
    <n v="2"/>
    <n v="40"/>
    <n v="242.1"/>
    <n v="9683.9999999999982"/>
    <n v="-744.7"/>
    <n v="0"/>
    <n v="1162.1090469999999"/>
    <n v="10101.409046999999"/>
  </r>
  <r>
    <x v="8"/>
    <x v="2"/>
    <x v="1"/>
    <x v="0"/>
    <x v="12"/>
    <s v="KEPL/00259/82-83"/>
    <s v="CHHATRA DEV GENERAL SUPPLIERS"/>
    <x v="56"/>
    <n v="1"/>
    <n v="800"/>
    <n v="7.46"/>
    <n v="5968"/>
    <n v="-458.94"/>
    <n v="0"/>
    <n v="716.17782900000009"/>
    <n v="6225.2378289999997"/>
  </r>
  <r>
    <x v="1"/>
    <x v="2"/>
    <x v="1"/>
    <x v="0"/>
    <x v="12"/>
    <s v="KEPL/00259/82-83"/>
    <s v="CHHATRA DEV GENERAL SUPPLIERS"/>
    <x v="26"/>
    <n v="1"/>
    <n v="18"/>
    <n v="178.78"/>
    <n v="3218.0400000000004"/>
    <n v="-247.47"/>
    <n v="0"/>
    <n v="386.17411599999997"/>
    <n v="3356.7441159999998"/>
  </r>
  <r>
    <x v="9"/>
    <x v="2"/>
    <x v="1"/>
    <x v="0"/>
    <x v="12"/>
    <s v="KEPL/00259/82-83"/>
    <s v="CHHATRA DEV GENERAL SUPPLIERS"/>
    <x v="22"/>
    <n v="2"/>
    <n v="48"/>
    <n v="204.85"/>
    <n v="9832.8000000000011"/>
    <n v="-756.14"/>
    <n v="0"/>
    <n v="1179.9658480000001"/>
    <n v="10256.625848"/>
  </r>
  <r>
    <x v="16"/>
    <x v="2"/>
    <x v="1"/>
    <x v="0"/>
    <x v="12"/>
    <s v="KEPL/00259/82-83"/>
    <s v="CHHATRA DEV GENERAL SUPPLIERS"/>
    <x v="42"/>
    <n v="2"/>
    <n v="60"/>
    <n v="316.58999999999997"/>
    <n v="18995.399999999998"/>
    <n v="-1460.75"/>
    <n v="0"/>
    <n v="2279.5045919999998"/>
    <n v="19814.154591999999"/>
  </r>
  <r>
    <x v="2"/>
    <x v="2"/>
    <x v="1"/>
    <x v="0"/>
    <x v="12"/>
    <s v="KEPL/00259/82-83"/>
    <s v="CHHATRA DEV GENERAL SUPPLIERS"/>
    <x v="3"/>
    <n v="3"/>
    <n v="60"/>
    <n v="186.23"/>
    <n v="11173.8"/>
    <n v="-859.2700000000001"/>
    <n v="0"/>
    <n v="1340.8889539999998"/>
    <n v="11655.418954000001"/>
  </r>
  <r>
    <x v="1"/>
    <x v="2"/>
    <x v="1"/>
    <x v="0"/>
    <x v="12"/>
    <s v="KEPL/00259/82-83"/>
    <s v="CHHATRA DEV GENERAL SUPPLIERS"/>
    <x v="24"/>
    <n v="1"/>
    <n v="18"/>
    <n v="178.78"/>
    <n v="3218.0400000000004"/>
    <n v="-247.47"/>
    <n v="0"/>
    <n v="386.17411599999997"/>
    <n v="3356.7441159999998"/>
  </r>
  <r>
    <x v="0"/>
    <x v="2"/>
    <x v="1"/>
    <x v="0"/>
    <x v="12"/>
    <s v="KEPL/00259/82-83"/>
    <s v="CHHATRA DEV GENERAL SUPPLIERS"/>
    <x v="57"/>
    <n v="3"/>
    <n v="120"/>
    <n v="111.74"/>
    <n v="13408.8"/>
    <n v="-1031.1400000000001"/>
    <n v="0"/>
    <n v="1609.095865"/>
    <n v="13986.755864999999"/>
  </r>
  <r>
    <x v="10"/>
    <x v="2"/>
    <x v="1"/>
    <x v="0"/>
    <x v="12"/>
    <s v="KEPL/00259/82-83"/>
    <s v="CHHATRA DEV GENERAL SUPPLIERS"/>
    <x v="49"/>
    <n v="2"/>
    <n v="30"/>
    <n v="260.72000000000003"/>
    <n v="7821.6"/>
    <n v="-601.48"/>
    <n v="0"/>
    <n v="938.61563799999999"/>
    <n v="8158.7356380000001"/>
  </r>
  <r>
    <x v="8"/>
    <x v="2"/>
    <x v="1"/>
    <x v="0"/>
    <x v="12"/>
    <s v="KEPL/00259/82-83"/>
    <s v="CHHATRA DEV GENERAL SUPPLIERS"/>
    <x v="13"/>
    <n v="2"/>
    <n v="48"/>
    <n v="141.54"/>
    <n v="6793.92"/>
    <n v="-522.45000000000005"/>
    <n v="0"/>
    <n v="815.29113299999995"/>
    <n v="7086.761133"/>
  </r>
  <r>
    <x v="8"/>
    <x v="2"/>
    <x v="1"/>
    <x v="0"/>
    <x v="12"/>
    <s v="KEPL/00259/82-83"/>
    <s v="CHHATRA DEV GENERAL SUPPLIERS"/>
    <x v="34"/>
    <n v="1"/>
    <n v="40"/>
    <n v="67.040000000000006"/>
    <n v="2681.6"/>
    <n v="-206.22"/>
    <n v="0"/>
    <n v="321.79941299999996"/>
    <n v="2797.1794129999998"/>
  </r>
  <r>
    <x v="1"/>
    <x v="2"/>
    <x v="1"/>
    <x v="0"/>
    <x v="13"/>
    <s v="KEPL/00260/82-83"/>
    <s v="KRISHMA ENTERPRISES"/>
    <x v="26"/>
    <n v="4"/>
    <n v="72"/>
    <n v="178.78"/>
    <n v="12872.160000000002"/>
    <n v="-989.87000000000012"/>
    <n v="0"/>
    <n v="1544.6969569999999"/>
    <n v="13426.986956999999"/>
  </r>
  <r>
    <x v="1"/>
    <x v="2"/>
    <x v="1"/>
    <x v="0"/>
    <x v="13"/>
    <s v="KEPL/00260/82-83"/>
    <s v="KRISHMA ENTERPRISES"/>
    <x v="24"/>
    <n v="10"/>
    <n v="180"/>
    <n v="178.78"/>
    <n v="32180.400000000001"/>
    <n v="-2474.6699999999996"/>
    <n v="0"/>
    <n v="3861.7430429999999"/>
    <n v="33567.473042999998"/>
  </r>
  <r>
    <x v="7"/>
    <x v="2"/>
    <x v="1"/>
    <x v="0"/>
    <x v="13"/>
    <s v="KEPL/00261/82-83"/>
    <s v="ISHWORI SUPPLIERS"/>
    <x v="27"/>
    <n v="11"/>
    <n v="770"/>
    <n v="32.78"/>
    <n v="25240.6"/>
    <n v="-1941"/>
    <n v="0"/>
    <n v="3028.9500000000003"/>
    <n v="26328.55"/>
  </r>
  <r>
    <x v="19"/>
    <x v="2"/>
    <x v="1"/>
    <x v="0"/>
    <x v="14"/>
    <s v="KEPL/00269/82-83"/>
    <s v="NILLONS L&amp;D"/>
    <x v="51"/>
    <n v="0.12"/>
    <n v="6"/>
    <n v="89.39"/>
    <n v="536.34"/>
    <n v="-41.24"/>
    <n v="0"/>
    <n v="64.36"/>
    <n v="559.46"/>
  </r>
  <r>
    <x v="8"/>
    <x v="2"/>
    <x v="1"/>
    <x v="0"/>
    <x v="14"/>
    <s v="KEPL/00270/82-83"/>
    <s v="MEGA MART PVT.LTD"/>
    <x v="33"/>
    <n v="6"/>
    <n v="240"/>
    <n v="59.73"/>
    <n v="14335.2"/>
    <n v="0"/>
    <n v="0"/>
    <n v="1863.5800000000002"/>
    <n v="16198.78"/>
  </r>
  <r>
    <x v="20"/>
    <x v="2"/>
    <x v="1"/>
    <x v="0"/>
    <x v="15"/>
    <s v="KEPL/00274/82-83"/>
    <s v="KRISHMA ENTERPRISES"/>
    <x v="52"/>
    <n v="70"/>
    <n v="280"/>
    <n v="595.94000000000005"/>
    <n v="166863.19999999998"/>
    <n v="-12831.779999999999"/>
    <n v="0"/>
    <n v="20024.080000000002"/>
    <n v="174055.5"/>
  </r>
  <r>
    <x v="8"/>
    <x v="2"/>
    <x v="1"/>
    <x v="0"/>
    <x v="16"/>
    <s v="KEPL/00294/82-83"/>
    <s v="B G TRADING CONCERN"/>
    <x v="13"/>
    <n v="3"/>
    <n v="72"/>
    <n v="141.54"/>
    <n v="10190.879999999999"/>
    <n v="-783.68"/>
    <n v="0"/>
    <n v="1222.9358890000001"/>
    <n v="10630.135888999999"/>
  </r>
  <r>
    <x v="6"/>
    <x v="2"/>
    <x v="1"/>
    <x v="0"/>
    <x v="16"/>
    <s v="KEPL/00294/82-83"/>
    <s v="B G TRADING CONCERN"/>
    <x v="30"/>
    <n v="2"/>
    <n v="40"/>
    <n v="242.1"/>
    <n v="9683.9999999999982"/>
    <n v="-744.7"/>
    <n v="0"/>
    <n v="1162.1088949999998"/>
    <n v="10101.408895"/>
  </r>
  <r>
    <x v="16"/>
    <x v="2"/>
    <x v="1"/>
    <x v="0"/>
    <x v="16"/>
    <s v="KEPL/00294/82-83"/>
    <s v="B G TRADING CONCERN"/>
    <x v="35"/>
    <n v="2"/>
    <n v="120"/>
    <n v="145.26"/>
    <n v="17431.2"/>
    <n v="-1340.46"/>
    <n v="0"/>
    <n v="2091.79601"/>
    <n v="18182.53601"/>
  </r>
  <r>
    <x v="9"/>
    <x v="2"/>
    <x v="1"/>
    <x v="0"/>
    <x v="16"/>
    <s v="KEPL/00294/82-83"/>
    <s v="B G TRADING CONCERN"/>
    <x v="22"/>
    <n v="3"/>
    <n v="72"/>
    <n v="204.85"/>
    <n v="14749.199999999999"/>
    <n v="-1134.21"/>
    <n v="0"/>
    <n v="1769.9485400000001"/>
    <n v="15384.938539999999"/>
  </r>
  <r>
    <x v="11"/>
    <x v="2"/>
    <x v="1"/>
    <x v="0"/>
    <x v="16"/>
    <s v="KEPL/00294/82-83"/>
    <s v="B G TRADING CONCERN"/>
    <x v="19"/>
    <n v="1"/>
    <n v="40"/>
    <n v="81.94"/>
    <n v="3277.6"/>
    <n v="-252.05"/>
    <n v="0"/>
    <n v="393.32146400000005"/>
    <n v="3418.8714639999998"/>
  </r>
  <r>
    <x v="19"/>
    <x v="2"/>
    <x v="1"/>
    <x v="0"/>
    <x v="16"/>
    <s v="KEPL/00294/82-83"/>
    <s v="B G TRADING CONCERN"/>
    <x v="51"/>
    <n v="1.88"/>
    <n v="94"/>
    <n v="89.39"/>
    <n v="8402.66"/>
    <n v="-646.16"/>
    <n v="0"/>
    <n v="1008.344909"/>
    <n v="8764.8449089999995"/>
  </r>
  <r>
    <x v="16"/>
    <x v="2"/>
    <x v="1"/>
    <x v="0"/>
    <x v="16"/>
    <s v="KEPL/00294/82-83"/>
    <s v="B G TRADING CONCERN"/>
    <x v="42"/>
    <n v="2"/>
    <n v="60"/>
    <n v="316.58999999999997"/>
    <n v="18995.399999999998"/>
    <n v="-1460.75"/>
    <n v="0"/>
    <n v="2279.504293"/>
    <n v="19814.154293"/>
  </r>
  <r>
    <x v="8"/>
    <x v="2"/>
    <x v="1"/>
    <x v="0"/>
    <x v="16"/>
    <s v="KEPL/00295/82-83"/>
    <s v="SHUBHASHREE MARKETING"/>
    <x v="41"/>
    <n v="2"/>
    <n v="80"/>
    <n v="67.040000000000006"/>
    <n v="5363.2"/>
    <n v="-412.43"/>
    <n v="0"/>
    <n v="643.60019599999998"/>
    <n v="5594.3701959999999"/>
  </r>
  <r>
    <x v="13"/>
    <x v="2"/>
    <x v="1"/>
    <x v="0"/>
    <x v="16"/>
    <s v="KEPL/00295/82-83"/>
    <s v="SHUBHASHREE MARKETING"/>
    <x v="21"/>
    <n v="3"/>
    <n v="720"/>
    <n v="18.62"/>
    <n v="13406.4"/>
    <n v="-1030.95"/>
    <n v="0"/>
    <n v="1608.8087410000001"/>
    <n v="13984.258741"/>
  </r>
  <r>
    <x v="18"/>
    <x v="2"/>
    <x v="1"/>
    <x v="0"/>
    <x v="16"/>
    <s v="KEPL/00295/82-83"/>
    <s v="SHUBHASHREE MARKETING"/>
    <x v="43"/>
    <n v="2"/>
    <n v="120"/>
    <n v="111.74"/>
    <n v="13408.8"/>
    <n v="-1031.1400000000001"/>
    <n v="0"/>
    <n v="1609.096041"/>
    <n v="13986.756041000001"/>
  </r>
  <r>
    <x v="11"/>
    <x v="2"/>
    <x v="1"/>
    <x v="0"/>
    <x v="16"/>
    <s v="KEPL/00295/82-83"/>
    <s v="SHUBHASHREE MARKETING"/>
    <x v="36"/>
    <n v="2"/>
    <n v="80"/>
    <n v="81.94"/>
    <n v="6555.2"/>
    <n v="-504.09"/>
    <n v="0"/>
    <n v="786.64441799999997"/>
    <n v="6837.7544180000004"/>
  </r>
  <r>
    <x v="17"/>
    <x v="2"/>
    <x v="1"/>
    <x v="0"/>
    <x v="16"/>
    <s v="KEPL/00295/82-83"/>
    <s v="SHUBHASHREE MARKETING"/>
    <x v="39"/>
    <n v="5"/>
    <n v="100"/>
    <n v="249.55"/>
    <n v="24955"/>
    <n v="-1919.04"/>
    <n v="0"/>
    <n v="2994.675248"/>
    <n v="26030.635247999999"/>
  </r>
  <r>
    <x v="15"/>
    <x v="2"/>
    <x v="1"/>
    <x v="0"/>
    <x v="16"/>
    <s v="KEPL/00295/82-83"/>
    <s v="SHUBHASHREE MARKETING"/>
    <x v="32"/>
    <n v="3"/>
    <n v="180"/>
    <n v="111.74"/>
    <n v="20113.2"/>
    <n v="-1546.71"/>
    <n v="0"/>
    <n v="2413.644061"/>
    <n v="20980.134061000001"/>
  </r>
  <r>
    <x v="13"/>
    <x v="2"/>
    <x v="1"/>
    <x v="0"/>
    <x v="16"/>
    <s v="KEPL/00295/82-83"/>
    <s v="SHUBHASHREE MARKETING"/>
    <x v="23"/>
    <n v="2"/>
    <n v="1200"/>
    <n v="7.45"/>
    <n v="8940"/>
    <n v="-687.4899999999999"/>
    <n v="0"/>
    <n v="1072.8264609999999"/>
    <n v="9325.3364610000008"/>
  </r>
  <r>
    <x v="1"/>
    <x v="2"/>
    <x v="1"/>
    <x v="0"/>
    <x v="16"/>
    <s v="KEPL/00295/82-83"/>
    <s v="SHUBHASHREE MARKETING"/>
    <x v="24"/>
    <n v="3"/>
    <n v="54"/>
    <n v="178.78"/>
    <n v="9654.119999999999"/>
    <n v="-742.4"/>
    <n v="0"/>
    <n v="1158.523774"/>
    <n v="10070.243774"/>
  </r>
  <r>
    <x v="11"/>
    <x v="2"/>
    <x v="1"/>
    <x v="0"/>
    <x v="16"/>
    <s v="KEPL/00295/82-83"/>
    <s v="SHUBHASHREE MARKETING"/>
    <x v="37"/>
    <n v="2"/>
    <n v="80"/>
    <n v="81.94"/>
    <n v="6555.2"/>
    <n v="-504.09"/>
    <n v="0"/>
    <n v="786.64441799999997"/>
    <n v="6837.7544180000004"/>
  </r>
  <r>
    <x v="14"/>
    <x v="2"/>
    <x v="1"/>
    <x v="0"/>
    <x v="16"/>
    <s v="KEPL/00295/82-83"/>
    <s v="SHUBHASHREE MARKETING"/>
    <x v="31"/>
    <n v="2"/>
    <n v="120"/>
    <n v="111.74"/>
    <n v="13408.8"/>
    <n v="-1031.1400000000001"/>
    <n v="0"/>
    <n v="1609.096041"/>
    <n v="13986.756041000001"/>
  </r>
  <r>
    <x v="8"/>
    <x v="2"/>
    <x v="1"/>
    <x v="0"/>
    <x v="16"/>
    <s v="KEPL/00295/82-83"/>
    <s v="SHUBHASHREE MARKETING"/>
    <x v="13"/>
    <n v="3"/>
    <n v="72"/>
    <n v="141.54"/>
    <n v="10190.879999999999"/>
    <n v="-783.68"/>
    <n v="0"/>
    <n v="1222.936183"/>
    <n v="10630.136183000001"/>
  </r>
  <r>
    <x v="11"/>
    <x v="2"/>
    <x v="1"/>
    <x v="0"/>
    <x v="16"/>
    <s v="KEPL/00295/82-83"/>
    <s v="SHUBHASHREE MARKETING"/>
    <x v="19"/>
    <n v="2"/>
    <n v="80"/>
    <n v="81.94"/>
    <n v="6555.2"/>
    <n v="-504.09"/>
    <n v="0"/>
    <n v="786.64441799999997"/>
    <n v="6837.7544180000004"/>
  </r>
  <r>
    <x v="16"/>
    <x v="2"/>
    <x v="1"/>
    <x v="0"/>
    <x v="17"/>
    <s v="KEPL/00302/82-83"/>
    <s v="NEW CHANDESHWARI SUPPLIERS"/>
    <x v="42"/>
    <n v="1"/>
    <n v="30"/>
    <n v="316.58999999999997"/>
    <n v="9497.6999999999989"/>
    <n v="-730.36999999999989"/>
    <n v="0"/>
    <n v="1139.752729"/>
    <n v="9907.0827289999997"/>
  </r>
  <r>
    <x v="0"/>
    <x v="2"/>
    <x v="1"/>
    <x v="0"/>
    <x v="17"/>
    <s v="KEPL/00302/82-83"/>
    <s v="NEW CHANDESHWARI SUPPLIERS"/>
    <x v="47"/>
    <n v="1"/>
    <n v="40"/>
    <n v="111.74"/>
    <n v="4469.6000000000004"/>
    <n v="-343.71"/>
    <n v="0"/>
    <n v="536.36562000000004"/>
    <n v="4662.2556199999999"/>
  </r>
  <r>
    <x v="10"/>
    <x v="2"/>
    <x v="1"/>
    <x v="0"/>
    <x v="17"/>
    <s v="KEPL/00302/82-83"/>
    <s v="NEW CHANDESHWARI SUPPLIERS"/>
    <x v="49"/>
    <n v="5"/>
    <n v="75"/>
    <n v="260.72000000000003"/>
    <n v="19554"/>
    <n v="-1503.6999999999998"/>
    <n v="0"/>
    <n v="2346.5386479999997"/>
    <n v="20396.838648000001"/>
  </r>
  <r>
    <x v="8"/>
    <x v="2"/>
    <x v="1"/>
    <x v="0"/>
    <x v="17"/>
    <s v="KEPL/00302/82-83"/>
    <s v="NEW CHANDESHWARI SUPPLIERS"/>
    <x v="13"/>
    <n v="1"/>
    <n v="24"/>
    <n v="141.54"/>
    <n v="3396.96"/>
    <n v="-261.23"/>
    <n v="0"/>
    <n v="407.64483899999999"/>
    <n v="3543.3748390000001"/>
  </r>
  <r>
    <x v="0"/>
    <x v="2"/>
    <x v="1"/>
    <x v="0"/>
    <x v="17"/>
    <s v="KEPL/00302/82-83"/>
    <s v="NEW CHANDESHWARI SUPPLIERS"/>
    <x v="0"/>
    <n v="1"/>
    <n v="40"/>
    <n v="111.74"/>
    <n v="4469.6000000000004"/>
    <n v="-343.71"/>
    <n v="0"/>
    <n v="536.36562000000004"/>
    <n v="4662.2556199999999"/>
  </r>
  <r>
    <x v="5"/>
    <x v="2"/>
    <x v="1"/>
    <x v="0"/>
    <x v="17"/>
    <s v="KEPL/00302/82-83"/>
    <s v="NEW CHANDESHWARI SUPPLIERS"/>
    <x v="8"/>
    <n v="3"/>
    <n v="126"/>
    <n v="74.489999999999995"/>
    <n v="9385.74"/>
    <n v="-721.76"/>
    <n v="0"/>
    <n v="1126.317231"/>
    <n v="9790.2972310000005"/>
  </r>
  <r>
    <x v="5"/>
    <x v="2"/>
    <x v="1"/>
    <x v="0"/>
    <x v="17"/>
    <s v="KEPL/00302/82-83"/>
    <s v="NEW CHANDESHWARI SUPPLIERS"/>
    <x v="7"/>
    <n v="3"/>
    <n v="126"/>
    <n v="74.489999999999995"/>
    <n v="9385.74"/>
    <n v="-721.76"/>
    <n v="0"/>
    <n v="1126.317231"/>
    <n v="9790.2972310000005"/>
  </r>
  <r>
    <x v="5"/>
    <x v="2"/>
    <x v="1"/>
    <x v="0"/>
    <x v="17"/>
    <s v="KEPL/00302/82-83"/>
    <s v="NEW CHANDESHWARI SUPPLIERS"/>
    <x v="10"/>
    <n v="5"/>
    <n v="210"/>
    <n v="74.489999999999995"/>
    <n v="15642.9"/>
    <n v="-1202.94"/>
    <n v="0"/>
    <n v="1877.1945189999999"/>
    <n v="16317.154519"/>
  </r>
  <r>
    <x v="0"/>
    <x v="2"/>
    <x v="1"/>
    <x v="0"/>
    <x v="17"/>
    <s v="KEPL/00302/82-83"/>
    <s v="NEW CHANDESHWARI SUPPLIERS"/>
    <x v="57"/>
    <n v="1"/>
    <n v="40"/>
    <n v="111.74"/>
    <n v="4469.6000000000004"/>
    <n v="-343.71"/>
    <n v="0"/>
    <n v="536.36562000000004"/>
    <n v="4662.2556199999999"/>
  </r>
  <r>
    <x v="16"/>
    <x v="2"/>
    <x v="1"/>
    <x v="0"/>
    <x v="17"/>
    <s v="KEPL/00302/82-83"/>
    <s v="NEW CHANDESHWARI SUPPLIERS"/>
    <x v="35"/>
    <n v="1"/>
    <n v="60"/>
    <n v="145.26"/>
    <n v="8715.6"/>
    <n v="-670.23"/>
    <n v="0"/>
    <n v="1045.8979429999999"/>
    <n v="9091.2679430000007"/>
  </r>
  <r>
    <x v="3"/>
    <x v="2"/>
    <x v="1"/>
    <x v="0"/>
    <x v="17"/>
    <s v="KEPL/00303/82-83"/>
    <s v="KRISHMA ENTERPRISES"/>
    <x v="55"/>
    <n v="3"/>
    <n v="60"/>
    <n v="175.06"/>
    <n v="10503.6"/>
    <n v="-807.7299999999999"/>
    <n v="0"/>
    <n v="1260.463037"/>
    <n v="10956.333037"/>
  </r>
  <r>
    <x v="8"/>
    <x v="2"/>
    <x v="1"/>
    <x v="0"/>
    <x v="17"/>
    <s v="KEPL/00303/82-83"/>
    <s v="KRISHMA ENTERPRISES"/>
    <x v="34"/>
    <n v="5"/>
    <n v="200"/>
    <n v="67.040000000000006"/>
    <n v="13408"/>
    <n v="-1031.08"/>
    <n v="0"/>
    <n v="1608.999519"/>
    <n v="13985.919518999999"/>
  </r>
  <r>
    <x v="3"/>
    <x v="2"/>
    <x v="1"/>
    <x v="0"/>
    <x v="17"/>
    <s v="KEPL/00303/82-83"/>
    <s v="KRISHMA ENTERPRISES"/>
    <x v="15"/>
    <n v="3"/>
    <n v="60"/>
    <n v="175.05"/>
    <n v="10503"/>
    <n v="-807.68"/>
    <n v="0"/>
    <n v="1260.391537"/>
    <n v="10955.711536999999"/>
  </r>
  <r>
    <x v="3"/>
    <x v="2"/>
    <x v="1"/>
    <x v="0"/>
    <x v="17"/>
    <s v="KEPL/00303/82-83"/>
    <s v="KRISHMA ENTERPRISES"/>
    <x v="54"/>
    <n v="2"/>
    <n v="40"/>
    <n v="175.05"/>
    <n v="7001.9999999999991"/>
    <n v="-538.45000000000005"/>
    <n v="0"/>
    <n v="840.26145800000006"/>
    <n v="7303.8114580000001"/>
  </r>
  <r>
    <x v="6"/>
    <x v="2"/>
    <x v="1"/>
    <x v="0"/>
    <x v="17"/>
    <s v="KEPL/00303/82-83"/>
    <s v="KRISHMA ENTERPRISES"/>
    <x v="28"/>
    <n v="10"/>
    <n v="200"/>
    <n v="204.85"/>
    <n v="40970"/>
    <n v="-3150.5899999999997"/>
    <n v="0"/>
    <n v="4916.5230529999999"/>
    <n v="42735.933053000001"/>
  </r>
  <r>
    <x v="17"/>
    <x v="2"/>
    <x v="1"/>
    <x v="0"/>
    <x v="17"/>
    <s v="KEPL/00303/82-83"/>
    <s v="KRISHMA ENTERPRISES"/>
    <x v="39"/>
    <n v="3"/>
    <n v="60"/>
    <n v="249.55"/>
    <n v="14973"/>
    <n v="-1151.42"/>
    <n v="0"/>
    <n v="1796.80531"/>
    <n v="15618.38531"/>
  </r>
  <r>
    <x v="6"/>
    <x v="2"/>
    <x v="1"/>
    <x v="0"/>
    <x v="17"/>
    <s v="KEPL/00303/82-83"/>
    <s v="KRISHMA ENTERPRISES"/>
    <x v="29"/>
    <n v="5"/>
    <n v="100"/>
    <n v="204.85"/>
    <n v="20485"/>
    <n v="-1575.3"/>
    <n v="0"/>
    <n v="2458.2608760000003"/>
    <n v="21367.960876000001"/>
  </r>
  <r>
    <x v="10"/>
    <x v="2"/>
    <x v="1"/>
    <x v="0"/>
    <x v="17"/>
    <s v="KEPL/00303/82-83"/>
    <s v="KRISHMA ENTERPRISES"/>
    <x v="45"/>
    <n v="10"/>
    <n v="150"/>
    <n v="260.72000000000003"/>
    <n v="39108"/>
    <n v="-3007.4100000000003"/>
    <n v="0"/>
    <n v="4693.0764639999998"/>
    <n v="40793.666464000002"/>
  </r>
  <r>
    <x v="10"/>
    <x v="2"/>
    <x v="1"/>
    <x v="0"/>
    <x v="17"/>
    <s v="KEPL/00303/82-83"/>
    <s v="KRISHMA ENTERPRISES"/>
    <x v="49"/>
    <n v="10"/>
    <n v="150"/>
    <n v="260.72000000000003"/>
    <n v="39108"/>
    <n v="-3007.4100000000003"/>
    <n v="0"/>
    <n v="4693.0764639999998"/>
    <n v="40793.666464000002"/>
  </r>
  <r>
    <x v="3"/>
    <x v="2"/>
    <x v="1"/>
    <x v="0"/>
    <x v="17"/>
    <s v="KEPL/00303/82-83"/>
    <s v="KRISHMA ENTERPRISES"/>
    <x v="46"/>
    <n v="10"/>
    <n v="200"/>
    <n v="175.05"/>
    <n v="35010"/>
    <n v="-2692.27"/>
    <n v="0"/>
    <n v="4201.3046890000005"/>
    <n v="36519.034689"/>
  </r>
  <r>
    <x v="8"/>
    <x v="2"/>
    <x v="1"/>
    <x v="0"/>
    <x v="17"/>
    <s v="KEPL/00303/82-83"/>
    <s v="KRISHMA ENTERPRISES"/>
    <x v="41"/>
    <n v="5"/>
    <n v="200"/>
    <n v="67.040000000000006"/>
    <n v="13408"/>
    <n v="-1031.08"/>
    <n v="0"/>
    <n v="1608.999519"/>
    <n v="13985.919518999999"/>
  </r>
  <r>
    <x v="11"/>
    <x v="2"/>
    <x v="1"/>
    <x v="0"/>
    <x v="17"/>
    <s v="KEPL/00303/82-83"/>
    <s v="KRISHMA ENTERPRISES"/>
    <x v="19"/>
    <n v="3"/>
    <n v="120"/>
    <n v="81.94"/>
    <n v="9832.8000000000011"/>
    <n v="-756.14"/>
    <n v="0"/>
    <n v="1179.965741"/>
    <n v="10256.625741"/>
  </r>
  <r>
    <x v="3"/>
    <x v="2"/>
    <x v="1"/>
    <x v="0"/>
    <x v="17"/>
    <s v="KEPL/00303/82-83"/>
    <s v="KRISHMA ENTERPRISES"/>
    <x v="4"/>
    <n v="2"/>
    <n v="40"/>
    <n v="175.05"/>
    <n v="7001.9999999999991"/>
    <n v="-538.45000000000005"/>
    <n v="0"/>
    <n v="840.26145800000006"/>
    <n v="7303.8114580000001"/>
  </r>
  <r>
    <x v="6"/>
    <x v="2"/>
    <x v="1"/>
    <x v="0"/>
    <x v="17"/>
    <s v="KEPL/00303/82-83"/>
    <s v="KRISHMA ENTERPRISES"/>
    <x v="48"/>
    <n v="5"/>
    <n v="100"/>
    <n v="204.85"/>
    <n v="20485"/>
    <n v="-1575.3"/>
    <n v="0"/>
    <n v="2458.2608760000003"/>
    <n v="21367.960876000001"/>
  </r>
  <r>
    <x v="4"/>
    <x v="2"/>
    <x v="1"/>
    <x v="0"/>
    <x v="17"/>
    <s v="KEPL/00307/82-83"/>
    <s v="NILLONS L&amp;D"/>
    <x v="5"/>
    <n v="2"/>
    <n v="360"/>
    <n v="18.62"/>
    <n v="6703.2"/>
    <n v="-515.48"/>
    <n v="0"/>
    <n v="804.40203200000008"/>
    <n v="6992.1220320000002"/>
  </r>
  <r>
    <x v="5"/>
    <x v="2"/>
    <x v="1"/>
    <x v="0"/>
    <x v="17"/>
    <s v="KEPL/00307/82-83"/>
    <s v="NILLONS L&amp;D"/>
    <x v="8"/>
    <n v="1"/>
    <n v="42"/>
    <n v="74.489999999999995"/>
    <n v="3128.58"/>
    <n v="-240.59"/>
    <n v="0"/>
    <n v="375.43796800000001"/>
    <n v="3263.427968"/>
  </r>
  <r>
    <x v="5"/>
    <x v="2"/>
    <x v="1"/>
    <x v="0"/>
    <x v="17"/>
    <s v="KESR/0004/82-83"/>
    <s v="B G TRADING CONCERN"/>
    <x v="7"/>
    <n v="-5"/>
    <n v="-210"/>
    <n v="74.489999999999995"/>
    <n v="-15642.9"/>
    <n v="1202.94"/>
    <n v="0"/>
    <n v="-1877.1933329999999"/>
    <n v="-16317.153333"/>
  </r>
  <r>
    <x v="5"/>
    <x v="2"/>
    <x v="1"/>
    <x v="0"/>
    <x v="17"/>
    <s v="KESR/0004/82-83"/>
    <s v="B G TRADING CONCERN"/>
    <x v="8"/>
    <n v="-5"/>
    <n v="-210"/>
    <n v="74.489999999999995"/>
    <n v="-15642.9"/>
    <n v="1202.94"/>
    <n v="0"/>
    <n v="-1877.1933329999999"/>
    <n v="-16317.153333"/>
  </r>
  <r>
    <x v="5"/>
    <x v="2"/>
    <x v="1"/>
    <x v="0"/>
    <x v="17"/>
    <s v="KESR/0004/82-83"/>
    <s v="B G TRADING CONCERN"/>
    <x v="10"/>
    <n v="-5"/>
    <n v="-210"/>
    <n v="74.489999999999995"/>
    <n v="-15642.9"/>
    <n v="1202.94"/>
    <n v="0"/>
    <n v="-1877.1933329999999"/>
    <n v="-16317.153333"/>
  </r>
  <r>
    <x v="2"/>
    <x v="2"/>
    <x v="1"/>
    <x v="0"/>
    <x v="18"/>
    <s v="KEPL/00316/82-83"/>
    <s v="CHHATRA DEV GENERAL SUPPLIERS"/>
    <x v="3"/>
    <n v="5"/>
    <n v="100"/>
    <n v="186.23"/>
    <n v="18623"/>
    <n v="-1432.1100000000001"/>
    <n v="0"/>
    <n v="2234.8148350000001"/>
    <n v="19425.704835"/>
  </r>
  <r>
    <x v="11"/>
    <x v="2"/>
    <x v="1"/>
    <x v="0"/>
    <x v="18"/>
    <s v="KEPL/00316/82-83"/>
    <s v="CHHATRA DEV GENERAL SUPPLIERS"/>
    <x v="19"/>
    <n v="2"/>
    <n v="80"/>
    <n v="81.94"/>
    <n v="6555.2"/>
    <n v="-504.09"/>
    <n v="0"/>
    <n v="786.64399600000002"/>
    <n v="6837.7539960000004"/>
  </r>
  <r>
    <x v="8"/>
    <x v="2"/>
    <x v="1"/>
    <x v="0"/>
    <x v="18"/>
    <s v="KEPL/00316/82-83"/>
    <s v="CHHATRA DEV GENERAL SUPPLIERS"/>
    <x v="34"/>
    <n v="2"/>
    <n v="80"/>
    <n v="67.040000000000006"/>
    <n v="5363.2"/>
    <n v="-412.43"/>
    <n v="0"/>
    <n v="643.59985100000006"/>
    <n v="5594.3698510000004"/>
  </r>
  <r>
    <x v="11"/>
    <x v="2"/>
    <x v="1"/>
    <x v="0"/>
    <x v="18"/>
    <s v="KEPL/00316/82-83"/>
    <s v="CHHATRA DEV GENERAL SUPPLIERS"/>
    <x v="36"/>
    <n v="5"/>
    <n v="200"/>
    <n v="81.94"/>
    <n v="16388"/>
    <n v="-1260.24"/>
    <n v="0"/>
    <n v="1966.608039"/>
    <n v="17094.368039000001"/>
  </r>
  <r>
    <x v="11"/>
    <x v="2"/>
    <x v="1"/>
    <x v="0"/>
    <x v="18"/>
    <s v="KEPL/00316/82-83"/>
    <s v="CHHATRA DEV GENERAL SUPPLIERS"/>
    <x v="37"/>
    <n v="5"/>
    <n v="200"/>
    <n v="81.94"/>
    <n v="16388"/>
    <n v="-1260.24"/>
    <n v="0"/>
    <n v="1966.608039"/>
    <n v="17094.368039000001"/>
  </r>
  <r>
    <x v="8"/>
    <x v="2"/>
    <x v="1"/>
    <x v="0"/>
    <x v="18"/>
    <s v="KEPL/00316/82-83"/>
    <s v="CHHATRA DEV GENERAL SUPPLIERS"/>
    <x v="41"/>
    <n v="2"/>
    <n v="80"/>
    <n v="67.040000000000006"/>
    <n v="5363.2"/>
    <n v="-412.43"/>
    <n v="0"/>
    <n v="643.59985100000006"/>
    <n v="5594.3698510000004"/>
  </r>
  <r>
    <x v="16"/>
    <x v="2"/>
    <x v="1"/>
    <x v="0"/>
    <x v="18"/>
    <s v="KEPL/00316/82-83"/>
    <s v="CHHATRA DEV GENERAL SUPPLIERS"/>
    <x v="35"/>
    <n v="2"/>
    <n v="120"/>
    <n v="145.26"/>
    <n v="17431.2"/>
    <n v="-1340.46"/>
    <n v="0"/>
    <n v="2091.7953899999998"/>
    <n v="18182.535390000001"/>
  </r>
  <r>
    <x v="5"/>
    <x v="2"/>
    <x v="1"/>
    <x v="0"/>
    <x v="18"/>
    <s v="KEPL/00317/82-83"/>
    <s v="NEW MATA RANI SUPPLIERS"/>
    <x v="10"/>
    <n v="3"/>
    <n v="126"/>
    <n v="74.489999999999995"/>
    <n v="9385.74"/>
    <n v="-721.76"/>
    <n v="0"/>
    <n v="1126.3162689999999"/>
    <n v="9790.2962690000004"/>
  </r>
  <r>
    <x v="13"/>
    <x v="2"/>
    <x v="1"/>
    <x v="0"/>
    <x v="18"/>
    <s v="KEPL/00317/82-83"/>
    <s v="NEW MATA RANI SUPPLIERS"/>
    <x v="23"/>
    <n v="1"/>
    <n v="600"/>
    <n v="7.45"/>
    <n v="4470.01"/>
    <n v="-343.74"/>
    <n v="0"/>
    <n v="536.41456100000005"/>
    <n v="4662.684561"/>
  </r>
  <r>
    <x v="6"/>
    <x v="2"/>
    <x v="1"/>
    <x v="0"/>
    <x v="18"/>
    <s v="KEPL/00317/82-83"/>
    <s v="NEW MATA RANI SUPPLIERS"/>
    <x v="30"/>
    <n v="1"/>
    <n v="20"/>
    <n v="242.1"/>
    <n v="4841.9999999999991"/>
    <n v="-372.35"/>
    <n v="0"/>
    <n v="581.05391699999996"/>
    <n v="5050.7039169999998"/>
  </r>
  <r>
    <x v="9"/>
    <x v="2"/>
    <x v="1"/>
    <x v="0"/>
    <x v="18"/>
    <s v="KEPL/00317/82-83"/>
    <s v="NEW MATA RANI SUPPLIERS"/>
    <x v="22"/>
    <n v="1"/>
    <n v="24"/>
    <n v="204.85"/>
    <n v="4916.4000000000005"/>
    <n v="-378.07"/>
    <n v="0"/>
    <n v="589.98230799999999"/>
    <n v="5128.3123079999996"/>
  </r>
  <r>
    <x v="8"/>
    <x v="2"/>
    <x v="1"/>
    <x v="0"/>
    <x v="18"/>
    <s v="KEPL/00317/82-83"/>
    <s v="NEW MATA RANI SUPPLIERS"/>
    <x v="13"/>
    <n v="1"/>
    <n v="24"/>
    <n v="141.54"/>
    <n v="3396.96"/>
    <n v="-261.23"/>
    <n v="0"/>
    <n v="407.64449100000002"/>
    <n v="3543.374491"/>
  </r>
  <r>
    <x v="12"/>
    <x v="2"/>
    <x v="1"/>
    <x v="0"/>
    <x v="18"/>
    <s v="KEPL/00317/82-83"/>
    <s v="NEW MATA RANI SUPPLIERS"/>
    <x v="20"/>
    <n v="1"/>
    <n v="1600"/>
    <n v="1.79"/>
    <n v="2864"/>
    <n v="-220.24"/>
    <n v="0"/>
    <n v="343.68845499999998"/>
    <n v="2987.4484550000002"/>
  </r>
  <r>
    <x v="0"/>
    <x v="2"/>
    <x v="1"/>
    <x v="0"/>
    <x v="18"/>
    <s v="KEPL/00318/82-83"/>
    <s v="NEW MATA RANI SUPPLIERS"/>
    <x v="0"/>
    <n v="1"/>
    <n v="40"/>
    <n v="111.74"/>
    <n v="4469.6000000000004"/>
    <n v="-343.71"/>
    <n v="0"/>
    <n v="536.36560199999997"/>
    <n v="4662.2556020000002"/>
  </r>
  <r>
    <x v="11"/>
    <x v="2"/>
    <x v="1"/>
    <x v="0"/>
    <x v="18"/>
    <s v="KEPL/00318/82-83"/>
    <s v="NEW MATA RANI SUPPLIERS"/>
    <x v="37"/>
    <n v="1"/>
    <n v="40"/>
    <n v="81.94"/>
    <n v="3277.6"/>
    <n v="-252.05"/>
    <n v="0"/>
    <n v="393.32142799999997"/>
    <n v="3418.8714279999999"/>
  </r>
  <r>
    <x v="10"/>
    <x v="2"/>
    <x v="1"/>
    <x v="0"/>
    <x v="18"/>
    <s v="KEPL/00318/82-83"/>
    <s v="NEW MATA RANI SUPPLIERS"/>
    <x v="49"/>
    <n v="2"/>
    <n v="30"/>
    <n v="260.72000000000003"/>
    <n v="7821.6"/>
    <n v="-601.48"/>
    <n v="0"/>
    <n v="938.61542799999995"/>
    <n v="8158.735428"/>
  </r>
  <r>
    <x v="5"/>
    <x v="2"/>
    <x v="1"/>
    <x v="0"/>
    <x v="18"/>
    <s v="KEPL/00318/82-83"/>
    <s v="NEW MATA RANI SUPPLIERS"/>
    <x v="7"/>
    <n v="2"/>
    <n v="84"/>
    <n v="74.489999999999995"/>
    <n v="6257.16"/>
    <n v="-481.18"/>
    <n v="0"/>
    <n v="750.87726199999997"/>
    <n v="6526.8572620000004"/>
  </r>
  <r>
    <x v="20"/>
    <x v="2"/>
    <x v="1"/>
    <x v="0"/>
    <x v="18"/>
    <s v="KEPL/00318/82-83"/>
    <s v="NEW MATA RANI SUPPLIERS"/>
    <x v="52"/>
    <n v="5"/>
    <n v="20"/>
    <n v="595.94000000000005"/>
    <n v="11918.8"/>
    <n v="-916.56"/>
    <n v="0"/>
    <n v="1430.290937"/>
    <n v="12432.530937"/>
  </r>
  <r>
    <x v="8"/>
    <x v="2"/>
    <x v="1"/>
    <x v="0"/>
    <x v="18"/>
    <s v="KEPL/00318/82-83"/>
    <s v="NEW MATA RANI SUPPLIERS"/>
    <x v="41"/>
    <n v="1"/>
    <n v="40"/>
    <n v="67.040000000000006"/>
    <n v="2681.6"/>
    <n v="-206.22"/>
    <n v="0"/>
    <n v="321.79934100000003"/>
    <n v="2797.179341"/>
  </r>
  <r>
    <x v="0"/>
    <x v="2"/>
    <x v="1"/>
    <x v="0"/>
    <x v="18"/>
    <s v="KEPL/00318/82-83"/>
    <s v="NEW MATA RANI SUPPLIERS"/>
    <x v="57"/>
    <n v="1"/>
    <n v="40"/>
    <n v="111.74"/>
    <n v="4469.6000000000004"/>
    <n v="-343.71"/>
    <n v="0"/>
    <n v="536.36560199999997"/>
    <n v="4662.2556020000002"/>
  </r>
  <r>
    <x v="0"/>
    <x v="2"/>
    <x v="1"/>
    <x v="0"/>
    <x v="18"/>
    <s v="KEPL/00318/82-83"/>
    <s v="NEW MATA RANI SUPPLIERS"/>
    <x v="47"/>
    <n v="2"/>
    <n v="80"/>
    <n v="111.74"/>
    <n v="8939.2000000000007"/>
    <n v="-687.42"/>
    <n v="0"/>
    <n v="1072.7312030000001"/>
    <n v="9324.511203"/>
  </r>
  <r>
    <x v="5"/>
    <x v="2"/>
    <x v="1"/>
    <x v="0"/>
    <x v="18"/>
    <s v="KEPL/00318/82-83"/>
    <s v="NEW MATA RANI SUPPLIERS"/>
    <x v="8"/>
    <n v="3"/>
    <n v="126"/>
    <n v="74.489999999999995"/>
    <n v="9385.74"/>
    <n v="-721.76"/>
    <n v="0"/>
    <n v="1126.3171930000001"/>
    <n v="9790.2971930000003"/>
  </r>
  <r>
    <x v="7"/>
    <x v="2"/>
    <x v="1"/>
    <x v="0"/>
    <x v="18"/>
    <s v="KEPL/00318/82-83"/>
    <s v="NEW MATA RANI SUPPLIERS"/>
    <x v="12"/>
    <n v="2"/>
    <n v="260"/>
    <n v="37.25"/>
    <n v="9685"/>
    <n v="-744.78"/>
    <n v="0"/>
    <n v="1162.2283870000001"/>
    <n v="10102.448387"/>
  </r>
  <r>
    <x v="3"/>
    <x v="2"/>
    <x v="1"/>
    <x v="0"/>
    <x v="18"/>
    <s v="KEPL/00318/82-83"/>
    <s v="NEW MATA RANI SUPPLIERS"/>
    <x v="55"/>
    <n v="1"/>
    <n v="20"/>
    <n v="175.06"/>
    <n v="3501.2"/>
    <n v="-269.24"/>
    <n v="0"/>
    <n v="420.15472299999999"/>
    <n v="3652.1147230000001"/>
  </r>
  <r>
    <x v="8"/>
    <x v="2"/>
    <x v="1"/>
    <x v="0"/>
    <x v="18"/>
    <s v="KEPL/00318/82-83"/>
    <s v="NEW MATA RANI SUPPLIERS"/>
    <x v="56"/>
    <n v="1"/>
    <n v="800"/>
    <n v="7.46"/>
    <n v="5968"/>
    <n v="-458.94"/>
    <n v="0"/>
    <n v="716.17766800000004"/>
    <n v="6225.2376679999998"/>
  </r>
  <r>
    <x v="3"/>
    <x v="2"/>
    <x v="1"/>
    <x v="0"/>
    <x v="18"/>
    <s v="KEPL/00318/82-83"/>
    <s v="NEW MATA RANI SUPPLIERS"/>
    <x v="54"/>
    <n v="1"/>
    <n v="20"/>
    <n v="175.05"/>
    <n v="3500.9999999999995"/>
    <n v="-269.23"/>
    <n v="0"/>
    <n v="420.13002299999999"/>
    <n v="3651.9000230000001"/>
  </r>
  <r>
    <x v="16"/>
    <x v="2"/>
    <x v="1"/>
    <x v="0"/>
    <x v="18"/>
    <s v="KEPL/00318/82-83"/>
    <s v="NEW MATA RANI SUPPLIERS"/>
    <x v="42"/>
    <n v="1"/>
    <n v="30"/>
    <n v="316.58999999999997"/>
    <n v="9497.6999999999989"/>
    <n v="-730.36999999999989"/>
    <n v="0"/>
    <n v="1139.7526909999999"/>
    <n v="9907.0826909999996"/>
  </r>
  <r>
    <x v="8"/>
    <x v="2"/>
    <x v="1"/>
    <x v="0"/>
    <x v="18"/>
    <s v="KEPL/00318/82-83"/>
    <s v="NEW MATA RANI SUPPLIERS"/>
    <x v="34"/>
    <n v="1"/>
    <n v="40"/>
    <n v="67.040000000000006"/>
    <n v="2681.6"/>
    <n v="-206.22"/>
    <n v="0"/>
    <n v="321.79934100000003"/>
    <n v="2797.179341"/>
  </r>
  <r>
    <x v="17"/>
    <x v="2"/>
    <x v="1"/>
    <x v="0"/>
    <x v="18"/>
    <s v="KEPL/00318/82-83"/>
    <s v="NEW MATA RANI SUPPLIERS"/>
    <x v="39"/>
    <n v="1"/>
    <n v="20"/>
    <n v="249.55"/>
    <n v="4991"/>
    <n v="-383.81"/>
    <n v="0"/>
    <n v="598.93458999999996"/>
    <n v="5206.1245900000004"/>
  </r>
  <r>
    <x v="10"/>
    <x v="2"/>
    <x v="1"/>
    <x v="0"/>
    <x v="18"/>
    <s v="KEPL/00318/82-83"/>
    <s v="NEW MATA RANI SUPPLIERS"/>
    <x v="18"/>
    <n v="2"/>
    <n v="30"/>
    <n v="260.72000000000003"/>
    <n v="7821.6"/>
    <n v="-601.48"/>
    <n v="0"/>
    <n v="938.61542799999995"/>
    <n v="8158.735428"/>
  </r>
  <r>
    <x v="13"/>
    <x v="2"/>
    <x v="1"/>
    <x v="0"/>
    <x v="18"/>
    <s v="KEPL/00318/82-83"/>
    <s v="NEW MATA RANI SUPPLIERS"/>
    <x v="40"/>
    <n v="1"/>
    <n v="600"/>
    <n v="7.46"/>
    <n v="4476"/>
    <n v="-344.2"/>
    <n v="0"/>
    <n v="537.13390100000004"/>
    <n v="4668.9339010000003"/>
  </r>
  <r>
    <x v="3"/>
    <x v="2"/>
    <x v="1"/>
    <x v="0"/>
    <x v="18"/>
    <s v="KEPL/00318/82-83"/>
    <s v="NEW MATA RANI SUPPLIERS"/>
    <x v="46"/>
    <n v="2"/>
    <n v="40"/>
    <n v="175.05"/>
    <n v="7001.9999999999991"/>
    <n v="-538.45000000000005"/>
    <n v="0"/>
    <n v="840.261346"/>
    <n v="7303.8113460000004"/>
  </r>
  <r>
    <x v="16"/>
    <x v="2"/>
    <x v="1"/>
    <x v="0"/>
    <x v="18"/>
    <s v="KEPL/00318/82-83"/>
    <s v="NEW MATA RANI SUPPLIERS"/>
    <x v="35"/>
    <n v="1"/>
    <n v="60"/>
    <n v="145.26"/>
    <n v="8715.6"/>
    <n v="-670.23"/>
    <n v="0"/>
    <n v="1045.8979080000001"/>
    <n v="9091.2679079999998"/>
  </r>
  <r>
    <x v="12"/>
    <x v="2"/>
    <x v="1"/>
    <x v="0"/>
    <x v="18"/>
    <s v="KEPL/00323/82-83"/>
    <s v="KRISHMA ENTERPRISES"/>
    <x v="20"/>
    <n v="2"/>
    <n v="3200"/>
    <n v="1.79"/>
    <n v="5728"/>
    <n v="-440.48"/>
    <n v="0"/>
    <n v="687.38"/>
    <n v="5974.9"/>
  </r>
  <r>
    <x v="5"/>
    <x v="2"/>
    <x v="1"/>
    <x v="0"/>
    <x v="19"/>
    <s v="KEPL/00324/82-83"/>
    <s v="KRISHMA ENTERPRISES"/>
    <x v="10"/>
    <n v="11.5"/>
    <n v="483"/>
    <n v="74.489999999999995"/>
    <n v="35978.67"/>
    <n v="-2766.7599999999998"/>
    <n v="0"/>
    <n v="4317.5466079999997"/>
    <n v="37529.456608"/>
  </r>
  <r>
    <x v="5"/>
    <x v="2"/>
    <x v="1"/>
    <x v="0"/>
    <x v="19"/>
    <s v="KEPL/00324/82-83"/>
    <s v="KRISHMA ENTERPRISES"/>
    <x v="8"/>
    <n v="10.5"/>
    <n v="441"/>
    <n v="74.489999999999995"/>
    <n v="32850.089999999997"/>
    <n v="-2526.17"/>
    <n v="0"/>
    <n v="3942.1080550000001"/>
    <n v="34266.028055000002"/>
  </r>
  <r>
    <x v="9"/>
    <x v="2"/>
    <x v="1"/>
    <x v="0"/>
    <x v="19"/>
    <s v="KEPL/00324/82-83"/>
    <s v="KRISHMA ENTERPRISES"/>
    <x v="22"/>
    <n v="2"/>
    <n v="48"/>
    <n v="204.85"/>
    <n v="9832.8000000000011"/>
    <n v="-756.14"/>
    <n v="0"/>
    <n v="1179.9653369999999"/>
    <n v="10256.625336999999"/>
  </r>
  <r>
    <x v="2"/>
    <x v="2"/>
    <x v="1"/>
    <x v="0"/>
    <x v="19"/>
    <s v="KEPL/00325/82-83"/>
    <s v="AAFNAI PASAL PVT.LTD"/>
    <x v="3"/>
    <n v="1"/>
    <n v="20"/>
    <n v="186.23"/>
    <n v="3724.6000000000004"/>
    <n v="-286.42"/>
    <n v="0"/>
    <n v="446.96294499999999"/>
    <n v="3885.1429450000001"/>
  </r>
  <r>
    <x v="13"/>
    <x v="2"/>
    <x v="1"/>
    <x v="0"/>
    <x v="19"/>
    <s v="KEPL/00325/82-83"/>
    <s v="AAFNAI PASAL PVT.LTD"/>
    <x v="21"/>
    <n v="1"/>
    <n v="240"/>
    <n v="18.62"/>
    <n v="4468.8"/>
    <n v="-343.65"/>
    <n v="0"/>
    <n v="536.26895400000001"/>
    <n v="4661.4189539999998"/>
  </r>
  <r>
    <x v="16"/>
    <x v="2"/>
    <x v="1"/>
    <x v="0"/>
    <x v="19"/>
    <s v="KEPL/00325/82-83"/>
    <s v="AAFNAI PASAL PVT.LTD"/>
    <x v="42"/>
    <n v="1"/>
    <n v="30"/>
    <n v="316.58999999999997"/>
    <n v="9497.6999999999989"/>
    <n v="-730.36999999999989"/>
    <n v="0"/>
    <n v="1139.751739"/>
    <n v="9907.0817389999993"/>
  </r>
  <r>
    <x v="13"/>
    <x v="2"/>
    <x v="1"/>
    <x v="0"/>
    <x v="19"/>
    <s v="KEPL/00325/82-83"/>
    <s v="AAFNAI PASAL PVT.LTD"/>
    <x v="23"/>
    <n v="1"/>
    <n v="600"/>
    <n v="7.46"/>
    <n v="4476"/>
    <n v="-344.2"/>
    <n v="0"/>
    <n v="537.13345300000003"/>
    <n v="4668.9334529999996"/>
  </r>
  <r>
    <x v="4"/>
    <x v="2"/>
    <x v="1"/>
    <x v="0"/>
    <x v="19"/>
    <s v="KEPL/00325/82-83"/>
    <s v="AAFNAI PASAL PVT.LTD"/>
    <x v="5"/>
    <n v="1"/>
    <n v="180"/>
    <n v="18.62"/>
    <n v="3351.6"/>
    <n v="-257.74"/>
    <n v="0"/>
    <n v="402.20139"/>
    <n v="3496.0613899999998"/>
  </r>
  <r>
    <x v="9"/>
    <x v="2"/>
    <x v="1"/>
    <x v="0"/>
    <x v="19"/>
    <s v="KEPL/00325/82-83"/>
    <s v="AAFNAI PASAL PVT.LTD"/>
    <x v="14"/>
    <n v="1"/>
    <n v="24"/>
    <n v="186.23"/>
    <n v="4469.5200000000004"/>
    <n v="-343.71"/>
    <n v="0"/>
    <n v="536.35475299999996"/>
    <n v="4662.164753"/>
  </r>
  <r>
    <x v="5"/>
    <x v="2"/>
    <x v="1"/>
    <x v="0"/>
    <x v="19"/>
    <s v="KEPL/00325/82-83"/>
    <s v="AAFNAI PASAL PVT.LTD"/>
    <x v="8"/>
    <n v="1"/>
    <n v="42"/>
    <n v="74.489999999999995"/>
    <n v="3128.58"/>
    <n v="-240.59"/>
    <n v="0"/>
    <n v="375.43831700000004"/>
    <n v="3263.4283169999999"/>
  </r>
  <r>
    <x v="12"/>
    <x v="2"/>
    <x v="1"/>
    <x v="0"/>
    <x v="19"/>
    <s v="KEPL/00325/82-83"/>
    <s v="AAFNAI PASAL PVT.LTD"/>
    <x v="20"/>
    <n v="1"/>
    <n v="1600"/>
    <n v="1.79"/>
    <n v="2864"/>
    <n v="-220.24"/>
    <n v="0"/>
    <n v="343.68844999999999"/>
    <n v="2987.4484499999999"/>
  </r>
  <r>
    <x v="4"/>
    <x v="2"/>
    <x v="1"/>
    <x v="0"/>
    <x v="19"/>
    <s v="KEPL/00326/82-83"/>
    <s v="NAWA ATITHI STORES"/>
    <x v="5"/>
    <n v="1"/>
    <n v="180"/>
    <n v="18.62"/>
    <n v="3351.6"/>
    <n v="-257.74"/>
    <n v="0"/>
    <n v="402.20202800000004"/>
    <n v="3496.0620279999998"/>
  </r>
  <r>
    <x v="0"/>
    <x v="2"/>
    <x v="1"/>
    <x v="0"/>
    <x v="19"/>
    <s v="KEPL/00326/82-83"/>
    <s v="NAWA ATITHI STORES"/>
    <x v="47"/>
    <n v="2"/>
    <n v="80"/>
    <n v="111.74"/>
    <n v="8939.2000000000007"/>
    <n v="-687.42"/>
    <n v="0"/>
    <n v="1072.732008"/>
    <n v="9324.5120079999997"/>
  </r>
  <r>
    <x v="16"/>
    <x v="2"/>
    <x v="1"/>
    <x v="0"/>
    <x v="19"/>
    <s v="KEPL/00326/82-83"/>
    <s v="NAWA ATITHI STORES"/>
    <x v="42"/>
    <n v="1"/>
    <n v="30"/>
    <n v="316.58999999999997"/>
    <n v="9497.6999999999989"/>
    <n v="-730.36999999999989"/>
    <n v="0"/>
    <n v="1139.7535459999999"/>
    <n v="9907.0835459999998"/>
  </r>
  <r>
    <x v="0"/>
    <x v="2"/>
    <x v="1"/>
    <x v="0"/>
    <x v="19"/>
    <s v="KEPL/00326/82-83"/>
    <s v="NAWA ATITHI STORES"/>
    <x v="58"/>
    <n v="2"/>
    <n v="80"/>
    <n v="111.74"/>
    <n v="8939.2000000000007"/>
    <n v="-687.42"/>
    <n v="0"/>
    <n v="1072.732008"/>
    <n v="9324.5120079999997"/>
  </r>
  <r>
    <x v="11"/>
    <x v="2"/>
    <x v="1"/>
    <x v="0"/>
    <x v="19"/>
    <s v="KEPL/00326/82-83"/>
    <s v="NAWA ATITHI STORES"/>
    <x v="53"/>
    <n v="1"/>
    <n v="40"/>
    <n v="81.94"/>
    <n v="3277.6"/>
    <n v="-252.05"/>
    <n v="0"/>
    <n v="393.32172300000002"/>
    <n v="3418.8717230000002"/>
  </r>
  <r>
    <x v="0"/>
    <x v="2"/>
    <x v="1"/>
    <x v="0"/>
    <x v="19"/>
    <s v="KEPL/00326/82-83"/>
    <s v="NAWA ATITHI STORES"/>
    <x v="57"/>
    <n v="2"/>
    <n v="80"/>
    <n v="111.74"/>
    <n v="8939.2000000000007"/>
    <n v="-687.42"/>
    <n v="0"/>
    <n v="1072.732008"/>
    <n v="9324.5120079999997"/>
  </r>
  <r>
    <x v="11"/>
    <x v="2"/>
    <x v="1"/>
    <x v="0"/>
    <x v="19"/>
    <s v="KEPL/00326/82-83"/>
    <s v="NAWA ATITHI STORES"/>
    <x v="36"/>
    <n v="1"/>
    <n v="40"/>
    <n v="81.94"/>
    <n v="3277.6"/>
    <n v="-252.05"/>
    <n v="0"/>
    <n v="393.32172300000002"/>
    <n v="3418.8717230000002"/>
  </r>
  <r>
    <x v="11"/>
    <x v="2"/>
    <x v="1"/>
    <x v="0"/>
    <x v="19"/>
    <s v="KEPL/00326/82-83"/>
    <s v="NAWA ATITHI STORES"/>
    <x v="37"/>
    <n v="1"/>
    <n v="40"/>
    <n v="81.94"/>
    <n v="3277.6"/>
    <n v="-252.05"/>
    <n v="0"/>
    <n v="393.32172300000002"/>
    <n v="3418.8717230000002"/>
  </r>
  <r>
    <x v="9"/>
    <x v="2"/>
    <x v="1"/>
    <x v="0"/>
    <x v="19"/>
    <s v="KEPL/00326/82-83"/>
    <s v="NAWA ATITHI STORES"/>
    <x v="22"/>
    <n v="1"/>
    <n v="24"/>
    <n v="204.85"/>
    <n v="4916.4000000000005"/>
    <n v="-378.07"/>
    <n v="0"/>
    <n v="589.98323400000004"/>
    <n v="5128.3132340000002"/>
  </r>
  <r>
    <x v="20"/>
    <x v="2"/>
    <x v="1"/>
    <x v="0"/>
    <x v="19"/>
    <s v="KEPL/00346/82-83"/>
    <s v="CHHATRA DEV GENERAL SUPPLIERS"/>
    <x v="52"/>
    <n v="5"/>
    <n v="20"/>
    <n v="595.94000000000005"/>
    <n v="11918.8"/>
    <n v="-916.56"/>
    <n v="0"/>
    <n v="1430.29"/>
    <n v="12432.53"/>
  </r>
  <r>
    <x v="0"/>
    <x v="2"/>
    <x v="1"/>
    <x v="0"/>
    <x v="20"/>
    <s v="KEPL/00351/82-83"/>
    <s v="SAKSHAM ENTERPRISES"/>
    <x v="0"/>
    <n v="1"/>
    <n v="40"/>
    <n v="111.74"/>
    <n v="4469.6000000000004"/>
    <n v="-343.71"/>
    <n v="0"/>
    <n v="536.36586"/>
    <n v="4662.2558600000002"/>
  </r>
  <r>
    <x v="3"/>
    <x v="2"/>
    <x v="1"/>
    <x v="0"/>
    <x v="20"/>
    <s v="KEPL/00351/82-83"/>
    <s v="SAKSHAM ENTERPRISES"/>
    <x v="46"/>
    <n v="2"/>
    <n v="40"/>
    <n v="175.06"/>
    <n v="7002.4"/>
    <n v="-538.48"/>
    <n v="0"/>
    <n v="840.30985099999998"/>
    <n v="7304.2298510000001"/>
  </r>
  <r>
    <x v="10"/>
    <x v="2"/>
    <x v="1"/>
    <x v="0"/>
    <x v="20"/>
    <s v="KEPL/00351/82-83"/>
    <s v="SAKSHAM ENTERPRISES"/>
    <x v="18"/>
    <n v="1"/>
    <n v="15"/>
    <n v="260.72000000000003"/>
    <n v="3910.8"/>
    <n v="-300.74"/>
    <n v="0"/>
    <n v="469.30793999999997"/>
    <n v="4079.3679400000001"/>
  </r>
  <r>
    <x v="8"/>
    <x v="2"/>
    <x v="1"/>
    <x v="0"/>
    <x v="20"/>
    <s v="KEPL/00351/82-83"/>
    <s v="SAKSHAM ENTERPRISES"/>
    <x v="34"/>
    <n v="1"/>
    <n v="40"/>
    <n v="67.040000000000006"/>
    <n v="2681.6"/>
    <n v="-206.22"/>
    <n v="0"/>
    <n v="321.79949599999998"/>
    <n v="2797.1794960000002"/>
  </r>
  <r>
    <x v="17"/>
    <x v="2"/>
    <x v="1"/>
    <x v="0"/>
    <x v="20"/>
    <s v="KEPL/00351/82-83"/>
    <s v="SAKSHAM ENTERPRISES"/>
    <x v="39"/>
    <n v="2"/>
    <n v="40"/>
    <n v="249.55"/>
    <n v="9982"/>
    <n v="-767.62"/>
    <n v="0"/>
    <n v="1197.8697579999998"/>
    <n v="10412.249758"/>
  </r>
  <r>
    <x v="10"/>
    <x v="2"/>
    <x v="1"/>
    <x v="0"/>
    <x v="20"/>
    <s v="KEPL/00351/82-83"/>
    <s v="SAKSHAM ENTERPRISES"/>
    <x v="49"/>
    <n v="2"/>
    <n v="30"/>
    <n v="260.72000000000003"/>
    <n v="7821.6"/>
    <n v="-601.48"/>
    <n v="0"/>
    <n v="938.61587999999995"/>
    <n v="8158.7358800000002"/>
  </r>
  <r>
    <x v="2"/>
    <x v="2"/>
    <x v="1"/>
    <x v="0"/>
    <x v="20"/>
    <s v="KEPL/00351/82-83"/>
    <s v="SAKSHAM ENTERPRISES"/>
    <x v="3"/>
    <n v="1"/>
    <n v="20"/>
    <n v="186.23"/>
    <n v="3724.6000000000004"/>
    <n v="-286.42"/>
    <n v="0"/>
    <n v="446.96353299999998"/>
    <n v="3885.1435329999999"/>
  </r>
  <r>
    <x v="19"/>
    <x v="2"/>
    <x v="1"/>
    <x v="0"/>
    <x v="20"/>
    <s v="KEPL/00351/82-83"/>
    <s v="SAKSHAM ENTERPRISES"/>
    <x v="51"/>
    <n v="1"/>
    <n v="50"/>
    <n v="89.39"/>
    <n v="4469.5"/>
    <n v="-343.7"/>
    <n v="0"/>
    <n v="536.35415999999998"/>
    <n v="4662.15416"/>
  </r>
  <r>
    <x v="11"/>
    <x v="2"/>
    <x v="1"/>
    <x v="0"/>
    <x v="20"/>
    <s v="KEPL/00351/82-83"/>
    <s v="SAKSHAM ENTERPRISES"/>
    <x v="53"/>
    <n v="1"/>
    <n v="40"/>
    <n v="81.94"/>
    <n v="3277.6"/>
    <n v="-252.05"/>
    <n v="0"/>
    <n v="393.321617"/>
    <n v="3418.8716169999998"/>
  </r>
  <r>
    <x v="3"/>
    <x v="2"/>
    <x v="1"/>
    <x v="0"/>
    <x v="20"/>
    <s v="KEPL/00351/82-83"/>
    <s v="SAKSHAM ENTERPRISES"/>
    <x v="54"/>
    <n v="1"/>
    <n v="20"/>
    <n v="175.06"/>
    <n v="3501.2"/>
    <n v="-269.24"/>
    <n v="0"/>
    <n v="420.15492499999999"/>
    <n v="3652.1149249999999"/>
  </r>
  <r>
    <x v="11"/>
    <x v="2"/>
    <x v="1"/>
    <x v="0"/>
    <x v="20"/>
    <s v="KEPL/00351/82-83"/>
    <s v="SAKSHAM ENTERPRISES"/>
    <x v="36"/>
    <n v="1"/>
    <n v="40"/>
    <n v="81.94"/>
    <n v="3277.6"/>
    <n v="-252.05"/>
    <n v="0"/>
    <n v="393.321617"/>
    <n v="3418.8716169999998"/>
  </r>
  <r>
    <x v="7"/>
    <x v="2"/>
    <x v="1"/>
    <x v="0"/>
    <x v="20"/>
    <s v="KEPL/00351/82-83"/>
    <s v="SAKSHAM ENTERPRISES"/>
    <x v="12"/>
    <n v="1"/>
    <n v="130"/>
    <n v="37.25"/>
    <n v="4842.5"/>
    <n v="-372.39"/>
    <n v="0"/>
    <n v="581.11447299999998"/>
    <n v="5051.2244730000002"/>
  </r>
  <r>
    <x v="0"/>
    <x v="2"/>
    <x v="1"/>
    <x v="0"/>
    <x v="20"/>
    <s v="KEPL/00351/82-83"/>
    <s v="SAKSHAM ENTERPRISES"/>
    <x v="57"/>
    <n v="1"/>
    <n v="40"/>
    <n v="111.74"/>
    <n v="4469.6000000000004"/>
    <n v="-343.71"/>
    <n v="0"/>
    <n v="536.36586"/>
    <n v="4662.2558600000002"/>
  </r>
  <r>
    <x v="0"/>
    <x v="2"/>
    <x v="1"/>
    <x v="0"/>
    <x v="20"/>
    <s v="KEPL/00351/82-83"/>
    <s v="SAKSHAM ENTERPRISES"/>
    <x v="47"/>
    <n v="2"/>
    <n v="80"/>
    <n v="111.74"/>
    <n v="8939.2000000000007"/>
    <n v="-687.42"/>
    <n v="0"/>
    <n v="1072.73172"/>
    <n v="9324.5117200000004"/>
  </r>
  <r>
    <x v="8"/>
    <x v="2"/>
    <x v="1"/>
    <x v="0"/>
    <x v="20"/>
    <s v="KEPL/00351/82-83"/>
    <s v="SAKSHAM ENTERPRISES"/>
    <x v="33"/>
    <n v="1"/>
    <n v="40"/>
    <n v="67.040000000000006"/>
    <n v="2681.6"/>
    <n v="-206.22"/>
    <n v="0"/>
    <n v="321.79949599999998"/>
    <n v="2797.1794960000002"/>
  </r>
  <r>
    <x v="8"/>
    <x v="2"/>
    <x v="1"/>
    <x v="0"/>
    <x v="20"/>
    <s v="KEPL/00351/82-83"/>
    <s v="SAKSHAM ENTERPRISES"/>
    <x v="56"/>
    <n v="1"/>
    <n v="800"/>
    <n v="7.46"/>
    <n v="5968"/>
    <n v="-458.94"/>
    <n v="0"/>
    <n v="716.17801399999996"/>
    <n v="6225.2380139999996"/>
  </r>
  <r>
    <x v="16"/>
    <x v="2"/>
    <x v="1"/>
    <x v="0"/>
    <x v="20"/>
    <s v="KEPL/00351/82-83"/>
    <s v="SAKSHAM ENTERPRISES"/>
    <x v="35"/>
    <n v="1"/>
    <n v="60"/>
    <n v="145.26"/>
    <n v="8715.6"/>
    <n v="-670.23"/>
    <n v="0"/>
    <n v="1045.898412"/>
    <n v="9091.2684119999994"/>
  </r>
  <r>
    <x v="16"/>
    <x v="2"/>
    <x v="1"/>
    <x v="0"/>
    <x v="20"/>
    <s v="KEPL/00351/82-83"/>
    <s v="SAKSHAM ENTERPRISES"/>
    <x v="42"/>
    <n v="2"/>
    <n v="60"/>
    <n v="316.58999999999997"/>
    <n v="18995.399999999998"/>
    <n v="-1460.75"/>
    <n v="0"/>
    <n v="2279.5051800000001"/>
    <n v="19814.155180000002"/>
  </r>
  <r>
    <x v="11"/>
    <x v="2"/>
    <x v="1"/>
    <x v="0"/>
    <x v="20"/>
    <s v="KEPL/00351/82-83"/>
    <s v="SAKSHAM ENTERPRISES"/>
    <x v="37"/>
    <n v="1"/>
    <n v="40"/>
    <n v="81.94"/>
    <n v="3277.6"/>
    <n v="-252.05"/>
    <n v="0"/>
    <n v="393.321617"/>
    <n v="3418.8716169999998"/>
  </r>
  <r>
    <x v="8"/>
    <x v="2"/>
    <x v="1"/>
    <x v="0"/>
    <x v="20"/>
    <s v="KEPL/00351/82-83"/>
    <s v="SAKSHAM ENTERPRISES"/>
    <x v="41"/>
    <n v="1"/>
    <n v="40"/>
    <n v="67.040000000000006"/>
    <n v="2681.6"/>
    <n v="-206.22"/>
    <n v="0"/>
    <n v="321.79949599999998"/>
    <n v="2797.1794960000002"/>
  </r>
  <r>
    <x v="3"/>
    <x v="2"/>
    <x v="1"/>
    <x v="0"/>
    <x v="20"/>
    <s v="KEPL/00351/82-83"/>
    <s v="SAKSHAM ENTERPRISES"/>
    <x v="55"/>
    <n v="1"/>
    <n v="20"/>
    <n v="175.06"/>
    <n v="3501.2"/>
    <n v="-269.24"/>
    <n v="0"/>
    <n v="420.15492499999999"/>
    <n v="3652.1149249999999"/>
  </r>
  <r>
    <x v="12"/>
    <x v="2"/>
    <x v="1"/>
    <x v="0"/>
    <x v="20"/>
    <s v="KEPL/00351/82-83"/>
    <s v="SAKSHAM ENTERPRISES"/>
    <x v="60"/>
    <n v="1"/>
    <n v="1000"/>
    <n v="1.86"/>
    <n v="1860"/>
    <n v="-143.03"/>
    <n v="0"/>
    <n v="223.20616699999999"/>
    <n v="1940.1761670000001"/>
  </r>
  <r>
    <x v="8"/>
    <x v="2"/>
    <x v="1"/>
    <x v="0"/>
    <x v="20"/>
    <s v="KEPL/00352/82-83"/>
    <s v="SAFAL MART PVT.LTD"/>
    <x v="41"/>
    <n v="1"/>
    <n v="40"/>
    <n v="67.040000000000006"/>
    <n v="2681.6"/>
    <n v="-134.08000000000001"/>
    <n v="-50.950411000000003"/>
    <n v="324.55399500000004"/>
    <n v="2821.1235839999999"/>
  </r>
  <r>
    <x v="16"/>
    <x v="2"/>
    <x v="1"/>
    <x v="0"/>
    <x v="20"/>
    <s v="KEPL/00352/82-83"/>
    <s v="SAFAL MART PVT.LTD"/>
    <x v="35"/>
    <n v="1"/>
    <n v="60"/>
    <n v="145.26"/>
    <n v="8715.6"/>
    <n v="-435.78"/>
    <n v="-165.59643700000001"/>
    <n v="1054.8488970000001"/>
    <n v="9169.0724599999994"/>
  </r>
  <r>
    <x v="7"/>
    <x v="2"/>
    <x v="1"/>
    <x v="0"/>
    <x v="20"/>
    <s v="KEPL/00352/82-83"/>
    <s v="SAFAL MART PVT.LTD"/>
    <x v="12"/>
    <n v="1"/>
    <n v="130"/>
    <n v="37.25"/>
    <n v="4842.5"/>
    <n v="-242.13"/>
    <n v="-92.007420999999994"/>
    <n v="586.08704299999999"/>
    <n v="5094.4496220000001"/>
  </r>
  <r>
    <x v="8"/>
    <x v="2"/>
    <x v="1"/>
    <x v="0"/>
    <x v="20"/>
    <s v="KEPL/00352/82-83"/>
    <s v="SAFAL MART PVT.LTD"/>
    <x v="33"/>
    <n v="1"/>
    <n v="40"/>
    <n v="67.040000000000006"/>
    <n v="2681.6"/>
    <n v="-134.08000000000001"/>
    <n v="-50.950411000000003"/>
    <n v="324.55399500000004"/>
    <n v="2821.1235839999999"/>
  </r>
  <r>
    <x v="16"/>
    <x v="2"/>
    <x v="1"/>
    <x v="0"/>
    <x v="20"/>
    <s v="KEPL/00352/82-83"/>
    <s v="SAFAL MART PVT.LTD"/>
    <x v="42"/>
    <n v="1"/>
    <n v="30"/>
    <n v="316.58999999999997"/>
    <n v="9497.6999999999989"/>
    <n v="-474.89"/>
    <n v="-180.45624000000001"/>
    <n v="1149.5058079999999"/>
    <n v="9991.8595679999999"/>
  </r>
  <r>
    <x v="11"/>
    <x v="2"/>
    <x v="1"/>
    <x v="0"/>
    <x v="20"/>
    <s v="KEPL/00352/82-83"/>
    <s v="SAFAL MART PVT.LTD"/>
    <x v="36"/>
    <n v="1"/>
    <n v="40"/>
    <n v="81.94"/>
    <n v="3277.6"/>
    <n v="-163.88"/>
    <n v="-62.274414"/>
    <n v="396.68786400000005"/>
    <n v="3448.1334499999998"/>
  </r>
  <r>
    <x v="8"/>
    <x v="2"/>
    <x v="1"/>
    <x v="0"/>
    <x v="20"/>
    <s v="KEPL/00352/82-83"/>
    <s v="SAFAL MART PVT.LTD"/>
    <x v="13"/>
    <n v="1"/>
    <n v="24"/>
    <n v="141.54"/>
    <n v="3396.96"/>
    <n v="-169.85"/>
    <n v="-64.542214000000001"/>
    <n v="411.13374699999997"/>
    <n v="3573.7015329999999"/>
  </r>
  <r>
    <x v="8"/>
    <x v="2"/>
    <x v="1"/>
    <x v="0"/>
    <x v="20"/>
    <s v="KEPL/00352/82-83"/>
    <s v="SAFAL MART PVT.LTD"/>
    <x v="34"/>
    <n v="1"/>
    <n v="40"/>
    <n v="67.040000000000006"/>
    <n v="2681.6"/>
    <n v="-134.08000000000001"/>
    <n v="-50.950411000000003"/>
    <n v="324.55399500000004"/>
    <n v="2821.1235839999999"/>
  </r>
  <r>
    <x v="9"/>
    <x v="2"/>
    <x v="1"/>
    <x v="0"/>
    <x v="20"/>
    <s v="KEPL/00352/82-83"/>
    <s v="SAFAL MART PVT.LTD"/>
    <x v="22"/>
    <n v="1"/>
    <n v="24"/>
    <n v="204.85"/>
    <n v="4916.4000000000005"/>
    <n v="-245.82"/>
    <n v="-93.411620999999997"/>
    <n v="595.03179499999999"/>
    <n v="5172.2001739999996"/>
  </r>
  <r>
    <x v="19"/>
    <x v="2"/>
    <x v="1"/>
    <x v="0"/>
    <x v="20"/>
    <s v="KEPL/00352/82-83"/>
    <s v="SAFAL MART PVT.LTD"/>
    <x v="51"/>
    <n v="1"/>
    <n v="50"/>
    <n v="89.39"/>
    <n v="4469.5"/>
    <n v="-223.48"/>
    <n v="-84.92041900000001"/>
    <n v="540.94286"/>
    <n v="4702.0424409999996"/>
  </r>
  <r>
    <x v="16"/>
    <x v="2"/>
    <x v="1"/>
    <x v="0"/>
    <x v="20"/>
    <s v="KEPL/00353/82-83"/>
    <s v="AASHI TRADERS"/>
    <x v="35"/>
    <n v="3"/>
    <n v="180"/>
    <n v="145.26"/>
    <n v="26146.799999999999"/>
    <n v="-2010.6899999999998"/>
    <n v="0"/>
    <n v="3137.694786"/>
    <n v="27273.804786000001"/>
  </r>
  <r>
    <x v="0"/>
    <x v="2"/>
    <x v="1"/>
    <x v="0"/>
    <x v="20"/>
    <s v="KEPL/00353/82-83"/>
    <s v="AASHI TRADERS"/>
    <x v="47"/>
    <n v="5"/>
    <n v="200"/>
    <n v="111.74"/>
    <n v="22348"/>
    <n v="-1718.56"/>
    <n v="0"/>
    <n v="2681.8276150000002"/>
    <n v="23311.267615000001"/>
  </r>
  <r>
    <x v="13"/>
    <x v="2"/>
    <x v="1"/>
    <x v="0"/>
    <x v="20"/>
    <s v="KEPL/00353/82-83"/>
    <s v="AASHI TRADERS"/>
    <x v="50"/>
    <n v="1"/>
    <n v="240"/>
    <n v="14.9"/>
    <n v="3576"/>
    <n v="-274.99"/>
    <n v="0"/>
    <n v="429.13136599999996"/>
    <n v="3730.1413659999998"/>
  </r>
  <r>
    <x v="10"/>
    <x v="2"/>
    <x v="1"/>
    <x v="0"/>
    <x v="20"/>
    <s v="KEPL/00353/82-83"/>
    <s v="AASHI TRADERS"/>
    <x v="49"/>
    <n v="5"/>
    <n v="75"/>
    <n v="260.72000000000003"/>
    <n v="19554"/>
    <n v="-1503.6999999999998"/>
    <n v="0"/>
    <n v="2346.5393640000002"/>
    <n v="20396.839363999999"/>
  </r>
  <r>
    <x v="2"/>
    <x v="2"/>
    <x v="1"/>
    <x v="0"/>
    <x v="20"/>
    <s v="KEPL/00353/82-83"/>
    <s v="AASHI TRADERS"/>
    <x v="3"/>
    <n v="5"/>
    <n v="100"/>
    <n v="186.23"/>
    <n v="18623"/>
    <n v="-1432.1100000000001"/>
    <n v="0"/>
    <n v="2234.8160459999999"/>
    <n v="19425.706045999999"/>
  </r>
  <r>
    <x v="3"/>
    <x v="2"/>
    <x v="1"/>
    <x v="0"/>
    <x v="20"/>
    <s v="KEPL/00353/82-83"/>
    <s v="AASHI TRADERS"/>
    <x v="55"/>
    <n v="5"/>
    <n v="100"/>
    <n v="175.06"/>
    <n v="17506"/>
    <n v="-1346.21"/>
    <n v="0"/>
    <n v="2100.773025"/>
    <n v="18260.563024999999"/>
  </r>
  <r>
    <x v="0"/>
    <x v="2"/>
    <x v="1"/>
    <x v="0"/>
    <x v="20"/>
    <s v="KEPL/00353/82-83"/>
    <s v="AASHI TRADERS"/>
    <x v="57"/>
    <n v="5"/>
    <n v="200"/>
    <n v="111.74"/>
    <n v="22348"/>
    <n v="-1718.56"/>
    <n v="0"/>
    <n v="2681.8276150000002"/>
    <n v="23311.267615000001"/>
  </r>
  <r>
    <x v="3"/>
    <x v="2"/>
    <x v="1"/>
    <x v="0"/>
    <x v="20"/>
    <s v="KEPL/00353/82-83"/>
    <s v="AASHI TRADERS"/>
    <x v="46"/>
    <n v="5"/>
    <n v="100"/>
    <n v="175.06"/>
    <n v="17506"/>
    <n v="-1346.21"/>
    <n v="0"/>
    <n v="2100.773025"/>
    <n v="18260.563024999999"/>
  </r>
  <r>
    <x v="13"/>
    <x v="2"/>
    <x v="1"/>
    <x v="0"/>
    <x v="20"/>
    <s v="KEPL/00353/82-83"/>
    <s v="AASHI TRADERS"/>
    <x v="23"/>
    <n v="1"/>
    <n v="600"/>
    <n v="7.46"/>
    <n v="4476"/>
    <n v="-344.2"/>
    <n v="0"/>
    <n v="537.13408300000003"/>
    <n v="4668.9340830000001"/>
  </r>
  <r>
    <x v="15"/>
    <x v="2"/>
    <x v="1"/>
    <x v="0"/>
    <x v="20"/>
    <s v="KEPL/00353/82-83"/>
    <s v="AASHI TRADERS"/>
    <x v="32"/>
    <n v="1"/>
    <n v="60"/>
    <n v="111.74"/>
    <n v="6704.4"/>
    <n v="-515.57000000000005"/>
    <n v="0"/>
    <n v="804.54802499999994"/>
    <n v="6993.378025"/>
  </r>
  <r>
    <x v="3"/>
    <x v="2"/>
    <x v="1"/>
    <x v="0"/>
    <x v="20"/>
    <s v="KEPL/00353/82-83"/>
    <s v="AASHI TRADERS"/>
    <x v="54"/>
    <n v="2"/>
    <n v="40"/>
    <n v="175.06"/>
    <n v="7002.4"/>
    <n v="-538.48"/>
    <n v="0"/>
    <n v="840.30972999999994"/>
    <n v="7304.22973"/>
  </r>
  <r>
    <x v="10"/>
    <x v="2"/>
    <x v="1"/>
    <x v="0"/>
    <x v="20"/>
    <s v="KEPL/00353/82-83"/>
    <s v="AASHI TRADERS"/>
    <x v="18"/>
    <n v="5"/>
    <n v="75"/>
    <n v="260.72000000000003"/>
    <n v="19554"/>
    <n v="-1503.6999999999998"/>
    <n v="0"/>
    <n v="2346.5393640000002"/>
    <n v="20396.839363999999"/>
  </r>
  <r>
    <x v="16"/>
    <x v="2"/>
    <x v="1"/>
    <x v="0"/>
    <x v="20"/>
    <s v="KEPL/00353/82-83"/>
    <s v="AASHI TRADERS"/>
    <x v="42"/>
    <n v="3"/>
    <n v="90"/>
    <n v="316.58999999999997"/>
    <n v="28493.1"/>
    <n v="-2191.12"/>
    <n v="0"/>
    <n v="3419.2579300000002"/>
    <n v="29721.237929999999"/>
  </r>
  <r>
    <x v="18"/>
    <x v="2"/>
    <x v="1"/>
    <x v="0"/>
    <x v="20"/>
    <s v="KEPL/00353/82-83"/>
    <s v="AASHI TRADERS"/>
    <x v="43"/>
    <n v="1"/>
    <n v="60"/>
    <n v="111.74"/>
    <n v="6704.4"/>
    <n v="-515.57000000000005"/>
    <n v="0"/>
    <n v="804.54802499999994"/>
    <n v="6993.378025"/>
  </r>
  <r>
    <x v="12"/>
    <x v="2"/>
    <x v="1"/>
    <x v="0"/>
    <x v="20"/>
    <s v="KEPL/00354/82-83"/>
    <s v="AASHI TRADERS"/>
    <x v="60"/>
    <n v="1"/>
    <n v="1000"/>
    <n v="1.86"/>
    <n v="1860"/>
    <n v="-143.03"/>
    <n v="0"/>
    <n v="223.20611499999998"/>
    <n v="1940.176115"/>
  </r>
  <r>
    <x v="6"/>
    <x v="2"/>
    <x v="1"/>
    <x v="0"/>
    <x v="20"/>
    <s v="KEPL/00354/82-83"/>
    <s v="AASHI TRADERS"/>
    <x v="30"/>
    <n v="3"/>
    <n v="60"/>
    <n v="242.1"/>
    <n v="14526"/>
    <n v="-1117.05"/>
    <n v="0"/>
    <n v="1743.1636189999999"/>
    <n v="15152.113619"/>
  </r>
  <r>
    <x v="6"/>
    <x v="2"/>
    <x v="1"/>
    <x v="0"/>
    <x v="20"/>
    <s v="KEPL/00354/82-83"/>
    <s v="AASHI TRADERS"/>
    <x v="29"/>
    <n v="5"/>
    <n v="100"/>
    <n v="204.85"/>
    <n v="20485"/>
    <n v="-1575.3"/>
    <n v="0"/>
    <n v="2458.2611670000001"/>
    <n v="21367.961167000001"/>
  </r>
  <r>
    <x v="19"/>
    <x v="2"/>
    <x v="1"/>
    <x v="0"/>
    <x v="20"/>
    <s v="KEPL/00354/82-83"/>
    <s v="AASHI TRADERS"/>
    <x v="51"/>
    <n v="3"/>
    <n v="150"/>
    <n v="89.39"/>
    <n v="13408.500000000002"/>
    <n v="-1031.1100000000001"/>
    <n v="0"/>
    <n v="1609.0608089999998"/>
    <n v="13986.450809"/>
  </r>
  <r>
    <x v="6"/>
    <x v="2"/>
    <x v="1"/>
    <x v="0"/>
    <x v="20"/>
    <s v="KEPL/00354/82-83"/>
    <s v="AASHI TRADERS"/>
    <x v="48"/>
    <n v="2"/>
    <n v="40"/>
    <n v="204.85"/>
    <n v="8194"/>
    <n v="-630.12"/>
    <n v="0"/>
    <n v="983.30446699999993"/>
    <n v="8547.1844669999991"/>
  </r>
  <r>
    <x v="6"/>
    <x v="2"/>
    <x v="1"/>
    <x v="0"/>
    <x v="20"/>
    <s v="KEPL/00354/82-83"/>
    <s v="AASHI TRADERS"/>
    <x v="28"/>
    <n v="5"/>
    <n v="100"/>
    <n v="204.85"/>
    <n v="20485"/>
    <n v="-1575.3"/>
    <n v="0"/>
    <n v="2458.2611670000001"/>
    <n v="21367.961167000001"/>
  </r>
  <r>
    <x v="13"/>
    <x v="2"/>
    <x v="1"/>
    <x v="0"/>
    <x v="20"/>
    <s v="KEPL/00354/82-83"/>
    <s v="AASHI TRADERS"/>
    <x v="21"/>
    <n v="1"/>
    <n v="240"/>
    <n v="18.62"/>
    <n v="4468.8"/>
    <n v="-343.65"/>
    <n v="0"/>
    <n v="536.26953600000002"/>
    <n v="4661.4195360000003"/>
  </r>
  <r>
    <x v="8"/>
    <x v="2"/>
    <x v="1"/>
    <x v="0"/>
    <x v="20"/>
    <s v="KEPL/00354/82-83"/>
    <s v="AASHI TRADERS"/>
    <x v="13"/>
    <n v="5"/>
    <n v="120"/>
    <n v="141.54"/>
    <n v="16984.8"/>
    <n v="-1306.1299999999999"/>
    <n v="0"/>
    <n v="2038.2272389999998"/>
    <n v="17716.897239000002"/>
  </r>
  <r>
    <x v="9"/>
    <x v="2"/>
    <x v="1"/>
    <x v="0"/>
    <x v="20"/>
    <s v="KEPL/00354/82-83"/>
    <s v="AASHI TRADERS"/>
    <x v="22"/>
    <n v="2"/>
    <n v="48"/>
    <n v="204.85"/>
    <n v="9832.8000000000011"/>
    <n v="-756.14"/>
    <n v="0"/>
    <n v="1179.96588"/>
    <n v="10256.62588"/>
  </r>
  <r>
    <x v="14"/>
    <x v="2"/>
    <x v="1"/>
    <x v="0"/>
    <x v="20"/>
    <s v="KEPL/00355/82-83"/>
    <s v="AASHI TRADERS"/>
    <x v="31"/>
    <n v="5"/>
    <n v="300"/>
    <n v="111.74"/>
    <n v="33522"/>
    <n v="-2577.84"/>
    <n v="0"/>
    <n v="4022.7414349999999"/>
    <n v="34966.901435"/>
  </r>
  <r>
    <x v="8"/>
    <x v="2"/>
    <x v="1"/>
    <x v="0"/>
    <x v="20"/>
    <s v="KEPL/00355/82-83"/>
    <s v="AASHI TRADERS"/>
    <x v="33"/>
    <n v="2"/>
    <n v="80"/>
    <n v="67.040000000000006"/>
    <n v="5363.2"/>
    <n v="-412.43"/>
    <n v="0"/>
    <n v="643.60020199999997"/>
    <n v="5594.3702020000001"/>
  </r>
  <r>
    <x v="11"/>
    <x v="2"/>
    <x v="1"/>
    <x v="0"/>
    <x v="20"/>
    <s v="KEPL/00355/82-83"/>
    <s v="AASHI TRADERS"/>
    <x v="37"/>
    <n v="2"/>
    <n v="80"/>
    <n v="81.94"/>
    <n v="6555.2"/>
    <n v="-504.09"/>
    <n v="0"/>
    <n v="786.64442399999996"/>
    <n v="6837.7544239999997"/>
  </r>
  <r>
    <x v="11"/>
    <x v="2"/>
    <x v="1"/>
    <x v="0"/>
    <x v="20"/>
    <s v="KEPL/00355/82-83"/>
    <s v="AASHI TRADERS"/>
    <x v="36"/>
    <n v="2"/>
    <n v="80"/>
    <n v="81.94"/>
    <n v="6555.2"/>
    <n v="-504.09"/>
    <n v="0"/>
    <n v="786.64442399999996"/>
    <n v="6837.7544239999997"/>
  </r>
  <r>
    <x v="7"/>
    <x v="2"/>
    <x v="1"/>
    <x v="0"/>
    <x v="20"/>
    <s v="KEPL/00355/82-83"/>
    <s v="AASHI TRADERS"/>
    <x v="12"/>
    <n v="3"/>
    <n v="390"/>
    <n v="37.25"/>
    <n v="14527.499999999998"/>
    <n v="-1117.1600000000001"/>
    <n v="0"/>
    <n v="1743.3444749999999"/>
    <n v="15153.684475"/>
  </r>
  <r>
    <x v="8"/>
    <x v="2"/>
    <x v="1"/>
    <x v="0"/>
    <x v="20"/>
    <s v="KEPL/00355/82-83"/>
    <s v="AASHI TRADERS"/>
    <x v="41"/>
    <n v="2"/>
    <n v="80"/>
    <n v="67.040000000000006"/>
    <n v="5363.2"/>
    <n v="-412.43"/>
    <n v="0"/>
    <n v="643.60020199999997"/>
    <n v="5594.3702020000001"/>
  </r>
  <r>
    <x v="6"/>
    <x v="2"/>
    <x v="1"/>
    <x v="0"/>
    <x v="20"/>
    <s v="KEPL/00355/82-83"/>
    <s v="AASHI TRADERS"/>
    <x v="17"/>
    <n v="2"/>
    <n v="40"/>
    <n v="201.13"/>
    <n v="8045.2"/>
    <n v="-618.67999999999995"/>
    <n v="0"/>
    <n v="965.44775199999992"/>
    <n v="8391.9677520000005"/>
  </r>
  <r>
    <x v="4"/>
    <x v="2"/>
    <x v="1"/>
    <x v="0"/>
    <x v="20"/>
    <s v="KEPL/00355/82-83"/>
    <s v="AASHI TRADERS"/>
    <x v="5"/>
    <n v="2"/>
    <n v="360"/>
    <n v="18.62"/>
    <n v="6703.2"/>
    <n v="-515.48"/>
    <n v="0"/>
    <n v="804.403727"/>
    <n v="6992.1237270000001"/>
  </r>
  <r>
    <x v="9"/>
    <x v="2"/>
    <x v="1"/>
    <x v="0"/>
    <x v="20"/>
    <s v="KEPL/00355/82-83"/>
    <s v="AASHI TRADERS"/>
    <x v="38"/>
    <n v="3"/>
    <n v="72"/>
    <n v="186.23"/>
    <n v="13408.560000000001"/>
    <n v="-1031.1199999999999"/>
    <n v="0"/>
    <n v="1609.0674539999998"/>
    <n v="13986.507454000001"/>
  </r>
  <r>
    <x v="20"/>
    <x v="2"/>
    <x v="1"/>
    <x v="0"/>
    <x v="20"/>
    <s v="KEPL/00355/82-83"/>
    <s v="AASHI TRADERS"/>
    <x v="52"/>
    <n v="5"/>
    <n v="20"/>
    <n v="595.94000000000005"/>
    <n v="11918.8"/>
    <n v="-916.56"/>
    <n v="0"/>
    <n v="1430.291426"/>
    <n v="12432.531426"/>
  </r>
  <r>
    <x v="8"/>
    <x v="2"/>
    <x v="1"/>
    <x v="0"/>
    <x v="20"/>
    <s v="KEPL/00355/82-83"/>
    <s v="AASHI TRADERS"/>
    <x v="56"/>
    <n v="1"/>
    <n v="800"/>
    <n v="7.46"/>
    <n v="5968"/>
    <n v="-458.94"/>
    <n v="0"/>
    <n v="716.17791299999999"/>
    <n v="6225.2379129999999"/>
  </r>
  <r>
    <x v="8"/>
    <x v="2"/>
    <x v="1"/>
    <x v="0"/>
    <x v="20"/>
    <s v="KEPL/00355/82-83"/>
    <s v="AASHI TRADERS"/>
    <x v="34"/>
    <n v="3"/>
    <n v="120"/>
    <n v="67.040000000000006"/>
    <n v="8044.8"/>
    <n v="-618.65"/>
    <n v="0"/>
    <n v="965.39965199999995"/>
    <n v="8391.5496519999997"/>
  </r>
  <r>
    <x v="11"/>
    <x v="2"/>
    <x v="1"/>
    <x v="0"/>
    <x v="20"/>
    <s v="KEPL/00355/82-83"/>
    <s v="AASHI TRADERS"/>
    <x v="53"/>
    <n v="3"/>
    <n v="120"/>
    <n v="81.94"/>
    <n v="9832.8000000000011"/>
    <n v="-756.14"/>
    <n v="0"/>
    <n v="1179.9659859999999"/>
    <n v="10256.625985999999"/>
  </r>
  <r>
    <x v="17"/>
    <x v="2"/>
    <x v="1"/>
    <x v="0"/>
    <x v="20"/>
    <s v="KEPL/00355/82-83"/>
    <s v="AASHI TRADERS"/>
    <x v="39"/>
    <n v="5"/>
    <n v="100"/>
    <n v="249.55"/>
    <n v="24955"/>
    <n v="-1919.04"/>
    <n v="0"/>
    <n v="2994.6752729999998"/>
    <n v="26030.635273"/>
  </r>
  <r>
    <x v="0"/>
    <x v="2"/>
    <x v="1"/>
    <x v="0"/>
    <x v="20"/>
    <s v="KEPL/00355/82-83"/>
    <s v="AASHI TRADERS"/>
    <x v="0"/>
    <n v="2"/>
    <n v="80"/>
    <n v="111.74"/>
    <n v="8939.2000000000007"/>
    <n v="-687.42"/>
    <n v="0"/>
    <n v="1072.731569"/>
    <n v="9324.5115690000002"/>
  </r>
  <r>
    <x v="13"/>
    <x v="2"/>
    <x v="1"/>
    <x v="0"/>
    <x v="20"/>
    <s v="KEPL/00355/82-83"/>
    <s v="AASHI TRADERS"/>
    <x v="40"/>
    <n v="1"/>
    <n v="600"/>
    <n v="7.46"/>
    <n v="4476"/>
    <n v="-344.2"/>
    <n v="0"/>
    <n v="537.13408500000003"/>
    <n v="4668.9340849999999"/>
  </r>
  <r>
    <x v="17"/>
    <x v="2"/>
    <x v="1"/>
    <x v="0"/>
    <x v="20"/>
    <s v="KEPL/00356/82-83"/>
    <s v="GORIN TRADING "/>
    <x v="39"/>
    <n v="1"/>
    <n v="20"/>
    <n v="249.55"/>
    <n v="4991"/>
    <n v="-383.81"/>
    <n v="0"/>
    <n v="598.93467299999998"/>
    <n v="5206.1246730000003"/>
  </r>
  <r>
    <x v="0"/>
    <x v="2"/>
    <x v="1"/>
    <x v="0"/>
    <x v="20"/>
    <s v="KEPL/00356/82-83"/>
    <s v="GORIN TRADING "/>
    <x v="0"/>
    <n v="1"/>
    <n v="40"/>
    <n v="111.74"/>
    <n v="4469.6000000000004"/>
    <n v="-343.71"/>
    <n v="0"/>
    <n v="536.36567600000001"/>
    <n v="4662.2556759999998"/>
  </r>
  <r>
    <x v="11"/>
    <x v="2"/>
    <x v="1"/>
    <x v="0"/>
    <x v="20"/>
    <s v="KEPL/00356/82-83"/>
    <s v="GORIN TRADING "/>
    <x v="37"/>
    <n v="1"/>
    <n v="40"/>
    <n v="81.94"/>
    <n v="3277.6"/>
    <n v="-252.05"/>
    <n v="0"/>
    <n v="393.321482"/>
    <n v="3418.871482"/>
  </r>
  <r>
    <x v="14"/>
    <x v="2"/>
    <x v="1"/>
    <x v="0"/>
    <x v="20"/>
    <s v="KEPL/00356/82-83"/>
    <s v="GORIN TRADING "/>
    <x v="31"/>
    <n v="2"/>
    <n v="120"/>
    <n v="111.74"/>
    <n v="13408.8"/>
    <n v="-1031.1400000000001"/>
    <n v="0"/>
    <n v="1609.0957269999999"/>
    <n v="13986.755727"/>
  </r>
  <r>
    <x v="8"/>
    <x v="2"/>
    <x v="1"/>
    <x v="0"/>
    <x v="20"/>
    <s v="KEPL/00356/82-83"/>
    <s v="GORIN TRADING "/>
    <x v="33"/>
    <n v="1"/>
    <n v="40"/>
    <n v="67.040000000000006"/>
    <n v="2681.6"/>
    <n v="-206.22"/>
    <n v="0"/>
    <n v="321.79938500000003"/>
    <n v="2797.1793849999999"/>
  </r>
  <r>
    <x v="8"/>
    <x v="2"/>
    <x v="1"/>
    <x v="0"/>
    <x v="20"/>
    <s v="KEPL/00356/82-83"/>
    <s v="GORIN TRADING "/>
    <x v="34"/>
    <n v="1"/>
    <n v="40"/>
    <n v="67.040000000000006"/>
    <n v="2681.6"/>
    <n v="-206.22"/>
    <n v="0"/>
    <n v="321.79938500000003"/>
    <n v="2797.1793849999999"/>
  </r>
  <r>
    <x v="16"/>
    <x v="2"/>
    <x v="1"/>
    <x v="0"/>
    <x v="20"/>
    <s v="KEPL/00356/82-83"/>
    <s v="GORIN TRADING "/>
    <x v="35"/>
    <n v="2"/>
    <n v="120"/>
    <n v="145.26"/>
    <n v="17431.2"/>
    <n v="-1340.46"/>
    <n v="0"/>
    <n v="2091.7961049999999"/>
    <n v="18182.536104999999"/>
  </r>
  <r>
    <x v="8"/>
    <x v="2"/>
    <x v="1"/>
    <x v="0"/>
    <x v="20"/>
    <s v="KEPL/00356/82-83"/>
    <s v="GORIN TRADING "/>
    <x v="41"/>
    <n v="1"/>
    <n v="40"/>
    <n v="67.040000000000006"/>
    <n v="2681.6"/>
    <n v="-206.22"/>
    <n v="0"/>
    <n v="321.79938500000003"/>
    <n v="2797.1793849999999"/>
  </r>
  <r>
    <x v="11"/>
    <x v="2"/>
    <x v="1"/>
    <x v="0"/>
    <x v="20"/>
    <s v="KEPL/00356/82-83"/>
    <s v="GORIN TRADING "/>
    <x v="53"/>
    <n v="1"/>
    <n v="40"/>
    <n v="81.94"/>
    <n v="3277.6"/>
    <n v="-252.05"/>
    <n v="0"/>
    <n v="393.321482"/>
    <n v="3418.871482"/>
  </r>
  <r>
    <x v="20"/>
    <x v="2"/>
    <x v="1"/>
    <x v="0"/>
    <x v="20"/>
    <s v="KEPL/00356/82-83"/>
    <s v="GORIN TRADING "/>
    <x v="52"/>
    <n v="10"/>
    <n v="40"/>
    <n v="595.94000000000005"/>
    <n v="23837.599999999999"/>
    <n v="-1833.1100000000001"/>
    <n v="0"/>
    <n v="2860.5835710000001"/>
    <n v="24865.073571000001"/>
  </r>
  <r>
    <x v="11"/>
    <x v="2"/>
    <x v="1"/>
    <x v="0"/>
    <x v="20"/>
    <s v="KEPL/00356/82-83"/>
    <s v="GORIN TRADING "/>
    <x v="36"/>
    <n v="1"/>
    <n v="40"/>
    <n v="81.94"/>
    <n v="3277.6"/>
    <n v="-252.05"/>
    <n v="0"/>
    <n v="393.321482"/>
    <n v="3418.871482"/>
  </r>
  <r>
    <x v="7"/>
    <x v="2"/>
    <x v="1"/>
    <x v="0"/>
    <x v="20"/>
    <s v="KEPL/00356/82-83"/>
    <s v="GORIN TRADING "/>
    <x v="12"/>
    <n v="2"/>
    <n v="260"/>
    <n v="37.25"/>
    <n v="9685"/>
    <n v="-744.78"/>
    <n v="0"/>
    <n v="1162.2285470000002"/>
    <n v="10102.448547"/>
  </r>
  <r>
    <x v="16"/>
    <x v="2"/>
    <x v="1"/>
    <x v="0"/>
    <x v="20"/>
    <s v="KEPL/00356/82-83"/>
    <s v="GORIN TRADING "/>
    <x v="42"/>
    <n v="5"/>
    <n v="150"/>
    <n v="316.58999999999997"/>
    <n v="47488.5"/>
    <n v="-3651.87"/>
    <n v="0"/>
    <n v="5698.7616429999998"/>
    <n v="49535.391643000003"/>
  </r>
  <r>
    <x v="18"/>
    <x v="2"/>
    <x v="1"/>
    <x v="0"/>
    <x v="20"/>
    <s v="KEPL/00356/82-83"/>
    <s v="GORIN TRADING "/>
    <x v="43"/>
    <n v="2"/>
    <n v="120"/>
    <n v="111.74"/>
    <n v="13408.8"/>
    <n v="-1031.1400000000001"/>
    <n v="0"/>
    <n v="1609.0957269999999"/>
    <n v="13986.755727"/>
  </r>
  <r>
    <x v="15"/>
    <x v="2"/>
    <x v="1"/>
    <x v="0"/>
    <x v="20"/>
    <s v="KEPL/00356/82-83"/>
    <s v="GORIN TRADING "/>
    <x v="32"/>
    <n v="2"/>
    <n v="120"/>
    <n v="111.74"/>
    <n v="13408.8"/>
    <n v="-1031.1400000000001"/>
    <n v="0"/>
    <n v="1609.0957269999999"/>
    <n v="13986.755727"/>
  </r>
  <r>
    <x v="10"/>
    <x v="2"/>
    <x v="1"/>
    <x v="0"/>
    <x v="20"/>
    <s v="KEPL/00357/82-83"/>
    <s v="GORIN TRADING "/>
    <x v="45"/>
    <n v="1"/>
    <n v="15"/>
    <n v="260.72000000000003"/>
    <n v="3910.8"/>
    <n v="-300.74"/>
    <n v="0"/>
    <n v="469.30807400000003"/>
    <n v="4079.368074"/>
  </r>
  <r>
    <x v="6"/>
    <x v="2"/>
    <x v="1"/>
    <x v="0"/>
    <x v="20"/>
    <s v="KEPL/00357/82-83"/>
    <s v="GORIN TRADING "/>
    <x v="30"/>
    <n v="1"/>
    <n v="20"/>
    <n v="242.1"/>
    <n v="4841.9999999999991"/>
    <n v="-372.35"/>
    <n v="0"/>
    <n v="581.05484000000001"/>
    <n v="5050.7048400000003"/>
  </r>
  <r>
    <x v="10"/>
    <x v="2"/>
    <x v="1"/>
    <x v="0"/>
    <x v="20"/>
    <s v="KEPL/00357/82-83"/>
    <s v="GORIN TRADING "/>
    <x v="49"/>
    <n v="2"/>
    <n v="30"/>
    <n v="260.72000000000003"/>
    <n v="7821.6"/>
    <n v="-601.48"/>
    <n v="0"/>
    <n v="938.61614899999995"/>
    <n v="8158.7361490000003"/>
  </r>
  <r>
    <x v="9"/>
    <x v="2"/>
    <x v="1"/>
    <x v="0"/>
    <x v="20"/>
    <s v="KEPL/00357/82-83"/>
    <s v="GORIN TRADING "/>
    <x v="22"/>
    <n v="1"/>
    <n v="24"/>
    <n v="204.85"/>
    <n v="4916.4000000000005"/>
    <n v="-378.07"/>
    <n v="0"/>
    <n v="589.98324500000001"/>
    <n v="5128.3132450000003"/>
  </r>
  <r>
    <x v="0"/>
    <x v="2"/>
    <x v="1"/>
    <x v="0"/>
    <x v="20"/>
    <s v="KEPL/00357/82-83"/>
    <s v="GORIN TRADING "/>
    <x v="57"/>
    <n v="1"/>
    <n v="40"/>
    <n v="111.74"/>
    <n v="4469.6000000000004"/>
    <n v="-343.71"/>
    <n v="0"/>
    <n v="536.36601400000006"/>
    <n v="4662.2560139999996"/>
  </r>
  <r>
    <x v="12"/>
    <x v="2"/>
    <x v="1"/>
    <x v="0"/>
    <x v="20"/>
    <s v="KEPL/00357/82-83"/>
    <s v="GORIN TRADING "/>
    <x v="60"/>
    <n v="1"/>
    <n v="1000"/>
    <n v="1.86"/>
    <n v="1860"/>
    <n v="-143.03"/>
    <n v="0"/>
    <n v="223.20623000000001"/>
    <n v="1940.17623"/>
  </r>
  <r>
    <x v="3"/>
    <x v="2"/>
    <x v="1"/>
    <x v="0"/>
    <x v="20"/>
    <s v="KEPL/00357/82-83"/>
    <s v="GORIN TRADING "/>
    <x v="55"/>
    <n v="1"/>
    <n v="20"/>
    <n v="175.06"/>
    <n v="3501.2"/>
    <n v="-269.24"/>
    <n v="0"/>
    <n v="420.15504599999997"/>
    <n v="3652.1150459999999"/>
  </r>
  <r>
    <x v="0"/>
    <x v="2"/>
    <x v="1"/>
    <x v="0"/>
    <x v="20"/>
    <s v="KEPL/00357/82-83"/>
    <s v="GORIN TRADING "/>
    <x v="47"/>
    <n v="2"/>
    <n v="80"/>
    <n v="111.74"/>
    <n v="8939.2000000000007"/>
    <n v="-687.42"/>
    <n v="0"/>
    <n v="1072.732027"/>
    <n v="9324.5120270000007"/>
  </r>
  <r>
    <x v="8"/>
    <x v="2"/>
    <x v="1"/>
    <x v="0"/>
    <x v="20"/>
    <s v="KEPL/00357/82-83"/>
    <s v="GORIN TRADING "/>
    <x v="13"/>
    <n v="1"/>
    <n v="24"/>
    <n v="141.54"/>
    <n v="3396.96"/>
    <n v="-261.23"/>
    <n v="0"/>
    <n v="407.64513799999997"/>
    <n v="3543.3751379999999"/>
  </r>
  <r>
    <x v="6"/>
    <x v="2"/>
    <x v="1"/>
    <x v="0"/>
    <x v="20"/>
    <s v="KEPL/00357/82-83"/>
    <s v="GORIN TRADING "/>
    <x v="48"/>
    <n v="1"/>
    <n v="20"/>
    <n v="204.85"/>
    <n v="4097"/>
    <n v="-315.06"/>
    <n v="0"/>
    <n v="491.65248699999995"/>
    <n v="4273.5924869999999"/>
  </r>
  <r>
    <x v="3"/>
    <x v="2"/>
    <x v="1"/>
    <x v="0"/>
    <x v="20"/>
    <s v="KEPL/00357/82-83"/>
    <s v="GORIN TRADING "/>
    <x v="54"/>
    <n v="2"/>
    <n v="40"/>
    <n v="175.06"/>
    <n v="7002.4"/>
    <n v="-538.48"/>
    <n v="0"/>
    <n v="840.31009100000006"/>
    <n v="7304.2300910000004"/>
  </r>
  <r>
    <x v="3"/>
    <x v="2"/>
    <x v="1"/>
    <x v="0"/>
    <x v="20"/>
    <s v="KEPL/00357/82-83"/>
    <s v="GORIN TRADING "/>
    <x v="46"/>
    <n v="1"/>
    <n v="20"/>
    <n v="175.06"/>
    <n v="3501.2"/>
    <n v="-269.24"/>
    <n v="0"/>
    <n v="420.15504599999997"/>
    <n v="3652.1150459999999"/>
  </r>
  <r>
    <x v="9"/>
    <x v="2"/>
    <x v="1"/>
    <x v="0"/>
    <x v="20"/>
    <s v="KEPL/00357/82-83"/>
    <s v="GORIN TRADING "/>
    <x v="44"/>
    <n v="1"/>
    <n v="24"/>
    <n v="186.23"/>
    <n v="4469.5200000000004"/>
    <n v="-343.71"/>
    <n v="0"/>
    <n v="536.35561400000006"/>
    <n v="4662.1656139999996"/>
  </r>
  <r>
    <x v="16"/>
    <x v="2"/>
    <x v="1"/>
    <x v="0"/>
    <x v="21"/>
    <s v="KEPL/00358/82-83"/>
    <s v="KRISHMA ENTERPRISES"/>
    <x v="42"/>
    <n v="5"/>
    <n v="150"/>
    <n v="316.58999999999997"/>
    <n v="47488.5"/>
    <n v="-3651.87"/>
    <n v="0"/>
    <n v="5698.7599999999993"/>
    <n v="49535.39"/>
  </r>
  <r>
    <x v="0"/>
    <x v="2"/>
    <x v="1"/>
    <x v="0"/>
    <x v="21"/>
    <s v="KEPL/00359/82-83"/>
    <s v="SHREE EXIM"/>
    <x v="47"/>
    <n v="10"/>
    <n v="400"/>
    <n v="111.74"/>
    <n v="44696"/>
    <n v="-3437.12"/>
    <n v="0"/>
    <n v="5363.6500000000005"/>
    <n v="46622.53"/>
  </r>
  <r>
    <x v="12"/>
    <x v="2"/>
    <x v="1"/>
    <x v="0"/>
    <x v="21"/>
    <s v="KEPL/00360/82-83"/>
    <s v="NILLONS L&amp;D"/>
    <x v="60"/>
    <n v="1"/>
    <n v="1000"/>
    <n v="1.76"/>
    <n v="1760"/>
    <n v="0"/>
    <n v="0"/>
    <n v="228.8"/>
    <n v="1988.8"/>
  </r>
  <r>
    <x v="4"/>
    <x v="2"/>
    <x v="1"/>
    <x v="0"/>
    <x v="21"/>
    <s v="KEPL/00360/82-83"/>
    <s v="NILLONS L&amp;D"/>
    <x v="5"/>
    <n v="2"/>
    <n v="360"/>
    <n v="15.35"/>
    <n v="5526.0000000000009"/>
    <n v="0"/>
    <n v="0"/>
    <n v="718.38"/>
    <n v="6244.38"/>
  </r>
  <r>
    <x v="16"/>
    <x v="2"/>
    <x v="1"/>
    <x v="0"/>
    <x v="22"/>
    <s v="KEPL/00371/82-83"/>
    <s v="BEERA BARJEE INTERNATIONAL PVT.LTD"/>
    <x v="35"/>
    <n v="1"/>
    <n v="60"/>
    <n v="145.26"/>
    <n v="8715.6"/>
    <n v="-670.23"/>
    <n v="0"/>
    <n v="1045.897856"/>
    <n v="9091.2678560000004"/>
  </r>
  <r>
    <x v="15"/>
    <x v="2"/>
    <x v="1"/>
    <x v="0"/>
    <x v="22"/>
    <s v="KEPL/00371/82-83"/>
    <s v="BEERA BARJEE INTERNATIONAL PVT.LTD"/>
    <x v="32"/>
    <n v="1"/>
    <n v="60"/>
    <n v="111.74"/>
    <n v="6704.4"/>
    <n v="-515.57000000000005"/>
    <n v="0"/>
    <n v="804.54771200000005"/>
    <n v="6993.3777120000004"/>
  </r>
  <r>
    <x v="11"/>
    <x v="2"/>
    <x v="1"/>
    <x v="0"/>
    <x v="22"/>
    <s v="KEPL/00371/82-83"/>
    <s v="BEERA BARJEE INTERNATIONAL PVT.LTD"/>
    <x v="37"/>
    <n v="1"/>
    <n v="40"/>
    <n v="81.94"/>
    <n v="3277.6"/>
    <n v="-252.05"/>
    <n v="0"/>
    <n v="393.32140800000002"/>
    <n v="3418.871408"/>
  </r>
  <r>
    <x v="16"/>
    <x v="2"/>
    <x v="1"/>
    <x v="0"/>
    <x v="22"/>
    <s v="KEPL/00371/82-83"/>
    <s v="BEERA BARJEE INTERNATIONAL PVT.LTD"/>
    <x v="42"/>
    <n v="1"/>
    <n v="30"/>
    <n v="316.58999999999997"/>
    <n v="9497.6999999999989"/>
    <n v="-730.36999999999989"/>
    <n v="0"/>
    <n v="1139.7526339999999"/>
    <n v="9907.0826340000003"/>
  </r>
  <r>
    <x v="11"/>
    <x v="2"/>
    <x v="1"/>
    <x v="0"/>
    <x v="22"/>
    <s v="KEPL/00371/82-83"/>
    <s v="BEERA BARJEE INTERNATIONAL PVT.LTD"/>
    <x v="53"/>
    <n v="1"/>
    <n v="40"/>
    <n v="81.94"/>
    <n v="3277.6"/>
    <n v="-252.05"/>
    <n v="0"/>
    <n v="393.32140800000002"/>
    <n v="3418.871408"/>
  </r>
  <r>
    <x v="17"/>
    <x v="2"/>
    <x v="1"/>
    <x v="0"/>
    <x v="22"/>
    <s v="KEPL/00371/82-83"/>
    <s v="BEERA BARJEE INTERNATIONAL PVT.LTD"/>
    <x v="39"/>
    <n v="1"/>
    <n v="20"/>
    <n v="249.55"/>
    <n v="4991"/>
    <n v="-383.81"/>
    <n v="0"/>
    <n v="598.93456000000003"/>
    <n v="5206.1245600000002"/>
  </r>
  <r>
    <x v="6"/>
    <x v="2"/>
    <x v="1"/>
    <x v="0"/>
    <x v="22"/>
    <s v="KEPL/00371/82-83"/>
    <s v="BEERA BARJEE INTERNATIONAL PVT.LTD"/>
    <x v="17"/>
    <n v="1"/>
    <n v="20"/>
    <n v="201.13"/>
    <n v="4022.6"/>
    <n v="-309.33999999999997"/>
    <n v="0"/>
    <n v="482.72368699999998"/>
    <n v="4195.9836869999999"/>
  </r>
  <r>
    <x v="18"/>
    <x v="2"/>
    <x v="1"/>
    <x v="0"/>
    <x v="22"/>
    <s v="KEPL/00371/82-83"/>
    <s v="BEERA BARJEE INTERNATIONAL PVT.LTD"/>
    <x v="43"/>
    <n v="1"/>
    <n v="60"/>
    <n v="111.74"/>
    <n v="6704.4"/>
    <n v="-515.57000000000005"/>
    <n v="0"/>
    <n v="804.54771200000005"/>
    <n v="6993.3777120000004"/>
  </r>
  <r>
    <x v="8"/>
    <x v="2"/>
    <x v="1"/>
    <x v="0"/>
    <x v="22"/>
    <s v="KEPL/00371/82-83"/>
    <s v="BEERA BARJEE INTERNATIONAL PVT.LTD"/>
    <x v="56"/>
    <n v="1"/>
    <n v="800"/>
    <n v="7.45"/>
    <n v="5960"/>
    <n v="-458.32"/>
    <n v="0"/>
    <n v="715.21823299999994"/>
    <n v="6216.8982329999999"/>
  </r>
  <r>
    <x v="8"/>
    <x v="2"/>
    <x v="1"/>
    <x v="0"/>
    <x v="22"/>
    <s v="KEPL/00371/82-83"/>
    <s v="BEERA BARJEE INTERNATIONAL PVT.LTD"/>
    <x v="34"/>
    <n v="1"/>
    <n v="40"/>
    <n v="67.040000000000006"/>
    <n v="2681.6"/>
    <n v="-206.22"/>
    <n v="0"/>
    <n v="321.79932500000001"/>
    <n v="2797.1793250000001"/>
  </r>
  <r>
    <x v="0"/>
    <x v="2"/>
    <x v="1"/>
    <x v="0"/>
    <x v="22"/>
    <s v="KEPL/00371/82-83"/>
    <s v="BEERA BARJEE INTERNATIONAL PVT.LTD"/>
    <x v="0"/>
    <n v="1"/>
    <n v="40"/>
    <n v="111.74"/>
    <n v="4469.6000000000004"/>
    <n v="-343.71"/>
    <n v="0"/>
    <n v="536.36557499999992"/>
    <n v="4662.2555750000001"/>
  </r>
  <r>
    <x v="13"/>
    <x v="2"/>
    <x v="1"/>
    <x v="0"/>
    <x v="22"/>
    <s v="KEPL/00371/82-83"/>
    <s v="BEERA BARJEE INTERNATIONAL PVT.LTD"/>
    <x v="40"/>
    <n v="1"/>
    <n v="600"/>
    <n v="7.45"/>
    <n v="4470"/>
    <n v="-343.74"/>
    <n v="0"/>
    <n v="536.41367500000001"/>
    <n v="4662.673675"/>
  </r>
  <r>
    <x v="7"/>
    <x v="2"/>
    <x v="1"/>
    <x v="0"/>
    <x v="22"/>
    <s v="KEPL/00371/82-83"/>
    <s v="BEERA BARJEE INTERNATIONAL PVT.LTD"/>
    <x v="12"/>
    <n v="1"/>
    <n v="130"/>
    <n v="37.25"/>
    <n v="4842.5"/>
    <n v="-372.39"/>
    <n v="0"/>
    <n v="581.11416399999996"/>
    <n v="5051.2241640000002"/>
  </r>
  <r>
    <x v="8"/>
    <x v="2"/>
    <x v="1"/>
    <x v="0"/>
    <x v="22"/>
    <s v="KEPL/00371/82-83"/>
    <s v="BEERA BARJEE INTERNATIONAL PVT.LTD"/>
    <x v="41"/>
    <n v="1"/>
    <n v="40"/>
    <n v="67.040000000000006"/>
    <n v="2681.6"/>
    <n v="-206.22"/>
    <n v="0"/>
    <n v="321.79932500000001"/>
    <n v="2797.1793250000001"/>
  </r>
  <r>
    <x v="20"/>
    <x v="2"/>
    <x v="1"/>
    <x v="0"/>
    <x v="22"/>
    <s v="KEPL/00371/82-83"/>
    <s v="BEERA BARJEE INTERNATIONAL PVT.LTD"/>
    <x v="52"/>
    <n v="1"/>
    <n v="4"/>
    <n v="595.94000000000005"/>
    <n v="2383.7600000000002"/>
    <n v="-183.31"/>
    <n v="0"/>
    <n v="286.05843299999998"/>
    <n v="2486.508433"/>
  </r>
  <r>
    <x v="14"/>
    <x v="2"/>
    <x v="1"/>
    <x v="0"/>
    <x v="22"/>
    <s v="KEPL/00371/82-83"/>
    <s v="BEERA BARJEE INTERNATIONAL PVT.LTD"/>
    <x v="31"/>
    <n v="1"/>
    <n v="60"/>
    <n v="111.74"/>
    <n v="6704.4"/>
    <n v="-515.57000000000005"/>
    <n v="0"/>
    <n v="804.54771200000005"/>
    <n v="6993.3777120000004"/>
  </r>
  <r>
    <x v="11"/>
    <x v="2"/>
    <x v="1"/>
    <x v="0"/>
    <x v="22"/>
    <s v="KEPL/00371/82-83"/>
    <s v="BEERA BARJEE INTERNATIONAL PVT.LTD"/>
    <x v="36"/>
    <n v="1"/>
    <n v="40"/>
    <n v="81.94"/>
    <n v="3277.6"/>
    <n v="-252.05"/>
    <n v="0"/>
    <n v="393.32140800000002"/>
    <n v="3418.871408"/>
  </r>
  <r>
    <x v="9"/>
    <x v="2"/>
    <x v="1"/>
    <x v="0"/>
    <x v="22"/>
    <s v="KEPL/00371/82-83"/>
    <s v="BEERA BARJEE INTERNATIONAL PVT.LTD"/>
    <x v="38"/>
    <n v="1"/>
    <n v="24"/>
    <n v="186.23"/>
    <n v="4469.5200000000004"/>
    <n v="-343.71"/>
    <n v="0"/>
    <n v="536.35517499999992"/>
    <n v="4662.1651750000001"/>
  </r>
  <r>
    <x v="1"/>
    <x v="2"/>
    <x v="1"/>
    <x v="0"/>
    <x v="22"/>
    <s v="KEPL/00372/82-83"/>
    <s v="BEERA BARJEE INTERNATIONAL PVT.LTD"/>
    <x v="25"/>
    <n v="1"/>
    <n v="18"/>
    <n v="178.78"/>
    <n v="3218.0400000000004"/>
    <n v="-247.47"/>
    <n v="0"/>
    <n v="386.17437800000005"/>
    <n v="3356.7443779999999"/>
  </r>
  <r>
    <x v="9"/>
    <x v="2"/>
    <x v="1"/>
    <x v="0"/>
    <x v="22"/>
    <s v="KEPL/00372/82-83"/>
    <s v="BEERA BARJEE INTERNATIONAL PVT.LTD"/>
    <x v="22"/>
    <n v="1"/>
    <n v="24"/>
    <n v="204.85"/>
    <n v="4916.4000000000005"/>
    <n v="-378.07"/>
    <n v="0"/>
    <n v="589.98332400000004"/>
    <n v="5128.3133239999997"/>
  </r>
  <r>
    <x v="3"/>
    <x v="2"/>
    <x v="1"/>
    <x v="0"/>
    <x v="22"/>
    <s v="KEPL/00372/82-83"/>
    <s v="BEERA BARJEE INTERNATIONAL PVT.LTD"/>
    <x v="54"/>
    <n v="1"/>
    <n v="20"/>
    <n v="175.05"/>
    <n v="3500.9999999999995"/>
    <n v="-269.23"/>
    <n v="0"/>
    <n v="420.130402"/>
    <n v="3651.9004020000002"/>
  </r>
  <r>
    <x v="0"/>
    <x v="2"/>
    <x v="1"/>
    <x v="0"/>
    <x v="22"/>
    <s v="KEPL/00372/82-83"/>
    <s v="BEERA BARJEE INTERNATIONAL PVT.LTD"/>
    <x v="57"/>
    <n v="1"/>
    <n v="40"/>
    <n v="111.74"/>
    <n v="4469.6000000000004"/>
    <n v="-343.71"/>
    <n v="0"/>
    <n v="536.366085"/>
    <n v="4662.256085"/>
  </r>
  <r>
    <x v="10"/>
    <x v="2"/>
    <x v="1"/>
    <x v="0"/>
    <x v="22"/>
    <s v="KEPL/00372/82-83"/>
    <s v="BEERA BARJEE INTERNATIONAL PVT.LTD"/>
    <x v="18"/>
    <n v="1"/>
    <n v="15"/>
    <n v="260.72000000000003"/>
    <n v="3910.8"/>
    <n v="-300.74"/>
    <n v="0"/>
    <n v="469.30813700000004"/>
    <n v="4079.3681369999999"/>
  </r>
  <r>
    <x v="1"/>
    <x v="2"/>
    <x v="1"/>
    <x v="0"/>
    <x v="22"/>
    <s v="KEPL/00372/82-83"/>
    <s v="BEERA BARJEE INTERNATIONAL PVT.LTD"/>
    <x v="2"/>
    <n v="1"/>
    <n v="18"/>
    <n v="178.78"/>
    <n v="3218.0400000000004"/>
    <n v="-247.47"/>
    <n v="0"/>
    <n v="386.17437800000005"/>
    <n v="3356.7443779999999"/>
  </r>
  <r>
    <x v="2"/>
    <x v="2"/>
    <x v="1"/>
    <x v="0"/>
    <x v="22"/>
    <s v="KEPL/00372/82-83"/>
    <s v="BEERA BARJEE INTERNATIONAL PVT.LTD"/>
    <x v="3"/>
    <n v="1"/>
    <n v="20"/>
    <n v="186.23"/>
    <n v="3724.6000000000004"/>
    <n v="-286.42"/>
    <n v="0"/>
    <n v="446.96372100000002"/>
    <n v="3885.1437209999999"/>
  </r>
  <r>
    <x v="1"/>
    <x v="2"/>
    <x v="1"/>
    <x v="0"/>
    <x v="22"/>
    <s v="KEPL/00372/82-83"/>
    <s v="BEERA BARJEE INTERNATIONAL PVT.LTD"/>
    <x v="26"/>
    <n v="1"/>
    <n v="18"/>
    <n v="178.78"/>
    <n v="3218.0400000000004"/>
    <n v="-247.47"/>
    <n v="0"/>
    <n v="386.17437800000005"/>
    <n v="3356.7443779999999"/>
  </r>
  <r>
    <x v="0"/>
    <x v="2"/>
    <x v="1"/>
    <x v="0"/>
    <x v="22"/>
    <s v="KEPL/00372/82-83"/>
    <s v="BEERA BARJEE INTERNATIONAL PVT.LTD"/>
    <x v="47"/>
    <n v="1"/>
    <n v="40"/>
    <n v="111.74"/>
    <n v="4469.6000000000004"/>
    <n v="-343.71"/>
    <n v="0"/>
    <n v="536.366085"/>
    <n v="4662.256085"/>
  </r>
  <r>
    <x v="10"/>
    <x v="2"/>
    <x v="1"/>
    <x v="0"/>
    <x v="22"/>
    <s v="KEPL/00372/82-83"/>
    <s v="BEERA BARJEE INTERNATIONAL PVT.LTD"/>
    <x v="49"/>
    <n v="1"/>
    <n v="15"/>
    <n v="260.72000000000003"/>
    <n v="3910.8"/>
    <n v="-300.74"/>
    <n v="0"/>
    <n v="469.30813700000004"/>
    <n v="4079.3681369999999"/>
  </r>
  <r>
    <x v="3"/>
    <x v="2"/>
    <x v="1"/>
    <x v="0"/>
    <x v="22"/>
    <s v="KEPL/00372/82-83"/>
    <s v="BEERA BARJEE INTERNATIONAL PVT.LTD"/>
    <x v="55"/>
    <n v="1"/>
    <n v="20"/>
    <n v="175.05"/>
    <n v="3500.9999999999995"/>
    <n v="-269.23"/>
    <n v="0"/>
    <n v="420.130402"/>
    <n v="3651.9004020000002"/>
  </r>
  <r>
    <x v="13"/>
    <x v="2"/>
    <x v="1"/>
    <x v="0"/>
    <x v="22"/>
    <s v="KEPL/00372/82-83"/>
    <s v="BEERA BARJEE INTERNATIONAL PVT.LTD"/>
    <x v="23"/>
    <n v="1"/>
    <n v="600"/>
    <n v="7.45"/>
    <n v="4470"/>
    <n v="-343.74"/>
    <n v="0"/>
    <n v="536.41418499999997"/>
    <n v="4662.6741849999999"/>
  </r>
  <r>
    <x v="13"/>
    <x v="2"/>
    <x v="1"/>
    <x v="0"/>
    <x v="22"/>
    <s v="KEPL/00372/82-83"/>
    <s v="BEERA BARJEE INTERNATIONAL PVT.LTD"/>
    <x v="50"/>
    <n v="1"/>
    <n v="240"/>
    <n v="14.9"/>
    <n v="3576"/>
    <n v="-274.99"/>
    <n v="0"/>
    <n v="429.13160800000003"/>
    <n v="3730.1416079999999"/>
  </r>
  <r>
    <x v="3"/>
    <x v="2"/>
    <x v="1"/>
    <x v="0"/>
    <x v="22"/>
    <s v="KEPL/00372/82-83"/>
    <s v="BEERA BARJEE INTERNATIONAL PVT.LTD"/>
    <x v="46"/>
    <n v="1"/>
    <n v="20"/>
    <n v="175.05"/>
    <n v="3500.9999999999995"/>
    <n v="-269.23"/>
    <n v="0"/>
    <n v="420.130402"/>
    <n v="3651.9004020000002"/>
  </r>
  <r>
    <x v="1"/>
    <x v="2"/>
    <x v="1"/>
    <x v="0"/>
    <x v="22"/>
    <s v="KEPL/00372/82-83"/>
    <s v="BEERA BARJEE INTERNATIONAL PVT.LTD"/>
    <x v="24"/>
    <n v="1"/>
    <n v="18"/>
    <n v="178.78"/>
    <n v="3218.0400000000004"/>
    <n v="-247.47"/>
    <n v="0"/>
    <n v="386.17437800000005"/>
    <n v="3356.7443779999999"/>
  </r>
  <r>
    <x v="8"/>
    <x v="2"/>
    <x v="1"/>
    <x v="0"/>
    <x v="22"/>
    <s v="KEPL/00373/82-83"/>
    <s v="BEERA BARJEE INTERNATIONAL PVT.LTD"/>
    <x v="13"/>
    <n v="1"/>
    <n v="24"/>
    <n v="141.54"/>
    <n v="3396.96"/>
    <n v="-261.23"/>
    <n v="0"/>
    <n v="407.64480799999995"/>
    <n v="3543.374808"/>
  </r>
  <r>
    <x v="13"/>
    <x v="2"/>
    <x v="1"/>
    <x v="0"/>
    <x v="22"/>
    <s v="KEPL/00373/82-83"/>
    <s v="BEERA BARJEE INTERNATIONAL PVT.LTD"/>
    <x v="21"/>
    <n v="1"/>
    <n v="240"/>
    <n v="18.62"/>
    <n v="4468.8"/>
    <n v="-343.65"/>
    <n v="0"/>
    <n v="536.26937899999996"/>
    <n v="4661.4193789999999"/>
  </r>
  <r>
    <x v="6"/>
    <x v="2"/>
    <x v="1"/>
    <x v="0"/>
    <x v="22"/>
    <s v="KEPL/00373/82-83"/>
    <s v="BEERA BARJEE INTERNATIONAL PVT.LTD"/>
    <x v="30"/>
    <n v="1"/>
    <n v="20"/>
    <n v="242.1"/>
    <n v="4841.9999999999991"/>
    <n v="-372.35"/>
    <n v="0"/>
    <n v="581.05436899999995"/>
    <n v="5050.704369"/>
  </r>
  <r>
    <x v="6"/>
    <x v="2"/>
    <x v="1"/>
    <x v="0"/>
    <x v="22"/>
    <s v="KEPL/00373/82-83"/>
    <s v="BEERA BARJEE INTERNATIONAL PVT.LTD"/>
    <x v="48"/>
    <n v="1"/>
    <n v="20"/>
    <n v="204.85"/>
    <n v="4097"/>
    <n v="-315.06"/>
    <n v="0"/>
    <n v="491.65208900000005"/>
    <n v="4273.5920889999998"/>
  </r>
  <r>
    <x v="6"/>
    <x v="2"/>
    <x v="1"/>
    <x v="0"/>
    <x v="22"/>
    <s v="KEPL/00373/82-83"/>
    <s v="BEERA BARJEE INTERNATIONAL PVT.LTD"/>
    <x v="28"/>
    <n v="1"/>
    <n v="20"/>
    <n v="204.85"/>
    <n v="4097"/>
    <n v="-315.06"/>
    <n v="0"/>
    <n v="491.65208900000005"/>
    <n v="4273.5920889999998"/>
  </r>
  <r>
    <x v="9"/>
    <x v="2"/>
    <x v="1"/>
    <x v="0"/>
    <x v="22"/>
    <s v="KEPL/00373/82-83"/>
    <s v="BEERA BARJEE INTERNATIONAL PVT.LTD"/>
    <x v="44"/>
    <n v="1"/>
    <n v="24"/>
    <n v="186.23"/>
    <n v="4469.5200000000004"/>
    <n v="-343.71"/>
    <n v="0"/>
    <n v="536.35517900000002"/>
    <n v="4662.1651789999996"/>
  </r>
  <r>
    <x v="6"/>
    <x v="2"/>
    <x v="1"/>
    <x v="0"/>
    <x v="22"/>
    <s v="KEPL/00373/82-83"/>
    <s v="BEERA BARJEE INTERNATIONAL PVT.LTD"/>
    <x v="29"/>
    <n v="1"/>
    <n v="20"/>
    <n v="204.85"/>
    <n v="4097"/>
    <n v="-315.06"/>
    <n v="0"/>
    <n v="491.65208900000005"/>
    <n v="4273.5920889999998"/>
  </r>
  <r>
    <x v="10"/>
    <x v="2"/>
    <x v="1"/>
    <x v="0"/>
    <x v="22"/>
    <s v="KEPL/00375/82-83"/>
    <s v="SHUBHASHREE MARKETING"/>
    <x v="49"/>
    <n v="3"/>
    <n v="45"/>
    <n v="260.72000000000003"/>
    <n v="11732.4"/>
    <n v="-902.22"/>
    <n v="0"/>
    <n v="1407.923133"/>
    <n v="12238.103133000001"/>
  </r>
  <r>
    <x v="6"/>
    <x v="2"/>
    <x v="1"/>
    <x v="0"/>
    <x v="22"/>
    <s v="KEPL/00375/82-83"/>
    <s v="SHUBHASHREE MARKETING"/>
    <x v="28"/>
    <n v="2"/>
    <n v="40"/>
    <n v="204.85"/>
    <n v="8194"/>
    <n v="-630.12"/>
    <n v="0"/>
    <n v="983.304213"/>
    <n v="8547.1842130000005"/>
  </r>
  <r>
    <x v="0"/>
    <x v="2"/>
    <x v="1"/>
    <x v="0"/>
    <x v="22"/>
    <s v="KEPL/00375/82-83"/>
    <s v="SHUBHASHREE MARKETING"/>
    <x v="0"/>
    <n v="1"/>
    <n v="40"/>
    <n v="111.74"/>
    <n v="4469.6000000000004"/>
    <n v="-343.71"/>
    <n v="0"/>
    <n v="536.36559799999998"/>
    <n v="4662.2555979999997"/>
  </r>
  <r>
    <x v="10"/>
    <x v="2"/>
    <x v="1"/>
    <x v="0"/>
    <x v="22"/>
    <s v="KEPL/00375/82-83"/>
    <s v="SHUBHASHREE MARKETING"/>
    <x v="18"/>
    <n v="2"/>
    <n v="30"/>
    <n v="260.72000000000003"/>
    <n v="7821.6"/>
    <n v="-601.48"/>
    <n v="0"/>
    <n v="938.61542199999997"/>
    <n v="8158.7354219999997"/>
  </r>
  <r>
    <x v="1"/>
    <x v="2"/>
    <x v="1"/>
    <x v="0"/>
    <x v="22"/>
    <s v="KEPL/00375/82-83"/>
    <s v="SHUBHASHREE MARKETING"/>
    <x v="26"/>
    <n v="1"/>
    <n v="18"/>
    <n v="178.78"/>
    <n v="3218.0400000000004"/>
    <n v="-247.47"/>
    <n v="0"/>
    <n v="386.17402700000002"/>
    <n v="3356.7440270000002"/>
  </r>
  <r>
    <x v="17"/>
    <x v="2"/>
    <x v="1"/>
    <x v="0"/>
    <x v="22"/>
    <s v="KEPL/00375/82-83"/>
    <s v="SHUBHASHREE MARKETING"/>
    <x v="39"/>
    <n v="10"/>
    <n v="200"/>
    <n v="249.55"/>
    <n v="49910"/>
    <n v="-3838.08"/>
    <n v="0"/>
    <n v="5989.3484619999999"/>
    <n v="52061.268462"/>
  </r>
  <r>
    <x v="1"/>
    <x v="2"/>
    <x v="1"/>
    <x v="0"/>
    <x v="22"/>
    <s v="KEPL/00375/82-83"/>
    <s v="SHUBHASHREE MARKETING"/>
    <x v="2"/>
    <n v="1"/>
    <n v="18"/>
    <n v="178.78"/>
    <n v="3218.0400000000004"/>
    <n v="-247.47"/>
    <n v="0"/>
    <n v="386.17402700000002"/>
    <n v="3356.7440270000002"/>
  </r>
  <r>
    <x v="0"/>
    <x v="2"/>
    <x v="1"/>
    <x v="0"/>
    <x v="22"/>
    <s v="KEPL/00375/82-83"/>
    <s v="SHUBHASHREE MARKETING"/>
    <x v="57"/>
    <n v="2"/>
    <n v="80"/>
    <n v="111.74"/>
    <n v="8939.2000000000007"/>
    <n v="-687.42"/>
    <n v="0"/>
    <n v="1072.731196"/>
    <n v="9324.5111959999995"/>
  </r>
  <r>
    <x v="0"/>
    <x v="2"/>
    <x v="1"/>
    <x v="0"/>
    <x v="22"/>
    <s v="KEPL/00375/82-83"/>
    <s v="SHUBHASHREE MARKETING"/>
    <x v="47"/>
    <n v="3"/>
    <n v="120"/>
    <n v="111.74"/>
    <n v="13408.8"/>
    <n v="-1031.1400000000001"/>
    <n v="0"/>
    <n v="1609.0954940000001"/>
    <n v="13986.755494000001"/>
  </r>
  <r>
    <x v="6"/>
    <x v="2"/>
    <x v="1"/>
    <x v="0"/>
    <x v="22"/>
    <s v="KEPL/00375/82-83"/>
    <s v="SHUBHASHREE MARKETING"/>
    <x v="17"/>
    <n v="1"/>
    <n v="20"/>
    <n v="201.13"/>
    <n v="4022.6"/>
    <n v="-309.33999999999997"/>
    <n v="0"/>
    <n v="482.72370800000004"/>
    <n v="4195.9837079999998"/>
  </r>
  <r>
    <x v="3"/>
    <x v="2"/>
    <x v="1"/>
    <x v="0"/>
    <x v="22"/>
    <s v="KEPL/00375/82-83"/>
    <s v="SHUBHASHREE MARKETING"/>
    <x v="54"/>
    <n v="1"/>
    <n v="20"/>
    <n v="175.06"/>
    <n v="3501.2"/>
    <n v="-269.24"/>
    <n v="0"/>
    <n v="420.15472"/>
    <n v="3652.11472"/>
  </r>
  <r>
    <x v="1"/>
    <x v="2"/>
    <x v="1"/>
    <x v="0"/>
    <x v="22"/>
    <s v="KEPL/00376/82-83"/>
    <s v="KRISHMA ENTERPRISES"/>
    <x v="2"/>
    <n v="3"/>
    <n v="54"/>
    <n v="178.78"/>
    <n v="9654.119999999999"/>
    <n v="-742.4"/>
    <n v="0"/>
    <n v="1158.5249999999999"/>
    <n v="10070.245000000001"/>
  </r>
  <r>
    <x v="1"/>
    <x v="2"/>
    <x v="1"/>
    <x v="0"/>
    <x v="22"/>
    <s v="KEPL/00376/82-83"/>
    <s v="KRISHMA ENTERPRISES"/>
    <x v="26"/>
    <n v="3"/>
    <n v="54"/>
    <n v="178.78"/>
    <n v="9654.119999999999"/>
    <n v="-742.4"/>
    <n v="0"/>
    <n v="1158.5249999999999"/>
    <n v="10070.245000000001"/>
  </r>
  <r>
    <x v="10"/>
    <x v="2"/>
    <x v="1"/>
    <x v="0"/>
    <x v="22"/>
    <s v="KEPL/00377/82-83"/>
    <s v="CHHATRA DEV GENERAL SUPPLIERS"/>
    <x v="45"/>
    <n v="2"/>
    <n v="30"/>
    <n v="260.72000000000003"/>
    <n v="7821.6"/>
    <n v="-601.48"/>
    <n v="0"/>
    <n v="938.61517000000003"/>
    <n v="8158.7351699999999"/>
  </r>
  <r>
    <x v="10"/>
    <x v="2"/>
    <x v="1"/>
    <x v="0"/>
    <x v="22"/>
    <s v="KEPL/00377/82-83"/>
    <s v="CHHATRA DEV GENERAL SUPPLIERS"/>
    <x v="49"/>
    <n v="3"/>
    <n v="45"/>
    <n v="260.72000000000003"/>
    <n v="11732.4"/>
    <n v="-902.22"/>
    <n v="0"/>
    <n v="1407.9227550000001"/>
    <n v="12238.102755"/>
  </r>
  <r>
    <x v="3"/>
    <x v="2"/>
    <x v="1"/>
    <x v="0"/>
    <x v="22"/>
    <s v="KEPL/00377/82-83"/>
    <s v="CHHATRA DEV GENERAL SUPPLIERS"/>
    <x v="54"/>
    <n v="1"/>
    <n v="20"/>
    <n v="175.05"/>
    <n v="3500.9999999999995"/>
    <n v="-269.23"/>
    <n v="0"/>
    <n v="420.129907"/>
    <n v="3651.899907"/>
  </r>
  <r>
    <x v="3"/>
    <x v="2"/>
    <x v="1"/>
    <x v="0"/>
    <x v="22"/>
    <s v="KEPL/00377/82-83"/>
    <s v="CHHATRA DEV GENERAL SUPPLIERS"/>
    <x v="46"/>
    <n v="2"/>
    <n v="40"/>
    <n v="175.05"/>
    <n v="7001.9999999999991"/>
    <n v="-538.45000000000005"/>
    <n v="0"/>
    <n v="840.2611149999999"/>
    <n v="7303.8111150000004"/>
  </r>
  <r>
    <x v="8"/>
    <x v="2"/>
    <x v="1"/>
    <x v="0"/>
    <x v="22"/>
    <s v="KEPL/00377/82-83"/>
    <s v="CHHATRA DEV GENERAL SUPPLIERS"/>
    <x v="56"/>
    <n v="1"/>
    <n v="800"/>
    <n v="7.45"/>
    <n v="5960"/>
    <n v="-458.32"/>
    <n v="0"/>
    <n v="715.21807200000001"/>
    <n v="6216.898072"/>
  </r>
  <r>
    <x v="8"/>
    <x v="2"/>
    <x v="1"/>
    <x v="0"/>
    <x v="22"/>
    <s v="KEPL/00377/82-83"/>
    <s v="CHHATRA DEV GENERAL SUPPLIERS"/>
    <x v="13"/>
    <n v="5"/>
    <n v="120"/>
    <n v="141.53"/>
    <n v="16983.600000000002"/>
    <n v="-1306.04"/>
    <n v="0"/>
    <n v="2038.081866"/>
    <n v="17715.641866000002"/>
  </r>
  <r>
    <x v="3"/>
    <x v="2"/>
    <x v="1"/>
    <x v="0"/>
    <x v="22"/>
    <s v="KEPL/00377/82-83"/>
    <s v="CHHATRA DEV GENERAL SUPPLIERS"/>
    <x v="55"/>
    <n v="2"/>
    <n v="40"/>
    <n v="175.05"/>
    <n v="7001.9999999999991"/>
    <n v="-538.45000000000005"/>
    <n v="0"/>
    <n v="840.2611149999999"/>
    <n v="7303.8111150000004"/>
  </r>
  <r>
    <x v="15"/>
    <x v="2"/>
    <x v="1"/>
    <x v="0"/>
    <x v="23"/>
    <s v="KEPL/00397/82-83"/>
    <s v="SHUBHASHREE MARKETING"/>
    <x v="32"/>
    <n v="3"/>
    <n v="180"/>
    <n v="111.74"/>
    <n v="20113.2"/>
    <n v="-1546.71"/>
    <n v="0"/>
    <n v="2413.6443689999996"/>
    <n v="20980.134368999999"/>
  </r>
  <r>
    <x v="17"/>
    <x v="2"/>
    <x v="1"/>
    <x v="0"/>
    <x v="23"/>
    <s v="KEPL/00397/82-83"/>
    <s v="SHUBHASHREE MARKETING"/>
    <x v="39"/>
    <n v="5"/>
    <n v="100"/>
    <n v="249.55"/>
    <n v="24955"/>
    <n v="-1919.04"/>
    <n v="0"/>
    <n v="2994.6756310000001"/>
    <n v="26030.635631000001"/>
  </r>
  <r>
    <x v="7"/>
    <x v="2"/>
    <x v="1"/>
    <x v="0"/>
    <x v="24"/>
    <s v="KEPL/00405/82-83"/>
    <s v="SHUBHASHREE MARKETING"/>
    <x v="27"/>
    <n v="5"/>
    <n v="350"/>
    <n v="32.78"/>
    <n v="11473"/>
    <n v="-882.2700000000001"/>
    <n v="0"/>
    <n v="1376.7941970000002"/>
    <n v="11967.524197000001"/>
  </r>
  <r>
    <x v="8"/>
    <x v="2"/>
    <x v="1"/>
    <x v="0"/>
    <x v="24"/>
    <s v="KEPL/00405/82-83"/>
    <s v="SHUBHASHREE MARKETING"/>
    <x v="33"/>
    <n v="2"/>
    <n v="80"/>
    <n v="67.040000000000006"/>
    <n v="5363.2"/>
    <n v="-412.43"/>
    <n v="0"/>
    <n v="643.59977200000003"/>
    <n v="5594.369772"/>
  </r>
  <r>
    <x v="19"/>
    <x v="2"/>
    <x v="1"/>
    <x v="0"/>
    <x v="24"/>
    <s v="KEPL/00405/82-83"/>
    <s v="SHUBHASHREE MARKETING"/>
    <x v="51"/>
    <n v="5"/>
    <n v="250"/>
    <n v="89.39"/>
    <n v="22347.5"/>
    <n v="-1718.52"/>
    <n v="0"/>
    <n v="2681.7660309999997"/>
    <n v="23310.746030999999"/>
  </r>
  <r>
    <x v="3"/>
    <x v="2"/>
    <x v="1"/>
    <x v="0"/>
    <x v="24"/>
    <s v="KEPL/00406/82-83"/>
    <s v="GORIN TRADING "/>
    <x v="46"/>
    <n v="5"/>
    <n v="100"/>
    <n v="175.06"/>
    <n v="17506"/>
    <n v="-1346.21"/>
    <n v="0"/>
    <n v="2100.772371"/>
    <n v="18260.562371"/>
  </r>
  <r>
    <x v="7"/>
    <x v="2"/>
    <x v="1"/>
    <x v="0"/>
    <x v="24"/>
    <s v="KEPL/00406/82-83"/>
    <s v="GORIN TRADING "/>
    <x v="27"/>
    <n v="1"/>
    <n v="70"/>
    <n v="32.78"/>
    <n v="2294.6"/>
    <n v="-176.45"/>
    <n v="0"/>
    <n v="275.35945700000002"/>
    <n v="2393.5094570000001"/>
  </r>
  <r>
    <x v="10"/>
    <x v="2"/>
    <x v="1"/>
    <x v="0"/>
    <x v="24"/>
    <s v="KEPL/00406/82-83"/>
    <s v="GORIN TRADING "/>
    <x v="49"/>
    <n v="5"/>
    <n v="75"/>
    <n v="260.72000000000003"/>
    <n v="19554"/>
    <n v="-1503.6999999999998"/>
    <n v="0"/>
    <n v="2346.5386330000001"/>
    <n v="20396.838632999999"/>
  </r>
  <r>
    <x v="17"/>
    <x v="2"/>
    <x v="1"/>
    <x v="0"/>
    <x v="24"/>
    <s v="KEPL/00406/82-83"/>
    <s v="GORIN TRADING "/>
    <x v="39"/>
    <n v="2"/>
    <n v="40"/>
    <n v="249.55"/>
    <n v="9982"/>
    <n v="-767.62"/>
    <n v="0"/>
    <n v="1197.8692130000002"/>
    <n v="10412.249212999999"/>
  </r>
  <r>
    <x v="20"/>
    <x v="2"/>
    <x v="1"/>
    <x v="0"/>
    <x v="24"/>
    <s v="KEPL/00406/82-83"/>
    <s v="GORIN TRADING "/>
    <x v="52"/>
    <n v="5"/>
    <n v="20"/>
    <n v="595.94000000000005"/>
    <n v="11918.8"/>
    <n v="-916.56"/>
    <n v="0"/>
    <n v="1430.2909759999998"/>
    <n v="12432.530976"/>
  </r>
  <r>
    <x v="8"/>
    <x v="2"/>
    <x v="1"/>
    <x v="0"/>
    <x v="24"/>
    <s v="KEPL/00406/82-83"/>
    <s v="GORIN TRADING "/>
    <x v="33"/>
    <n v="1"/>
    <n v="40"/>
    <n v="67.040000000000006"/>
    <n v="2681.6"/>
    <n v="-206.22"/>
    <n v="0"/>
    <n v="321.79934999999995"/>
    <n v="2797.1793499999999"/>
  </r>
  <r>
    <x v="7"/>
    <x v="2"/>
    <x v="1"/>
    <x v="0"/>
    <x v="25"/>
    <s v="KEPL/00408/82-83"/>
    <s v="BEERA BARJEE INTERNATIONAL PVT.LTD"/>
    <x v="27"/>
    <n v="2"/>
    <n v="140"/>
    <n v="32.78"/>
    <n v="4589.2"/>
    <n v="-352.91"/>
    <n v="0"/>
    <n v="550.71767699999998"/>
    <n v="4787.0076769999996"/>
  </r>
  <r>
    <x v="8"/>
    <x v="2"/>
    <x v="1"/>
    <x v="0"/>
    <x v="25"/>
    <s v="KEPL/00408/82-83"/>
    <s v="BEERA BARJEE INTERNATIONAL PVT.LTD"/>
    <x v="33"/>
    <n v="2"/>
    <n v="80"/>
    <n v="67.040000000000006"/>
    <n v="5363.2"/>
    <n v="-412.43"/>
    <n v="0"/>
    <n v="643.60007300000007"/>
    <n v="5594.370073"/>
  </r>
  <r>
    <x v="1"/>
    <x v="2"/>
    <x v="1"/>
    <x v="0"/>
    <x v="25"/>
    <s v="KEPL/00408/82-83"/>
    <s v="BEERA BARJEE INTERNATIONAL PVT.LTD"/>
    <x v="26"/>
    <n v="1"/>
    <n v="18"/>
    <n v="178.78"/>
    <n v="3218.0400000000004"/>
    <n v="-247.47"/>
    <n v="0"/>
    <n v="386.17408399999999"/>
    <n v="3356.7440839999999"/>
  </r>
  <r>
    <x v="1"/>
    <x v="2"/>
    <x v="1"/>
    <x v="0"/>
    <x v="25"/>
    <s v="KEPL/00408/82-83"/>
    <s v="BEERA BARJEE INTERNATIONAL PVT.LTD"/>
    <x v="25"/>
    <n v="1"/>
    <n v="18"/>
    <n v="178.78"/>
    <n v="3218.0400000000004"/>
    <n v="-247.47"/>
    <n v="0"/>
    <n v="386.17408399999999"/>
    <n v="3356.7440839999999"/>
  </r>
  <r>
    <x v="1"/>
    <x v="2"/>
    <x v="1"/>
    <x v="0"/>
    <x v="25"/>
    <s v="KEPL/00408/82-83"/>
    <s v="BEERA BARJEE INTERNATIONAL PVT.LTD"/>
    <x v="2"/>
    <n v="1"/>
    <n v="18"/>
    <n v="178.78"/>
    <n v="3218.0400000000004"/>
    <n v="-247.47"/>
    <n v="0"/>
    <n v="386.17408399999999"/>
    <n v="3356.7440839999999"/>
  </r>
  <r>
    <x v="6"/>
    <x v="2"/>
    <x v="1"/>
    <x v="0"/>
    <x v="26"/>
    <s v="KEPL/00433/82-83"/>
    <s v="B G TRADING CONCERN"/>
    <x v="48"/>
    <n v="1"/>
    <n v="20"/>
    <n v="204.85"/>
    <n v="4097"/>
    <n v="-315.06"/>
    <n v="0"/>
    <n v="491.65192000000002"/>
    <n v="4273.5919199999998"/>
  </r>
  <r>
    <x v="8"/>
    <x v="2"/>
    <x v="1"/>
    <x v="0"/>
    <x v="26"/>
    <s v="KEPL/00433/82-83"/>
    <s v="B G TRADING CONCERN"/>
    <x v="33"/>
    <n v="1"/>
    <n v="40"/>
    <n v="67.040000000000006"/>
    <n v="2681.6"/>
    <n v="-206.22"/>
    <n v="0"/>
    <n v="321.799216"/>
    <n v="2797.179216"/>
  </r>
  <r>
    <x v="7"/>
    <x v="2"/>
    <x v="1"/>
    <x v="0"/>
    <x v="26"/>
    <s v="KEPL/00433/82-83"/>
    <s v="B G TRADING CONCERN"/>
    <x v="27"/>
    <n v="1"/>
    <n v="70"/>
    <n v="32.78"/>
    <n v="2294.6"/>
    <n v="-176.45"/>
    <n v="0"/>
    <n v="275.35934300000002"/>
    <n v="2393.5093430000002"/>
  </r>
  <r>
    <x v="11"/>
    <x v="2"/>
    <x v="1"/>
    <x v="0"/>
    <x v="26"/>
    <s v="KEPL/00433/82-83"/>
    <s v="B G TRADING CONCERN"/>
    <x v="37"/>
    <n v="1"/>
    <n v="40"/>
    <n v="81.94"/>
    <n v="3277.6"/>
    <n v="-252.05"/>
    <n v="0"/>
    <n v="393.32127600000001"/>
    <n v="3418.8712759999999"/>
  </r>
  <r>
    <x v="11"/>
    <x v="2"/>
    <x v="1"/>
    <x v="0"/>
    <x v="26"/>
    <s v="KEPL/00433/82-83"/>
    <s v="B G TRADING CONCERN"/>
    <x v="36"/>
    <n v="1"/>
    <n v="40"/>
    <n v="81.94"/>
    <n v="3277.6"/>
    <n v="-252.05"/>
    <n v="0"/>
    <n v="393.32127600000001"/>
    <n v="3418.8712759999999"/>
  </r>
  <r>
    <x v="17"/>
    <x v="2"/>
    <x v="1"/>
    <x v="0"/>
    <x v="26"/>
    <s v="KEPL/00433/82-83"/>
    <s v="B G TRADING CONCERN"/>
    <x v="39"/>
    <n v="1"/>
    <n v="20"/>
    <n v="249.55"/>
    <n v="4991"/>
    <n v="-383.81"/>
    <n v="0"/>
    <n v="598.93435800000009"/>
    <n v="5206.124358"/>
  </r>
  <r>
    <x v="2"/>
    <x v="2"/>
    <x v="1"/>
    <x v="0"/>
    <x v="26"/>
    <s v="KEPL/00433/82-83"/>
    <s v="B G TRADING CONCERN"/>
    <x v="3"/>
    <n v="1"/>
    <n v="20"/>
    <n v="186.23"/>
    <n v="3724.6000000000004"/>
    <n v="-286.42"/>
    <n v="0"/>
    <n v="446.96314500000005"/>
    <n v="3885.143145"/>
  </r>
  <r>
    <x v="8"/>
    <x v="2"/>
    <x v="1"/>
    <x v="0"/>
    <x v="26"/>
    <s v="KEPL/00433/82-83"/>
    <s v="B G TRADING CONCERN"/>
    <x v="34"/>
    <n v="2"/>
    <n v="80"/>
    <n v="67.040000000000006"/>
    <n v="5363.2"/>
    <n v="-412.43"/>
    <n v="0"/>
    <n v="643.59973300000001"/>
    <n v="5594.3697330000005"/>
  </r>
  <r>
    <x v="8"/>
    <x v="2"/>
    <x v="1"/>
    <x v="0"/>
    <x v="26"/>
    <s v="KEPL/00433/82-83"/>
    <s v="B G TRADING CONCERN"/>
    <x v="41"/>
    <n v="2"/>
    <n v="80"/>
    <n v="67.040000000000006"/>
    <n v="5363.2"/>
    <n v="-412.43"/>
    <n v="0"/>
    <n v="643.59973300000001"/>
    <n v="5594.3697330000005"/>
  </r>
  <r>
    <x v="15"/>
    <x v="2"/>
    <x v="1"/>
    <x v="0"/>
    <x v="26"/>
    <s v="KEPL/00434/82-83"/>
    <s v="SHUBHASHREE MARKETING"/>
    <x v="32"/>
    <n v="2"/>
    <n v="120"/>
    <n v="111.74"/>
    <n v="13408.8"/>
    <n v="-1031.1400000000001"/>
    <n v="0"/>
    <n v="1609.0956120000001"/>
    <n v="13986.755612000001"/>
  </r>
  <r>
    <x v="10"/>
    <x v="2"/>
    <x v="1"/>
    <x v="0"/>
    <x v="26"/>
    <s v="KEPL/00434/82-83"/>
    <s v="SHUBHASHREE MARKETING"/>
    <x v="49"/>
    <n v="3"/>
    <n v="45"/>
    <n v="260.72000000000003"/>
    <n v="11732.4"/>
    <n v="-902.22"/>
    <n v="0"/>
    <n v="1407.9232360000001"/>
    <n v="12238.103236000001"/>
  </r>
  <r>
    <x v="9"/>
    <x v="2"/>
    <x v="1"/>
    <x v="0"/>
    <x v="26"/>
    <s v="KEPL/00434/82-83"/>
    <s v="SHUBHASHREE MARKETING"/>
    <x v="22"/>
    <n v="2"/>
    <n v="48"/>
    <n v="204.85"/>
    <n v="9832.8000000000011"/>
    <n v="-756.14"/>
    <n v="0"/>
    <n v="1179.9656620000001"/>
    <n v="10256.625662"/>
  </r>
  <r>
    <x v="10"/>
    <x v="2"/>
    <x v="1"/>
    <x v="0"/>
    <x v="26"/>
    <s v="KEPL/00434/82-83"/>
    <s v="SHUBHASHREE MARKETING"/>
    <x v="45"/>
    <n v="2"/>
    <n v="30"/>
    <n v="260.72000000000003"/>
    <n v="7821.6"/>
    <n v="-601.48"/>
    <n v="0"/>
    <n v="938.61549000000002"/>
    <n v="8158.73549"/>
  </r>
  <r>
    <x v="0"/>
    <x v="2"/>
    <x v="1"/>
    <x v="0"/>
    <x v="26"/>
    <s v="KEPL/00435/82-83"/>
    <s v="NEW CHANDESHWARI SUPPLIERS"/>
    <x v="47"/>
    <n v="1"/>
    <n v="40"/>
    <n v="111.74"/>
    <n v="4469.6000000000004"/>
    <n v="-343.71"/>
    <n v="0"/>
    <n v="536.36596899999995"/>
    <n v="4662.2559689999998"/>
  </r>
  <r>
    <x v="16"/>
    <x v="2"/>
    <x v="1"/>
    <x v="0"/>
    <x v="26"/>
    <s v="KEPL/00435/82-83"/>
    <s v="NEW CHANDESHWARI SUPPLIERS"/>
    <x v="35"/>
    <n v="1"/>
    <n v="60"/>
    <n v="145.26"/>
    <n v="8715.6"/>
    <n v="-670.23"/>
    <n v="0"/>
    <n v="1045.8986239999999"/>
    <n v="9091.2686240000003"/>
  </r>
  <r>
    <x v="0"/>
    <x v="2"/>
    <x v="1"/>
    <x v="0"/>
    <x v="26"/>
    <s v="KEPL/00435/82-83"/>
    <s v="NEW CHANDESHWARI SUPPLIERS"/>
    <x v="57"/>
    <n v="1"/>
    <n v="40"/>
    <n v="111.74"/>
    <n v="4469.6000000000004"/>
    <n v="-343.71"/>
    <n v="0"/>
    <n v="536.36596899999995"/>
    <n v="4662.2559689999998"/>
  </r>
  <r>
    <x v="16"/>
    <x v="2"/>
    <x v="1"/>
    <x v="0"/>
    <x v="26"/>
    <s v="KEPL/00435/82-83"/>
    <s v="NEW CHANDESHWARI SUPPLIERS"/>
    <x v="42"/>
    <n v="1"/>
    <n v="30"/>
    <n v="316.58999999999997"/>
    <n v="9497.6999999999989"/>
    <n v="-730.36999999999989"/>
    <n v="0"/>
    <n v="1139.753471"/>
    <n v="9907.0834709999999"/>
  </r>
  <r>
    <x v="0"/>
    <x v="2"/>
    <x v="1"/>
    <x v="0"/>
    <x v="26"/>
    <s v="KEPL/00435/82-83"/>
    <s v="NEW CHANDESHWARI SUPPLIERS"/>
    <x v="0"/>
    <n v="1"/>
    <n v="40"/>
    <n v="111.74"/>
    <n v="4469.6000000000004"/>
    <n v="-343.71"/>
    <n v="0"/>
    <n v="536.36596899999995"/>
    <n v="4662.2559689999998"/>
  </r>
  <r>
    <x v="0"/>
    <x v="2"/>
    <x v="1"/>
    <x v="0"/>
    <x v="26"/>
    <s v="KEPL/00436/82-83"/>
    <s v="WELSON TRADE &amp; RASAN MART"/>
    <x v="47"/>
    <n v="2"/>
    <n v="80"/>
    <n v="111.74"/>
    <n v="8939.2000000000007"/>
    <n v="-687.42"/>
    <n v="0"/>
    <n v="1072.7310499999999"/>
    <n v="9324.5110499999992"/>
  </r>
  <r>
    <x v="6"/>
    <x v="2"/>
    <x v="1"/>
    <x v="0"/>
    <x v="26"/>
    <s v="KEPL/00436/82-83"/>
    <s v="WELSON TRADE &amp; RASAN MART"/>
    <x v="48"/>
    <n v="1"/>
    <n v="20"/>
    <n v="204.85"/>
    <n v="4097"/>
    <n v="-315.06"/>
    <n v="0"/>
    <n v="491.65203899999995"/>
    <n v="4273.5920390000001"/>
  </r>
  <r>
    <x v="2"/>
    <x v="2"/>
    <x v="1"/>
    <x v="0"/>
    <x v="26"/>
    <s v="KEPL/00436/82-83"/>
    <s v="WELSON TRADE &amp; RASAN MART"/>
    <x v="3"/>
    <n v="2"/>
    <n v="40"/>
    <n v="186.23"/>
    <n v="7449.2000000000007"/>
    <n v="-572.84"/>
    <n v="0"/>
    <n v="893.9265079999999"/>
    <n v="7770.2865080000001"/>
  </r>
  <r>
    <x v="9"/>
    <x v="2"/>
    <x v="1"/>
    <x v="0"/>
    <x v="26"/>
    <s v="KEPL/00436/82-83"/>
    <s v="WELSON TRADE &amp; RASAN MART"/>
    <x v="44"/>
    <n v="1"/>
    <n v="24"/>
    <n v="186.23"/>
    <n v="4469.5200000000004"/>
    <n v="-343.71"/>
    <n v="0"/>
    <n v="536.35512499999993"/>
    <n v="4662.1651250000004"/>
  </r>
  <r>
    <x v="1"/>
    <x v="2"/>
    <x v="1"/>
    <x v="0"/>
    <x v="26"/>
    <s v="KEPL/00436/82-83"/>
    <s v="WELSON TRADE &amp; RASAN MART"/>
    <x v="24"/>
    <n v="1"/>
    <n v="18"/>
    <n v="178.78"/>
    <n v="3218.0400000000004"/>
    <n v="-247.47"/>
    <n v="0"/>
    <n v="386.17397399999999"/>
    <n v="3356.743974"/>
  </r>
  <r>
    <x v="9"/>
    <x v="2"/>
    <x v="1"/>
    <x v="0"/>
    <x v="26"/>
    <s v="KEPL/00436/82-83"/>
    <s v="WELSON TRADE &amp; RASAN MART"/>
    <x v="22"/>
    <n v="1"/>
    <n v="24"/>
    <n v="204.85"/>
    <n v="4916.4000000000005"/>
    <n v="-378.07"/>
    <n v="0"/>
    <n v="589.982707"/>
    <n v="5128.312707"/>
  </r>
  <r>
    <x v="10"/>
    <x v="2"/>
    <x v="1"/>
    <x v="0"/>
    <x v="26"/>
    <s v="KEPL/00436/82-83"/>
    <s v="WELSON TRADE &amp; RASAN MART"/>
    <x v="49"/>
    <n v="2"/>
    <n v="30"/>
    <n v="260.72000000000003"/>
    <n v="7821.6"/>
    <n v="-601.48"/>
    <n v="0"/>
    <n v="938.61529400000006"/>
    <n v="8158.7352940000001"/>
  </r>
  <r>
    <x v="6"/>
    <x v="2"/>
    <x v="1"/>
    <x v="0"/>
    <x v="26"/>
    <s v="KEPL/00436/82-83"/>
    <s v="WELSON TRADE &amp; RASAN MART"/>
    <x v="59"/>
    <n v="1"/>
    <n v="20"/>
    <n v="204.85"/>
    <n v="4097"/>
    <n v="-315.06"/>
    <n v="0"/>
    <n v="491.65203899999995"/>
    <n v="4273.5920390000001"/>
  </r>
  <r>
    <x v="0"/>
    <x v="2"/>
    <x v="1"/>
    <x v="0"/>
    <x v="26"/>
    <s v="KEPL/00436/82-83"/>
    <s v="WELSON TRADE &amp; RASAN MART"/>
    <x v="57"/>
    <n v="1"/>
    <n v="40"/>
    <n v="111.74"/>
    <n v="4469.6000000000004"/>
    <n v="-343.71"/>
    <n v="0"/>
    <n v="536.36552499999993"/>
    <n v="4662.2555249999996"/>
  </r>
  <r>
    <x v="10"/>
    <x v="2"/>
    <x v="1"/>
    <x v="0"/>
    <x v="26"/>
    <s v="KEPL/00436/82-83"/>
    <s v="WELSON TRADE &amp; RASAN MART"/>
    <x v="45"/>
    <n v="1"/>
    <n v="15"/>
    <n v="260.72000000000003"/>
    <n v="3910.8"/>
    <n v="-300.74"/>
    <n v="0"/>
    <n v="469.30764700000003"/>
    <n v="4079.367647"/>
  </r>
  <r>
    <x v="3"/>
    <x v="2"/>
    <x v="1"/>
    <x v="0"/>
    <x v="26"/>
    <s v="KEPL/00436/82-83"/>
    <s v="WELSON TRADE &amp; RASAN MART"/>
    <x v="54"/>
    <n v="1"/>
    <n v="20"/>
    <n v="175.05"/>
    <n v="3500.9999999999995"/>
    <n v="-269.23"/>
    <n v="0"/>
    <n v="420.12996300000003"/>
    <n v="3651.8999629999998"/>
  </r>
  <r>
    <x v="3"/>
    <x v="2"/>
    <x v="1"/>
    <x v="0"/>
    <x v="26"/>
    <s v="KEPL/00436/82-83"/>
    <s v="WELSON TRADE &amp; RASAN MART"/>
    <x v="55"/>
    <n v="1"/>
    <n v="20"/>
    <n v="175.05"/>
    <n v="3500.9999999999995"/>
    <n v="-269.23"/>
    <n v="0"/>
    <n v="420.12996300000003"/>
    <n v="3651.8999629999998"/>
  </r>
  <r>
    <x v="6"/>
    <x v="2"/>
    <x v="1"/>
    <x v="0"/>
    <x v="26"/>
    <s v="KEPL/00436/82-83"/>
    <s v="WELSON TRADE &amp; RASAN MART"/>
    <x v="28"/>
    <n v="2"/>
    <n v="40"/>
    <n v="204.85"/>
    <n v="8194"/>
    <n v="-630.12"/>
    <n v="0"/>
    <n v="983.304079"/>
    <n v="8547.1840790000006"/>
  </r>
  <r>
    <x v="12"/>
    <x v="2"/>
    <x v="1"/>
    <x v="0"/>
    <x v="26"/>
    <s v="KEPL/00436/82-83"/>
    <s v="WELSON TRADE &amp; RASAN MART"/>
    <x v="60"/>
    <n v="1"/>
    <n v="1000"/>
    <n v="1.86"/>
    <n v="1860"/>
    <n v="-143.03"/>
    <n v="0"/>
    <n v="223.20602699999998"/>
    <n v="1940.176027"/>
  </r>
  <r>
    <x v="3"/>
    <x v="2"/>
    <x v="1"/>
    <x v="0"/>
    <x v="26"/>
    <s v="KEPL/00436/82-83"/>
    <s v="WELSON TRADE &amp; RASAN MART"/>
    <x v="46"/>
    <n v="2"/>
    <n v="40"/>
    <n v="175.05"/>
    <n v="7001.9999999999991"/>
    <n v="-538.45000000000005"/>
    <n v="0"/>
    <n v="840.26122599999997"/>
    <n v="7303.8112259999998"/>
  </r>
  <r>
    <x v="13"/>
    <x v="2"/>
    <x v="1"/>
    <x v="0"/>
    <x v="26"/>
    <s v="KEPL/00436/82-83"/>
    <s v="WELSON TRADE &amp; RASAN MART"/>
    <x v="50"/>
    <n v="1"/>
    <n v="240"/>
    <n v="14.9"/>
    <n v="3576"/>
    <n v="-274.99"/>
    <n v="0"/>
    <n v="429.13116000000002"/>
    <n v="3730.1411600000001"/>
  </r>
  <r>
    <x v="13"/>
    <x v="2"/>
    <x v="1"/>
    <x v="0"/>
    <x v="26"/>
    <s v="KEPL/00436/82-83"/>
    <s v="WELSON TRADE &amp; RASAN MART"/>
    <x v="21"/>
    <n v="1"/>
    <n v="240"/>
    <n v="18.62"/>
    <n v="4468.8"/>
    <n v="-343.65"/>
    <n v="0"/>
    <n v="536.26932499999998"/>
    <n v="4661.4193249999998"/>
  </r>
  <r>
    <x v="6"/>
    <x v="2"/>
    <x v="1"/>
    <x v="0"/>
    <x v="26"/>
    <s v="KEPL/00436/82-83"/>
    <s v="WELSON TRADE &amp; RASAN MART"/>
    <x v="30"/>
    <n v="1"/>
    <n v="20"/>
    <n v="242.1"/>
    <n v="4841.9999999999991"/>
    <n v="-372.35"/>
    <n v="0"/>
    <n v="581.05430999999999"/>
    <n v="5050.7043100000001"/>
  </r>
  <r>
    <x v="6"/>
    <x v="2"/>
    <x v="1"/>
    <x v="0"/>
    <x v="26"/>
    <s v="KEPL/00436/82-83"/>
    <s v="WELSON TRADE &amp; RASAN MART"/>
    <x v="29"/>
    <n v="1"/>
    <n v="20"/>
    <n v="204.85"/>
    <n v="4097"/>
    <n v="-315.06"/>
    <n v="0"/>
    <n v="491.65203899999995"/>
    <n v="4273.5920390000001"/>
  </r>
  <r>
    <x v="13"/>
    <x v="2"/>
    <x v="1"/>
    <x v="0"/>
    <x v="26"/>
    <s v="KEPL/00437/82-83"/>
    <s v="WELSON TRADE &amp; RASAN MART"/>
    <x v="40"/>
    <n v="1"/>
    <n v="600"/>
    <n v="7.45"/>
    <n v="4470"/>
    <n v="-343.74"/>
    <n v="0"/>
    <n v="536.413995"/>
    <n v="4662.6739950000001"/>
  </r>
  <r>
    <x v="20"/>
    <x v="2"/>
    <x v="1"/>
    <x v="0"/>
    <x v="26"/>
    <s v="KEPL/00437/82-83"/>
    <s v="WELSON TRADE &amp; RASAN MART"/>
    <x v="52"/>
    <n v="5"/>
    <n v="20"/>
    <n v="595.92999999999995"/>
    <n v="11918.6"/>
    <n v="-916.54"/>
    <n v="0"/>
    <n v="1430.268321"/>
    <n v="12432.328321000001"/>
  </r>
  <r>
    <x v="8"/>
    <x v="2"/>
    <x v="1"/>
    <x v="0"/>
    <x v="26"/>
    <s v="KEPL/00437/82-83"/>
    <s v="WELSON TRADE &amp; RASAN MART"/>
    <x v="34"/>
    <n v="1"/>
    <n v="40"/>
    <n v="67.040000000000006"/>
    <n v="2681.6"/>
    <n v="-206.22"/>
    <n v="0"/>
    <n v="321.79951700000004"/>
    <n v="2797.179517"/>
  </r>
  <r>
    <x v="4"/>
    <x v="2"/>
    <x v="1"/>
    <x v="0"/>
    <x v="26"/>
    <s v="KEPL/00437/82-83"/>
    <s v="WELSON TRADE &amp; RASAN MART"/>
    <x v="5"/>
    <n v="1"/>
    <n v="180"/>
    <n v="18.62"/>
    <n v="3351.6"/>
    <n v="-257.74"/>
    <n v="0"/>
    <n v="402.20194600000002"/>
    <n v="3496.0619459999998"/>
  </r>
  <r>
    <x v="16"/>
    <x v="2"/>
    <x v="1"/>
    <x v="0"/>
    <x v="26"/>
    <s v="KEPL/00437/82-83"/>
    <s v="WELSON TRADE &amp; RASAN MART"/>
    <x v="42"/>
    <n v="2"/>
    <n v="60"/>
    <n v="316.58999999999997"/>
    <n v="18995.399999999998"/>
    <n v="-1460.75"/>
    <n v="0"/>
    <n v="2279.50533"/>
    <n v="19814.155330000001"/>
  </r>
  <r>
    <x v="17"/>
    <x v="2"/>
    <x v="1"/>
    <x v="0"/>
    <x v="26"/>
    <s v="KEPL/00437/82-83"/>
    <s v="WELSON TRADE &amp; RASAN MART"/>
    <x v="39"/>
    <n v="1"/>
    <n v="20"/>
    <n v="249.55"/>
    <n v="4991"/>
    <n v="-383.81"/>
    <n v="0"/>
    <n v="598.93491799999993"/>
    <n v="5206.1249180000004"/>
  </r>
  <r>
    <x v="0"/>
    <x v="2"/>
    <x v="1"/>
    <x v="0"/>
    <x v="26"/>
    <s v="KEPL/00437/82-83"/>
    <s v="WELSON TRADE &amp; RASAN MART"/>
    <x v="0"/>
    <n v="1"/>
    <n v="40"/>
    <n v="111.74"/>
    <n v="4469.6000000000004"/>
    <n v="-343.71"/>
    <n v="0"/>
    <n v="536.36589500000002"/>
    <n v="4662.2558950000002"/>
  </r>
  <r>
    <x v="11"/>
    <x v="2"/>
    <x v="1"/>
    <x v="0"/>
    <x v="26"/>
    <s v="KEPL/00437/82-83"/>
    <s v="WELSON TRADE &amp; RASAN MART"/>
    <x v="37"/>
    <n v="1"/>
    <n v="40"/>
    <n v="81.94"/>
    <n v="3277.6"/>
    <n v="-252.05"/>
    <n v="0"/>
    <n v="393.32164299999999"/>
    <n v="3418.8716429999999"/>
  </r>
  <r>
    <x v="8"/>
    <x v="2"/>
    <x v="1"/>
    <x v="0"/>
    <x v="26"/>
    <s v="KEPL/00437/82-83"/>
    <s v="WELSON TRADE &amp; RASAN MART"/>
    <x v="41"/>
    <n v="1"/>
    <n v="40"/>
    <n v="67.040000000000006"/>
    <n v="2681.6"/>
    <n v="-206.22"/>
    <n v="0"/>
    <n v="321.79951700000004"/>
    <n v="2797.179517"/>
  </r>
  <r>
    <x v="16"/>
    <x v="2"/>
    <x v="1"/>
    <x v="0"/>
    <x v="26"/>
    <s v="KEPL/00437/82-83"/>
    <s v="WELSON TRADE &amp; RASAN MART"/>
    <x v="35"/>
    <n v="2"/>
    <n v="120"/>
    <n v="145.26"/>
    <n v="17431.2"/>
    <n v="-1340.46"/>
    <n v="0"/>
    <n v="2091.7969619999999"/>
    <n v="18182.536961999998"/>
  </r>
  <r>
    <x v="7"/>
    <x v="2"/>
    <x v="1"/>
    <x v="0"/>
    <x v="26"/>
    <s v="KEPL/00437/82-83"/>
    <s v="WELSON TRADE &amp; RASAN MART"/>
    <x v="12"/>
    <n v="1"/>
    <n v="130"/>
    <n v="37.25"/>
    <n v="4842.5"/>
    <n v="-372.39"/>
    <n v="0"/>
    <n v="581.11451199999999"/>
    <n v="5051.2245119999998"/>
  </r>
  <r>
    <x v="11"/>
    <x v="2"/>
    <x v="1"/>
    <x v="0"/>
    <x v="26"/>
    <s v="KEPL/00437/82-83"/>
    <s v="WELSON TRADE &amp; RASAN MART"/>
    <x v="36"/>
    <n v="1"/>
    <n v="40"/>
    <n v="81.94"/>
    <n v="3277.6"/>
    <n v="-252.05"/>
    <n v="0"/>
    <n v="393.32164299999999"/>
    <n v="3418.8716429999999"/>
  </r>
  <r>
    <x v="8"/>
    <x v="2"/>
    <x v="1"/>
    <x v="0"/>
    <x v="26"/>
    <s v="KEPL/00437/82-83"/>
    <s v="WELSON TRADE &amp; RASAN MART"/>
    <x v="56"/>
    <n v="1"/>
    <n v="800"/>
    <n v="7.45"/>
    <n v="5960"/>
    <n v="-458.32"/>
    <n v="0"/>
    <n v="715.21866"/>
    <n v="6216.8986599999998"/>
  </r>
  <r>
    <x v="11"/>
    <x v="2"/>
    <x v="1"/>
    <x v="0"/>
    <x v="26"/>
    <s v="KEPL/00437/82-83"/>
    <s v="WELSON TRADE &amp; RASAN MART"/>
    <x v="53"/>
    <n v="1"/>
    <n v="40"/>
    <n v="81.94"/>
    <n v="3277.6"/>
    <n v="-252.05"/>
    <n v="0"/>
    <n v="393.32164299999999"/>
    <n v="3418.8716429999999"/>
  </r>
  <r>
    <x v="9"/>
    <x v="2"/>
    <x v="1"/>
    <x v="0"/>
    <x v="26"/>
    <s v="KEPL/00437/82-83"/>
    <s v="WELSON TRADE &amp; RASAN MART"/>
    <x v="38"/>
    <n v="1"/>
    <n v="24"/>
    <n v="186.23"/>
    <n v="4469.5200000000004"/>
    <n v="-343.71"/>
    <n v="0"/>
    <n v="536.35549500000002"/>
    <n v="4662.1654950000002"/>
  </r>
  <r>
    <x v="6"/>
    <x v="2"/>
    <x v="1"/>
    <x v="0"/>
    <x v="26"/>
    <s v="KEPL/00438/82-83"/>
    <s v="AAFNAI PASAL PVT.LTD"/>
    <x v="30"/>
    <n v="2"/>
    <n v="40"/>
    <n v="242.1"/>
    <n v="9683.9999999999982"/>
    <n v="-744.7"/>
    <n v="0"/>
    <n v="1162.1085579999999"/>
    <n v="10101.408557999999"/>
  </r>
  <r>
    <x v="17"/>
    <x v="2"/>
    <x v="1"/>
    <x v="0"/>
    <x v="26"/>
    <s v="KEPL/00438/82-83"/>
    <s v="AAFNAI PASAL PVT.LTD"/>
    <x v="39"/>
    <n v="2"/>
    <n v="40"/>
    <n v="249.55"/>
    <n v="9982"/>
    <n v="-767.62"/>
    <n v="0"/>
    <n v="1197.8689439999998"/>
    <n v="10412.248944000001"/>
  </r>
  <r>
    <x v="10"/>
    <x v="2"/>
    <x v="1"/>
    <x v="0"/>
    <x v="26"/>
    <s v="KEPL/00438/82-83"/>
    <s v="AAFNAI PASAL PVT.LTD"/>
    <x v="49"/>
    <n v="2"/>
    <n v="30"/>
    <n v="260.72000000000003"/>
    <n v="7821.6"/>
    <n v="-601.48"/>
    <n v="0"/>
    <n v="938.61524299999996"/>
    <n v="8158.7352430000001"/>
  </r>
  <r>
    <x v="20"/>
    <x v="2"/>
    <x v="1"/>
    <x v="0"/>
    <x v="26"/>
    <s v="KEPL/00438/82-83"/>
    <s v="AAFNAI PASAL PVT.LTD"/>
    <x v="52"/>
    <n v="5"/>
    <n v="20"/>
    <n v="595.92999999999995"/>
    <n v="11918.6"/>
    <n v="-916.54"/>
    <n v="0"/>
    <n v="1430.2672560000001"/>
    <n v="12432.327256"/>
  </r>
  <r>
    <x v="8"/>
    <x v="2"/>
    <x v="1"/>
    <x v="0"/>
    <x v="26"/>
    <s v="KEPL/00439/82-83"/>
    <s v="KRISHMA ENTERPRISES"/>
    <x v="33"/>
    <n v="4"/>
    <n v="160"/>
    <n v="67.040000000000006"/>
    <n v="10726.4"/>
    <n v="-824.86"/>
    <n v="0"/>
    <n v="1287.2"/>
    <n v="11188.74"/>
  </r>
  <r>
    <x v="1"/>
    <x v="2"/>
    <x v="1"/>
    <x v="0"/>
    <x v="26"/>
    <s v="KEPL/00440/82-83"/>
    <s v="NEW YASHISH TRADERS"/>
    <x v="26"/>
    <n v="4"/>
    <n v="72"/>
    <n v="178.78"/>
    <n v="12872.160000000002"/>
    <n v="-989.87000000000012"/>
    <n v="0"/>
    <n v="1544.6977530000001"/>
    <n v="13426.987752999999"/>
  </r>
  <r>
    <x v="1"/>
    <x v="2"/>
    <x v="1"/>
    <x v="0"/>
    <x v="26"/>
    <s v="KEPL/00440/82-83"/>
    <s v="NEW YASHISH TRADERS"/>
    <x v="2"/>
    <n v="4"/>
    <n v="72"/>
    <n v="178.78"/>
    <n v="12872.160000000002"/>
    <n v="-989.87000000000012"/>
    <n v="0"/>
    <n v="1544.6977530000001"/>
    <n v="13426.987752999999"/>
  </r>
  <r>
    <x v="1"/>
    <x v="2"/>
    <x v="1"/>
    <x v="0"/>
    <x v="26"/>
    <s v="KEPL/00440/82-83"/>
    <s v="NEW YASHISH TRADERS"/>
    <x v="24"/>
    <n v="349"/>
    <n v="6282"/>
    <n v="178.78"/>
    <n v="1123095.96"/>
    <n v="-86366.080000000002"/>
    <n v="0"/>
    <n v="134774.88899000001"/>
    <n v="1171504.76899"/>
  </r>
  <r>
    <x v="1"/>
    <x v="2"/>
    <x v="1"/>
    <x v="0"/>
    <x v="26"/>
    <s v="KEPL/00440/82-83"/>
    <s v="NEW YASHISH TRADERS"/>
    <x v="25"/>
    <n v="8"/>
    <n v="144"/>
    <n v="178.78"/>
    <n v="25744.320000000003"/>
    <n v="-1979.7400000000002"/>
    <n v="0"/>
    <n v="3089.395505"/>
    <n v="26853.975504999999"/>
  </r>
  <r>
    <x v="20"/>
    <x v="2"/>
    <x v="1"/>
    <x v="0"/>
    <x v="26"/>
    <s v="KEPL/00441/82-83"/>
    <s v="NEW YASHISH TRADERS"/>
    <x v="52"/>
    <n v="10"/>
    <n v="40"/>
    <n v="595.92999999999995"/>
    <n v="23837.200000000001"/>
    <n v="-1833.08"/>
    <n v="0"/>
    <n v="2860.54"/>
    <n v="24864.66"/>
  </r>
  <r>
    <x v="16"/>
    <x v="2"/>
    <x v="1"/>
    <x v="0"/>
    <x v="26"/>
    <s v="KEPL/00443/82-83"/>
    <s v="ABIRAL SUPPLIERS AND TRADERS"/>
    <x v="35"/>
    <n v="2"/>
    <n v="120"/>
    <n v="145.26"/>
    <n v="17431.2"/>
    <n v="-1340.46"/>
    <n v="0"/>
    <n v="2091.7945629999999"/>
    <n v="18182.534563000001"/>
  </r>
  <r>
    <x v="20"/>
    <x v="2"/>
    <x v="1"/>
    <x v="0"/>
    <x v="26"/>
    <s v="KEPL/00443/82-83"/>
    <s v="ABIRAL SUPPLIERS AND TRADERS"/>
    <x v="52"/>
    <n v="2"/>
    <n v="8"/>
    <n v="595.92999999999995"/>
    <n v="4767.4399999999996"/>
    <n v="-366.62"/>
    <n v="0"/>
    <n v="572.10615199999995"/>
    <n v="4972.926152"/>
  </r>
  <r>
    <x v="7"/>
    <x v="2"/>
    <x v="1"/>
    <x v="0"/>
    <x v="26"/>
    <s v="KEPL/00443/82-83"/>
    <s v="ABIRAL SUPPLIERS AND TRADERS"/>
    <x v="27"/>
    <n v="1"/>
    <n v="70"/>
    <n v="32.78"/>
    <n v="2294.6"/>
    <n v="-176.45"/>
    <n v="0"/>
    <n v="275.359285"/>
    <n v="2393.5092850000001"/>
  </r>
  <r>
    <x v="12"/>
    <x v="2"/>
    <x v="1"/>
    <x v="0"/>
    <x v="26"/>
    <s v="KEPL/00445/82-83"/>
    <s v="SHUBHASHREE MARKETING"/>
    <x v="60"/>
    <n v="2"/>
    <n v="2000"/>
    <n v="1.86"/>
    <n v="3720"/>
    <n v="-286.07"/>
    <n v="0"/>
    <n v="446.41"/>
    <n v="3880.34"/>
  </r>
  <r>
    <x v="16"/>
    <x v="2"/>
    <x v="1"/>
    <x v="0"/>
    <x v="26"/>
    <s v="KEPL/00453/82-83"/>
    <s v="DURGA LAXMI AND SONS"/>
    <x v="42"/>
    <n v="2"/>
    <n v="60"/>
    <n v="316.58999999999997"/>
    <n v="18995.399999999998"/>
    <n v="-1460.75"/>
    <n v="0"/>
    <n v="2279.5035550000002"/>
    <n v="19814.153555000001"/>
  </r>
  <r>
    <x v="17"/>
    <x v="2"/>
    <x v="1"/>
    <x v="0"/>
    <x v="26"/>
    <s v="KEPL/00453/82-83"/>
    <s v="DURGA LAXMI AND SONS"/>
    <x v="39"/>
    <n v="1"/>
    <n v="20"/>
    <n v="249.55"/>
    <n v="4991"/>
    <n v="-383.81"/>
    <n v="0"/>
    <n v="598.93445200000008"/>
    <n v="5206.124452"/>
  </r>
  <r>
    <x v="11"/>
    <x v="2"/>
    <x v="1"/>
    <x v="0"/>
    <x v="26"/>
    <s v="KEPL/00453/82-83"/>
    <s v="DURGA LAXMI AND SONS"/>
    <x v="36"/>
    <n v="1"/>
    <n v="40"/>
    <n v="81.94"/>
    <n v="3277.6"/>
    <n v="-252.05"/>
    <n v="0"/>
    <n v="393.32133700000003"/>
    <n v="3418.871337"/>
  </r>
  <r>
    <x v="13"/>
    <x v="2"/>
    <x v="1"/>
    <x v="0"/>
    <x v="26"/>
    <s v="KEPL/00453/82-83"/>
    <s v="DURGA LAXMI AND SONS"/>
    <x v="40"/>
    <n v="1"/>
    <n v="600"/>
    <n v="7.45"/>
    <n v="4470"/>
    <n v="-343.74"/>
    <n v="0"/>
    <n v="536.41357800000003"/>
    <n v="4662.6735779999999"/>
  </r>
  <r>
    <x v="16"/>
    <x v="2"/>
    <x v="1"/>
    <x v="0"/>
    <x v="26"/>
    <s v="KEPL/00453/82-83"/>
    <s v="DURGA LAXMI AND SONS"/>
    <x v="35"/>
    <n v="2"/>
    <n v="120"/>
    <n v="145.26"/>
    <n v="17431.2"/>
    <n v="-1340.46"/>
    <n v="0"/>
    <n v="2091.795333"/>
    <n v="18182.535333"/>
  </r>
  <r>
    <x v="11"/>
    <x v="2"/>
    <x v="1"/>
    <x v="0"/>
    <x v="26"/>
    <s v="KEPL/00453/82-83"/>
    <s v="DURGA LAXMI AND SONS"/>
    <x v="37"/>
    <n v="1"/>
    <n v="40"/>
    <n v="81.94"/>
    <n v="3277.6"/>
    <n v="-252.05"/>
    <n v="0"/>
    <n v="393.32133700000003"/>
    <n v="3418.871337"/>
  </r>
  <r>
    <x v="11"/>
    <x v="2"/>
    <x v="1"/>
    <x v="0"/>
    <x v="26"/>
    <s v="KEPL/00453/82-83"/>
    <s v="DURGA LAXMI AND SONS"/>
    <x v="53"/>
    <n v="1"/>
    <n v="40"/>
    <n v="81.94"/>
    <n v="3277.6"/>
    <n v="-252.05"/>
    <n v="0"/>
    <n v="393.32133700000003"/>
    <n v="3418.871337"/>
  </r>
  <r>
    <x v="8"/>
    <x v="2"/>
    <x v="1"/>
    <x v="0"/>
    <x v="26"/>
    <s v="KEPL/00453/82-83"/>
    <s v="DURGA LAXMI AND SONS"/>
    <x v="34"/>
    <n v="1"/>
    <n v="40"/>
    <n v="67.040000000000006"/>
    <n v="2681.6"/>
    <n v="-206.22"/>
    <n v="0"/>
    <n v="321.79926699999999"/>
    <n v="2797.179267"/>
  </r>
  <r>
    <x v="0"/>
    <x v="2"/>
    <x v="1"/>
    <x v="0"/>
    <x v="26"/>
    <s v="KEPL/00453/82-83"/>
    <s v="DURGA LAXMI AND SONS"/>
    <x v="0"/>
    <n v="1"/>
    <n v="40"/>
    <n v="111.74"/>
    <n v="4469.6000000000004"/>
    <n v="-343.71"/>
    <n v="0"/>
    <n v="536.36547799999994"/>
    <n v="4662.255478"/>
  </r>
  <r>
    <x v="4"/>
    <x v="2"/>
    <x v="1"/>
    <x v="0"/>
    <x v="26"/>
    <s v="KEPL/00453/82-83"/>
    <s v="DURGA LAXMI AND SONS"/>
    <x v="5"/>
    <n v="1"/>
    <n v="180"/>
    <n v="18.62"/>
    <n v="3351.6"/>
    <n v="-257.74"/>
    <n v="0"/>
    <n v="402.20163300000002"/>
    <n v="3496.0616329999998"/>
  </r>
  <r>
    <x v="20"/>
    <x v="2"/>
    <x v="1"/>
    <x v="0"/>
    <x v="26"/>
    <s v="KEPL/00453/82-83"/>
    <s v="DURGA LAXMI AND SONS"/>
    <x v="52"/>
    <n v="5"/>
    <n v="20"/>
    <n v="595.92999999999995"/>
    <n v="11918.6"/>
    <n v="-916.54"/>
    <n v="0"/>
    <n v="1430.2672070000001"/>
    <n v="12432.327207"/>
  </r>
  <r>
    <x v="7"/>
    <x v="2"/>
    <x v="1"/>
    <x v="0"/>
    <x v="26"/>
    <s v="KEPL/00453/82-83"/>
    <s v="DURGA LAXMI AND SONS"/>
    <x v="12"/>
    <n v="2"/>
    <n v="260"/>
    <n v="37.25"/>
    <n v="9685"/>
    <n v="-744.78"/>
    <n v="0"/>
    <n v="1162.228118"/>
    <n v="10102.448118"/>
  </r>
  <r>
    <x v="8"/>
    <x v="2"/>
    <x v="1"/>
    <x v="0"/>
    <x v="26"/>
    <s v="KEPL/00453/82-83"/>
    <s v="DURGA LAXMI AND SONS"/>
    <x v="56"/>
    <n v="1"/>
    <n v="800"/>
    <n v="7.45"/>
    <n v="5960"/>
    <n v="-458.32"/>
    <n v="0"/>
    <n v="715.21810299999993"/>
    <n v="6216.8981030000004"/>
  </r>
  <r>
    <x v="8"/>
    <x v="2"/>
    <x v="1"/>
    <x v="0"/>
    <x v="26"/>
    <s v="KEPL/00453/82-83"/>
    <s v="DURGA LAXMI AND SONS"/>
    <x v="41"/>
    <n v="1"/>
    <n v="40"/>
    <n v="67.040000000000006"/>
    <n v="2681.6"/>
    <n v="-206.22"/>
    <n v="0"/>
    <n v="321.79926699999999"/>
    <n v="2797.179267"/>
  </r>
  <r>
    <x v="0"/>
    <x v="2"/>
    <x v="1"/>
    <x v="0"/>
    <x v="26"/>
    <s v="KEPL/00454/82-83"/>
    <s v="DURGA LAXMI AND SONS"/>
    <x v="57"/>
    <n v="1"/>
    <n v="40"/>
    <n v="111.74"/>
    <n v="4469.6000000000004"/>
    <n v="-343.71"/>
    <n v="0"/>
    <n v="536.365588"/>
    <n v="4662.255588"/>
  </r>
  <r>
    <x v="3"/>
    <x v="2"/>
    <x v="1"/>
    <x v="0"/>
    <x v="26"/>
    <s v="KEPL/00454/82-83"/>
    <s v="DURGA LAXMI AND SONS"/>
    <x v="54"/>
    <n v="1"/>
    <n v="20"/>
    <n v="175.05"/>
    <n v="3500.9999999999995"/>
    <n v="-269.23"/>
    <n v="0"/>
    <n v="420.13001300000002"/>
    <n v="3651.9000129999999"/>
  </r>
  <r>
    <x v="10"/>
    <x v="2"/>
    <x v="1"/>
    <x v="0"/>
    <x v="26"/>
    <s v="KEPL/00454/82-83"/>
    <s v="DURGA LAXMI AND SONS"/>
    <x v="49"/>
    <n v="2"/>
    <n v="30"/>
    <n v="260.72000000000003"/>
    <n v="7821.6"/>
    <n v="-601.48"/>
    <n v="0"/>
    <n v="938.61540500000001"/>
    <n v="8158.7354050000004"/>
  </r>
  <r>
    <x v="9"/>
    <x v="2"/>
    <x v="1"/>
    <x v="0"/>
    <x v="26"/>
    <s v="KEPL/00454/82-83"/>
    <s v="DURGA LAXMI AND SONS"/>
    <x v="22"/>
    <n v="1"/>
    <n v="24"/>
    <n v="204.85"/>
    <n v="4916.4000000000005"/>
    <n v="-378.07"/>
    <n v="0"/>
    <n v="589.98277700000006"/>
    <n v="5128.3127770000001"/>
  </r>
  <r>
    <x v="2"/>
    <x v="2"/>
    <x v="1"/>
    <x v="0"/>
    <x v="26"/>
    <s v="KEPL/00454/82-83"/>
    <s v="DURGA LAXMI AND SONS"/>
    <x v="3"/>
    <n v="1"/>
    <n v="20"/>
    <n v="186.23"/>
    <n v="3724.6000000000004"/>
    <n v="-286.42"/>
    <n v="0"/>
    <n v="446.96330700000004"/>
    <n v="3885.1433069999998"/>
  </r>
  <r>
    <x v="8"/>
    <x v="2"/>
    <x v="1"/>
    <x v="0"/>
    <x v="26"/>
    <s v="KEPL/00454/82-83"/>
    <s v="DURGA LAXMI AND SONS"/>
    <x v="13"/>
    <n v="1"/>
    <n v="24"/>
    <n v="141.53"/>
    <n v="3396.72"/>
    <n v="-261.20999999999998"/>
    <n v="0"/>
    <n v="407.61621499999995"/>
    <n v="3543.1262149999998"/>
  </r>
  <r>
    <x v="6"/>
    <x v="2"/>
    <x v="1"/>
    <x v="0"/>
    <x v="26"/>
    <s v="KEPL/00454/82-83"/>
    <s v="DURGA LAXMI AND SONS"/>
    <x v="48"/>
    <n v="1"/>
    <n v="20"/>
    <n v="204.85"/>
    <n v="4097"/>
    <n v="-315.06"/>
    <n v="0"/>
    <n v="491.65209799999997"/>
    <n v="4273.5920980000001"/>
  </r>
  <r>
    <x v="3"/>
    <x v="2"/>
    <x v="1"/>
    <x v="0"/>
    <x v="26"/>
    <s v="KEPL/00454/82-83"/>
    <s v="DURGA LAXMI AND SONS"/>
    <x v="46"/>
    <n v="2"/>
    <n v="40"/>
    <n v="175.05"/>
    <n v="7001.9999999999991"/>
    <n v="-538.45000000000005"/>
    <n v="0"/>
    <n v="840.26132500000006"/>
    <n v="7303.8113249999997"/>
  </r>
  <r>
    <x v="3"/>
    <x v="2"/>
    <x v="1"/>
    <x v="0"/>
    <x v="26"/>
    <s v="KEPL/00454/82-83"/>
    <s v="DURGA LAXMI AND SONS"/>
    <x v="55"/>
    <n v="1"/>
    <n v="20"/>
    <n v="175.05"/>
    <n v="3500.9999999999995"/>
    <n v="-269.23"/>
    <n v="0"/>
    <n v="420.13001300000002"/>
    <n v="3651.9000129999999"/>
  </r>
  <r>
    <x v="0"/>
    <x v="2"/>
    <x v="1"/>
    <x v="0"/>
    <x v="26"/>
    <s v="KEPL/00454/82-83"/>
    <s v="DURGA LAXMI AND SONS"/>
    <x v="47"/>
    <n v="2"/>
    <n v="80"/>
    <n v="111.74"/>
    <n v="8939.2000000000007"/>
    <n v="-687.42"/>
    <n v="0"/>
    <n v="1072.7311770000001"/>
    <n v="9324.5111770000003"/>
  </r>
  <r>
    <x v="10"/>
    <x v="2"/>
    <x v="1"/>
    <x v="0"/>
    <x v="26"/>
    <s v="KEPL/00454/82-83"/>
    <s v="DURGA LAXMI AND SONS"/>
    <x v="45"/>
    <n v="1"/>
    <n v="15"/>
    <n v="260.72000000000003"/>
    <n v="3910.8"/>
    <n v="-300.74"/>
    <n v="0"/>
    <n v="469.30770199999995"/>
    <n v="4079.367702"/>
  </r>
  <r>
    <x v="6"/>
    <x v="2"/>
    <x v="1"/>
    <x v="0"/>
    <x v="26"/>
    <s v="KEPL/00454/82-83"/>
    <s v="DURGA LAXMI AND SONS"/>
    <x v="30"/>
    <n v="1"/>
    <n v="20"/>
    <n v="242.1"/>
    <n v="4841.9999999999991"/>
    <n v="-372.35"/>
    <n v="0"/>
    <n v="581.05437900000004"/>
    <n v="5050.7043789999998"/>
  </r>
  <r>
    <x v="20"/>
    <x v="2"/>
    <x v="1"/>
    <x v="0"/>
    <x v="26"/>
    <s v="KEPL/00455/82-83"/>
    <s v="KRISHMA ENTERPRISES"/>
    <x v="52"/>
    <n v="50"/>
    <n v="200"/>
    <n v="595.92999999999995"/>
    <n v="119186"/>
    <n v="-9165.4"/>
    <n v="0"/>
    <n v="14302.68"/>
    <n v="124323.28"/>
  </r>
  <r>
    <x v="0"/>
    <x v="2"/>
    <x v="1"/>
    <x v="0"/>
    <x v="26"/>
    <s v="KEPL/00456/82-83"/>
    <s v="MITHASH TRADE CONCERN PVT LTD"/>
    <x v="57"/>
    <n v="3"/>
    <n v="120"/>
    <n v="111.74"/>
    <n v="13408.8"/>
    <n v="-1031.1400000000001"/>
    <n v="0"/>
    <n v="1609.096648"/>
    <n v="13986.756648"/>
  </r>
  <r>
    <x v="3"/>
    <x v="2"/>
    <x v="1"/>
    <x v="0"/>
    <x v="26"/>
    <s v="KEPL/00456/82-83"/>
    <s v="MITHASH TRADE CONCERN PVT LTD"/>
    <x v="55"/>
    <n v="2"/>
    <n v="40"/>
    <n v="175.05"/>
    <n v="7001.9999999999991"/>
    <n v="-538.45000000000005"/>
    <n v="0"/>
    <n v="840.26194299999997"/>
    <n v="7303.8119429999997"/>
  </r>
  <r>
    <x v="0"/>
    <x v="2"/>
    <x v="1"/>
    <x v="0"/>
    <x v="26"/>
    <s v="KEPL/00456/82-83"/>
    <s v="MITHASH TRADE CONCERN PVT LTD"/>
    <x v="47"/>
    <n v="4"/>
    <n v="160"/>
    <n v="111.74"/>
    <n v="17878.400000000001"/>
    <n v="-1374.85"/>
    <n v="0"/>
    <n v="2145.4626309999999"/>
    <n v="18649.012631000001"/>
  </r>
  <r>
    <x v="8"/>
    <x v="2"/>
    <x v="1"/>
    <x v="0"/>
    <x v="26"/>
    <s v="KEPL/00456/82-83"/>
    <s v="MITHASH TRADE CONCERN PVT LTD"/>
    <x v="56"/>
    <n v="1"/>
    <n v="800"/>
    <n v="7.45"/>
    <n v="5960"/>
    <n v="-458.32"/>
    <n v="0"/>
    <n v="715.21877699999993"/>
    <n v="6216.8987770000003"/>
  </r>
  <r>
    <x v="17"/>
    <x v="3"/>
    <x v="1"/>
    <x v="0"/>
    <x v="27"/>
    <s v="KEPL/00522/82-83"/>
    <s v="SHREE EXIM"/>
    <x v="39"/>
    <n v="15"/>
    <n v="300"/>
    <n v="249.55"/>
    <n v="74865"/>
    <n v="-5757.12"/>
    <n v="0"/>
    <n v="8984.02"/>
    <n v="78091.899999999994"/>
  </r>
  <r>
    <x v="11"/>
    <x v="3"/>
    <x v="1"/>
    <x v="0"/>
    <x v="28"/>
    <s v="KEPL/00532/82-83"/>
    <s v="ISHWORI SUPPLIERS"/>
    <x v="36"/>
    <n v="1"/>
    <n v="40"/>
    <n v="81.94"/>
    <n v="3277.6"/>
    <n v="-252.05"/>
    <n v="0"/>
    <n v="393.32166100000001"/>
    <n v="3418.8716610000001"/>
  </r>
  <r>
    <x v="16"/>
    <x v="3"/>
    <x v="1"/>
    <x v="0"/>
    <x v="28"/>
    <s v="KEPL/00532/82-83"/>
    <s v="ISHWORI SUPPLIERS"/>
    <x v="35"/>
    <n v="1"/>
    <n v="60"/>
    <n v="145.26"/>
    <n v="8715.6"/>
    <n v="-670.23"/>
    <n v="0"/>
    <n v="1045.8985269999998"/>
    <n v="9091.2685270000002"/>
  </r>
  <r>
    <x v="8"/>
    <x v="3"/>
    <x v="1"/>
    <x v="0"/>
    <x v="28"/>
    <s v="KEPL/00532/82-83"/>
    <s v="ISHWORI SUPPLIERS"/>
    <x v="34"/>
    <n v="1"/>
    <n v="40"/>
    <n v="67.040000000000006"/>
    <n v="2681.6"/>
    <n v="-206.22"/>
    <n v="0"/>
    <n v="321.799531"/>
    <n v="2797.1795310000002"/>
  </r>
  <r>
    <x v="11"/>
    <x v="3"/>
    <x v="1"/>
    <x v="0"/>
    <x v="28"/>
    <s v="KEPL/00532/82-83"/>
    <s v="ISHWORI SUPPLIERS"/>
    <x v="37"/>
    <n v="1"/>
    <n v="40"/>
    <n v="81.94"/>
    <n v="3277.6"/>
    <n v="-252.05"/>
    <n v="0"/>
    <n v="393.32166100000001"/>
    <n v="3418.8716610000001"/>
  </r>
  <r>
    <x v="0"/>
    <x v="3"/>
    <x v="1"/>
    <x v="0"/>
    <x v="28"/>
    <s v="KEPL/00532/82-83"/>
    <s v="ISHWORI SUPPLIERS"/>
    <x v="0"/>
    <n v="1"/>
    <n v="40"/>
    <n v="111.74"/>
    <n v="4469.6000000000004"/>
    <n v="-343.71"/>
    <n v="0"/>
    <n v="536.36591899999996"/>
    <n v="4662.2559190000002"/>
  </r>
  <r>
    <x v="18"/>
    <x v="3"/>
    <x v="1"/>
    <x v="0"/>
    <x v="28"/>
    <s v="KEPL/00532/82-83"/>
    <s v="ISHWORI SUPPLIERS"/>
    <x v="43"/>
    <n v="1"/>
    <n v="60"/>
    <n v="111.74"/>
    <n v="6704.4"/>
    <n v="-515.57000000000005"/>
    <n v="0"/>
    <n v="804.54822799999999"/>
    <n v="6993.3782279999996"/>
  </r>
  <r>
    <x v="9"/>
    <x v="3"/>
    <x v="1"/>
    <x v="0"/>
    <x v="28"/>
    <s v="KEPL/00532/82-83"/>
    <s v="ISHWORI SUPPLIERS"/>
    <x v="38"/>
    <n v="1"/>
    <n v="24"/>
    <n v="186.23"/>
    <n v="4469.5200000000004"/>
    <n v="-343.71"/>
    <n v="0"/>
    <n v="536.35551899999996"/>
    <n v="4662.1655190000001"/>
  </r>
  <r>
    <x v="7"/>
    <x v="3"/>
    <x v="1"/>
    <x v="0"/>
    <x v="28"/>
    <s v="KEPL/00532/82-83"/>
    <s v="ISHWORI SUPPLIERS"/>
    <x v="12"/>
    <n v="1"/>
    <n v="130"/>
    <n v="37.25"/>
    <n v="4842.5"/>
    <n v="-372.39"/>
    <n v="0"/>
    <n v="581.11453700000004"/>
    <n v="5051.2245370000001"/>
  </r>
  <r>
    <x v="11"/>
    <x v="3"/>
    <x v="1"/>
    <x v="0"/>
    <x v="28"/>
    <s v="KEPL/00532/82-83"/>
    <s v="ISHWORI SUPPLIERS"/>
    <x v="53"/>
    <n v="1"/>
    <n v="40"/>
    <n v="81.94"/>
    <n v="3277.6"/>
    <n v="-252.05"/>
    <n v="0"/>
    <n v="393.32166100000001"/>
    <n v="3418.8716610000001"/>
  </r>
  <r>
    <x v="20"/>
    <x v="3"/>
    <x v="1"/>
    <x v="0"/>
    <x v="28"/>
    <s v="KEPL/00532/82-83"/>
    <s v="ISHWORI SUPPLIERS"/>
    <x v="52"/>
    <n v="10"/>
    <n v="40"/>
    <n v="595.92999999999995"/>
    <n v="23837.200000000001"/>
    <n v="-1833.08"/>
    <n v="0"/>
    <n v="2860.5367680000004"/>
    <n v="24864.656768000001"/>
  </r>
  <r>
    <x v="14"/>
    <x v="3"/>
    <x v="1"/>
    <x v="0"/>
    <x v="28"/>
    <s v="KEPL/00532/82-83"/>
    <s v="ISHWORI SUPPLIERS"/>
    <x v="31"/>
    <n v="1"/>
    <n v="60"/>
    <n v="111.74"/>
    <n v="6704.4"/>
    <n v="-515.57000000000005"/>
    <n v="0"/>
    <n v="804.54822799999999"/>
    <n v="6993.3782279999996"/>
  </r>
  <r>
    <x v="8"/>
    <x v="3"/>
    <x v="1"/>
    <x v="0"/>
    <x v="28"/>
    <s v="KEPL/00532/82-83"/>
    <s v="ISHWORI SUPPLIERS"/>
    <x v="41"/>
    <n v="1"/>
    <n v="40"/>
    <n v="67.040000000000006"/>
    <n v="2681.6"/>
    <n v="-206.22"/>
    <n v="0"/>
    <n v="321.799531"/>
    <n v="2797.1795310000002"/>
  </r>
  <r>
    <x v="15"/>
    <x v="3"/>
    <x v="1"/>
    <x v="0"/>
    <x v="28"/>
    <s v="KEPL/00532/82-83"/>
    <s v="ISHWORI SUPPLIERS"/>
    <x v="32"/>
    <n v="1"/>
    <n v="60"/>
    <n v="111.74"/>
    <n v="6704.4"/>
    <n v="-515.57000000000005"/>
    <n v="0"/>
    <n v="804.54822799999999"/>
    <n v="6993.3782279999996"/>
  </r>
  <r>
    <x v="10"/>
    <x v="3"/>
    <x v="1"/>
    <x v="0"/>
    <x v="28"/>
    <s v="KEPL/00533/82-83"/>
    <s v="ISHWORI SUPPLIERS"/>
    <x v="49"/>
    <n v="1"/>
    <n v="15"/>
    <n v="260.72000000000003"/>
    <n v="3910.8"/>
    <n v="-300.74"/>
    <n v="0"/>
    <n v="469.30803499999996"/>
    <n v="4079.368035"/>
  </r>
  <r>
    <x v="6"/>
    <x v="3"/>
    <x v="1"/>
    <x v="0"/>
    <x v="28"/>
    <s v="KEPL/00533/82-83"/>
    <s v="ISHWORI SUPPLIERS"/>
    <x v="29"/>
    <n v="1"/>
    <n v="20"/>
    <n v="204.85"/>
    <n v="4097"/>
    <n v="-315.06"/>
    <n v="0"/>
    <n v="491.652446"/>
    <n v="4273.5924459999997"/>
  </r>
  <r>
    <x v="6"/>
    <x v="3"/>
    <x v="1"/>
    <x v="0"/>
    <x v="28"/>
    <s v="KEPL/00533/82-83"/>
    <s v="ISHWORI SUPPLIERS"/>
    <x v="48"/>
    <n v="1"/>
    <n v="20"/>
    <n v="204.85"/>
    <n v="4097"/>
    <n v="-315.06"/>
    <n v="0"/>
    <n v="491.652446"/>
    <n v="4273.5924459999997"/>
  </r>
  <r>
    <x v="3"/>
    <x v="3"/>
    <x v="1"/>
    <x v="0"/>
    <x v="28"/>
    <s v="KEPL/00533/82-83"/>
    <s v="ISHWORI SUPPLIERS"/>
    <x v="46"/>
    <n v="1"/>
    <n v="20"/>
    <n v="175.06"/>
    <n v="3501.2"/>
    <n v="-269.24"/>
    <n v="0"/>
    <n v="420.15501"/>
    <n v="3652.11501"/>
  </r>
  <r>
    <x v="2"/>
    <x v="3"/>
    <x v="1"/>
    <x v="0"/>
    <x v="28"/>
    <s v="KEPL/00533/82-83"/>
    <s v="ISHWORI SUPPLIERS"/>
    <x v="3"/>
    <n v="1"/>
    <n v="20"/>
    <n v="186.23"/>
    <n v="3724.6000000000004"/>
    <n v="-286.42"/>
    <n v="0"/>
    <n v="446.96362399999998"/>
    <n v="3885.1436239999998"/>
  </r>
  <r>
    <x v="9"/>
    <x v="3"/>
    <x v="1"/>
    <x v="0"/>
    <x v="28"/>
    <s v="KEPL/00533/82-83"/>
    <s v="ISHWORI SUPPLIERS"/>
    <x v="44"/>
    <n v="1"/>
    <n v="24"/>
    <n v="186.23"/>
    <n v="4469.5200000000004"/>
    <n v="-343.71"/>
    <n v="0"/>
    <n v="536.35556799999995"/>
    <n v="4662.1655680000003"/>
  </r>
  <r>
    <x v="6"/>
    <x v="3"/>
    <x v="1"/>
    <x v="0"/>
    <x v="28"/>
    <s v="KEPL/00533/82-83"/>
    <s v="ISHWORI SUPPLIERS"/>
    <x v="30"/>
    <n v="1"/>
    <n v="20"/>
    <n v="242.1"/>
    <n v="4841.9999999999991"/>
    <n v="-372.35"/>
    <n v="0"/>
    <n v="581.05479100000002"/>
    <n v="5050.7047910000001"/>
  </r>
  <r>
    <x v="0"/>
    <x v="3"/>
    <x v="1"/>
    <x v="0"/>
    <x v="28"/>
    <s v="KEPL/00533/82-83"/>
    <s v="ISHWORI SUPPLIERS"/>
    <x v="47"/>
    <n v="1"/>
    <n v="40"/>
    <n v="111.74"/>
    <n v="4469.6000000000004"/>
    <n v="-343.71"/>
    <n v="0"/>
    <n v="536.36596799999995"/>
    <n v="4662.2559680000004"/>
  </r>
  <r>
    <x v="6"/>
    <x v="3"/>
    <x v="1"/>
    <x v="0"/>
    <x v="28"/>
    <s v="KEPL/00533/82-83"/>
    <s v="ISHWORI SUPPLIERS"/>
    <x v="28"/>
    <n v="1"/>
    <n v="20"/>
    <n v="204.85"/>
    <n v="4097"/>
    <n v="-315.06"/>
    <n v="0"/>
    <n v="491.652446"/>
    <n v="4273.5924459999997"/>
  </r>
  <r>
    <x v="3"/>
    <x v="3"/>
    <x v="1"/>
    <x v="0"/>
    <x v="28"/>
    <s v="KEPL/00533/82-83"/>
    <s v="ISHWORI SUPPLIERS"/>
    <x v="54"/>
    <n v="1"/>
    <n v="20"/>
    <n v="175.06"/>
    <n v="3501.2"/>
    <n v="-269.24"/>
    <n v="0"/>
    <n v="420.15501"/>
    <n v="3652.11501"/>
  </r>
  <r>
    <x v="0"/>
    <x v="3"/>
    <x v="1"/>
    <x v="0"/>
    <x v="28"/>
    <s v="KEPL/00533/82-83"/>
    <s v="ISHWORI SUPPLIERS"/>
    <x v="57"/>
    <n v="1"/>
    <n v="40"/>
    <n v="111.74"/>
    <n v="4469.6000000000004"/>
    <n v="-343.71"/>
    <n v="0"/>
    <n v="536.36596799999995"/>
    <n v="4662.2559680000004"/>
  </r>
  <r>
    <x v="9"/>
    <x v="3"/>
    <x v="1"/>
    <x v="0"/>
    <x v="28"/>
    <s v="KEPL/00533/82-83"/>
    <s v="ISHWORI SUPPLIERS"/>
    <x v="22"/>
    <n v="1"/>
    <n v="24"/>
    <n v="204.85"/>
    <n v="4916.4000000000005"/>
    <n v="-378.07"/>
    <n v="0"/>
    <n v="589.98319500000002"/>
    <n v="5128.3131949999997"/>
  </r>
  <r>
    <x v="6"/>
    <x v="3"/>
    <x v="1"/>
    <x v="0"/>
    <x v="28"/>
    <s v="KEPL/00533/82-83"/>
    <s v="ISHWORI SUPPLIERS"/>
    <x v="59"/>
    <n v="1"/>
    <n v="20"/>
    <n v="204.85"/>
    <n v="4097"/>
    <n v="-315.06"/>
    <n v="0"/>
    <n v="491.652446"/>
    <n v="4273.5924459999997"/>
  </r>
  <r>
    <x v="3"/>
    <x v="3"/>
    <x v="1"/>
    <x v="0"/>
    <x v="28"/>
    <s v="KEPL/00533/82-83"/>
    <s v="ISHWORI SUPPLIERS"/>
    <x v="55"/>
    <n v="1"/>
    <n v="20"/>
    <n v="175.06"/>
    <n v="3501.2"/>
    <n v="-269.24"/>
    <n v="0"/>
    <n v="420.15501"/>
    <n v="3652.11501"/>
  </r>
  <r>
    <x v="10"/>
    <x v="3"/>
    <x v="1"/>
    <x v="0"/>
    <x v="28"/>
    <s v="KEPL/00533/82-83"/>
    <s v="ISHWORI SUPPLIERS"/>
    <x v="45"/>
    <n v="1"/>
    <n v="15"/>
    <n v="260.72000000000003"/>
    <n v="3910.8"/>
    <n v="-300.74"/>
    <n v="0"/>
    <n v="469.30803499999996"/>
    <n v="4079.368035"/>
  </r>
  <r>
    <x v="2"/>
    <x v="3"/>
    <x v="1"/>
    <x v="0"/>
    <x v="29"/>
    <s v="KEPL/00542/82-83"/>
    <s v="NEW MATA RANI SUPPLIERS"/>
    <x v="3"/>
    <n v="3"/>
    <n v="60"/>
    <n v="186.23"/>
    <n v="11173.8"/>
    <n v="-859.2700000000001"/>
    <n v="0"/>
    <n v="1340.8881249999999"/>
    <n v="11655.418125"/>
  </r>
  <r>
    <x v="20"/>
    <x v="3"/>
    <x v="1"/>
    <x v="0"/>
    <x v="29"/>
    <s v="KEPL/00542/82-83"/>
    <s v="NEW MATA RANI SUPPLIERS"/>
    <x v="52"/>
    <n v="10"/>
    <n v="40"/>
    <n v="595.92999999999995"/>
    <n v="23837.200000000001"/>
    <n v="-1833.08"/>
    <n v="0"/>
    <n v="2860.5339469999999"/>
    <n v="24864.653946999999"/>
  </r>
  <r>
    <x v="7"/>
    <x v="3"/>
    <x v="1"/>
    <x v="0"/>
    <x v="29"/>
    <s v="KEPL/00542/82-83"/>
    <s v="NEW MATA RANI SUPPLIERS"/>
    <x v="12"/>
    <n v="2"/>
    <n v="260"/>
    <n v="37.25"/>
    <n v="9685"/>
    <n v="-744.78"/>
    <n v="0"/>
    <n v="1162.227928"/>
    <n v="10102.447928"/>
  </r>
  <r>
    <x v="20"/>
    <x v="3"/>
    <x v="1"/>
    <x v="0"/>
    <x v="30"/>
    <s v="KEPL/00548/82-83"/>
    <s v="NILLONS L&amp;D"/>
    <x v="52"/>
    <n v="1"/>
    <n v="4"/>
    <n v="378.91"/>
    <n v="1515.64"/>
    <n v="0"/>
    <n v="0"/>
    <n v="197.03479899999999"/>
    <n v="1712.6747989999999"/>
  </r>
  <r>
    <x v="6"/>
    <x v="3"/>
    <x v="1"/>
    <x v="0"/>
    <x v="30"/>
    <s v="KEPL/00548/82-83"/>
    <s v="NILLONS L&amp;D"/>
    <x v="30"/>
    <n v="1"/>
    <n v="20"/>
    <n v="151.66999999999999"/>
    <n v="3033.4"/>
    <n v="0"/>
    <n v="0"/>
    <n v="394.34520099999997"/>
    <n v="3427.7452010000002"/>
  </r>
  <r>
    <x v="6"/>
    <x v="3"/>
    <x v="1"/>
    <x v="0"/>
    <x v="30"/>
    <s v="KEPL/00549/82-83"/>
    <s v="NILLONS L&amp;D"/>
    <x v="30"/>
    <n v="0.1"/>
    <n v="2"/>
    <n v="151.66999999999999"/>
    <n v="303.33999999999997"/>
    <n v="0"/>
    <n v="0"/>
    <n v="39.433816999999998"/>
    <n v="342.77381700000001"/>
  </r>
  <r>
    <x v="20"/>
    <x v="3"/>
    <x v="1"/>
    <x v="0"/>
    <x v="30"/>
    <s v="KEPL/00549/82-83"/>
    <s v="NILLONS L&amp;D"/>
    <x v="52"/>
    <n v="1"/>
    <n v="4"/>
    <n v="378.91"/>
    <n v="1515.64"/>
    <n v="0"/>
    <n v="0"/>
    <n v="197.03128699999999"/>
    <n v="1712.6712869999999"/>
  </r>
  <r>
    <x v="8"/>
    <x v="3"/>
    <x v="1"/>
    <x v="0"/>
    <x v="30"/>
    <s v="KEPL/00549/82-83"/>
    <s v="NILLONS L&amp;D"/>
    <x v="33"/>
    <n v="0.05"/>
    <n v="2"/>
    <n v="41.25"/>
    <n v="82.5"/>
    <n v="0"/>
    <n v="0"/>
    <n v="10.724895999999999"/>
    <n v="93.224896000000001"/>
  </r>
  <r>
    <x v="20"/>
    <x v="3"/>
    <x v="1"/>
    <x v="0"/>
    <x v="30"/>
    <s v="KEPL/00550/82-83"/>
    <s v="NILLONS L&amp;D"/>
    <x v="52"/>
    <n v="1"/>
    <n v="4"/>
    <n v="378.91"/>
    <n v="1515.64"/>
    <n v="0"/>
    <n v="0"/>
    <n v="197.03537699999998"/>
    <n v="1712.675377"/>
  </r>
  <r>
    <x v="17"/>
    <x v="3"/>
    <x v="1"/>
    <x v="0"/>
    <x v="30"/>
    <s v="KEPL/00550/82-83"/>
    <s v="NILLONS L&amp;D"/>
    <x v="39"/>
    <n v="0.1"/>
    <n v="2"/>
    <n v="216.9"/>
    <n v="433.8"/>
    <n v="0"/>
    <n v="0"/>
    <n v="56.394623000000003"/>
    <n v="490.19462299999998"/>
  </r>
  <r>
    <x v="8"/>
    <x v="3"/>
    <x v="1"/>
    <x v="0"/>
    <x v="30"/>
    <s v="KEPL/00552/82-83"/>
    <s v="R.P DISTRIBUTOR TRADE CENTER"/>
    <x v="34"/>
    <n v="1"/>
    <n v="40"/>
    <n v="67.040000000000006"/>
    <n v="2681.6"/>
    <n v="-206.22"/>
    <n v="0"/>
    <n v="321.79945500000002"/>
    <n v="2797.179455"/>
  </r>
  <r>
    <x v="7"/>
    <x v="3"/>
    <x v="1"/>
    <x v="0"/>
    <x v="30"/>
    <s v="KEPL/00552/82-83"/>
    <s v="R.P DISTRIBUTOR TRADE CENTER"/>
    <x v="27"/>
    <n v="10"/>
    <n v="700"/>
    <n v="32.78"/>
    <n v="22946"/>
    <n v="-1764.55"/>
    <n v="0"/>
    <n v="2753.5889749999997"/>
    <n v="23935.038974999999"/>
  </r>
  <r>
    <x v="7"/>
    <x v="3"/>
    <x v="1"/>
    <x v="0"/>
    <x v="30"/>
    <s v="KEPL/00552/82-83"/>
    <s v="R.P DISTRIBUTOR TRADE CENTER"/>
    <x v="12"/>
    <n v="1"/>
    <n v="130"/>
    <n v="37.25"/>
    <n v="4842.5"/>
    <n v="-372.39"/>
    <n v="0"/>
    <n v="581.11440000000005"/>
    <n v="5051.2244000000001"/>
  </r>
  <r>
    <x v="8"/>
    <x v="3"/>
    <x v="1"/>
    <x v="0"/>
    <x v="30"/>
    <s v="KEPL/00552/82-83"/>
    <s v="R.P DISTRIBUTOR TRADE CENTER"/>
    <x v="41"/>
    <n v="1"/>
    <n v="40"/>
    <n v="67.040000000000006"/>
    <n v="2681.6"/>
    <n v="-206.22"/>
    <n v="0"/>
    <n v="321.79945500000002"/>
    <n v="2797.179455"/>
  </r>
  <r>
    <x v="8"/>
    <x v="3"/>
    <x v="1"/>
    <x v="0"/>
    <x v="30"/>
    <s v="KEPL/00552/82-83"/>
    <s v="R.P DISTRIBUTOR TRADE CENTER"/>
    <x v="56"/>
    <n v="1"/>
    <n v="800"/>
    <n v="7.45"/>
    <n v="5960"/>
    <n v="-458.32"/>
    <n v="0"/>
    <n v="715.218523"/>
    <n v="6216.8985229999998"/>
  </r>
  <r>
    <x v="16"/>
    <x v="3"/>
    <x v="1"/>
    <x v="0"/>
    <x v="30"/>
    <s v="KEPL/00552/82-83"/>
    <s v="R.P DISTRIBUTOR TRADE CENTER"/>
    <x v="42"/>
    <n v="2"/>
    <n v="60"/>
    <n v="316.58999999999997"/>
    <n v="18995.399999999998"/>
    <n v="-1460.75"/>
    <n v="0"/>
    <n v="2279.5048929999998"/>
    <n v="19814.154892999999"/>
  </r>
  <r>
    <x v="3"/>
    <x v="3"/>
    <x v="1"/>
    <x v="0"/>
    <x v="30"/>
    <s v="KEPL/00552/82-83"/>
    <s v="R.P DISTRIBUTOR TRADE CENTER"/>
    <x v="46"/>
    <n v="10"/>
    <n v="200"/>
    <n v="175.06"/>
    <n v="35012"/>
    <n v="-2692.42"/>
    <n v="0"/>
    <n v="4201.5461240000004"/>
    <n v="36521.126124000002"/>
  </r>
  <r>
    <x v="20"/>
    <x v="3"/>
    <x v="1"/>
    <x v="0"/>
    <x v="30"/>
    <s v="KEPL/00552/82-83"/>
    <s v="R.P DISTRIBUTOR TRADE CENTER"/>
    <x v="52"/>
    <n v="5"/>
    <n v="20"/>
    <n v="595.92999999999995"/>
    <n v="11918.6"/>
    <n v="-916.54"/>
    <n v="0"/>
    <n v="1430.268047"/>
    <n v="12432.328047000001"/>
  </r>
  <r>
    <x v="0"/>
    <x v="3"/>
    <x v="1"/>
    <x v="0"/>
    <x v="30"/>
    <s v="KEPL/00552/82-83"/>
    <s v="R.P DISTRIBUTOR TRADE CENTER"/>
    <x v="47"/>
    <n v="15"/>
    <n v="600"/>
    <n v="111.74"/>
    <n v="67044"/>
    <n v="-5155.68"/>
    <n v="0"/>
    <n v="8045.4829869999994"/>
    <n v="69933.802987000003"/>
  </r>
  <r>
    <x v="10"/>
    <x v="3"/>
    <x v="1"/>
    <x v="0"/>
    <x v="30"/>
    <s v="KEPL/00552/82-83"/>
    <s v="R.P DISTRIBUTOR TRADE CENTER"/>
    <x v="49"/>
    <n v="5"/>
    <n v="75"/>
    <n v="260.72000000000003"/>
    <n v="19554"/>
    <n v="-1503.6999999999998"/>
    <n v="0"/>
    <n v="2346.539405"/>
    <n v="20396.839404999999"/>
  </r>
  <r>
    <x v="8"/>
    <x v="3"/>
    <x v="1"/>
    <x v="0"/>
    <x v="30"/>
    <s v="KEPL/00552/82-83"/>
    <s v="R.P DISTRIBUTOR TRADE CENTER"/>
    <x v="33"/>
    <n v="1"/>
    <n v="40"/>
    <n v="67.040000000000006"/>
    <n v="2681.6"/>
    <n v="-206.22"/>
    <n v="0"/>
    <n v="321.79945500000002"/>
    <n v="2797.179455"/>
  </r>
  <r>
    <x v="16"/>
    <x v="3"/>
    <x v="1"/>
    <x v="0"/>
    <x v="30"/>
    <s v="KEPL/00552/82-83"/>
    <s v="R.P DISTRIBUTOR TRADE CENTER"/>
    <x v="35"/>
    <n v="1"/>
    <n v="60"/>
    <n v="145.26"/>
    <n v="8715.6"/>
    <n v="-670.23"/>
    <n v="0"/>
    <n v="1045.8982799999999"/>
    <n v="9091.2682800000002"/>
  </r>
  <r>
    <x v="13"/>
    <x v="3"/>
    <x v="1"/>
    <x v="0"/>
    <x v="30"/>
    <s v="KEPL/00553/82-83"/>
    <s v="BEERA BARJEE INTERNATIONAL PVT.LTD"/>
    <x v="23"/>
    <n v="1"/>
    <n v="600"/>
    <n v="7.46"/>
    <n v="4476"/>
    <n v="-344.2"/>
    <n v="0"/>
    <n v="537.13405699999998"/>
    <n v="4668.9340570000004"/>
  </r>
  <r>
    <x v="8"/>
    <x v="3"/>
    <x v="1"/>
    <x v="0"/>
    <x v="30"/>
    <s v="KEPL/00553/82-83"/>
    <s v="BEERA BARJEE INTERNATIONAL PVT.LTD"/>
    <x v="34"/>
    <n v="3"/>
    <n v="120"/>
    <n v="67.040000000000006"/>
    <n v="8044.8"/>
    <n v="-618.65"/>
    <n v="0"/>
    <n v="965.39960299999996"/>
    <n v="8391.5496029999995"/>
  </r>
  <r>
    <x v="11"/>
    <x v="3"/>
    <x v="1"/>
    <x v="0"/>
    <x v="30"/>
    <s v="KEPL/00553/82-83"/>
    <s v="BEERA BARJEE INTERNATIONAL PVT.LTD"/>
    <x v="37"/>
    <n v="2"/>
    <n v="80"/>
    <n v="81.94"/>
    <n v="6555.2"/>
    <n v="-504.09"/>
    <n v="0"/>
    <n v="786.64438399999995"/>
    <n v="6837.7543839999998"/>
  </r>
  <r>
    <x v="3"/>
    <x v="3"/>
    <x v="1"/>
    <x v="0"/>
    <x v="30"/>
    <s v="KEPL/00553/82-83"/>
    <s v="BEERA BARJEE INTERNATIONAL PVT.LTD"/>
    <x v="55"/>
    <n v="1"/>
    <n v="20"/>
    <n v="175.06"/>
    <n v="3501.2"/>
    <n v="-269.24"/>
    <n v="0"/>
    <n v="420.15484500000002"/>
    <n v="3652.1148450000001"/>
  </r>
  <r>
    <x v="13"/>
    <x v="3"/>
    <x v="1"/>
    <x v="0"/>
    <x v="30"/>
    <s v="KEPL/00553/82-83"/>
    <s v="BEERA BARJEE INTERNATIONAL PVT.LTD"/>
    <x v="50"/>
    <n v="2"/>
    <n v="480"/>
    <n v="14.9"/>
    <n v="7152"/>
    <n v="-549.99"/>
    <n v="0"/>
    <n v="858.26139199999989"/>
    <n v="7460.2713919999997"/>
  </r>
  <r>
    <x v="2"/>
    <x v="3"/>
    <x v="1"/>
    <x v="0"/>
    <x v="30"/>
    <s v="KEPL/00553/82-83"/>
    <s v="BEERA BARJEE INTERNATIONAL PVT.LTD"/>
    <x v="3"/>
    <n v="3"/>
    <n v="60"/>
    <n v="186.23"/>
    <n v="11173.8"/>
    <n v="-859.2700000000001"/>
    <n v="0"/>
    <n v="1340.8890429999999"/>
    <n v="11655.419043"/>
  </r>
  <r>
    <x v="9"/>
    <x v="3"/>
    <x v="1"/>
    <x v="0"/>
    <x v="30"/>
    <s v="KEPL/00553/82-83"/>
    <s v="BEERA BARJEE INTERNATIONAL PVT.LTD"/>
    <x v="22"/>
    <n v="3"/>
    <n v="72"/>
    <n v="204.85"/>
    <n v="14749.199999999999"/>
    <n v="-1134.21"/>
    <n v="0"/>
    <n v="1769.948889"/>
    <n v="15384.938888999999"/>
  </r>
  <r>
    <x v="8"/>
    <x v="3"/>
    <x v="1"/>
    <x v="0"/>
    <x v="30"/>
    <s v="KEPL/00553/82-83"/>
    <s v="BEERA BARJEE INTERNATIONAL PVT.LTD"/>
    <x v="41"/>
    <n v="3"/>
    <n v="120"/>
    <n v="67.040000000000006"/>
    <n v="8044.8"/>
    <n v="-618.65"/>
    <n v="0"/>
    <n v="965.39960299999996"/>
    <n v="8391.5496029999995"/>
  </r>
  <r>
    <x v="8"/>
    <x v="3"/>
    <x v="1"/>
    <x v="0"/>
    <x v="30"/>
    <s v="KEPL/00553/82-83"/>
    <s v="BEERA BARJEE INTERNATIONAL PVT.LTD"/>
    <x v="33"/>
    <n v="3"/>
    <n v="120"/>
    <n v="67.040000000000006"/>
    <n v="8044.8"/>
    <n v="-618.65"/>
    <n v="0"/>
    <n v="965.39960299999996"/>
    <n v="8391.5496029999995"/>
  </r>
  <r>
    <x v="9"/>
    <x v="3"/>
    <x v="1"/>
    <x v="0"/>
    <x v="30"/>
    <s v="KEPL/00553/82-83"/>
    <s v="BEERA BARJEE INTERNATIONAL PVT.LTD"/>
    <x v="38"/>
    <n v="1"/>
    <n v="24"/>
    <n v="186.23"/>
    <n v="4469.5200000000004"/>
    <n v="-343.71"/>
    <n v="0"/>
    <n v="536.35535700000003"/>
    <n v="4662.1653569999999"/>
  </r>
  <r>
    <x v="11"/>
    <x v="3"/>
    <x v="1"/>
    <x v="0"/>
    <x v="30"/>
    <s v="KEPL/00553/82-83"/>
    <s v="BEERA BARJEE INTERNATIONAL PVT.LTD"/>
    <x v="36"/>
    <n v="2"/>
    <n v="80"/>
    <n v="81.94"/>
    <n v="6555.2"/>
    <n v="-504.09"/>
    <n v="0"/>
    <n v="786.64438399999995"/>
    <n v="6837.7543839999998"/>
  </r>
  <r>
    <x v="11"/>
    <x v="3"/>
    <x v="1"/>
    <x v="0"/>
    <x v="30"/>
    <s v="KEPL/00553/82-83"/>
    <s v="BEERA BARJEE INTERNATIONAL PVT.LTD"/>
    <x v="53"/>
    <n v="2"/>
    <n v="80"/>
    <n v="81.94"/>
    <n v="6555.2"/>
    <n v="-504.09"/>
    <n v="0"/>
    <n v="786.64438399999995"/>
    <n v="6837.7543839999998"/>
  </r>
  <r>
    <x v="3"/>
    <x v="3"/>
    <x v="1"/>
    <x v="0"/>
    <x v="30"/>
    <s v="KEPL/00553/82-83"/>
    <s v="BEERA BARJEE INTERNATIONAL PVT.LTD"/>
    <x v="46"/>
    <n v="1"/>
    <n v="20"/>
    <n v="175.06"/>
    <n v="3501.2"/>
    <n v="-269.24"/>
    <n v="0"/>
    <n v="420.15484500000002"/>
    <n v="3652.1148450000001"/>
  </r>
  <r>
    <x v="17"/>
    <x v="3"/>
    <x v="1"/>
    <x v="0"/>
    <x v="30"/>
    <s v="KEPL/00553/82-83"/>
    <s v="BEERA BARJEE INTERNATIONAL PVT.LTD"/>
    <x v="39"/>
    <n v="1"/>
    <n v="20"/>
    <n v="249.55"/>
    <n v="4991"/>
    <n v="-383.81"/>
    <n v="0"/>
    <n v="598.93476399999997"/>
    <n v="5206.1247640000001"/>
  </r>
  <r>
    <x v="3"/>
    <x v="3"/>
    <x v="1"/>
    <x v="0"/>
    <x v="30"/>
    <s v="KEPL/00553/82-83"/>
    <s v="BEERA BARJEE INTERNATIONAL PVT.LTD"/>
    <x v="54"/>
    <n v="1"/>
    <n v="20"/>
    <n v="175.06"/>
    <n v="3501.2"/>
    <n v="-269.24"/>
    <n v="0"/>
    <n v="420.15484500000002"/>
    <n v="3652.1148450000001"/>
  </r>
  <r>
    <x v="6"/>
    <x v="3"/>
    <x v="1"/>
    <x v="0"/>
    <x v="30"/>
    <s v="KEPL/00554/82-83"/>
    <s v="BEERA BARJEE INTERNATIONAL PVT.LTD"/>
    <x v="48"/>
    <n v="1"/>
    <n v="20"/>
    <n v="204.85"/>
    <n v="4097"/>
    <n v="-315.06"/>
    <n v="0"/>
    <n v="491.65198400000003"/>
    <n v="4273.5919839999997"/>
  </r>
  <r>
    <x v="8"/>
    <x v="3"/>
    <x v="1"/>
    <x v="0"/>
    <x v="30"/>
    <s v="KEPL/00554/82-83"/>
    <s v="BEERA BARJEE INTERNATIONAL PVT.LTD"/>
    <x v="13"/>
    <n v="3"/>
    <n v="72"/>
    <n v="141.54"/>
    <n v="10190.879999999999"/>
    <n v="-783.68"/>
    <n v="0"/>
    <n v="1222.9354640000001"/>
    <n v="10630.135464000001"/>
  </r>
  <r>
    <x v="6"/>
    <x v="3"/>
    <x v="1"/>
    <x v="0"/>
    <x v="30"/>
    <s v="KEPL/00554/82-83"/>
    <s v="BEERA BARJEE INTERNATIONAL PVT.LTD"/>
    <x v="59"/>
    <n v="1"/>
    <n v="20"/>
    <n v="204.85"/>
    <n v="4097"/>
    <n v="-315.06"/>
    <n v="0"/>
    <n v="491.65198400000003"/>
    <n v="4273.5919839999997"/>
  </r>
  <r>
    <x v="13"/>
    <x v="3"/>
    <x v="1"/>
    <x v="0"/>
    <x v="30"/>
    <s v="KEPL/00554/82-83"/>
    <s v="BEERA BARJEE INTERNATIONAL PVT.LTD"/>
    <x v="21"/>
    <n v="2"/>
    <n v="480"/>
    <n v="14.9"/>
    <n v="7152"/>
    <n v="-549.99"/>
    <n v="0"/>
    <n v="858.26092400000005"/>
    <n v="7460.2709240000004"/>
  </r>
  <r>
    <x v="6"/>
    <x v="3"/>
    <x v="1"/>
    <x v="0"/>
    <x v="30"/>
    <s v="KEPL/00554/82-83"/>
    <s v="BEERA BARJEE INTERNATIONAL PVT.LTD"/>
    <x v="28"/>
    <n v="1"/>
    <n v="20"/>
    <n v="204.85"/>
    <n v="4097"/>
    <n v="-315.06"/>
    <n v="0"/>
    <n v="491.65198400000003"/>
    <n v="4273.5919839999997"/>
  </r>
  <r>
    <x v="6"/>
    <x v="3"/>
    <x v="1"/>
    <x v="0"/>
    <x v="30"/>
    <s v="KEPL/00554/82-83"/>
    <s v="BEERA BARJEE INTERNATIONAL PVT.LTD"/>
    <x v="29"/>
    <n v="1"/>
    <n v="20"/>
    <n v="204.85"/>
    <n v="4097"/>
    <n v="-315.06"/>
    <n v="0"/>
    <n v="491.65198400000003"/>
    <n v="4273.5919839999997"/>
  </r>
  <r>
    <x v="9"/>
    <x v="3"/>
    <x v="1"/>
    <x v="0"/>
    <x v="30"/>
    <s v="KEPL/00554/82-83"/>
    <s v="BEERA BARJEE INTERNATIONAL PVT.LTD"/>
    <x v="44"/>
    <n v="2"/>
    <n v="48"/>
    <n v="186.23"/>
    <n v="8939.0400000000009"/>
    <n v="-687.41"/>
    <n v="0"/>
    <n v="1072.7114300000001"/>
    <n v="9324.3414300000004"/>
  </r>
  <r>
    <x v="6"/>
    <x v="3"/>
    <x v="1"/>
    <x v="0"/>
    <x v="30"/>
    <s v="KEPL/00554/82-83"/>
    <s v="BEERA BARJEE INTERNATIONAL PVT.LTD"/>
    <x v="30"/>
    <n v="1"/>
    <n v="20"/>
    <n v="242.1"/>
    <n v="4841.9999999999991"/>
    <n v="-372.35"/>
    <n v="0"/>
    <n v="581.05424499999992"/>
    <n v="5050.7042449999999"/>
  </r>
  <r>
    <x v="11"/>
    <x v="3"/>
    <x v="1"/>
    <x v="0"/>
    <x v="30"/>
    <s v="KEPL/00555/82-83"/>
    <s v="AASHI TRADERS"/>
    <x v="36"/>
    <n v="5"/>
    <n v="200"/>
    <n v="81.94"/>
    <n v="16388"/>
    <n v="-1260.24"/>
    <n v="0"/>
    <n v="1966.6065859999999"/>
    <n v="17094.366586"/>
  </r>
  <r>
    <x v="11"/>
    <x v="3"/>
    <x v="1"/>
    <x v="0"/>
    <x v="30"/>
    <s v="KEPL/00555/82-83"/>
    <s v="AASHI TRADERS"/>
    <x v="37"/>
    <n v="2"/>
    <n v="80"/>
    <n v="81.94"/>
    <n v="6555.2"/>
    <n v="-504.09"/>
    <n v="0"/>
    <n v="786.64341400000001"/>
    <n v="6837.7534139999998"/>
  </r>
  <r>
    <x v="11"/>
    <x v="3"/>
    <x v="1"/>
    <x v="0"/>
    <x v="30"/>
    <s v="KEPL/00556/82-83"/>
    <s v="SHREE EXIM"/>
    <x v="37"/>
    <n v="2"/>
    <n v="80"/>
    <n v="81.94"/>
    <n v="6555.2"/>
    <n v="-504.09"/>
    <n v="0"/>
    <n v="786.644136"/>
    <n v="6837.7541359999996"/>
  </r>
  <r>
    <x v="7"/>
    <x v="3"/>
    <x v="1"/>
    <x v="0"/>
    <x v="30"/>
    <s v="KEPL/00556/82-83"/>
    <s v="SHREE EXIM"/>
    <x v="12"/>
    <n v="1"/>
    <n v="130"/>
    <n v="37.25"/>
    <n v="4842.5"/>
    <n v="-372.39"/>
    <n v="0"/>
    <n v="581.11417900000004"/>
    <n v="5051.2241789999998"/>
  </r>
  <r>
    <x v="2"/>
    <x v="3"/>
    <x v="1"/>
    <x v="0"/>
    <x v="30"/>
    <s v="KEPL/00556/82-83"/>
    <s v="SHREE EXIM"/>
    <x v="3"/>
    <n v="3"/>
    <n v="60"/>
    <n v="186.23"/>
    <n v="11173.8"/>
    <n v="-859.2700000000001"/>
    <n v="0"/>
    <n v="1340.8886200000002"/>
    <n v="11655.41862"/>
  </r>
  <r>
    <x v="13"/>
    <x v="3"/>
    <x v="1"/>
    <x v="0"/>
    <x v="30"/>
    <s v="KEPL/00556/82-83"/>
    <s v="SHREE EXIM"/>
    <x v="23"/>
    <n v="2"/>
    <n v="1200"/>
    <n v="7.46"/>
    <n v="8952"/>
    <n v="-688.41"/>
    <n v="0"/>
    <n v="1074.266476"/>
    <n v="9337.8564760000008"/>
  </r>
  <r>
    <x v="3"/>
    <x v="3"/>
    <x v="1"/>
    <x v="0"/>
    <x v="30"/>
    <s v="KEPL/00556/82-83"/>
    <s v="SHREE EXIM"/>
    <x v="55"/>
    <n v="2"/>
    <n v="40"/>
    <n v="175.06"/>
    <n v="7002.4"/>
    <n v="-538.48"/>
    <n v="0"/>
    <n v="840.30942500000003"/>
    <n v="7304.2294250000004"/>
  </r>
  <r>
    <x v="1"/>
    <x v="3"/>
    <x v="1"/>
    <x v="0"/>
    <x v="30"/>
    <s v="KEPL/00556/82-83"/>
    <s v="SHREE EXIM"/>
    <x v="24"/>
    <n v="1"/>
    <n v="18"/>
    <n v="178.78"/>
    <n v="3218.0400000000004"/>
    <n v="-247.47"/>
    <n v="0"/>
    <n v="386.17401899999999"/>
    <n v="3356.7440190000002"/>
  </r>
  <r>
    <x v="8"/>
    <x v="3"/>
    <x v="1"/>
    <x v="0"/>
    <x v="30"/>
    <s v="KEPL/00556/82-83"/>
    <s v="SHREE EXIM"/>
    <x v="13"/>
    <n v="1"/>
    <n v="24"/>
    <n v="141.54"/>
    <n v="3396.96"/>
    <n v="-261.23"/>
    <n v="0"/>
    <n v="407.64481499999999"/>
    <n v="3543.3748150000001"/>
  </r>
  <r>
    <x v="11"/>
    <x v="3"/>
    <x v="1"/>
    <x v="0"/>
    <x v="30"/>
    <s v="KEPL/00556/82-83"/>
    <s v="SHREE EXIM"/>
    <x v="36"/>
    <n v="2"/>
    <n v="80"/>
    <n v="81.94"/>
    <n v="6555.2"/>
    <n v="-504.09"/>
    <n v="0"/>
    <n v="786.644136"/>
    <n v="6837.7541359999996"/>
  </r>
  <r>
    <x v="6"/>
    <x v="3"/>
    <x v="1"/>
    <x v="0"/>
    <x v="30"/>
    <s v="KEPL/00556/82-83"/>
    <s v="SHREE EXIM"/>
    <x v="48"/>
    <n v="1"/>
    <n v="20"/>
    <n v="204.85"/>
    <n v="4097"/>
    <n v="-315.06"/>
    <n v="0"/>
    <n v="491.65209699999997"/>
    <n v="4273.5920969999997"/>
  </r>
  <r>
    <x v="6"/>
    <x v="3"/>
    <x v="1"/>
    <x v="0"/>
    <x v="30"/>
    <s v="KEPL/00556/82-83"/>
    <s v="SHREE EXIM"/>
    <x v="28"/>
    <n v="1"/>
    <n v="20"/>
    <n v="204.85"/>
    <n v="4097"/>
    <n v="-315.06"/>
    <n v="0"/>
    <n v="491.65209699999997"/>
    <n v="4273.5920969999997"/>
  </r>
  <r>
    <x v="11"/>
    <x v="3"/>
    <x v="1"/>
    <x v="0"/>
    <x v="30"/>
    <s v="KEPL/00557/82-83"/>
    <s v="NEW MATA RANI SUPPLIERS"/>
    <x v="36"/>
    <n v="2"/>
    <n v="80"/>
    <n v="81.94"/>
    <n v="6555.2"/>
    <n v="-504.09"/>
    <n v="0"/>
    <n v="786.64321199999995"/>
    <n v="6837.7532119999996"/>
  </r>
  <r>
    <x v="15"/>
    <x v="3"/>
    <x v="1"/>
    <x v="0"/>
    <x v="30"/>
    <s v="KEPL/00557/82-83"/>
    <s v="NEW MATA RANI SUPPLIERS"/>
    <x v="32"/>
    <n v="1"/>
    <n v="60"/>
    <n v="111.74"/>
    <n v="6704.4"/>
    <n v="-515.57000000000005"/>
    <n v="0"/>
    <n v="804.54678799999999"/>
    <n v="6993.3767879999996"/>
  </r>
  <r>
    <x v="17"/>
    <x v="3"/>
    <x v="1"/>
    <x v="0"/>
    <x v="30"/>
    <s v="KEPL/00558/82-83"/>
    <s v="ISHWORI SUPPLIERS"/>
    <x v="39"/>
    <n v="10"/>
    <n v="200"/>
    <n v="249.55"/>
    <n v="49910"/>
    <n v="-3838.08"/>
    <n v="0"/>
    <n v="5989.3499999999995"/>
    <n v="52061.27"/>
  </r>
  <r>
    <x v="16"/>
    <x v="3"/>
    <x v="1"/>
    <x v="0"/>
    <x v="31"/>
    <s v="KEPL/00562/82-83"/>
    <s v="MEGA MART PVT.LTD"/>
    <x v="42"/>
    <n v="9"/>
    <n v="270"/>
    <n v="282.08"/>
    <n v="76161.600000000006"/>
    <n v="0"/>
    <n v="0"/>
    <n v="9901.0087909999984"/>
    <n v="86062.608791000006"/>
  </r>
  <r>
    <x v="16"/>
    <x v="3"/>
    <x v="1"/>
    <x v="0"/>
    <x v="31"/>
    <s v="KEPL/00562/82-83"/>
    <s v="MEGA MART PVT.LTD"/>
    <x v="35"/>
    <n v="15"/>
    <n v="900"/>
    <n v="129.41999999999999"/>
    <n v="116478"/>
    <n v="0"/>
    <n v="0"/>
    <n v="15142.141208999999"/>
    <n v="131620.14120899999"/>
  </r>
  <r>
    <x v="0"/>
    <x v="3"/>
    <x v="1"/>
    <x v="0"/>
    <x v="32"/>
    <s v="KEPL/00566/82-83"/>
    <s v="NEW HORIZON DISTRIBUTORS"/>
    <x v="47"/>
    <n v="1"/>
    <n v="40"/>
    <n v="111.74"/>
    <n v="4469.6000000000004"/>
    <n v="-343.71"/>
    <n v="0"/>
    <n v="536.36584300000004"/>
    <n v="4662.2558429999999"/>
  </r>
  <r>
    <x v="13"/>
    <x v="3"/>
    <x v="1"/>
    <x v="0"/>
    <x v="32"/>
    <s v="KEPL/00566/82-83"/>
    <s v="NEW HORIZON DISTRIBUTORS"/>
    <x v="21"/>
    <n v="1"/>
    <n v="240"/>
    <n v="14.9"/>
    <n v="3576"/>
    <n v="-274.99"/>
    <n v="0"/>
    <n v="429.13141399999995"/>
    <n v="3730.1414140000002"/>
  </r>
  <r>
    <x v="10"/>
    <x v="3"/>
    <x v="1"/>
    <x v="0"/>
    <x v="32"/>
    <s v="KEPL/00566/82-83"/>
    <s v="NEW HORIZON DISTRIBUTORS"/>
    <x v="49"/>
    <n v="1"/>
    <n v="15"/>
    <n v="260.72000000000003"/>
    <n v="3910.8"/>
    <n v="-300.74"/>
    <n v="0"/>
    <n v="469.30792499999995"/>
    <n v="4079.367925"/>
  </r>
  <r>
    <x v="9"/>
    <x v="3"/>
    <x v="1"/>
    <x v="0"/>
    <x v="32"/>
    <s v="KEPL/00566/82-83"/>
    <s v="NEW HORIZON DISTRIBUTORS"/>
    <x v="22"/>
    <n v="1"/>
    <n v="24"/>
    <n v="204.85"/>
    <n v="4916.4000000000005"/>
    <n v="-378.07"/>
    <n v="0"/>
    <n v="589.98305700000003"/>
    <n v="5128.3130570000003"/>
  </r>
  <r>
    <x v="8"/>
    <x v="3"/>
    <x v="1"/>
    <x v="0"/>
    <x v="32"/>
    <s v="KEPL/00566/82-83"/>
    <s v="NEW HORIZON DISTRIBUTORS"/>
    <x v="13"/>
    <n v="1"/>
    <n v="24"/>
    <n v="141.54"/>
    <n v="3396.96"/>
    <n v="-261.23"/>
    <n v="0"/>
    <n v="407.64500900000002"/>
    <n v="3543.3750089999999"/>
  </r>
  <r>
    <x v="10"/>
    <x v="3"/>
    <x v="1"/>
    <x v="0"/>
    <x v="32"/>
    <s v="KEPL/00566/82-83"/>
    <s v="NEW HORIZON DISTRIBUTORS"/>
    <x v="45"/>
    <n v="1"/>
    <n v="15"/>
    <n v="260.72000000000003"/>
    <n v="3910.8"/>
    <n v="-300.74"/>
    <n v="0"/>
    <n v="469.30792499999995"/>
    <n v="4079.367925"/>
  </r>
  <r>
    <x v="3"/>
    <x v="3"/>
    <x v="1"/>
    <x v="0"/>
    <x v="32"/>
    <s v="KEPL/00566/82-83"/>
    <s v="NEW HORIZON DISTRIBUTORS"/>
    <x v="46"/>
    <n v="1"/>
    <n v="20"/>
    <n v="175.06"/>
    <n v="3501.2"/>
    <n v="-269.24"/>
    <n v="0"/>
    <n v="420.15491200000002"/>
    <n v="3652.114912"/>
  </r>
  <r>
    <x v="9"/>
    <x v="3"/>
    <x v="1"/>
    <x v="0"/>
    <x v="32"/>
    <s v="KEPL/00566/82-83"/>
    <s v="NEW HORIZON DISTRIBUTORS"/>
    <x v="44"/>
    <n v="1"/>
    <n v="24"/>
    <n v="186.23"/>
    <n v="4469.5200000000004"/>
    <n v="-343.71"/>
    <n v="0"/>
    <n v="536.35544300000004"/>
    <n v="4662.1654429999999"/>
  </r>
  <r>
    <x v="1"/>
    <x v="3"/>
    <x v="1"/>
    <x v="0"/>
    <x v="32"/>
    <s v="KEPL/00566/82-83"/>
    <s v="NEW HORIZON DISTRIBUTORS"/>
    <x v="26"/>
    <n v="1"/>
    <n v="18"/>
    <n v="178.78"/>
    <n v="3218.0400000000004"/>
    <n v="-247.47"/>
    <n v="0"/>
    <n v="386.17420300000003"/>
    <n v="3356.7442030000002"/>
  </r>
  <r>
    <x v="1"/>
    <x v="3"/>
    <x v="1"/>
    <x v="0"/>
    <x v="32"/>
    <s v="KEPL/00566/82-83"/>
    <s v="NEW HORIZON DISTRIBUTORS"/>
    <x v="24"/>
    <n v="1"/>
    <n v="18"/>
    <n v="178.78"/>
    <n v="3218.0400000000004"/>
    <n v="-247.47"/>
    <n v="0"/>
    <n v="386.17420300000003"/>
    <n v="3356.7442030000002"/>
  </r>
  <r>
    <x v="2"/>
    <x v="3"/>
    <x v="1"/>
    <x v="0"/>
    <x v="32"/>
    <s v="KEPL/00566/82-83"/>
    <s v="NEW HORIZON DISTRIBUTORS"/>
    <x v="3"/>
    <n v="1"/>
    <n v="20"/>
    <n v="186.23"/>
    <n v="3724.6000000000004"/>
    <n v="-286.42"/>
    <n v="0"/>
    <n v="446.96351900000002"/>
    <n v="3885.1435190000002"/>
  </r>
  <r>
    <x v="13"/>
    <x v="3"/>
    <x v="1"/>
    <x v="0"/>
    <x v="32"/>
    <s v="KEPL/00566/82-83"/>
    <s v="NEW HORIZON DISTRIBUTORS"/>
    <x v="23"/>
    <n v="1"/>
    <n v="600"/>
    <n v="7.46"/>
    <n v="4476"/>
    <n v="-344.2"/>
    <n v="0"/>
    <n v="537.13414299999999"/>
    <n v="4668.9341430000004"/>
  </r>
  <r>
    <x v="3"/>
    <x v="3"/>
    <x v="1"/>
    <x v="0"/>
    <x v="32"/>
    <s v="KEPL/00566/82-83"/>
    <s v="NEW HORIZON DISTRIBUTORS"/>
    <x v="55"/>
    <n v="1"/>
    <n v="20"/>
    <n v="175.06"/>
    <n v="3501.2"/>
    <n v="-269.24"/>
    <n v="0"/>
    <n v="420.15491200000002"/>
    <n v="3652.114912"/>
  </r>
  <r>
    <x v="6"/>
    <x v="3"/>
    <x v="1"/>
    <x v="0"/>
    <x v="32"/>
    <s v="KEPL/00566/82-83"/>
    <s v="NEW HORIZON DISTRIBUTORS"/>
    <x v="59"/>
    <n v="1"/>
    <n v="20"/>
    <n v="204.85"/>
    <n v="4097"/>
    <n v="-315.06"/>
    <n v="0"/>
    <n v="491.652331"/>
    <n v="4273.5923309999998"/>
  </r>
  <r>
    <x v="0"/>
    <x v="3"/>
    <x v="1"/>
    <x v="0"/>
    <x v="32"/>
    <s v="KEPL/00566/82-83"/>
    <s v="NEW HORIZON DISTRIBUTORS"/>
    <x v="57"/>
    <n v="1"/>
    <n v="40"/>
    <n v="111.74"/>
    <n v="4469.6000000000004"/>
    <n v="-343.71"/>
    <n v="0"/>
    <n v="536.36584300000004"/>
    <n v="4662.2558429999999"/>
  </r>
  <r>
    <x v="6"/>
    <x v="3"/>
    <x v="1"/>
    <x v="0"/>
    <x v="32"/>
    <s v="KEPL/00566/82-83"/>
    <s v="NEW HORIZON DISTRIBUTORS"/>
    <x v="30"/>
    <n v="1"/>
    <n v="20"/>
    <n v="242.1"/>
    <n v="4841.9999999999991"/>
    <n v="-372.35"/>
    <n v="0"/>
    <n v="581.05465500000003"/>
    <n v="5050.7046549999995"/>
  </r>
  <r>
    <x v="6"/>
    <x v="3"/>
    <x v="1"/>
    <x v="0"/>
    <x v="32"/>
    <s v="KEPL/00566/82-83"/>
    <s v="NEW HORIZON DISTRIBUTORS"/>
    <x v="29"/>
    <n v="1"/>
    <n v="20"/>
    <n v="204.85"/>
    <n v="4097"/>
    <n v="-315.06"/>
    <n v="0"/>
    <n v="491.652331"/>
    <n v="4273.5923309999998"/>
  </r>
  <r>
    <x v="6"/>
    <x v="3"/>
    <x v="1"/>
    <x v="0"/>
    <x v="32"/>
    <s v="KEPL/00566/82-83"/>
    <s v="NEW HORIZON DISTRIBUTORS"/>
    <x v="48"/>
    <n v="1"/>
    <n v="20"/>
    <n v="204.85"/>
    <n v="4097"/>
    <n v="-315.06"/>
    <n v="0"/>
    <n v="491.652331"/>
    <n v="4273.5923309999998"/>
  </r>
  <r>
    <x v="18"/>
    <x v="3"/>
    <x v="1"/>
    <x v="0"/>
    <x v="32"/>
    <s v="KEPL/00567/82-83"/>
    <s v="NEW HORIZON DISTRIBUTORS"/>
    <x v="43"/>
    <n v="1"/>
    <n v="60"/>
    <n v="111.74"/>
    <n v="6704.4"/>
    <n v="-515.57000000000005"/>
    <n v="0"/>
    <n v="804.54807500000004"/>
    <n v="6993.3780749999996"/>
  </r>
  <r>
    <x v="6"/>
    <x v="3"/>
    <x v="1"/>
    <x v="0"/>
    <x v="32"/>
    <s v="KEPL/00567/82-83"/>
    <s v="NEW HORIZON DISTRIBUTORS"/>
    <x v="28"/>
    <n v="1"/>
    <n v="20"/>
    <n v="204.85"/>
    <n v="4097"/>
    <n v="-315.06"/>
    <n v="0"/>
    <n v="491.65230700000001"/>
    <n v="4273.5923069999999"/>
  </r>
  <r>
    <x v="9"/>
    <x v="3"/>
    <x v="1"/>
    <x v="0"/>
    <x v="32"/>
    <s v="KEPL/00567/82-83"/>
    <s v="NEW HORIZON DISTRIBUTORS"/>
    <x v="38"/>
    <n v="1"/>
    <n v="24"/>
    <n v="186.23"/>
    <n v="4469.5200000000004"/>
    <n v="-343.71"/>
    <n v="0"/>
    <n v="536.35541699999999"/>
    <n v="4662.1654170000002"/>
  </r>
  <r>
    <x v="0"/>
    <x v="3"/>
    <x v="1"/>
    <x v="0"/>
    <x v="32"/>
    <s v="KEPL/00567/82-83"/>
    <s v="NEW HORIZON DISTRIBUTORS"/>
    <x v="0"/>
    <n v="1"/>
    <n v="40"/>
    <n v="111.74"/>
    <n v="4469.6000000000004"/>
    <n v="-343.71"/>
    <n v="0"/>
    <n v="536.36581699999999"/>
    <n v="4662.2558170000002"/>
  </r>
  <r>
    <x v="11"/>
    <x v="3"/>
    <x v="1"/>
    <x v="0"/>
    <x v="32"/>
    <s v="KEPL/00567/82-83"/>
    <s v="NEW HORIZON DISTRIBUTORS"/>
    <x v="37"/>
    <n v="1"/>
    <n v="40"/>
    <n v="81.94"/>
    <n v="3277.6"/>
    <n v="-252.05"/>
    <n v="0"/>
    <n v="393.32158599999997"/>
    <n v="3418.8715860000002"/>
  </r>
  <r>
    <x v="8"/>
    <x v="3"/>
    <x v="1"/>
    <x v="0"/>
    <x v="32"/>
    <s v="KEPL/00567/82-83"/>
    <s v="NEW HORIZON DISTRIBUTORS"/>
    <x v="33"/>
    <n v="0.95"/>
    <n v="38"/>
    <n v="67.040000000000006"/>
    <n v="2547.52"/>
    <n v="-195.9"/>
    <n v="0"/>
    <n v="305.710667"/>
    <n v="2657.3306670000002"/>
  </r>
  <r>
    <x v="7"/>
    <x v="3"/>
    <x v="1"/>
    <x v="0"/>
    <x v="32"/>
    <s v="KEPL/00567/82-83"/>
    <s v="NEW HORIZON DISTRIBUTORS"/>
    <x v="12"/>
    <n v="1"/>
    <n v="130"/>
    <n v="33.520000000000003"/>
    <n v="4357.6000000000004"/>
    <n v="-335.1"/>
    <n v="0"/>
    <n v="522.92511400000001"/>
    <n v="4545.4251139999997"/>
  </r>
  <r>
    <x v="8"/>
    <x v="3"/>
    <x v="1"/>
    <x v="0"/>
    <x v="32"/>
    <s v="KEPL/00567/82-83"/>
    <s v="NEW HORIZON DISTRIBUTORS"/>
    <x v="34"/>
    <n v="1"/>
    <n v="40"/>
    <n v="67.040000000000006"/>
    <n v="2681.6"/>
    <n v="-206.22"/>
    <n v="0"/>
    <n v="321.79946999999999"/>
    <n v="2797.17947"/>
  </r>
  <r>
    <x v="11"/>
    <x v="3"/>
    <x v="1"/>
    <x v="0"/>
    <x v="32"/>
    <s v="KEPL/00567/82-83"/>
    <s v="NEW HORIZON DISTRIBUTORS"/>
    <x v="36"/>
    <n v="1"/>
    <n v="40"/>
    <n v="81.94"/>
    <n v="3277.6"/>
    <n v="-252.05"/>
    <n v="0"/>
    <n v="393.32158599999997"/>
    <n v="3418.8715860000002"/>
  </r>
  <r>
    <x v="8"/>
    <x v="3"/>
    <x v="1"/>
    <x v="0"/>
    <x v="32"/>
    <s v="KEPL/00567/82-83"/>
    <s v="NEW HORIZON DISTRIBUTORS"/>
    <x v="56"/>
    <n v="1"/>
    <n v="800"/>
    <n v="7.45"/>
    <n v="5960"/>
    <n v="-458.32"/>
    <n v="0"/>
    <n v="715.21855600000004"/>
    <n v="6216.8985560000001"/>
  </r>
  <r>
    <x v="11"/>
    <x v="3"/>
    <x v="1"/>
    <x v="0"/>
    <x v="32"/>
    <s v="KEPL/00567/82-83"/>
    <s v="NEW HORIZON DISTRIBUTORS"/>
    <x v="53"/>
    <n v="1"/>
    <n v="40"/>
    <n v="81.94"/>
    <n v="3277.6"/>
    <n v="-252.05"/>
    <n v="0"/>
    <n v="393.32158599999997"/>
    <n v="3418.8715860000002"/>
  </r>
  <r>
    <x v="15"/>
    <x v="3"/>
    <x v="1"/>
    <x v="0"/>
    <x v="32"/>
    <s v="KEPL/00567/82-83"/>
    <s v="NEW HORIZON DISTRIBUTORS"/>
    <x v="32"/>
    <n v="1"/>
    <n v="60"/>
    <n v="111.74"/>
    <n v="6704.4"/>
    <n v="-515.57000000000005"/>
    <n v="0"/>
    <n v="804.54807500000004"/>
    <n v="6993.3780749999996"/>
  </r>
  <r>
    <x v="3"/>
    <x v="3"/>
    <x v="1"/>
    <x v="0"/>
    <x v="32"/>
    <s v="KEPL/00567/82-83"/>
    <s v="NEW HORIZON DISTRIBUTORS"/>
    <x v="54"/>
    <n v="1"/>
    <n v="20"/>
    <n v="175.06"/>
    <n v="3501.2"/>
    <n v="-269.24"/>
    <n v="0"/>
    <n v="420.15489200000002"/>
    <n v="3652.1148920000001"/>
  </r>
  <r>
    <x v="14"/>
    <x v="3"/>
    <x v="1"/>
    <x v="0"/>
    <x v="32"/>
    <s v="KEPL/00567/82-83"/>
    <s v="NEW HORIZON DISTRIBUTORS"/>
    <x v="31"/>
    <n v="1"/>
    <n v="60"/>
    <n v="111.74"/>
    <n v="6704.4"/>
    <n v="-515.57000000000005"/>
    <n v="0"/>
    <n v="804.54807500000004"/>
    <n v="6993.3780749999996"/>
  </r>
  <r>
    <x v="12"/>
    <x v="3"/>
    <x v="1"/>
    <x v="0"/>
    <x v="32"/>
    <s v="KEPL/00567/82-83"/>
    <s v="NEW HORIZON DISTRIBUTORS"/>
    <x v="60"/>
    <n v="1"/>
    <n v="1000"/>
    <n v="1.86"/>
    <n v="1860"/>
    <n v="-143.03"/>
    <n v="0"/>
    <n v="223.20614900000001"/>
    <n v="1940.1761489999999"/>
  </r>
  <r>
    <x v="17"/>
    <x v="3"/>
    <x v="1"/>
    <x v="0"/>
    <x v="32"/>
    <s v="KEPL/00567/82-83"/>
    <s v="NEW HORIZON DISTRIBUTORS"/>
    <x v="39"/>
    <n v="1"/>
    <n v="20"/>
    <n v="249.55"/>
    <n v="4991"/>
    <n v="-383.81"/>
    <n v="0"/>
    <n v="598.93483100000003"/>
    <n v="5206.1248310000001"/>
  </r>
  <r>
    <x v="8"/>
    <x v="3"/>
    <x v="1"/>
    <x v="0"/>
    <x v="32"/>
    <s v="KEPL/00567/82-83"/>
    <s v="NEW HORIZON DISTRIBUTORS"/>
    <x v="41"/>
    <n v="1"/>
    <n v="40"/>
    <n v="67.040000000000006"/>
    <n v="2681.6"/>
    <n v="-206.22"/>
    <n v="0"/>
    <n v="321.79946999999999"/>
    <n v="2797.17947"/>
  </r>
  <r>
    <x v="16"/>
    <x v="3"/>
    <x v="1"/>
    <x v="0"/>
    <x v="32"/>
    <s v="KEPL/00567/82-83"/>
    <s v="NEW HORIZON DISTRIBUTORS"/>
    <x v="35"/>
    <n v="1"/>
    <n v="60"/>
    <n v="145.26"/>
    <n v="8715.6"/>
    <n v="-670.23"/>
    <n v="0"/>
    <n v="1045.898328"/>
    <n v="9091.2683280000001"/>
  </r>
  <r>
    <x v="1"/>
    <x v="3"/>
    <x v="1"/>
    <x v="0"/>
    <x v="33"/>
    <s v="KEPL/00577/82-83"/>
    <s v="ISHWORI SUPPLIERS"/>
    <x v="24"/>
    <n v="1"/>
    <n v="18"/>
    <n v="178.78"/>
    <n v="3218.0400000000004"/>
    <n v="-247.47"/>
    <n v="0"/>
    <n v="386.17500000000001"/>
    <n v="3356.7449999999999"/>
  </r>
  <r>
    <x v="1"/>
    <x v="3"/>
    <x v="1"/>
    <x v="0"/>
    <x v="33"/>
    <s v="KEPL/00577/82-83"/>
    <s v="ISHWORI SUPPLIERS"/>
    <x v="26"/>
    <n v="1"/>
    <n v="18"/>
    <n v="178.78"/>
    <n v="3218.0400000000004"/>
    <n v="-247.47"/>
    <n v="0"/>
    <n v="386.17500000000001"/>
    <n v="3356.7449999999999"/>
  </r>
  <r>
    <x v="2"/>
    <x v="3"/>
    <x v="1"/>
    <x v="0"/>
    <x v="33"/>
    <s v="KEPL/00589/82-83"/>
    <s v="GORIN TRADING "/>
    <x v="3"/>
    <n v="2"/>
    <n v="40"/>
    <n v="186.23"/>
    <n v="7449.2000000000007"/>
    <n v="-572.84"/>
    <n v="0"/>
    <n v="893.9271"/>
    <n v="7770.2870999999996"/>
  </r>
  <r>
    <x v="20"/>
    <x v="3"/>
    <x v="1"/>
    <x v="0"/>
    <x v="33"/>
    <s v="KEPL/00589/82-83"/>
    <s v="GORIN TRADING "/>
    <x v="52"/>
    <n v="10"/>
    <n v="40"/>
    <n v="595.92999999999995"/>
    <n v="23837.200000000001"/>
    <n v="-1833.08"/>
    <n v="0"/>
    <n v="2860.53656"/>
    <n v="24864.656559999999"/>
  </r>
  <r>
    <x v="0"/>
    <x v="3"/>
    <x v="1"/>
    <x v="0"/>
    <x v="33"/>
    <s v="KEPL/00589/82-83"/>
    <s v="GORIN TRADING "/>
    <x v="47"/>
    <n v="3"/>
    <n v="120"/>
    <n v="111.74"/>
    <n v="13408.8"/>
    <n v="-1031.1400000000001"/>
    <n v="0"/>
    <n v="1609.0963399999998"/>
    <n v="13986.75634"/>
  </r>
  <r>
    <x v="6"/>
    <x v="3"/>
    <x v="1"/>
    <x v="0"/>
    <x v="33"/>
    <s v="KEPL/00590/82-83"/>
    <s v="SHUBHASHREE MARKETING"/>
    <x v="30"/>
    <n v="2"/>
    <n v="40"/>
    <n v="242.1"/>
    <n v="9683.9999999999982"/>
    <n v="-744.7"/>
    <n v="0"/>
    <n v="1162.1091060000001"/>
    <n v="10101.409105999999"/>
  </r>
  <r>
    <x v="20"/>
    <x v="3"/>
    <x v="1"/>
    <x v="0"/>
    <x v="33"/>
    <s v="KEPL/00590/82-83"/>
    <s v="SHUBHASHREE MARKETING"/>
    <x v="52"/>
    <n v="25"/>
    <n v="100"/>
    <n v="595.92999999999995"/>
    <n v="59593"/>
    <n v="-4582.7"/>
    <n v="0"/>
    <n v="7151.3396499999999"/>
    <n v="62161.639649999997"/>
  </r>
  <r>
    <x v="1"/>
    <x v="3"/>
    <x v="1"/>
    <x v="0"/>
    <x v="33"/>
    <s v="KEPL/00590/82-83"/>
    <s v="SHUBHASHREE MARKETING"/>
    <x v="26"/>
    <n v="5"/>
    <n v="90"/>
    <n v="178.78"/>
    <n v="16090.2"/>
    <n v="-1237.3400000000001"/>
    <n v="0"/>
    <n v="1930.8719749999998"/>
    <n v="16783.731974999999"/>
  </r>
  <r>
    <x v="15"/>
    <x v="3"/>
    <x v="1"/>
    <x v="0"/>
    <x v="33"/>
    <s v="KEPL/00590/82-83"/>
    <s v="SHUBHASHREE MARKETING"/>
    <x v="32"/>
    <n v="6"/>
    <n v="360"/>
    <n v="111.74"/>
    <n v="40226.400000000001"/>
    <n v="-3093.4100000000003"/>
    <n v="0"/>
    <n v="4827.2891380000001"/>
    <n v="41960.279137999998"/>
  </r>
  <r>
    <x v="10"/>
    <x v="3"/>
    <x v="1"/>
    <x v="0"/>
    <x v="33"/>
    <s v="KEPL/00590/82-83"/>
    <s v="SHUBHASHREE MARKETING"/>
    <x v="45"/>
    <n v="2"/>
    <n v="30"/>
    <n v="260.72000000000003"/>
    <n v="7821.6"/>
    <n v="-601.48"/>
    <n v="0"/>
    <n v="938.6156850000001"/>
    <n v="8158.7356849999996"/>
  </r>
  <r>
    <x v="3"/>
    <x v="3"/>
    <x v="1"/>
    <x v="0"/>
    <x v="33"/>
    <s v="KEPL/00590/82-83"/>
    <s v="SHUBHASHREE MARKETING"/>
    <x v="55"/>
    <n v="2"/>
    <n v="40"/>
    <n v="175.06"/>
    <n v="7002.4"/>
    <n v="-538.48"/>
    <n v="0"/>
    <n v="840.30967599999997"/>
    <n v="7304.2296759999999"/>
  </r>
  <r>
    <x v="3"/>
    <x v="3"/>
    <x v="1"/>
    <x v="0"/>
    <x v="33"/>
    <s v="KEPL/00590/82-83"/>
    <s v="SHUBHASHREE MARKETING"/>
    <x v="46"/>
    <n v="3"/>
    <n v="60"/>
    <n v="175.06"/>
    <n v="10503.6"/>
    <n v="-807.7299999999999"/>
    <n v="0"/>
    <n v="1260.4632139999999"/>
    <n v="10956.333214"/>
  </r>
  <r>
    <x v="10"/>
    <x v="3"/>
    <x v="1"/>
    <x v="0"/>
    <x v="33"/>
    <s v="KEPL/00590/82-83"/>
    <s v="SHUBHASHREE MARKETING"/>
    <x v="49"/>
    <n v="3"/>
    <n v="45"/>
    <n v="260.72000000000003"/>
    <n v="11732.4"/>
    <n v="-902.22"/>
    <n v="0"/>
    <n v="1407.923528"/>
    <n v="12238.103528"/>
  </r>
  <r>
    <x v="17"/>
    <x v="3"/>
    <x v="1"/>
    <x v="0"/>
    <x v="33"/>
    <s v="KEPL/00590/82-83"/>
    <s v="SHUBHASHREE MARKETING"/>
    <x v="39"/>
    <n v="0.5"/>
    <n v="10"/>
    <n v="249.55"/>
    <n v="2495.5"/>
    <n v="-191.9"/>
    <n v="0"/>
    <n v="299.46802700000001"/>
    <n v="2603.0680269999998"/>
  </r>
  <r>
    <x v="3"/>
    <x v="3"/>
    <x v="1"/>
    <x v="0"/>
    <x v="34"/>
    <s v="KEPL/00593/82-83"/>
    <s v="NEW MATA RANI SUPPLIERS"/>
    <x v="55"/>
    <n v="2"/>
    <n v="40"/>
    <n v="175.05"/>
    <n v="7001.9999999999991"/>
    <n v="-538.45000000000005"/>
    <n v="0"/>
    <n v="840.26186700000005"/>
    <n v="7303.8118670000003"/>
  </r>
  <r>
    <x v="3"/>
    <x v="3"/>
    <x v="1"/>
    <x v="0"/>
    <x v="34"/>
    <s v="KEPL/00593/82-83"/>
    <s v="NEW MATA RANI SUPPLIERS"/>
    <x v="46"/>
    <n v="2"/>
    <n v="40"/>
    <n v="175.05"/>
    <n v="7001.9999999999991"/>
    <n v="-538.45000000000005"/>
    <n v="0"/>
    <n v="840.26186700000005"/>
    <n v="7303.8118670000003"/>
  </r>
  <r>
    <x v="10"/>
    <x v="3"/>
    <x v="1"/>
    <x v="0"/>
    <x v="34"/>
    <s v="KEPL/00593/82-83"/>
    <s v="NEW MATA RANI SUPPLIERS"/>
    <x v="49"/>
    <n v="1"/>
    <n v="15"/>
    <n v="260.72000000000003"/>
    <n v="3910.8"/>
    <n v="-300.74"/>
    <n v="0"/>
    <n v="469.30800499999998"/>
    <n v="4079.3680049999998"/>
  </r>
  <r>
    <x v="6"/>
    <x v="3"/>
    <x v="1"/>
    <x v="0"/>
    <x v="34"/>
    <s v="KEPL/00593/82-83"/>
    <s v="NEW MATA RANI SUPPLIERS"/>
    <x v="30"/>
    <n v="1"/>
    <n v="20"/>
    <n v="242.1"/>
    <n v="4841.9999999999991"/>
    <n v="-372.35"/>
    <n v="0"/>
    <n v="581.054754"/>
    <n v="5050.7047540000003"/>
  </r>
  <r>
    <x v="0"/>
    <x v="3"/>
    <x v="1"/>
    <x v="0"/>
    <x v="34"/>
    <s v="KEPL/00593/82-83"/>
    <s v="NEW MATA RANI SUPPLIERS"/>
    <x v="0"/>
    <n v="2"/>
    <n v="80"/>
    <n v="111.74"/>
    <n v="8939.2000000000007"/>
    <n v="-687.42"/>
    <n v="0"/>
    <n v="1072.7318680000001"/>
    <n v="9324.5118679999996"/>
  </r>
  <r>
    <x v="3"/>
    <x v="3"/>
    <x v="1"/>
    <x v="0"/>
    <x v="34"/>
    <s v="KEPL/00593/82-83"/>
    <s v="NEW MATA RANI SUPPLIERS"/>
    <x v="54"/>
    <n v="2"/>
    <n v="40"/>
    <n v="175.05"/>
    <n v="7001.9999999999991"/>
    <n v="-538.45000000000005"/>
    <n v="0"/>
    <n v="840.26186700000005"/>
    <n v="7303.8118670000003"/>
  </r>
  <r>
    <x v="0"/>
    <x v="3"/>
    <x v="1"/>
    <x v="0"/>
    <x v="34"/>
    <s v="KEPL/00593/82-83"/>
    <s v="NEW MATA RANI SUPPLIERS"/>
    <x v="57"/>
    <n v="3"/>
    <n v="120"/>
    <n v="111.74"/>
    <n v="13408.8"/>
    <n v="-1031.1400000000001"/>
    <n v="0"/>
    <n v="1609.0965019999999"/>
    <n v="13986.756502"/>
  </r>
  <r>
    <x v="13"/>
    <x v="3"/>
    <x v="1"/>
    <x v="0"/>
    <x v="34"/>
    <s v="KEPL/00593/82-83"/>
    <s v="NEW MATA RANI SUPPLIERS"/>
    <x v="23"/>
    <n v="2"/>
    <n v="1200"/>
    <n v="7.45"/>
    <n v="8940"/>
    <n v="-687.4899999999999"/>
    <n v="0"/>
    <n v="1072.8267679999999"/>
    <n v="9325.3367679999992"/>
  </r>
  <r>
    <x v="0"/>
    <x v="3"/>
    <x v="1"/>
    <x v="0"/>
    <x v="34"/>
    <s v="KEPL/00593/82-83"/>
    <s v="NEW MATA RANI SUPPLIERS"/>
    <x v="47"/>
    <n v="3"/>
    <n v="120"/>
    <n v="111.74"/>
    <n v="13408.8"/>
    <n v="-1031.1400000000001"/>
    <n v="0"/>
    <n v="1609.0965019999999"/>
    <n v="13986.756502"/>
  </r>
  <r>
    <x v="8"/>
    <x v="3"/>
    <x v="1"/>
    <x v="0"/>
    <x v="34"/>
    <s v="KEPL/00594/82-83"/>
    <s v="BIJAYA TRADERS"/>
    <x v="13"/>
    <n v="3"/>
    <n v="72"/>
    <n v="141.54"/>
    <n v="10190.879999999999"/>
    <n v="-783.68"/>
    <n v="0"/>
    <n v="1222.9352200000001"/>
    <n v="10630.13522"/>
  </r>
  <r>
    <x v="9"/>
    <x v="3"/>
    <x v="1"/>
    <x v="0"/>
    <x v="34"/>
    <s v="KEPL/00594/82-83"/>
    <s v="BIJAYA TRADERS"/>
    <x v="44"/>
    <n v="10"/>
    <n v="240"/>
    <n v="186.23"/>
    <n v="44695.199999999997"/>
    <n v="-3437.06"/>
    <n v="0"/>
    <n v="5363.5547800000004"/>
    <n v="46621.694779999998"/>
  </r>
  <r>
    <x v="7"/>
    <x v="3"/>
    <x v="1"/>
    <x v="0"/>
    <x v="34"/>
    <s v="KEPL/00595/82-83"/>
    <s v="P and B Traders"/>
    <x v="12"/>
    <n v="1"/>
    <n v="130"/>
    <n v="37.25"/>
    <n v="4842.5"/>
    <n v="-372.39"/>
    <n v="0"/>
    <n v="581.11399500000005"/>
    <n v="5051.2239950000003"/>
  </r>
  <r>
    <x v="10"/>
    <x v="3"/>
    <x v="1"/>
    <x v="0"/>
    <x v="34"/>
    <s v="KEPL/00595/82-83"/>
    <s v="P and B Traders"/>
    <x v="45"/>
    <n v="1"/>
    <n v="15"/>
    <n v="260.72000000000003"/>
    <n v="3910.8"/>
    <n v="-300.74"/>
    <n v="0"/>
    <n v="469.30755399999998"/>
    <n v="4079.3675539999999"/>
  </r>
  <r>
    <x v="0"/>
    <x v="3"/>
    <x v="1"/>
    <x v="0"/>
    <x v="34"/>
    <s v="KEPL/00595/82-83"/>
    <s v="P and B Traders"/>
    <x v="47"/>
    <n v="4"/>
    <n v="160"/>
    <n v="111.74"/>
    <n v="17878.400000000001"/>
    <n v="-1374.85"/>
    <n v="0"/>
    <n v="2145.4603750000001"/>
    <n v="18649.010375000002"/>
  </r>
  <r>
    <x v="10"/>
    <x v="3"/>
    <x v="1"/>
    <x v="0"/>
    <x v="34"/>
    <s v="KEPL/00595/82-83"/>
    <s v="P and B Traders"/>
    <x v="49"/>
    <n v="1"/>
    <n v="15"/>
    <n v="260.72000000000003"/>
    <n v="3910.8"/>
    <n v="-300.74"/>
    <n v="0"/>
    <n v="469.30755399999998"/>
    <n v="4079.3675539999999"/>
  </r>
  <r>
    <x v="0"/>
    <x v="3"/>
    <x v="1"/>
    <x v="0"/>
    <x v="34"/>
    <s v="KEPL/00595/82-83"/>
    <s v="P and B Traders"/>
    <x v="0"/>
    <n v="2"/>
    <n v="80"/>
    <n v="111.74"/>
    <n v="8939.2000000000007"/>
    <n v="-687.42"/>
    <n v="0"/>
    <n v="1072.7308379999999"/>
    <n v="9324.5108380000001"/>
  </r>
  <r>
    <x v="0"/>
    <x v="3"/>
    <x v="1"/>
    <x v="0"/>
    <x v="34"/>
    <s v="KEPL/00595/82-83"/>
    <s v="P and B Traders"/>
    <x v="57"/>
    <n v="2"/>
    <n v="80"/>
    <n v="111.74"/>
    <n v="8939.2000000000007"/>
    <n v="-687.42"/>
    <n v="0"/>
    <n v="1072.7308379999999"/>
    <n v="9324.5108380000001"/>
  </r>
  <r>
    <x v="11"/>
    <x v="3"/>
    <x v="1"/>
    <x v="0"/>
    <x v="34"/>
    <s v="KEPL/00595/82-83"/>
    <s v="P and B Traders"/>
    <x v="53"/>
    <n v="1"/>
    <n v="40"/>
    <n v="81.94"/>
    <n v="3277.6"/>
    <n v="-252.05"/>
    <n v="0"/>
    <n v="393.32129400000002"/>
    <n v="3418.871294"/>
  </r>
  <r>
    <x v="16"/>
    <x v="3"/>
    <x v="1"/>
    <x v="0"/>
    <x v="34"/>
    <s v="KEPL/00595/82-83"/>
    <s v="P and B Traders"/>
    <x v="35"/>
    <n v="1"/>
    <n v="60"/>
    <n v="145.26"/>
    <n v="8715.6"/>
    <n v="-670.23"/>
    <n v="0"/>
    <n v="1045.8975519999999"/>
    <n v="9091.2675519999993"/>
  </r>
  <r>
    <x v="11"/>
    <x v="3"/>
    <x v="1"/>
    <x v="0"/>
    <x v="35"/>
    <s v="KEPL/00601/82-83"/>
    <s v="AASHI TRADERS"/>
    <x v="36"/>
    <n v="7"/>
    <n v="280"/>
    <n v="81.94"/>
    <n v="22943.200000000001"/>
    <n v="-1764.33"/>
    <n v="0"/>
    <n v="2753.2527100000002"/>
    <n v="23932.12271"/>
  </r>
  <r>
    <x v="9"/>
    <x v="3"/>
    <x v="1"/>
    <x v="0"/>
    <x v="35"/>
    <s v="KEPL/00601/82-83"/>
    <s v="AASHI TRADERS"/>
    <x v="22"/>
    <n v="5"/>
    <n v="120"/>
    <n v="204.85"/>
    <n v="24582"/>
    <n v="-1890.36"/>
    <n v="0"/>
    <n v="2949.9127819999999"/>
    <n v="25641.552781999999"/>
  </r>
  <r>
    <x v="3"/>
    <x v="3"/>
    <x v="1"/>
    <x v="0"/>
    <x v="35"/>
    <s v="KEPL/00601/82-83"/>
    <s v="AASHI TRADERS"/>
    <x v="54"/>
    <n v="2"/>
    <n v="40"/>
    <n v="175.06"/>
    <n v="7002.4"/>
    <n v="-538.48"/>
    <n v="0"/>
    <n v="840.30948100000001"/>
    <n v="7304.2294810000003"/>
  </r>
  <r>
    <x v="13"/>
    <x v="3"/>
    <x v="1"/>
    <x v="0"/>
    <x v="35"/>
    <s v="KEPL/00601/82-83"/>
    <s v="AASHI TRADERS"/>
    <x v="21"/>
    <n v="2"/>
    <n v="480"/>
    <n v="14.9"/>
    <n v="7152"/>
    <n v="-549.99"/>
    <n v="0"/>
    <n v="858.26117799999997"/>
    <n v="7460.271178"/>
  </r>
  <r>
    <x v="8"/>
    <x v="3"/>
    <x v="1"/>
    <x v="0"/>
    <x v="35"/>
    <s v="KEPL/00601/82-83"/>
    <s v="AASHI TRADERS"/>
    <x v="13"/>
    <n v="5"/>
    <n v="120"/>
    <n v="141.54"/>
    <n v="16984.8"/>
    <n v="-1306.1299999999999"/>
    <n v="0"/>
    <n v="2038.226811"/>
    <n v="17716.896810999999"/>
  </r>
  <r>
    <x v="12"/>
    <x v="3"/>
    <x v="1"/>
    <x v="0"/>
    <x v="35"/>
    <s v="KEPL/00601/82-83"/>
    <s v="AASHI TRADERS"/>
    <x v="60"/>
    <n v="1"/>
    <n v="1000"/>
    <n v="1.86"/>
    <n v="1860"/>
    <n v="-143.03"/>
    <n v="0"/>
    <n v="223.20606799999999"/>
    <n v="1940.176068"/>
  </r>
  <r>
    <x v="10"/>
    <x v="3"/>
    <x v="1"/>
    <x v="0"/>
    <x v="35"/>
    <s v="KEPL/00601/82-83"/>
    <s v="AASHI TRADERS"/>
    <x v="49"/>
    <n v="5"/>
    <n v="75"/>
    <n v="260.72000000000003"/>
    <n v="19554"/>
    <n v="-1503.6999999999998"/>
    <n v="0"/>
    <n v="2346.5386680000001"/>
    <n v="20396.838668"/>
  </r>
  <r>
    <x v="2"/>
    <x v="3"/>
    <x v="1"/>
    <x v="0"/>
    <x v="35"/>
    <s v="KEPL/00601/82-83"/>
    <s v="AASHI TRADERS"/>
    <x v="3"/>
    <n v="3"/>
    <n v="60"/>
    <n v="186.23"/>
    <n v="11173.8"/>
    <n v="-859.2700000000001"/>
    <n v="0"/>
    <n v="1340.8887100000002"/>
    <n v="11655.41871"/>
  </r>
  <r>
    <x v="13"/>
    <x v="3"/>
    <x v="1"/>
    <x v="0"/>
    <x v="35"/>
    <s v="KEPL/00601/82-83"/>
    <s v="AASHI TRADERS"/>
    <x v="50"/>
    <n v="2"/>
    <n v="480"/>
    <n v="14.9"/>
    <n v="7152"/>
    <n v="-549.99"/>
    <n v="0"/>
    <n v="858.26117799999997"/>
    <n v="7460.271178"/>
  </r>
  <r>
    <x v="13"/>
    <x v="3"/>
    <x v="1"/>
    <x v="0"/>
    <x v="35"/>
    <s v="KEPL/00601/82-83"/>
    <s v="AASHI TRADERS"/>
    <x v="23"/>
    <n v="1"/>
    <n v="599"/>
    <n v="7.46"/>
    <n v="4468.54"/>
    <n v="-343.63"/>
    <n v="0"/>
    <n v="536.23822399999995"/>
    <n v="4661.1482239999996"/>
  </r>
  <r>
    <x v="11"/>
    <x v="3"/>
    <x v="1"/>
    <x v="0"/>
    <x v="35"/>
    <s v="KEPL/00601/82-83"/>
    <s v="AASHI TRADERS"/>
    <x v="53"/>
    <n v="2"/>
    <n v="80"/>
    <n v="81.94"/>
    <n v="6555.2"/>
    <n v="-504.09"/>
    <n v="0"/>
    <n v="786.64418899999998"/>
    <n v="6837.7541890000002"/>
  </r>
  <r>
    <x v="10"/>
    <x v="3"/>
    <x v="1"/>
    <x v="0"/>
    <x v="35"/>
    <s v="KEPL/00605/82-83"/>
    <s v="GORIN TRADING "/>
    <x v="45"/>
    <n v="5"/>
    <n v="75"/>
    <n v="260.72000000000003"/>
    <n v="19554"/>
    <n v="-1503.6999999999998"/>
    <n v="0"/>
    <n v="2346.5385000000001"/>
    <n v="20396.838500000002"/>
  </r>
  <r>
    <x v="20"/>
    <x v="3"/>
    <x v="1"/>
    <x v="0"/>
    <x v="35"/>
    <s v="KEPL/00605/82-83"/>
    <s v="GORIN TRADING "/>
    <x v="52"/>
    <n v="5"/>
    <n v="20"/>
    <n v="595.94000000000005"/>
    <n v="11918.8"/>
    <n v="-916.56"/>
    <n v="0"/>
    <n v="1430.2908950000001"/>
    <n v="12432.530895"/>
  </r>
  <r>
    <x v="10"/>
    <x v="3"/>
    <x v="1"/>
    <x v="0"/>
    <x v="35"/>
    <s v="KEPL/00605/82-83"/>
    <s v="GORIN TRADING "/>
    <x v="49"/>
    <n v="5"/>
    <n v="75"/>
    <n v="260.72000000000003"/>
    <n v="19554"/>
    <n v="-1503.6999999999998"/>
    <n v="0"/>
    <n v="2346.5385000000001"/>
    <n v="20396.838500000002"/>
  </r>
  <r>
    <x v="6"/>
    <x v="3"/>
    <x v="1"/>
    <x v="0"/>
    <x v="35"/>
    <s v="KEPL/00605/82-83"/>
    <s v="GORIN TRADING "/>
    <x v="30"/>
    <n v="2"/>
    <n v="40"/>
    <n v="242.1"/>
    <n v="9683.9999999999982"/>
    <n v="-744.7"/>
    <n v="0"/>
    <n v="1162.1087519999999"/>
    <n v="10101.408751999999"/>
  </r>
  <r>
    <x v="1"/>
    <x v="3"/>
    <x v="1"/>
    <x v="0"/>
    <x v="35"/>
    <s v="KEPL/00605/82-83"/>
    <s v="GORIN TRADING "/>
    <x v="26"/>
    <n v="1"/>
    <n v="18"/>
    <n v="178.78"/>
    <n v="3218.0400000000004"/>
    <n v="-247.47"/>
    <n v="0"/>
    <n v="386.17401799999999"/>
    <n v="3356.7440179999999"/>
  </r>
  <r>
    <x v="1"/>
    <x v="3"/>
    <x v="1"/>
    <x v="0"/>
    <x v="35"/>
    <s v="KEPL/00605/82-83"/>
    <s v="GORIN TRADING "/>
    <x v="24"/>
    <n v="2"/>
    <n v="36"/>
    <n v="178.78"/>
    <n v="6436.0800000000008"/>
    <n v="-494.93"/>
    <n v="0"/>
    <n v="772.349335"/>
    <n v="6713.4993350000004"/>
  </r>
  <r>
    <x v="3"/>
    <x v="3"/>
    <x v="1"/>
    <x v="0"/>
    <x v="36"/>
    <s v="KEPL/00613/82-83"/>
    <s v="GORIN TRADING "/>
    <x v="55"/>
    <n v="2"/>
    <n v="40"/>
    <n v="175.06"/>
    <n v="7002.4"/>
    <n v="-538.48"/>
    <n v="0"/>
    <n v="840.309617"/>
    <n v="7304.229617"/>
  </r>
  <r>
    <x v="9"/>
    <x v="3"/>
    <x v="1"/>
    <x v="0"/>
    <x v="36"/>
    <s v="KEPL/00613/82-83"/>
    <s v="GORIN TRADING "/>
    <x v="38"/>
    <n v="1"/>
    <n v="24"/>
    <n v="186.23"/>
    <n v="4469.5200000000004"/>
    <n v="-343.71"/>
    <n v="0"/>
    <n v="536.35531100000003"/>
    <n v="4662.1653109999997"/>
  </r>
  <r>
    <x v="10"/>
    <x v="3"/>
    <x v="1"/>
    <x v="0"/>
    <x v="36"/>
    <s v="KEPL/00613/82-83"/>
    <s v="GORIN TRADING "/>
    <x v="49"/>
    <n v="1"/>
    <n v="15"/>
    <n v="260.72000000000003"/>
    <n v="3910.8"/>
    <n v="-300.74"/>
    <n v="0"/>
    <n v="469.30781000000002"/>
    <n v="4079.3678100000002"/>
  </r>
  <r>
    <x v="20"/>
    <x v="3"/>
    <x v="1"/>
    <x v="0"/>
    <x v="36"/>
    <s v="KEPL/00613/82-83"/>
    <s v="GORIN TRADING "/>
    <x v="52"/>
    <n v="5"/>
    <n v="20"/>
    <n v="595.92999999999995"/>
    <n v="11918.6"/>
    <n v="-916.54"/>
    <n v="0"/>
    <n v="1430.2678289999999"/>
    <n v="12432.327829"/>
  </r>
  <r>
    <x v="11"/>
    <x v="3"/>
    <x v="1"/>
    <x v="0"/>
    <x v="36"/>
    <s v="KEPL/00613/82-83"/>
    <s v="GORIN TRADING "/>
    <x v="37"/>
    <n v="1"/>
    <n v="40"/>
    <n v="81.94"/>
    <n v="3277.6"/>
    <n v="-252.05"/>
    <n v="0"/>
    <n v="393.32150799999999"/>
    <n v="3418.8715080000002"/>
  </r>
  <r>
    <x v="11"/>
    <x v="3"/>
    <x v="1"/>
    <x v="0"/>
    <x v="36"/>
    <s v="KEPL/00613/82-83"/>
    <s v="GORIN TRADING "/>
    <x v="53"/>
    <n v="1"/>
    <n v="40"/>
    <n v="81.94"/>
    <n v="3277.6"/>
    <n v="-252.05"/>
    <n v="0"/>
    <n v="393.32150799999999"/>
    <n v="3418.8715080000002"/>
  </r>
  <r>
    <x v="8"/>
    <x v="3"/>
    <x v="1"/>
    <x v="0"/>
    <x v="36"/>
    <s v="KEPL/00613/82-83"/>
    <s v="GORIN TRADING "/>
    <x v="13"/>
    <n v="1"/>
    <n v="24"/>
    <n v="141.54"/>
    <n v="3396.96"/>
    <n v="-261.23"/>
    <n v="0"/>
    <n v="407.64490800000004"/>
    <n v="3543.3749079999998"/>
  </r>
  <r>
    <x v="11"/>
    <x v="3"/>
    <x v="1"/>
    <x v="0"/>
    <x v="36"/>
    <s v="KEPL/00613/82-83"/>
    <s v="GORIN TRADING "/>
    <x v="36"/>
    <n v="1"/>
    <n v="40"/>
    <n v="81.94"/>
    <n v="3277.6"/>
    <n v="-252.05"/>
    <n v="0"/>
    <n v="393.32150799999999"/>
    <n v="3418.8715080000002"/>
  </r>
  <r>
    <x v="1"/>
    <x v="3"/>
    <x v="1"/>
    <x v="0"/>
    <x v="36"/>
    <s v="KEPL/00616/82-83"/>
    <s v="NEW YASHISH TRADERS"/>
    <x v="24"/>
    <n v="95"/>
    <n v="1710"/>
    <n v="178.78"/>
    <n v="305713.80000000005"/>
    <n v="-23509.39"/>
    <n v="0"/>
    <n v="36686.570557999999"/>
    <n v="318890.98055799998"/>
  </r>
  <r>
    <x v="1"/>
    <x v="3"/>
    <x v="1"/>
    <x v="0"/>
    <x v="36"/>
    <s v="KEPL/00616/82-83"/>
    <s v="NEW YASHISH TRADERS"/>
    <x v="26"/>
    <n v="2"/>
    <n v="36"/>
    <n v="178.78"/>
    <n v="6436.0800000000008"/>
    <n v="-494.93"/>
    <n v="0"/>
    <n v="772.34944199999995"/>
    <n v="6713.4994420000003"/>
  </r>
  <r>
    <x v="7"/>
    <x v="3"/>
    <x v="1"/>
    <x v="0"/>
    <x v="36"/>
    <s v="KEPL/00627/82-83"/>
    <s v="SHUBHASHREE MARKETING"/>
    <x v="27"/>
    <n v="15"/>
    <n v="1050"/>
    <n v="37.25"/>
    <n v="39112.5"/>
    <n v="-3007.75"/>
    <n v="0"/>
    <n v="4693.616027"/>
    <n v="40798.366026999996"/>
  </r>
  <r>
    <x v="13"/>
    <x v="3"/>
    <x v="1"/>
    <x v="0"/>
    <x v="36"/>
    <s v="KEPL/00627/82-83"/>
    <s v="SHUBHASHREE MARKETING"/>
    <x v="21"/>
    <n v="2"/>
    <n v="480"/>
    <n v="14.9"/>
    <n v="7152"/>
    <n v="-549.99"/>
    <n v="0"/>
    <n v="858.261031"/>
    <n v="7460.2710310000002"/>
  </r>
  <r>
    <x v="15"/>
    <x v="3"/>
    <x v="1"/>
    <x v="0"/>
    <x v="36"/>
    <s v="KEPL/00627/82-83"/>
    <s v="SHUBHASHREE MARKETING"/>
    <x v="32"/>
    <n v="3"/>
    <n v="180"/>
    <n v="111.74"/>
    <n v="20113.2"/>
    <n v="-1546.71"/>
    <n v="0"/>
    <n v="2413.6429419999999"/>
    <n v="20980.132942"/>
  </r>
  <r>
    <x v="3"/>
    <x v="3"/>
    <x v="1"/>
    <x v="0"/>
    <x v="36"/>
    <s v="KEPL/00628/82-83"/>
    <s v="BEERA BARJEE INTERNATIONAL PVT.LTD"/>
    <x v="46"/>
    <n v="1"/>
    <n v="20"/>
    <n v="175.06"/>
    <n v="3501.2"/>
    <n v="-269.24"/>
    <n v="0"/>
    <n v="420.15472799999998"/>
    <n v="3652.114728"/>
  </r>
  <r>
    <x v="10"/>
    <x v="3"/>
    <x v="1"/>
    <x v="0"/>
    <x v="36"/>
    <s v="KEPL/00628/82-83"/>
    <s v="BEERA BARJEE INTERNATIONAL PVT.LTD"/>
    <x v="49"/>
    <n v="1"/>
    <n v="15"/>
    <n v="260.72000000000003"/>
    <n v="3910.8"/>
    <n v="-300.74"/>
    <n v="0"/>
    <n v="469.30771999999996"/>
    <n v="4079.3677200000002"/>
  </r>
  <r>
    <x v="6"/>
    <x v="3"/>
    <x v="1"/>
    <x v="0"/>
    <x v="36"/>
    <s v="KEPL/00628/82-83"/>
    <s v="BEERA BARJEE INTERNATIONAL PVT.LTD"/>
    <x v="29"/>
    <n v="1"/>
    <n v="20"/>
    <n v="204.85"/>
    <n v="4097"/>
    <n v="-315.06"/>
    <n v="0"/>
    <n v="491.65211599999998"/>
    <n v="4273.5921159999998"/>
  </r>
  <r>
    <x v="2"/>
    <x v="3"/>
    <x v="1"/>
    <x v="0"/>
    <x v="36"/>
    <s v="KEPL/00628/82-83"/>
    <s v="BEERA BARJEE INTERNATIONAL PVT.LTD"/>
    <x v="3"/>
    <n v="3"/>
    <n v="60"/>
    <n v="186.23"/>
    <n v="11173.8"/>
    <n v="-859.2700000000001"/>
    <n v="0"/>
    <n v="1340.888672"/>
    <n v="11655.418672"/>
  </r>
  <r>
    <x v="7"/>
    <x v="3"/>
    <x v="1"/>
    <x v="0"/>
    <x v="36"/>
    <s v="KEPL/00628/82-83"/>
    <s v="BEERA BARJEE INTERNATIONAL PVT.LTD"/>
    <x v="27"/>
    <n v="5"/>
    <n v="350"/>
    <n v="37.25"/>
    <n v="13037.5"/>
    <n v="-1002.58"/>
    <n v="0"/>
    <n v="1564.5393340000001"/>
    <n v="13599.459333999999"/>
  </r>
  <r>
    <x v="8"/>
    <x v="3"/>
    <x v="1"/>
    <x v="0"/>
    <x v="36"/>
    <s v="KEPL/00628/82-83"/>
    <s v="BEERA BARJEE INTERNATIONAL PVT.LTD"/>
    <x v="34"/>
    <n v="2"/>
    <n v="80"/>
    <n v="67.040000000000006"/>
    <n v="5363.2"/>
    <n v="-412.43"/>
    <n v="0"/>
    <n v="643.59999000000005"/>
    <n v="5594.3699900000001"/>
  </r>
  <r>
    <x v="0"/>
    <x v="3"/>
    <x v="1"/>
    <x v="0"/>
    <x v="36"/>
    <s v="KEPL/00628/82-83"/>
    <s v="BEERA BARJEE INTERNATIONAL PVT.LTD"/>
    <x v="0"/>
    <n v="2"/>
    <n v="80"/>
    <n v="111.74"/>
    <n v="8939.2000000000007"/>
    <n v="-687.42"/>
    <n v="0"/>
    <n v="1072.731217"/>
    <n v="9324.5112169999993"/>
  </r>
  <r>
    <x v="8"/>
    <x v="3"/>
    <x v="1"/>
    <x v="0"/>
    <x v="36"/>
    <s v="KEPL/00628/82-83"/>
    <s v="BEERA BARJEE INTERNATIONAL PVT.LTD"/>
    <x v="41"/>
    <n v="2"/>
    <n v="80"/>
    <n v="67.040000000000006"/>
    <n v="5363.2"/>
    <n v="-412.43"/>
    <n v="0"/>
    <n v="643.59999000000005"/>
    <n v="5594.3699900000001"/>
  </r>
  <r>
    <x v="0"/>
    <x v="3"/>
    <x v="1"/>
    <x v="0"/>
    <x v="36"/>
    <s v="KEPL/00628/82-83"/>
    <s v="BEERA BARJEE INTERNATIONAL PVT.LTD"/>
    <x v="47"/>
    <n v="2"/>
    <n v="80"/>
    <n v="111.74"/>
    <n v="8939.2000000000007"/>
    <n v="-687.42"/>
    <n v="0"/>
    <n v="1072.731217"/>
    <n v="9324.5112169999993"/>
  </r>
  <r>
    <x v="3"/>
    <x v="3"/>
    <x v="1"/>
    <x v="0"/>
    <x v="36"/>
    <s v="KEPL/00628/82-83"/>
    <s v="BEERA BARJEE INTERNATIONAL PVT.LTD"/>
    <x v="55"/>
    <n v="1"/>
    <n v="20"/>
    <n v="175.06"/>
    <n v="3501.2"/>
    <n v="-269.24"/>
    <n v="0"/>
    <n v="420.15472799999998"/>
    <n v="3652.114728"/>
  </r>
  <r>
    <x v="8"/>
    <x v="3"/>
    <x v="1"/>
    <x v="0"/>
    <x v="36"/>
    <s v="KEPL/00628/82-83"/>
    <s v="BEERA BARJEE INTERNATIONAL PVT.LTD"/>
    <x v="13"/>
    <n v="1"/>
    <n v="24"/>
    <n v="141.54"/>
    <n v="3396.96"/>
    <n v="-261.23"/>
    <n v="0"/>
    <n v="407.64483100000001"/>
    <n v="3543.3748310000001"/>
  </r>
  <r>
    <x v="0"/>
    <x v="3"/>
    <x v="1"/>
    <x v="0"/>
    <x v="36"/>
    <s v="KEPL/00628/82-83"/>
    <s v="BEERA BARJEE INTERNATIONAL PVT.LTD"/>
    <x v="57"/>
    <n v="2"/>
    <n v="80"/>
    <n v="111.74"/>
    <n v="8939.2000000000007"/>
    <n v="-687.42"/>
    <n v="0"/>
    <n v="1072.731217"/>
    <n v="9324.5112169999993"/>
  </r>
  <r>
    <x v="10"/>
    <x v="3"/>
    <x v="1"/>
    <x v="0"/>
    <x v="36"/>
    <s v="KEPL/00628/82-83"/>
    <s v="BEERA BARJEE INTERNATIONAL PVT.LTD"/>
    <x v="45"/>
    <n v="1"/>
    <n v="15"/>
    <n v="260.72000000000003"/>
    <n v="3910.8"/>
    <n v="-300.74"/>
    <n v="0"/>
    <n v="469.30771999999996"/>
    <n v="4079.3677200000002"/>
  </r>
  <r>
    <x v="6"/>
    <x v="3"/>
    <x v="1"/>
    <x v="0"/>
    <x v="36"/>
    <s v="KEPL/00628/82-83"/>
    <s v="BEERA BARJEE INTERNATIONAL PVT.LTD"/>
    <x v="30"/>
    <n v="1"/>
    <n v="20"/>
    <n v="242.1"/>
    <n v="4841.9999999999991"/>
    <n v="-372.35"/>
    <n v="0"/>
    <n v="581.05440099999998"/>
    <n v="5050.704401"/>
  </r>
  <r>
    <x v="6"/>
    <x v="3"/>
    <x v="1"/>
    <x v="0"/>
    <x v="36"/>
    <s v="KEPL/00628/82-83"/>
    <s v="BEERA BARJEE INTERNATIONAL PVT.LTD"/>
    <x v="28"/>
    <n v="1"/>
    <n v="20"/>
    <n v="204.85"/>
    <n v="4097"/>
    <n v="-315.06"/>
    <n v="0"/>
    <n v="491.65211599999998"/>
    <n v="4273.5921159999998"/>
  </r>
  <r>
    <x v="7"/>
    <x v="3"/>
    <x v="1"/>
    <x v="0"/>
    <x v="36"/>
    <s v="KEPL/00629/82-83"/>
    <s v="NEW MATA RANI SUPPLIERS"/>
    <x v="27"/>
    <n v="10"/>
    <n v="700"/>
    <n v="37.25"/>
    <n v="26075"/>
    <n v="-2005.1699999999998"/>
    <n v="0"/>
    <n v="3129.0800000000004"/>
    <n v="27198.91"/>
  </r>
  <r>
    <x v="7"/>
    <x v="3"/>
    <x v="1"/>
    <x v="0"/>
    <x v="36"/>
    <s v="KEPL/00630/82-83"/>
    <s v="GORIN TRADING "/>
    <x v="27"/>
    <n v="10"/>
    <n v="700"/>
    <n v="37.25"/>
    <n v="26075"/>
    <n v="-2005.1699999999998"/>
    <n v="0"/>
    <n v="3129.0800000000004"/>
    <n v="27198.91"/>
  </r>
  <r>
    <x v="7"/>
    <x v="3"/>
    <x v="1"/>
    <x v="0"/>
    <x v="36"/>
    <s v="KEPL/00631/82-83"/>
    <s v="NEW YASHISH TRADERS"/>
    <x v="27"/>
    <n v="25"/>
    <n v="1750"/>
    <n v="37.25"/>
    <n v="65187.5"/>
    <n v="-5012.92"/>
    <n v="0"/>
    <n v="7822.7"/>
    <n v="67997.279999999999"/>
  </r>
  <r>
    <x v="7"/>
    <x v="3"/>
    <x v="1"/>
    <x v="0"/>
    <x v="36"/>
    <s v="KEPL/00632/82-83"/>
    <s v="SHREE EXIM"/>
    <x v="27"/>
    <n v="25"/>
    <n v="1750"/>
    <n v="37.25"/>
    <n v="65187.5"/>
    <n v="-5012.92"/>
    <n v="0"/>
    <n v="7822.7"/>
    <n v="67997.279999999999"/>
  </r>
  <r>
    <x v="7"/>
    <x v="3"/>
    <x v="1"/>
    <x v="0"/>
    <x v="36"/>
    <s v="KEPL/00633/82-83"/>
    <s v="KRISHMA ENTERPRISES"/>
    <x v="27"/>
    <n v="30"/>
    <n v="2100"/>
    <n v="37.25"/>
    <n v="78225"/>
    <n v="-6015.5"/>
    <n v="0"/>
    <n v="9387.24"/>
    <n v="81596.740000000005"/>
  </r>
  <r>
    <x v="7"/>
    <x v="3"/>
    <x v="1"/>
    <x v="0"/>
    <x v="36"/>
    <s v="KEPL/00634/82-83"/>
    <s v="ISHWORI SUPPLIERS"/>
    <x v="27"/>
    <n v="25"/>
    <n v="1750"/>
    <n v="37.25"/>
    <n v="65187.5"/>
    <n v="-5012.92"/>
    <n v="0"/>
    <n v="7822.7"/>
    <n v="67997.279999999999"/>
  </r>
  <r>
    <x v="7"/>
    <x v="3"/>
    <x v="1"/>
    <x v="0"/>
    <x v="36"/>
    <s v="KEPL/00635/82-83"/>
    <s v="P and B Traders"/>
    <x v="27"/>
    <n v="2"/>
    <n v="140"/>
    <n v="37.25"/>
    <n v="5215"/>
    <n v="-401.03"/>
    <n v="0"/>
    <n v="625.82000000000005"/>
    <n v="5439.79"/>
  </r>
  <r>
    <x v="7"/>
    <x v="3"/>
    <x v="1"/>
    <x v="0"/>
    <x v="36"/>
    <s v="KEPL/00636/82-83"/>
    <s v="ABIRAL SUPPLIERS AND TRADERS"/>
    <x v="27"/>
    <n v="20"/>
    <n v="1400"/>
    <n v="37.25"/>
    <n v="52150"/>
    <n v="-4010.3399999999997"/>
    <n v="0"/>
    <n v="6258.1600000000008"/>
    <n v="54397.82"/>
  </r>
  <r>
    <x v="7"/>
    <x v="3"/>
    <x v="1"/>
    <x v="0"/>
    <x v="36"/>
    <s v="KEPL/00637/82-83"/>
    <s v="NEW CHANDESHWARI SUPPLIERS"/>
    <x v="27"/>
    <n v="10"/>
    <n v="700"/>
    <n v="37.25"/>
    <n v="26075"/>
    <n v="-2005.1699999999998"/>
    <n v="0"/>
    <n v="3129.0800000000004"/>
    <n v="27198.91"/>
  </r>
  <r>
    <x v="7"/>
    <x v="3"/>
    <x v="1"/>
    <x v="0"/>
    <x v="36"/>
    <s v="KEPL/00638/82-83"/>
    <s v="B G TRADING CONCERN"/>
    <x v="27"/>
    <n v="10"/>
    <n v="700"/>
    <n v="37.25"/>
    <n v="26075"/>
    <n v="-2005.1699999999998"/>
    <n v="0"/>
    <n v="3129.0800000000004"/>
    <n v="27198.91"/>
  </r>
  <r>
    <x v="7"/>
    <x v="3"/>
    <x v="1"/>
    <x v="0"/>
    <x v="36"/>
    <s v="KEPL/00639/82-83"/>
    <s v="CHHATRA DEV GENERAL SUPPLIERS"/>
    <x v="27"/>
    <n v="15"/>
    <n v="1050"/>
    <n v="37.25"/>
    <n v="39112.5"/>
    <n v="-3007.75"/>
    <n v="0"/>
    <n v="4693.62"/>
    <n v="40798.370000000003"/>
  </r>
  <r>
    <x v="7"/>
    <x v="3"/>
    <x v="1"/>
    <x v="0"/>
    <x v="36"/>
    <s v="KEPL/00640/82-83"/>
    <s v="R.P DISTRIBUTOR TRADE CENTER"/>
    <x v="27"/>
    <n v="25"/>
    <n v="1750"/>
    <n v="37.25"/>
    <n v="65187.5"/>
    <n v="-5012.92"/>
    <n v="0"/>
    <n v="7822.7"/>
    <n v="67997.279999999999"/>
  </r>
  <r>
    <x v="7"/>
    <x v="3"/>
    <x v="1"/>
    <x v="0"/>
    <x v="36"/>
    <s v="KEPL/00641/82-83"/>
    <s v="NAWA ATITHI STORES"/>
    <x v="27"/>
    <n v="5"/>
    <n v="350"/>
    <n v="37.25"/>
    <n v="13037.5"/>
    <n v="-1002.58"/>
    <n v="0"/>
    <n v="1564.5400000000002"/>
    <n v="13599.46"/>
  </r>
  <r>
    <x v="7"/>
    <x v="3"/>
    <x v="1"/>
    <x v="0"/>
    <x v="36"/>
    <s v="KEPL/00642/82-83"/>
    <s v="AASHI TRADERS"/>
    <x v="27"/>
    <n v="20"/>
    <n v="1400"/>
    <n v="37.25"/>
    <n v="52150"/>
    <n v="-4010.3399999999997"/>
    <n v="0"/>
    <n v="6258.1600000000008"/>
    <n v="54397.82"/>
  </r>
  <r>
    <x v="7"/>
    <x v="3"/>
    <x v="1"/>
    <x v="0"/>
    <x v="36"/>
    <s v="KEPL/00643/82-83"/>
    <s v="NEW HORIZON DISTRIBUTORS"/>
    <x v="27"/>
    <n v="10"/>
    <n v="700"/>
    <n v="37.25"/>
    <n v="26075"/>
    <n v="-2005.1699999999998"/>
    <n v="0"/>
    <n v="3129.0800000000004"/>
    <n v="27198.91"/>
  </r>
  <r>
    <x v="7"/>
    <x v="3"/>
    <x v="1"/>
    <x v="0"/>
    <x v="36"/>
    <s v="KEPL/00645/82-83"/>
    <s v="WELSON TRADE &amp; RASAN MART"/>
    <x v="27"/>
    <n v="10"/>
    <n v="700"/>
    <n v="37.25"/>
    <n v="26075"/>
    <n v="-2005.1699999999998"/>
    <n v="0"/>
    <n v="3129.0800000000004"/>
    <n v="27198.91"/>
  </r>
  <r>
    <x v="7"/>
    <x v="3"/>
    <x v="1"/>
    <x v="0"/>
    <x v="36"/>
    <s v="KEPL/00646/82-83"/>
    <s v="DURGA LAXMI AND SONS"/>
    <x v="27"/>
    <n v="10"/>
    <n v="700"/>
    <n v="37.25"/>
    <n v="26075"/>
    <n v="-2005.1699999999998"/>
    <n v="0"/>
    <n v="3129.0800000000004"/>
    <n v="27198.91"/>
  </r>
  <r>
    <x v="7"/>
    <x v="3"/>
    <x v="1"/>
    <x v="0"/>
    <x v="36"/>
    <s v="KEPL/00647/82-83"/>
    <s v="NEW MATA RANI SUPPLIERS"/>
    <x v="12"/>
    <n v="2"/>
    <n v="260"/>
    <n v="37.25"/>
    <n v="9685"/>
    <n v="-744.78"/>
    <n v="0"/>
    <n v="1162.23"/>
    <n v="10102.450000000001"/>
  </r>
  <r>
    <x v="5"/>
    <x v="3"/>
    <x v="1"/>
    <x v="0"/>
    <x v="37"/>
    <s v="KESR/0013/82-83"/>
    <s v="NEW MATA RANI SUPPLIERS"/>
    <x v="7"/>
    <n v="-1"/>
    <n v="-42"/>
    <n v="74.489999999999995"/>
    <n v="-3128.58"/>
    <n v="240.59"/>
    <n v="0"/>
    <n v="-375.44"/>
    <n v="-3263.43"/>
  </r>
  <r>
    <x v="11"/>
    <x v="3"/>
    <x v="1"/>
    <x v="0"/>
    <x v="38"/>
    <s v="KEPL/00669/82-83"/>
    <s v="NEW MATA RANI SUPPLIERS"/>
    <x v="37"/>
    <n v="2"/>
    <n v="80"/>
    <n v="81.94"/>
    <n v="6555.2"/>
    <n v="-504.09"/>
    <n v="0"/>
    <n v="786.64369299999998"/>
    <n v="6837.7536929999997"/>
  </r>
  <r>
    <x v="11"/>
    <x v="3"/>
    <x v="1"/>
    <x v="0"/>
    <x v="38"/>
    <s v="KEPL/00669/82-83"/>
    <s v="NEW MATA RANI SUPPLIERS"/>
    <x v="53"/>
    <n v="2"/>
    <n v="80"/>
    <n v="81.94"/>
    <n v="6555.2"/>
    <n v="-504.09"/>
    <n v="0"/>
    <n v="786.64369299999998"/>
    <n v="6837.7536929999997"/>
  </r>
  <r>
    <x v="9"/>
    <x v="3"/>
    <x v="1"/>
    <x v="0"/>
    <x v="38"/>
    <s v="KEPL/00669/82-83"/>
    <s v="NEW MATA RANI SUPPLIERS"/>
    <x v="38"/>
    <n v="2"/>
    <n v="48"/>
    <n v="186.23"/>
    <n v="8939.0400000000009"/>
    <n v="-687.41"/>
    <n v="0"/>
    <n v="1072.7110720000001"/>
    <n v="9324.3410719999993"/>
  </r>
  <r>
    <x v="9"/>
    <x v="3"/>
    <x v="1"/>
    <x v="0"/>
    <x v="38"/>
    <s v="KEPL/00669/82-83"/>
    <s v="NEW MATA RANI SUPPLIERS"/>
    <x v="44"/>
    <n v="2"/>
    <n v="48"/>
    <n v="186.23"/>
    <n v="8939.0400000000009"/>
    <n v="-687.41"/>
    <n v="0"/>
    <n v="1072.7110720000001"/>
    <n v="9324.3410719999993"/>
  </r>
  <r>
    <x v="8"/>
    <x v="3"/>
    <x v="1"/>
    <x v="0"/>
    <x v="38"/>
    <s v="KEPL/00669/82-83"/>
    <s v="NEW MATA RANI SUPPLIERS"/>
    <x v="13"/>
    <n v="2"/>
    <n v="48"/>
    <n v="141.54"/>
    <n v="6793.92"/>
    <n v="-522.45000000000005"/>
    <n v="0"/>
    <n v="815.29047100000003"/>
    <n v="7086.7604709999996"/>
  </r>
  <r>
    <x v="3"/>
    <x v="3"/>
    <x v="1"/>
    <x v="0"/>
    <x v="38"/>
    <s v="KEPL/00670/82-83"/>
    <s v="ABIRAL SUPPLIERS AND TRADERS"/>
    <x v="55"/>
    <n v="5"/>
    <n v="100"/>
    <n v="175.05"/>
    <n v="17505"/>
    <n v="-1346.1299999999999"/>
    <n v="0"/>
    <n v="2100.65353"/>
    <n v="18259.523529999999"/>
  </r>
  <r>
    <x v="4"/>
    <x v="3"/>
    <x v="1"/>
    <x v="0"/>
    <x v="38"/>
    <s v="KEPL/00670/82-83"/>
    <s v="ABIRAL SUPPLIERS AND TRADERS"/>
    <x v="5"/>
    <n v="5"/>
    <n v="900"/>
    <n v="18.62"/>
    <n v="16758"/>
    <n v="-1288.6899999999998"/>
    <n v="0"/>
    <n v="2011.0107109999999"/>
    <n v="17480.320711"/>
  </r>
  <r>
    <x v="3"/>
    <x v="3"/>
    <x v="1"/>
    <x v="0"/>
    <x v="38"/>
    <s v="KEPL/00670/82-83"/>
    <s v="ABIRAL SUPPLIERS AND TRADERS"/>
    <x v="46"/>
    <n v="10"/>
    <n v="200"/>
    <n v="175.05"/>
    <n v="35010"/>
    <n v="-2692.27"/>
    <n v="0"/>
    <n v="4201.3057589999999"/>
    <n v="36519.035758999999"/>
  </r>
  <r>
    <x v="20"/>
    <x v="3"/>
    <x v="1"/>
    <x v="0"/>
    <x v="39"/>
    <s v="KEPL/00705/82-83"/>
    <s v="SHREE BHOLEY SHANKAR KIRANA STORE"/>
    <x v="52"/>
    <n v="25"/>
    <n v="100"/>
    <n v="595.92999999999995"/>
    <n v="59593"/>
    <n v="-4582.7"/>
    <n v="0"/>
    <n v="7151.34"/>
    <n v="62161.64"/>
  </r>
  <r>
    <x v="8"/>
    <x v="3"/>
    <x v="1"/>
    <x v="0"/>
    <x v="40"/>
    <s v="KEPL/00797/82-83"/>
    <s v="NEW MATA RANI SUPPLIERS"/>
    <x v="33"/>
    <n v="5"/>
    <n v="200"/>
    <n v="67.040000000000006"/>
    <n v="13408"/>
    <n v="-1031.08"/>
    <n v="0"/>
    <n v="1608.9980619999999"/>
    <n v="13985.918062000001"/>
  </r>
  <r>
    <x v="17"/>
    <x v="3"/>
    <x v="1"/>
    <x v="0"/>
    <x v="40"/>
    <s v="KEPL/00797/82-83"/>
    <s v="NEW MATA RANI SUPPLIERS"/>
    <x v="39"/>
    <n v="5"/>
    <n v="100"/>
    <n v="249.55"/>
    <n v="24955"/>
    <n v="-1919.04"/>
    <n v="0"/>
    <n v="2994.671938"/>
    <n v="26030.631937999999"/>
  </r>
  <r>
    <x v="1"/>
    <x v="3"/>
    <x v="1"/>
    <x v="0"/>
    <x v="40"/>
    <s v="KEPL/00798/82-83"/>
    <s v="SHUBHASHREE MARKETING"/>
    <x v="2"/>
    <n v="10"/>
    <n v="180"/>
    <n v="178.78"/>
    <n v="32180.400000000001"/>
    <n v="-2474.6699999999996"/>
    <n v="0"/>
    <n v="3861.743136"/>
    <n v="33567.473136000001"/>
  </r>
  <r>
    <x v="17"/>
    <x v="3"/>
    <x v="1"/>
    <x v="0"/>
    <x v="40"/>
    <s v="KEPL/00798/82-83"/>
    <s v="SHUBHASHREE MARKETING"/>
    <x v="39"/>
    <n v="10"/>
    <n v="200"/>
    <n v="249.55"/>
    <n v="49910"/>
    <n v="-3838.08"/>
    <n v="0"/>
    <n v="5989.3468640000001"/>
    <n v="52061.266863999997"/>
  </r>
  <r>
    <x v="8"/>
    <x v="3"/>
    <x v="1"/>
    <x v="0"/>
    <x v="40"/>
    <s v="KEPL/00799/82-83"/>
    <s v="BEERA BARJEE INTERNATIONAL PVT.LTD"/>
    <x v="33"/>
    <n v="3"/>
    <n v="120"/>
    <n v="67.040000000000006"/>
    <n v="8044.8"/>
    <n v="-618.65"/>
    <n v="0"/>
    <n v="965.39830999999992"/>
    <n v="8391.5483100000001"/>
  </r>
  <r>
    <x v="16"/>
    <x v="3"/>
    <x v="1"/>
    <x v="0"/>
    <x v="40"/>
    <s v="KEPL/00799/82-83"/>
    <s v="BEERA BARJEE INTERNATIONAL PVT.LTD"/>
    <x v="42"/>
    <n v="2"/>
    <n v="60"/>
    <n v="316.58999999999997"/>
    <n v="18995.399999999998"/>
    <n v="-1460.75"/>
    <n v="0"/>
    <n v="2279.5016900000001"/>
    <n v="19814.151689999999"/>
  </r>
  <r>
    <x v="17"/>
    <x v="3"/>
    <x v="1"/>
    <x v="0"/>
    <x v="40"/>
    <s v="KEPL/00800/82-83"/>
    <s v="GORIN TRADING "/>
    <x v="39"/>
    <n v="5"/>
    <n v="100"/>
    <n v="249.55"/>
    <n v="24955"/>
    <n v="-1919.04"/>
    <n v="0"/>
    <n v="2994.6715479999998"/>
    <n v="26030.631548000001"/>
  </r>
  <r>
    <x v="8"/>
    <x v="3"/>
    <x v="1"/>
    <x v="0"/>
    <x v="40"/>
    <s v="KEPL/00800/82-83"/>
    <s v="GORIN TRADING "/>
    <x v="33"/>
    <n v="3"/>
    <n v="120"/>
    <n v="67.040000000000006"/>
    <n v="8044.8"/>
    <n v="-618.65"/>
    <n v="0"/>
    <n v="965.39845200000002"/>
    <n v="8391.5484520000009"/>
  </r>
  <r>
    <x v="8"/>
    <x v="3"/>
    <x v="1"/>
    <x v="0"/>
    <x v="40"/>
    <s v="KEPL/00801/82-83"/>
    <s v="P and B Traders"/>
    <x v="33"/>
    <n v="2"/>
    <n v="80"/>
    <n v="67.040000000000006"/>
    <n v="5363.2"/>
    <n v="-412.43"/>
    <n v="0"/>
    <n v="643.6"/>
    <n v="5594.37"/>
  </r>
  <r>
    <x v="2"/>
    <x v="3"/>
    <x v="1"/>
    <x v="0"/>
    <x v="40"/>
    <s v="KEPL/00802/82-83"/>
    <s v="KRISHMA ENTERPRISES"/>
    <x v="3"/>
    <n v="10"/>
    <n v="200"/>
    <n v="186.22"/>
    <n v="37244"/>
    <n v="-2864.06"/>
    <n v="0"/>
    <n v="4469.3899999999994"/>
    <n v="38849.33"/>
  </r>
  <r>
    <x v="1"/>
    <x v="3"/>
    <x v="1"/>
    <x v="0"/>
    <x v="40"/>
    <s v="KEPL/00803/82-83"/>
    <s v="NEW YASHISH TRADERS"/>
    <x v="26"/>
    <n v="50"/>
    <n v="900"/>
    <n v="178.78"/>
    <n v="160902"/>
    <n v="-12373.36"/>
    <n v="0"/>
    <n v="19308.723236000002"/>
    <n v="167837.363236"/>
  </r>
  <r>
    <x v="1"/>
    <x v="3"/>
    <x v="1"/>
    <x v="0"/>
    <x v="40"/>
    <s v="KEPL/00803/82-83"/>
    <s v="NEW YASHISH TRADERS"/>
    <x v="25"/>
    <n v="25"/>
    <n v="450"/>
    <n v="178.78"/>
    <n v="80451"/>
    <n v="-6186.68"/>
    <n v="0"/>
    <n v="9654.3616180000008"/>
    <n v="83918.681618000002"/>
  </r>
  <r>
    <x v="1"/>
    <x v="3"/>
    <x v="1"/>
    <x v="0"/>
    <x v="40"/>
    <s v="KEPL/00803/82-83"/>
    <s v="NEW YASHISH TRADERS"/>
    <x v="2"/>
    <n v="90"/>
    <n v="1620"/>
    <n v="178.78"/>
    <n v="289623.59999999998"/>
    <n v="-22272.05"/>
    <n v="0"/>
    <n v="34755.701565000003"/>
    <n v="302107.25156499998"/>
  </r>
  <r>
    <x v="1"/>
    <x v="3"/>
    <x v="1"/>
    <x v="0"/>
    <x v="40"/>
    <s v="KEPL/00803/82-83"/>
    <s v="NEW YASHISH TRADERS"/>
    <x v="24"/>
    <n v="250"/>
    <n v="4500"/>
    <n v="178.78"/>
    <n v="804510"/>
    <n v="-61866.82"/>
    <n v="0"/>
    <n v="96543.613580999998"/>
    <n v="839186.79358099995"/>
  </r>
  <r>
    <x v="10"/>
    <x v="4"/>
    <x v="2"/>
    <x v="0"/>
    <x v="41"/>
    <s v="KEPL/00809/82-83"/>
    <s v="SHUBHASHREE MARKETING"/>
    <x v="49"/>
    <n v="6"/>
    <n v="90"/>
    <n v="260.72000000000003"/>
    <n v="23464.799999999999"/>
    <n v="-1804.44"/>
    <n v="0"/>
    <n v="2815.85"/>
    <n v="24476.21"/>
  </r>
  <r>
    <x v="16"/>
    <x v="4"/>
    <x v="2"/>
    <x v="0"/>
    <x v="42"/>
    <s v="KEPL/00811/82-83"/>
    <s v="MEGA MART PVT.LTD"/>
    <x v="42"/>
    <n v="11"/>
    <n v="330"/>
    <n v="282.08"/>
    <n v="93086.400000000009"/>
    <n v="0"/>
    <n v="0"/>
    <n v="12101.23"/>
    <n v="105187.63"/>
  </r>
  <r>
    <x v="8"/>
    <x v="4"/>
    <x v="2"/>
    <x v="0"/>
    <x v="43"/>
    <s v="KEPL/00812/82-83"/>
    <s v="MEGA MART PVT.LTD"/>
    <x v="33"/>
    <n v="30"/>
    <n v="1200"/>
    <n v="59.73"/>
    <n v="71676"/>
    <n v="0"/>
    <n v="0"/>
    <n v="9317.880000000001"/>
    <n v="80993.88"/>
  </r>
  <r>
    <x v="8"/>
    <x v="4"/>
    <x v="2"/>
    <x v="0"/>
    <x v="43"/>
    <s v="KEPL/00813/82-83"/>
    <s v="BEERA BARJEE INTERNATIONAL PVT.LTD"/>
    <x v="33"/>
    <n v="4"/>
    <n v="160"/>
    <n v="67.040000000000006"/>
    <n v="10726.4"/>
    <n v="-824.86"/>
    <n v="0"/>
    <n v="1287.2003380000001"/>
    <n v="11188.740338"/>
  </r>
  <r>
    <x v="6"/>
    <x v="4"/>
    <x v="2"/>
    <x v="0"/>
    <x v="43"/>
    <s v="KEPL/00813/82-83"/>
    <s v="BEERA BARJEE INTERNATIONAL PVT.LTD"/>
    <x v="29"/>
    <n v="1"/>
    <n v="20"/>
    <n v="204.85"/>
    <n v="4097"/>
    <n v="-315.06"/>
    <n v="0"/>
    <n v="491.65225300000003"/>
    <n v="4273.5922529999998"/>
  </r>
  <r>
    <x v="11"/>
    <x v="4"/>
    <x v="2"/>
    <x v="0"/>
    <x v="43"/>
    <s v="KEPL/00813/82-83"/>
    <s v="BEERA BARJEE INTERNATIONAL PVT.LTD"/>
    <x v="37"/>
    <n v="2"/>
    <n v="80"/>
    <n v="81.94"/>
    <n v="6555.2"/>
    <n v="-504.09"/>
    <n v="0"/>
    <n v="786.64438399999995"/>
    <n v="6837.7543839999998"/>
  </r>
  <r>
    <x v="11"/>
    <x v="4"/>
    <x v="2"/>
    <x v="0"/>
    <x v="43"/>
    <s v="KEPL/00813/82-83"/>
    <s v="BEERA BARJEE INTERNATIONAL PVT.LTD"/>
    <x v="53"/>
    <n v="2"/>
    <n v="80"/>
    <n v="81.94"/>
    <n v="6555.2"/>
    <n v="-504.09"/>
    <n v="0"/>
    <n v="786.64438399999995"/>
    <n v="6837.7543839999998"/>
  </r>
  <r>
    <x v="3"/>
    <x v="4"/>
    <x v="2"/>
    <x v="0"/>
    <x v="43"/>
    <s v="KEPL/00813/82-83"/>
    <s v="BEERA BARJEE INTERNATIONAL PVT.LTD"/>
    <x v="46"/>
    <n v="1"/>
    <n v="20"/>
    <n v="175.06"/>
    <n v="3501.2"/>
    <n v="-269.24"/>
    <n v="0"/>
    <n v="420.15484500000002"/>
    <n v="3652.1148450000001"/>
  </r>
  <r>
    <x v="20"/>
    <x v="4"/>
    <x v="2"/>
    <x v="0"/>
    <x v="43"/>
    <s v="KEPL/00813/82-83"/>
    <s v="BEERA BARJEE INTERNATIONAL PVT.LTD"/>
    <x v="52"/>
    <n v="2"/>
    <n v="8"/>
    <n v="595.92999999999995"/>
    <n v="4767.4399999999996"/>
    <n v="-366.62"/>
    <n v="0"/>
    <n v="572.10666100000003"/>
    <n v="4972.9266610000004"/>
  </r>
  <r>
    <x v="3"/>
    <x v="4"/>
    <x v="2"/>
    <x v="0"/>
    <x v="43"/>
    <s v="KEPL/00813/82-83"/>
    <s v="BEERA BARJEE INTERNATIONAL PVT.LTD"/>
    <x v="54"/>
    <n v="1"/>
    <n v="20"/>
    <n v="175.06"/>
    <n v="3501.2"/>
    <n v="-269.24"/>
    <n v="0"/>
    <n v="420.15484500000002"/>
    <n v="3652.1148450000001"/>
  </r>
  <r>
    <x v="8"/>
    <x v="4"/>
    <x v="2"/>
    <x v="0"/>
    <x v="43"/>
    <s v="KEPL/00813/82-83"/>
    <s v="BEERA BARJEE INTERNATIONAL PVT.LTD"/>
    <x v="13"/>
    <n v="3"/>
    <n v="72"/>
    <n v="141.54"/>
    <n v="10190.879999999999"/>
    <n v="-783.68"/>
    <n v="0"/>
    <n v="1222.9361310000002"/>
    <n v="10630.136130999999"/>
  </r>
  <r>
    <x v="16"/>
    <x v="4"/>
    <x v="2"/>
    <x v="0"/>
    <x v="43"/>
    <s v="KEPL/00813/82-83"/>
    <s v="BEERA BARJEE INTERNATIONAL PVT.LTD"/>
    <x v="42"/>
    <n v="1"/>
    <n v="30"/>
    <n v="316.58999999999997"/>
    <n v="9497.6999999999989"/>
    <n v="-730.36999999999989"/>
    <n v="0"/>
    <n v="1139.7530220000001"/>
    <n v="9907.0830220000007"/>
  </r>
  <r>
    <x v="3"/>
    <x v="4"/>
    <x v="2"/>
    <x v="0"/>
    <x v="43"/>
    <s v="KEPL/00813/82-83"/>
    <s v="BEERA BARJEE INTERNATIONAL PVT.LTD"/>
    <x v="55"/>
    <n v="1"/>
    <n v="20"/>
    <n v="175.06"/>
    <n v="3501.2"/>
    <n v="-269.24"/>
    <n v="0"/>
    <n v="420.15484500000002"/>
    <n v="3652.1148450000001"/>
  </r>
  <r>
    <x v="9"/>
    <x v="4"/>
    <x v="2"/>
    <x v="0"/>
    <x v="43"/>
    <s v="KEPL/00813/82-83"/>
    <s v="BEERA BARJEE INTERNATIONAL PVT.LTD"/>
    <x v="22"/>
    <n v="2"/>
    <n v="48"/>
    <n v="204.85"/>
    <n v="9832.8000000000011"/>
    <n v="-756.14"/>
    <n v="0"/>
    <n v="1179.965927"/>
    <n v="10256.625926999999"/>
  </r>
  <r>
    <x v="6"/>
    <x v="4"/>
    <x v="2"/>
    <x v="0"/>
    <x v="43"/>
    <s v="KEPL/00813/82-83"/>
    <s v="BEERA BARJEE INTERNATIONAL PVT.LTD"/>
    <x v="59"/>
    <n v="1"/>
    <n v="20"/>
    <n v="204.85"/>
    <n v="4097"/>
    <n v="-315.06"/>
    <n v="0"/>
    <n v="491.65225300000003"/>
    <n v="4273.5922529999998"/>
  </r>
  <r>
    <x v="10"/>
    <x v="4"/>
    <x v="2"/>
    <x v="0"/>
    <x v="43"/>
    <s v="KEPL/00813/82-83"/>
    <s v="BEERA BARJEE INTERNATIONAL PVT.LTD"/>
    <x v="49"/>
    <n v="1"/>
    <n v="15"/>
    <n v="260.72000000000003"/>
    <n v="3910.8"/>
    <n v="-300.74"/>
    <n v="0"/>
    <n v="469.30785000000003"/>
    <n v="4079.3678500000001"/>
  </r>
  <r>
    <x v="6"/>
    <x v="4"/>
    <x v="2"/>
    <x v="0"/>
    <x v="43"/>
    <s v="KEPL/00813/82-83"/>
    <s v="BEERA BARJEE INTERNATIONAL PVT.LTD"/>
    <x v="48"/>
    <n v="1"/>
    <n v="20"/>
    <n v="204.85"/>
    <n v="4097"/>
    <n v="-315.06"/>
    <n v="0"/>
    <n v="491.65225300000003"/>
    <n v="4273.5922529999998"/>
  </r>
  <r>
    <x v="8"/>
    <x v="4"/>
    <x v="2"/>
    <x v="0"/>
    <x v="43"/>
    <s v="KEPL/00813/82-83"/>
    <s v="BEERA BARJEE INTERNATIONAL PVT.LTD"/>
    <x v="41"/>
    <n v="2"/>
    <n v="80"/>
    <n v="67.040000000000006"/>
    <n v="5363.2"/>
    <n v="-412.43"/>
    <n v="0"/>
    <n v="643.60016900000005"/>
    <n v="5594.3701689999998"/>
  </r>
  <r>
    <x v="17"/>
    <x v="4"/>
    <x v="2"/>
    <x v="0"/>
    <x v="43"/>
    <s v="KEPL/00813/82-83"/>
    <s v="BEERA BARJEE INTERNATIONAL PVT.LTD"/>
    <x v="39"/>
    <n v="1"/>
    <n v="20"/>
    <n v="249.55"/>
    <n v="4991"/>
    <n v="-383.81"/>
    <n v="0"/>
    <n v="598.93476399999997"/>
    <n v="5206.1247640000001"/>
  </r>
  <r>
    <x v="6"/>
    <x v="4"/>
    <x v="2"/>
    <x v="0"/>
    <x v="43"/>
    <s v="KEPL/00813/82-83"/>
    <s v="BEERA BARJEE INTERNATIONAL PVT.LTD"/>
    <x v="28"/>
    <n v="1"/>
    <n v="20"/>
    <n v="204.85"/>
    <n v="4097"/>
    <n v="-315.06"/>
    <n v="0"/>
    <n v="491.65225300000003"/>
    <n v="4273.5922529999998"/>
  </r>
  <r>
    <x v="11"/>
    <x v="4"/>
    <x v="2"/>
    <x v="0"/>
    <x v="43"/>
    <s v="KEPL/00813/82-83"/>
    <s v="BEERA BARJEE INTERNATIONAL PVT.LTD"/>
    <x v="36"/>
    <n v="3"/>
    <n v="120"/>
    <n v="81.94"/>
    <n v="9832.8000000000011"/>
    <n v="-756.14"/>
    <n v="0"/>
    <n v="1179.965927"/>
    <n v="10256.625926999999"/>
  </r>
  <r>
    <x v="16"/>
    <x v="4"/>
    <x v="2"/>
    <x v="0"/>
    <x v="43"/>
    <s v="KEPL/00813/82-83"/>
    <s v="BEERA BARJEE INTERNATIONAL PVT.LTD"/>
    <x v="35"/>
    <n v="1"/>
    <n v="60"/>
    <n v="145.26"/>
    <n v="8715.6"/>
    <n v="-670.23"/>
    <n v="0"/>
    <n v="1045.8982120000001"/>
    <n v="9091.2682120000009"/>
  </r>
  <r>
    <x v="6"/>
    <x v="4"/>
    <x v="2"/>
    <x v="0"/>
    <x v="43"/>
    <s v="KEPL/00813/82-83"/>
    <s v="BEERA BARJEE INTERNATIONAL PVT.LTD"/>
    <x v="30"/>
    <n v="1"/>
    <n v="20"/>
    <n v="242.1"/>
    <n v="4841.9999999999991"/>
    <n v="-372.35"/>
    <n v="0"/>
    <n v="581.05456200000003"/>
    <n v="5050.7045619999999"/>
  </r>
  <r>
    <x v="7"/>
    <x v="4"/>
    <x v="2"/>
    <x v="0"/>
    <x v="43"/>
    <s v="KEPL/00813/82-83"/>
    <s v="BEERA BARJEE INTERNATIONAL PVT.LTD"/>
    <x v="12"/>
    <n v="2"/>
    <n v="260"/>
    <n v="37.25"/>
    <n v="9685"/>
    <n v="-744.78"/>
    <n v="0"/>
    <n v="1162.2287249999999"/>
    <n v="10102.448725"/>
  </r>
  <r>
    <x v="10"/>
    <x v="4"/>
    <x v="2"/>
    <x v="0"/>
    <x v="43"/>
    <s v="KEPL/00813/82-83"/>
    <s v="BEERA BARJEE INTERNATIONAL PVT.LTD"/>
    <x v="45"/>
    <n v="1"/>
    <n v="15"/>
    <n v="260.72000000000003"/>
    <n v="3910.8"/>
    <n v="-300.74"/>
    <n v="0"/>
    <n v="469.30785000000003"/>
    <n v="4079.3678500000001"/>
  </r>
  <r>
    <x v="2"/>
    <x v="4"/>
    <x v="2"/>
    <x v="0"/>
    <x v="43"/>
    <s v="KEPL/00813/82-83"/>
    <s v="BEERA BARJEE INTERNATIONAL PVT.LTD"/>
    <x v="3"/>
    <n v="3"/>
    <n v="60"/>
    <n v="186.22"/>
    <n v="11173.199999999999"/>
    <n v="-859.22"/>
    <n v="0"/>
    <n v="1340.817544"/>
    <n v="11654.797543999999"/>
  </r>
  <r>
    <x v="16"/>
    <x v="4"/>
    <x v="2"/>
    <x v="0"/>
    <x v="44"/>
    <s v="KEPL/00814/82-83"/>
    <s v="MEGA MART PVT.LTD"/>
    <x v="35"/>
    <n v="5"/>
    <n v="300"/>
    <n v="129.41999999999999"/>
    <n v="38826"/>
    <n v="0"/>
    <n v="0"/>
    <n v="5047.3772140000001"/>
    <n v="43873.377214"/>
  </r>
  <r>
    <x v="16"/>
    <x v="4"/>
    <x v="2"/>
    <x v="0"/>
    <x v="44"/>
    <s v="KEPL/00814/82-83"/>
    <s v="MEGA MART PVT.LTD"/>
    <x v="42"/>
    <n v="2"/>
    <n v="60"/>
    <n v="282.08"/>
    <n v="16924.8"/>
    <n v="0"/>
    <n v="0"/>
    <n v="2200.2227860000003"/>
    <n v="19125.022786000001"/>
  </r>
  <r>
    <x v="8"/>
    <x v="4"/>
    <x v="2"/>
    <x v="0"/>
    <x v="44"/>
    <s v="KEPL/00815/82-83"/>
    <s v="KRISHMA ENTERPRISES"/>
    <x v="41"/>
    <n v="10"/>
    <n v="400"/>
    <n v="67.040000000000006"/>
    <n v="26816"/>
    <n v="-2062.15"/>
    <n v="0"/>
    <n v="3218.000462"/>
    <n v="27971.850461999999"/>
  </r>
  <r>
    <x v="16"/>
    <x v="4"/>
    <x v="2"/>
    <x v="0"/>
    <x v="44"/>
    <s v="KEPL/00815/82-83"/>
    <s v="KRISHMA ENTERPRISES"/>
    <x v="35"/>
    <n v="15"/>
    <n v="900"/>
    <n v="145.26"/>
    <n v="130734"/>
    <n v="-10053.44"/>
    <n v="0"/>
    <n v="15688.472613"/>
    <n v="136369.03261299999"/>
  </r>
  <r>
    <x v="6"/>
    <x v="4"/>
    <x v="2"/>
    <x v="0"/>
    <x v="44"/>
    <s v="KEPL/00815/82-83"/>
    <s v="KRISHMA ENTERPRISES"/>
    <x v="30"/>
    <n v="2"/>
    <n v="40"/>
    <n v="242.1"/>
    <n v="9683.9999999999982"/>
    <n v="-744.7"/>
    <n v="0"/>
    <n v="1162.108986"/>
    <n v="10101.408986"/>
  </r>
  <r>
    <x v="3"/>
    <x v="4"/>
    <x v="2"/>
    <x v="0"/>
    <x v="44"/>
    <s v="KEPL/00815/82-83"/>
    <s v="KRISHMA ENTERPRISES"/>
    <x v="46"/>
    <n v="5"/>
    <n v="100"/>
    <n v="175.06"/>
    <n v="17506"/>
    <n v="-1346.21"/>
    <n v="0"/>
    <n v="2100.7726750000002"/>
    <n v="18260.562675000001"/>
  </r>
  <r>
    <x v="2"/>
    <x v="4"/>
    <x v="2"/>
    <x v="0"/>
    <x v="44"/>
    <s v="KEPL/00815/82-83"/>
    <s v="KRISHMA ENTERPRISES"/>
    <x v="3"/>
    <n v="35"/>
    <n v="700"/>
    <n v="186.22"/>
    <n v="130354.00000000001"/>
    <n v="-10024.220000000001"/>
    <n v="0"/>
    <n v="15642.871213"/>
    <n v="135972.651213"/>
  </r>
  <r>
    <x v="8"/>
    <x v="4"/>
    <x v="2"/>
    <x v="0"/>
    <x v="44"/>
    <s v="KEPL/00815/82-83"/>
    <s v="KRISHMA ENTERPRISES"/>
    <x v="33"/>
    <n v="10"/>
    <n v="400"/>
    <n v="67.040000000000006"/>
    <n v="26816"/>
    <n v="-2062.15"/>
    <n v="0"/>
    <n v="3218.000462"/>
    <n v="27971.850461999999"/>
  </r>
  <r>
    <x v="7"/>
    <x v="4"/>
    <x v="2"/>
    <x v="0"/>
    <x v="44"/>
    <s v="KEPL/00815/82-83"/>
    <s v="KRISHMA ENTERPRISES"/>
    <x v="27"/>
    <n v="30"/>
    <n v="2100"/>
    <n v="37.25"/>
    <n v="78225"/>
    <n v="-6015.5"/>
    <n v="0"/>
    <n v="9387.2348880000009"/>
    <n v="81596.734888000006"/>
  </r>
  <r>
    <x v="0"/>
    <x v="4"/>
    <x v="2"/>
    <x v="0"/>
    <x v="44"/>
    <s v="KEPL/00815/82-83"/>
    <s v="KRISHMA ENTERPRISES"/>
    <x v="57"/>
    <n v="3"/>
    <n v="120"/>
    <n v="111.74"/>
    <n v="13408.8"/>
    <n v="-1031.1400000000001"/>
    <n v="0"/>
    <n v="1609.095781"/>
    <n v="13986.755781"/>
  </r>
  <r>
    <x v="3"/>
    <x v="4"/>
    <x v="2"/>
    <x v="0"/>
    <x v="44"/>
    <s v="KEPL/00815/82-83"/>
    <s v="KRISHMA ENTERPRISES"/>
    <x v="55"/>
    <n v="5"/>
    <n v="100"/>
    <n v="175.06"/>
    <n v="17506"/>
    <n v="-1346.21"/>
    <n v="0"/>
    <n v="2100.7726750000002"/>
    <n v="18260.562675000001"/>
  </r>
  <r>
    <x v="16"/>
    <x v="4"/>
    <x v="2"/>
    <x v="0"/>
    <x v="44"/>
    <s v="KEPL/00815/82-83"/>
    <s v="KRISHMA ENTERPRISES"/>
    <x v="42"/>
    <n v="4"/>
    <n v="120"/>
    <n v="316.58999999999997"/>
    <n v="37990.799999999996"/>
    <n v="-2921.4900000000002"/>
    <n v="0"/>
    <n v="4559.0102459999998"/>
    <n v="39628.320246000003"/>
  </r>
  <r>
    <x v="0"/>
    <x v="4"/>
    <x v="2"/>
    <x v="0"/>
    <x v="45"/>
    <s v="KEPL/00842/82-83"/>
    <s v="NEW CHANDESHWARI SUPPLIERS"/>
    <x v="57"/>
    <n v="2"/>
    <n v="80"/>
    <n v="111.74"/>
    <n v="8939.2000000000007"/>
    <n v="-687.42"/>
    <n v="0"/>
    <n v="1072.7312429999999"/>
    <n v="9324.5112430000008"/>
  </r>
  <r>
    <x v="10"/>
    <x v="4"/>
    <x v="2"/>
    <x v="0"/>
    <x v="45"/>
    <s v="KEPL/00842/82-83"/>
    <s v="NEW CHANDESHWARI SUPPLIERS"/>
    <x v="49"/>
    <n v="3"/>
    <n v="45"/>
    <n v="260.72000000000003"/>
    <n v="11732.4"/>
    <n v="-902.22"/>
    <n v="0"/>
    <n v="1407.9231929999999"/>
    <n v="12238.103193000001"/>
  </r>
  <r>
    <x v="0"/>
    <x v="4"/>
    <x v="2"/>
    <x v="0"/>
    <x v="45"/>
    <s v="KEPL/00842/82-83"/>
    <s v="NEW CHANDESHWARI SUPPLIERS"/>
    <x v="47"/>
    <n v="3"/>
    <n v="120"/>
    <n v="111.74"/>
    <n v="13408.8"/>
    <n v="-1031.1400000000001"/>
    <n v="0"/>
    <n v="1609.095564"/>
    <n v="13986.755563999999"/>
  </r>
  <r>
    <x v="3"/>
    <x v="4"/>
    <x v="2"/>
    <x v="0"/>
    <x v="45"/>
    <s v="KEPL/00843/82-83"/>
    <s v="NEW HORIZON DISTRIBUTORS"/>
    <x v="55"/>
    <n v="2"/>
    <n v="40"/>
    <n v="175.06"/>
    <n v="7002.4"/>
    <n v="-538.48"/>
    <n v="0"/>
    <n v="840.30968200000007"/>
    <n v="7304.2296820000001"/>
  </r>
  <r>
    <x v="0"/>
    <x v="4"/>
    <x v="2"/>
    <x v="0"/>
    <x v="45"/>
    <s v="KEPL/00843/82-83"/>
    <s v="NEW HORIZON DISTRIBUTORS"/>
    <x v="47"/>
    <n v="3"/>
    <n v="120"/>
    <n v="111.74"/>
    <n v="13408.8"/>
    <n v="-1031.1400000000001"/>
    <n v="0"/>
    <n v="1609.0959559999999"/>
    <n v="13986.755956000001"/>
  </r>
  <r>
    <x v="16"/>
    <x v="4"/>
    <x v="2"/>
    <x v="0"/>
    <x v="45"/>
    <s v="KEPL/00843/82-83"/>
    <s v="NEW HORIZON DISTRIBUTORS"/>
    <x v="35"/>
    <n v="3"/>
    <n v="180"/>
    <n v="145.26"/>
    <n v="26146.799999999999"/>
    <n v="-2010.6899999999998"/>
    <n v="0"/>
    <n v="3137.6946040000003"/>
    <n v="27273.804604000001"/>
  </r>
  <r>
    <x v="6"/>
    <x v="4"/>
    <x v="2"/>
    <x v="0"/>
    <x v="45"/>
    <s v="KEPL/00843/82-83"/>
    <s v="NEW HORIZON DISTRIBUTORS"/>
    <x v="59"/>
    <n v="2"/>
    <n v="40"/>
    <n v="204.85"/>
    <n v="8194"/>
    <n v="-630.12"/>
    <n v="0"/>
    <n v="983.30449499999997"/>
    <n v="8547.1844949999995"/>
  </r>
  <r>
    <x v="0"/>
    <x v="4"/>
    <x v="2"/>
    <x v="0"/>
    <x v="45"/>
    <s v="KEPL/00843/82-83"/>
    <s v="NEW HORIZON DISTRIBUTORS"/>
    <x v="57"/>
    <n v="2"/>
    <n v="80"/>
    <n v="111.74"/>
    <n v="8939.2000000000007"/>
    <n v="-687.42"/>
    <n v="0"/>
    <n v="1072.7315040000001"/>
    <n v="9324.5115040000001"/>
  </r>
  <r>
    <x v="3"/>
    <x v="4"/>
    <x v="2"/>
    <x v="0"/>
    <x v="45"/>
    <s v="KEPL/00843/82-83"/>
    <s v="NEW HORIZON DISTRIBUTORS"/>
    <x v="46"/>
    <n v="4"/>
    <n v="80"/>
    <n v="175.06"/>
    <n v="14004.8"/>
    <n v="-1076.97"/>
    <n v="0"/>
    <n v="1680.6180629999999"/>
    <n v="14608.448063"/>
  </r>
  <r>
    <x v="6"/>
    <x v="4"/>
    <x v="2"/>
    <x v="0"/>
    <x v="45"/>
    <s v="KEPL/00843/82-83"/>
    <s v="NEW HORIZON DISTRIBUTORS"/>
    <x v="29"/>
    <n v="2"/>
    <n v="40"/>
    <n v="204.85"/>
    <n v="8194"/>
    <n v="-630.12"/>
    <n v="0"/>
    <n v="983.30449499999997"/>
    <n v="8547.1844949999995"/>
  </r>
  <r>
    <x v="3"/>
    <x v="4"/>
    <x v="2"/>
    <x v="0"/>
    <x v="45"/>
    <s v="KEPL/00843/82-83"/>
    <s v="NEW HORIZON DISTRIBUTORS"/>
    <x v="54"/>
    <n v="2"/>
    <n v="40"/>
    <n v="175.06"/>
    <n v="7002.4"/>
    <n v="-538.48"/>
    <n v="0"/>
    <n v="840.30968200000007"/>
    <n v="7304.2296820000001"/>
  </r>
  <r>
    <x v="10"/>
    <x v="4"/>
    <x v="2"/>
    <x v="0"/>
    <x v="45"/>
    <s v="KEPL/00843/82-83"/>
    <s v="NEW HORIZON DISTRIBUTORS"/>
    <x v="49"/>
    <n v="3"/>
    <n v="45"/>
    <n v="260.72000000000003"/>
    <n v="11732.4"/>
    <n v="-902.22"/>
    <n v="0"/>
    <n v="1407.9235370000001"/>
    <n v="12238.103537000001"/>
  </r>
  <r>
    <x v="6"/>
    <x v="4"/>
    <x v="2"/>
    <x v="0"/>
    <x v="45"/>
    <s v="KEPL/00843/82-83"/>
    <s v="NEW HORIZON DISTRIBUTORS"/>
    <x v="48"/>
    <n v="5"/>
    <n v="100"/>
    <n v="204.85"/>
    <n v="20485"/>
    <n v="-1575.3"/>
    <n v="0"/>
    <n v="2458.2612389999999"/>
    <n v="21367.961239"/>
  </r>
  <r>
    <x v="6"/>
    <x v="4"/>
    <x v="2"/>
    <x v="0"/>
    <x v="45"/>
    <s v="KEPL/00843/82-83"/>
    <s v="NEW HORIZON DISTRIBUTORS"/>
    <x v="28"/>
    <n v="3"/>
    <n v="60"/>
    <n v="204.85"/>
    <n v="12291"/>
    <n v="-945.18"/>
    <n v="0"/>
    <n v="1474.956743"/>
    <n v="12820.776743"/>
  </r>
  <r>
    <x v="7"/>
    <x v="4"/>
    <x v="2"/>
    <x v="0"/>
    <x v="46"/>
    <s v="KEPL/00884/82-83"/>
    <s v="NILLONS L&amp;D"/>
    <x v="12"/>
    <n v="0.01"/>
    <n v="1"/>
    <n v="21.05"/>
    <n v="21.05"/>
    <n v="0"/>
    <n v="0"/>
    <n v="2.7365469999999998"/>
    <n v="23.786546999999999"/>
  </r>
  <r>
    <x v="15"/>
    <x v="4"/>
    <x v="2"/>
    <x v="0"/>
    <x v="46"/>
    <s v="KEPL/00884/82-83"/>
    <s v="NILLONS L&amp;D"/>
    <x v="32"/>
    <n v="0.02"/>
    <n v="1"/>
    <n v="71.260000000000005"/>
    <n v="71.260000000000005"/>
    <n v="0"/>
    <n v="0"/>
    <n v="9.2639589999999998"/>
    <n v="80.523959000000005"/>
  </r>
  <r>
    <x v="9"/>
    <x v="4"/>
    <x v="2"/>
    <x v="0"/>
    <x v="46"/>
    <s v="KEPL/00884/82-83"/>
    <s v="NILLONS L&amp;D"/>
    <x v="44"/>
    <n v="0.04"/>
    <n v="1"/>
    <n v="84.19"/>
    <n v="84.19"/>
    <n v="0"/>
    <n v="0"/>
    <n v="10.944888000000001"/>
    <n v="95.134888000000004"/>
  </r>
  <r>
    <x v="9"/>
    <x v="4"/>
    <x v="2"/>
    <x v="0"/>
    <x v="46"/>
    <s v="KEPL/00884/82-83"/>
    <s v="NILLONS L&amp;D"/>
    <x v="38"/>
    <n v="0.04"/>
    <n v="1"/>
    <n v="87.01"/>
    <n v="87.01"/>
    <n v="0"/>
    <n v="0"/>
    <n v="11.311494"/>
    <n v="98.321494000000001"/>
  </r>
  <r>
    <x v="14"/>
    <x v="4"/>
    <x v="2"/>
    <x v="0"/>
    <x v="46"/>
    <s v="KEPL/00884/82-83"/>
    <s v="NILLONS L&amp;D"/>
    <x v="31"/>
    <n v="0.02"/>
    <n v="1"/>
    <n v="71.260000000000005"/>
    <n v="71.260000000000005"/>
    <n v="0"/>
    <n v="0"/>
    <n v="9.2639589999999998"/>
    <n v="80.523959000000005"/>
  </r>
  <r>
    <x v="8"/>
    <x v="4"/>
    <x v="2"/>
    <x v="0"/>
    <x v="46"/>
    <s v="KEPL/00884/82-83"/>
    <s v="NILLONS L&amp;D"/>
    <x v="33"/>
    <n v="0.03"/>
    <n v="1"/>
    <n v="41.25"/>
    <n v="41.25"/>
    <n v="0"/>
    <n v="0"/>
    <n v="5.3625920000000002"/>
    <n v="46.612591999999999"/>
  </r>
  <r>
    <x v="16"/>
    <x v="4"/>
    <x v="2"/>
    <x v="0"/>
    <x v="46"/>
    <s v="KEPL/00884/82-83"/>
    <s v="NILLONS L&amp;D"/>
    <x v="35"/>
    <n v="0.02"/>
    <n v="1"/>
    <n v="72.040000000000006"/>
    <n v="72.040000000000006"/>
    <n v="0"/>
    <n v="0"/>
    <n v="9.3653600000000008"/>
    <n v="81.405360000000002"/>
  </r>
  <r>
    <x v="8"/>
    <x v="4"/>
    <x v="2"/>
    <x v="0"/>
    <x v="46"/>
    <s v="KEPL/00884/82-83"/>
    <s v="NILLONS L&amp;D"/>
    <x v="41"/>
    <n v="0.03"/>
    <n v="1"/>
    <n v="41.24"/>
    <n v="41.24"/>
    <n v="0"/>
    <n v="0"/>
    <n v="5.3612919999999997"/>
    <n v="46.601292000000001"/>
  </r>
  <r>
    <x v="2"/>
    <x v="4"/>
    <x v="2"/>
    <x v="0"/>
    <x v="46"/>
    <s v="KEPL/00884/82-83"/>
    <s v="NILLONS L&amp;D"/>
    <x v="3"/>
    <n v="0.05"/>
    <n v="1"/>
    <n v="136.68"/>
    <n v="136.68"/>
    <n v="0"/>
    <n v="0"/>
    <n v="17.768704"/>
    <n v="154.44870399999999"/>
  </r>
  <r>
    <x v="11"/>
    <x v="4"/>
    <x v="2"/>
    <x v="0"/>
    <x v="46"/>
    <s v="KEPL/00884/82-83"/>
    <s v="NILLONS L&amp;D"/>
    <x v="53"/>
    <n v="0.03"/>
    <n v="1"/>
    <n v="59.45"/>
    <n v="59.45"/>
    <n v="0"/>
    <n v="0"/>
    <n v="7.7286320000000002"/>
    <n v="67.178631999999993"/>
  </r>
  <r>
    <x v="7"/>
    <x v="4"/>
    <x v="2"/>
    <x v="0"/>
    <x v="46"/>
    <s v="KEPL/00884/82-83"/>
    <s v="NILLONS L&amp;D"/>
    <x v="27"/>
    <n v="0.01"/>
    <n v="1"/>
    <n v="24.3"/>
    <n v="24.3"/>
    <n v="0"/>
    <n v="0"/>
    <n v="3.1590539999999998"/>
    <n v="27.459053999999998"/>
  </r>
  <r>
    <x v="8"/>
    <x v="4"/>
    <x v="2"/>
    <x v="0"/>
    <x v="46"/>
    <s v="KEPL/00884/82-83"/>
    <s v="NILLONS L&amp;D"/>
    <x v="13"/>
    <n v="0.13"/>
    <n v="3"/>
    <n v="92.1"/>
    <n v="276.3"/>
    <n v="0"/>
    <n v="0"/>
    <n v="35.919615"/>
    <n v="312.21961499999998"/>
  </r>
  <r>
    <x v="16"/>
    <x v="4"/>
    <x v="2"/>
    <x v="0"/>
    <x v="46"/>
    <s v="KEPL/00884/82-83"/>
    <s v="NILLONS L&amp;D"/>
    <x v="42"/>
    <n v="0.03"/>
    <n v="1"/>
    <n v="195.39"/>
    <n v="195.39"/>
    <n v="0"/>
    <n v="0"/>
    <n v="25.401135"/>
    <n v="220.791135"/>
  </r>
  <r>
    <x v="18"/>
    <x v="4"/>
    <x v="2"/>
    <x v="0"/>
    <x v="46"/>
    <s v="KEPL/00884/82-83"/>
    <s v="NILLONS L&amp;D"/>
    <x v="43"/>
    <n v="0.02"/>
    <n v="1"/>
    <n v="71.260000000000005"/>
    <n v="71.260000000000005"/>
    <n v="0"/>
    <n v="0"/>
    <n v="9.2639589999999998"/>
    <n v="80.523959000000005"/>
  </r>
  <r>
    <x v="9"/>
    <x v="4"/>
    <x v="2"/>
    <x v="0"/>
    <x v="46"/>
    <s v="KEPL/00884/82-83"/>
    <s v="NILLONS L&amp;D"/>
    <x v="22"/>
    <n v="0.04"/>
    <n v="1"/>
    <n v="146.82"/>
    <n v="146.82"/>
    <n v="0"/>
    <n v="0"/>
    <n v="19.086926999999999"/>
    <n v="165.906927"/>
  </r>
  <r>
    <x v="17"/>
    <x v="4"/>
    <x v="2"/>
    <x v="0"/>
    <x v="46"/>
    <s v="KEPL/00884/82-83"/>
    <s v="NILLONS L&amp;D"/>
    <x v="39"/>
    <n v="0.1"/>
    <n v="2"/>
    <n v="173.67"/>
    <n v="347.34"/>
    <n v="0"/>
    <n v="0"/>
    <n v="45.154974000000003"/>
    <n v="392.49497400000001"/>
  </r>
  <r>
    <x v="8"/>
    <x v="4"/>
    <x v="2"/>
    <x v="0"/>
    <x v="46"/>
    <s v="KEPL/00884/82-83"/>
    <s v="NILLONS L&amp;D"/>
    <x v="56"/>
    <n v="0"/>
    <n v="1"/>
    <n v="4.13"/>
    <n v="4.13"/>
    <n v="0"/>
    <n v="0"/>
    <n v="0.53690899999999997"/>
    <n v="4.6669090000000004"/>
  </r>
  <r>
    <x v="16"/>
    <x v="4"/>
    <x v="2"/>
    <x v="0"/>
    <x v="46"/>
    <s v="KEPL/00902/82-83"/>
    <s v="MEGA MART PVT.LTD"/>
    <x v="35"/>
    <n v="1"/>
    <n v="60"/>
    <n v="129.41999999999999"/>
    <n v="7765.2"/>
    <n v="0"/>
    <n v="0"/>
    <n v="1009.48"/>
    <n v="8774.68"/>
  </r>
  <r>
    <x v="8"/>
    <x v="4"/>
    <x v="2"/>
    <x v="0"/>
    <x v="47"/>
    <s v="KEPL/00904/82-83"/>
    <s v="SHUBHASHREE MARKETING"/>
    <x v="41"/>
    <n v="2"/>
    <n v="80"/>
    <n v="67.040000000000006"/>
    <n v="5363.2"/>
    <n v="-412.43"/>
    <n v="0"/>
    <n v="643.6"/>
    <n v="5594.37"/>
  </r>
  <r>
    <x v="8"/>
    <x v="4"/>
    <x v="2"/>
    <x v="0"/>
    <x v="47"/>
    <s v="KEPL/00904/82-83"/>
    <s v="SHUBHASHREE MARKETING"/>
    <x v="33"/>
    <n v="4"/>
    <n v="160"/>
    <n v="67.040000000000006"/>
    <n v="10726.4"/>
    <n v="-824.86"/>
    <n v="0"/>
    <n v="1287.2"/>
    <n v="11188.74"/>
  </r>
  <r>
    <x v="17"/>
    <x v="4"/>
    <x v="2"/>
    <x v="0"/>
    <x v="48"/>
    <s v="KEPL/00933/82-83"/>
    <s v="CHHATRA DEV GENERAL SUPPLIERS"/>
    <x v="39"/>
    <n v="3"/>
    <n v="60"/>
    <n v="249.55"/>
    <n v="14973"/>
    <n v="-1151.42"/>
    <n v="0"/>
    <n v="1796.8055689999999"/>
    <n v="15618.385569"/>
  </r>
  <r>
    <x v="8"/>
    <x v="4"/>
    <x v="2"/>
    <x v="0"/>
    <x v="48"/>
    <s v="KEPL/00933/82-83"/>
    <s v="CHHATRA DEV GENERAL SUPPLIERS"/>
    <x v="33"/>
    <n v="2"/>
    <n v="80"/>
    <n v="67.040000000000006"/>
    <n v="5363.2"/>
    <n v="-412.43"/>
    <n v="0"/>
    <n v="643.60015999999996"/>
    <n v="5594.3701600000004"/>
  </r>
  <r>
    <x v="10"/>
    <x v="4"/>
    <x v="2"/>
    <x v="0"/>
    <x v="48"/>
    <s v="KEPL/00933/82-83"/>
    <s v="CHHATRA DEV GENERAL SUPPLIERS"/>
    <x v="49"/>
    <n v="3"/>
    <n v="45"/>
    <n v="260.72000000000003"/>
    <n v="11732.4"/>
    <n v="-902.22"/>
    <n v="0"/>
    <n v="1407.923532"/>
    <n v="12238.103531999999"/>
  </r>
  <r>
    <x v="6"/>
    <x v="4"/>
    <x v="2"/>
    <x v="0"/>
    <x v="48"/>
    <s v="KEPL/00933/82-83"/>
    <s v="CHHATRA DEV GENERAL SUPPLIERS"/>
    <x v="30"/>
    <n v="3"/>
    <n v="60"/>
    <n v="242.1"/>
    <n v="14526"/>
    <n v="-1117.05"/>
    <n v="0"/>
    <n v="1743.1636639999999"/>
    <n v="15152.113664"/>
  </r>
  <r>
    <x v="20"/>
    <x v="4"/>
    <x v="2"/>
    <x v="0"/>
    <x v="48"/>
    <s v="KEPL/00933/82-83"/>
    <s v="CHHATRA DEV GENERAL SUPPLIERS"/>
    <x v="52"/>
    <n v="3"/>
    <n v="12"/>
    <n v="595.92999999999995"/>
    <n v="7151.16"/>
    <n v="-549.91999999999996"/>
    <n v="0"/>
    <n v="858.16128100000003"/>
    <n v="7459.4012810000004"/>
  </r>
  <r>
    <x v="3"/>
    <x v="4"/>
    <x v="2"/>
    <x v="0"/>
    <x v="48"/>
    <s v="KEPL/00933/82-83"/>
    <s v="CHHATRA DEV GENERAL SUPPLIERS"/>
    <x v="46"/>
    <n v="3"/>
    <n v="60"/>
    <n v="175.05"/>
    <n v="10503"/>
    <n v="-807.68"/>
    <n v="0"/>
    <n v="1260.3917180000001"/>
    <n v="10955.711718"/>
  </r>
  <r>
    <x v="8"/>
    <x v="4"/>
    <x v="2"/>
    <x v="0"/>
    <x v="48"/>
    <s v="KEPL/00933/82-83"/>
    <s v="CHHATRA DEV GENERAL SUPPLIERS"/>
    <x v="56"/>
    <n v="2"/>
    <n v="1600"/>
    <n v="7.45"/>
    <n v="11920"/>
    <n v="-916.65"/>
    <n v="0"/>
    <n v="1430.4356339999999"/>
    <n v="12433.785634"/>
  </r>
  <r>
    <x v="9"/>
    <x v="4"/>
    <x v="2"/>
    <x v="0"/>
    <x v="48"/>
    <s v="KEPL/00933/82-83"/>
    <s v="CHHATRA DEV GENERAL SUPPLIERS"/>
    <x v="22"/>
    <n v="3"/>
    <n v="72"/>
    <n v="204.85"/>
    <n v="14749.199999999999"/>
    <n v="-1134.21"/>
    <n v="0"/>
    <n v="1769.9488660000002"/>
    <n v="15384.938866"/>
  </r>
  <r>
    <x v="3"/>
    <x v="4"/>
    <x v="2"/>
    <x v="0"/>
    <x v="48"/>
    <s v="KEPL/00933/82-83"/>
    <s v="CHHATRA DEV GENERAL SUPPLIERS"/>
    <x v="55"/>
    <n v="2"/>
    <n v="40"/>
    <n v="175.05"/>
    <n v="7001.9999999999991"/>
    <n v="-538.45000000000005"/>
    <n v="0"/>
    <n v="840.26157899999998"/>
    <n v="7303.8115790000002"/>
  </r>
  <r>
    <x v="0"/>
    <x v="4"/>
    <x v="2"/>
    <x v="0"/>
    <x v="48"/>
    <s v="KEPL/00933/82-83"/>
    <s v="CHHATRA DEV GENERAL SUPPLIERS"/>
    <x v="47"/>
    <n v="5"/>
    <n v="200"/>
    <n v="111.74"/>
    <n v="22348"/>
    <n v="-1718.56"/>
    <n v="0"/>
    <n v="2681.8274519999995"/>
    <n v="23311.267452"/>
  </r>
  <r>
    <x v="16"/>
    <x v="4"/>
    <x v="2"/>
    <x v="0"/>
    <x v="48"/>
    <s v="KEPL/00933/82-83"/>
    <s v="CHHATRA DEV GENERAL SUPPLIERS"/>
    <x v="35"/>
    <n v="3"/>
    <n v="180"/>
    <n v="145.26"/>
    <n v="26146.799999999999"/>
    <n v="-2010.6899999999998"/>
    <n v="0"/>
    <n v="3137.6945940000001"/>
    <n v="27273.804594000001"/>
  </r>
  <r>
    <x v="0"/>
    <x v="4"/>
    <x v="2"/>
    <x v="0"/>
    <x v="48"/>
    <s v="KEPL/00933/82-83"/>
    <s v="CHHATRA DEV GENERAL SUPPLIERS"/>
    <x v="57"/>
    <n v="3"/>
    <n v="120"/>
    <n v="111.74"/>
    <n v="13408.8"/>
    <n v="-1031.1400000000001"/>
    <n v="0"/>
    <n v="1609.095951"/>
    <n v="13986.755950999999"/>
  </r>
  <r>
    <x v="8"/>
    <x v="4"/>
    <x v="2"/>
    <x v="0"/>
    <x v="48"/>
    <s v="KEPL/00934/82-83"/>
    <s v="B G TRADING CONCERN"/>
    <x v="41"/>
    <n v="3"/>
    <n v="120"/>
    <n v="67.040000000000006"/>
    <n v="8044.8"/>
    <n v="-618.65"/>
    <n v="0"/>
    <n v="965.39865199999997"/>
    <n v="8391.5486519999995"/>
  </r>
  <r>
    <x v="16"/>
    <x v="4"/>
    <x v="2"/>
    <x v="0"/>
    <x v="48"/>
    <s v="KEPL/00934/82-83"/>
    <s v="B G TRADING CONCERN"/>
    <x v="35"/>
    <n v="3"/>
    <n v="180"/>
    <n v="145.26"/>
    <n v="26146.799999999999"/>
    <n v="-2010.6899999999998"/>
    <n v="0"/>
    <n v="3137.6915430000004"/>
    <n v="27273.801543000001"/>
  </r>
  <r>
    <x v="11"/>
    <x v="4"/>
    <x v="2"/>
    <x v="0"/>
    <x v="48"/>
    <s v="KEPL/00934/82-83"/>
    <s v="B G TRADING CONCERN"/>
    <x v="53"/>
    <n v="1"/>
    <n v="40"/>
    <n v="81.94"/>
    <n v="3277.6"/>
    <n v="-252.05"/>
    <n v="0"/>
    <n v="393.32115399999998"/>
    <n v="3418.8711539999999"/>
  </r>
  <r>
    <x v="8"/>
    <x v="4"/>
    <x v="2"/>
    <x v="0"/>
    <x v="48"/>
    <s v="KEPL/00934/82-83"/>
    <s v="B G TRADING CONCERN"/>
    <x v="33"/>
    <n v="3"/>
    <n v="120"/>
    <n v="67.040000000000006"/>
    <n v="8044.8"/>
    <n v="-618.65"/>
    <n v="0"/>
    <n v="965.39865199999997"/>
    <n v="8391.5486519999995"/>
  </r>
  <r>
    <x v="4"/>
    <x v="4"/>
    <x v="2"/>
    <x v="0"/>
    <x v="48"/>
    <s v="KEPL/00935/82-83"/>
    <s v="NEW CHANDESHWARI SUPPLIERS"/>
    <x v="5"/>
    <n v="3"/>
    <n v="540"/>
    <n v="18.62"/>
    <n v="10054.799999999999"/>
    <n v="-773.20999999999992"/>
    <n v="0"/>
    <n v="1206.6041290000001"/>
    <n v="10488.194129"/>
  </r>
  <r>
    <x v="16"/>
    <x v="4"/>
    <x v="2"/>
    <x v="0"/>
    <x v="48"/>
    <s v="KEPL/00935/82-83"/>
    <s v="NEW CHANDESHWARI SUPPLIERS"/>
    <x v="35"/>
    <n v="1"/>
    <n v="60"/>
    <n v="145.26"/>
    <n v="8715.6"/>
    <n v="-670.23"/>
    <n v="0"/>
    <n v="1045.8958709999999"/>
    <n v="9091.2658709999996"/>
  </r>
  <r>
    <x v="18"/>
    <x v="4"/>
    <x v="2"/>
    <x v="0"/>
    <x v="48"/>
    <s v="KEPL/00946/82-83"/>
    <s v="NEW MATA RANI SUPPLIERS"/>
    <x v="43"/>
    <n v="3"/>
    <n v="180"/>
    <n v="111.74"/>
    <n v="20113.2"/>
    <n v="-1546.71"/>
    <n v="0"/>
    <n v="2413.6442320000001"/>
    <n v="20980.134232"/>
  </r>
  <r>
    <x v="0"/>
    <x v="4"/>
    <x v="2"/>
    <x v="0"/>
    <x v="48"/>
    <s v="KEPL/00946/82-83"/>
    <s v="NEW MATA RANI SUPPLIERS"/>
    <x v="58"/>
    <n v="2"/>
    <n v="80"/>
    <n v="111.74"/>
    <n v="8939.2000000000007"/>
    <n v="-687.42"/>
    <n v="0"/>
    <n v="1072.7316370000001"/>
    <n v="9324.5116369999996"/>
  </r>
  <r>
    <x v="9"/>
    <x v="4"/>
    <x v="2"/>
    <x v="0"/>
    <x v="48"/>
    <s v="KEPL/00946/82-83"/>
    <s v="NEW MATA RANI SUPPLIERS"/>
    <x v="22"/>
    <n v="3"/>
    <n v="72"/>
    <n v="204.85"/>
    <n v="14749.199999999999"/>
    <n v="-1134.21"/>
    <n v="0"/>
    <n v="1769.9490900000001"/>
    <n v="15384.93909"/>
  </r>
  <r>
    <x v="6"/>
    <x v="4"/>
    <x v="2"/>
    <x v="0"/>
    <x v="48"/>
    <s v="KEPL/00946/82-83"/>
    <s v="NEW MATA RANI SUPPLIERS"/>
    <x v="59"/>
    <n v="4"/>
    <n v="80"/>
    <n v="204.85"/>
    <n v="16388"/>
    <n v="-1260.24"/>
    <n v="0"/>
    <n v="1966.609234"/>
    <n v="17094.369234000002"/>
  </r>
  <r>
    <x v="10"/>
    <x v="4"/>
    <x v="2"/>
    <x v="0"/>
    <x v="48"/>
    <s v="KEPL/00946/82-83"/>
    <s v="NEW MATA RANI SUPPLIERS"/>
    <x v="49"/>
    <n v="2"/>
    <n v="30"/>
    <n v="260.72000000000003"/>
    <n v="7821.6"/>
    <n v="-601.48"/>
    <n v="0"/>
    <n v="938.6158069999999"/>
    <n v="8158.735807"/>
  </r>
  <r>
    <x v="4"/>
    <x v="4"/>
    <x v="2"/>
    <x v="0"/>
    <x v="49"/>
    <s v="KEPL/00978/82-83"/>
    <s v="NILLONS L&amp;D"/>
    <x v="5"/>
    <n v="1.94"/>
    <n v="350"/>
    <n v="15.35"/>
    <n v="5372.5"/>
    <n v="0"/>
    <n v="0"/>
    <n v="698.43000000000006"/>
    <n v="6070.93"/>
  </r>
  <r>
    <x v="8"/>
    <x v="4"/>
    <x v="2"/>
    <x v="0"/>
    <x v="50"/>
    <s v="KEPL/00994/82-83"/>
    <s v="KRISHMA ENTERPRISES"/>
    <x v="41"/>
    <n v="10"/>
    <n v="400"/>
    <n v="67.040000000000006"/>
    <n v="26816"/>
    <n v="-2062.15"/>
    <n v="0"/>
    <n v="3218.00072"/>
    <n v="27971.850719999999"/>
  </r>
  <r>
    <x v="10"/>
    <x v="4"/>
    <x v="2"/>
    <x v="0"/>
    <x v="50"/>
    <s v="KEPL/00994/82-83"/>
    <s v="KRISHMA ENTERPRISES"/>
    <x v="45"/>
    <n v="15"/>
    <n v="225"/>
    <n v="260.72000000000003"/>
    <n v="58662"/>
    <n v="-4511.1099999999997"/>
    <n v="0"/>
    <n v="7039.6161820000007"/>
    <n v="61190.506181999997"/>
  </r>
  <r>
    <x v="5"/>
    <x v="4"/>
    <x v="2"/>
    <x v="0"/>
    <x v="50"/>
    <s v="KEPL/00994/82-83"/>
    <s v="KRISHMA ENTERPRISES"/>
    <x v="8"/>
    <n v="8"/>
    <n v="336"/>
    <n v="74.489999999999995"/>
    <n v="25028.639999999999"/>
    <n v="-1924.7"/>
    <n v="0"/>
    <n v="3003.5124059999998"/>
    <n v="26107.452406"/>
  </r>
  <r>
    <x v="2"/>
    <x v="4"/>
    <x v="2"/>
    <x v="0"/>
    <x v="50"/>
    <s v="KEPL/00994/82-83"/>
    <s v="KRISHMA ENTERPRISES"/>
    <x v="3"/>
    <n v="50"/>
    <n v="1000"/>
    <n v="186.22"/>
    <n v="186220"/>
    <n v="-14320.32"/>
    <n v="0"/>
    <n v="22346.959930999998"/>
    <n v="194246.63993100001"/>
  </r>
  <r>
    <x v="10"/>
    <x v="4"/>
    <x v="2"/>
    <x v="0"/>
    <x v="50"/>
    <s v="KEPL/00994/82-83"/>
    <s v="KRISHMA ENTERPRISES"/>
    <x v="49"/>
    <n v="20"/>
    <n v="300"/>
    <n v="260.72000000000003"/>
    <n v="78216"/>
    <n v="-6014.81"/>
    <n v="0"/>
    <n v="9386.1553430000004"/>
    <n v="81587.345342999994"/>
  </r>
  <r>
    <x v="5"/>
    <x v="4"/>
    <x v="2"/>
    <x v="0"/>
    <x v="50"/>
    <s v="KEPL/00994/82-83"/>
    <s v="KRISHMA ENTERPRISES"/>
    <x v="7"/>
    <n v="8.1199999999999992"/>
    <n v="341"/>
    <n v="74.489999999999995"/>
    <n v="25401.09"/>
    <n v="-1953.3400000000001"/>
    <n v="0"/>
    <n v="3048.2077090000002"/>
    <n v="26495.957708999998"/>
  </r>
  <r>
    <x v="5"/>
    <x v="4"/>
    <x v="2"/>
    <x v="0"/>
    <x v="50"/>
    <s v="KEPL/00994/82-83"/>
    <s v="KRISHMA ENTERPRISES"/>
    <x v="10"/>
    <n v="8.1199999999999992"/>
    <n v="341"/>
    <n v="74.489999999999995"/>
    <n v="25401.09"/>
    <n v="-1953.3400000000001"/>
    <n v="0"/>
    <n v="3048.2077090000002"/>
    <n v="26495.957708999998"/>
  </r>
  <r>
    <x v="5"/>
    <x v="4"/>
    <x v="2"/>
    <x v="0"/>
    <x v="50"/>
    <s v="KESR/0018/82-83"/>
    <s v="SHREE EXIM"/>
    <x v="8"/>
    <n v="-8"/>
    <n v="-336"/>
    <n v="68.760000000000005"/>
    <n v="-23103.360000000001"/>
    <n v="0"/>
    <n v="0"/>
    <n v="-3003.437328"/>
    <n v="-26106.797328000001"/>
  </r>
  <r>
    <x v="5"/>
    <x v="4"/>
    <x v="2"/>
    <x v="0"/>
    <x v="50"/>
    <s v="KESR/0018/82-83"/>
    <s v="SHREE EXIM"/>
    <x v="7"/>
    <n v="-8.1199999999999992"/>
    <n v="-341"/>
    <n v="68.760000000000005"/>
    <n v="-23447.16"/>
    <n v="0"/>
    <n v="0"/>
    <n v="-3048.1313359999999"/>
    <n v="-26495.291335999998"/>
  </r>
  <r>
    <x v="5"/>
    <x v="4"/>
    <x v="2"/>
    <x v="0"/>
    <x v="50"/>
    <s v="KESR/0018/82-83"/>
    <s v="SHREE EXIM"/>
    <x v="10"/>
    <n v="-8.1199999999999992"/>
    <n v="-341"/>
    <n v="68.760000000000005"/>
    <n v="-23447.16"/>
    <n v="0"/>
    <n v="0"/>
    <n v="-3048.1313359999999"/>
    <n v="-26495.291335999998"/>
  </r>
  <r>
    <x v="4"/>
    <x v="4"/>
    <x v="2"/>
    <x v="0"/>
    <x v="51"/>
    <s v="KEPL/00997/82-83"/>
    <s v="KATYANI DARSHAN PVT. LTD."/>
    <x v="5"/>
    <n v="1.67"/>
    <n v="300"/>
    <n v="15.35"/>
    <n v="4605"/>
    <n v="0"/>
    <n v="0"/>
    <n v="598.65"/>
    <n v="5203.6499999999996"/>
  </r>
  <r>
    <x v="4"/>
    <x v="4"/>
    <x v="2"/>
    <x v="0"/>
    <x v="51"/>
    <s v="KEPL/01001/82-83"/>
    <s v="NILLONS L&amp;D"/>
    <x v="5"/>
    <n v="8.17"/>
    <n v="1470"/>
    <n v="15.35"/>
    <n v="22564.5"/>
    <n v="0"/>
    <n v="0"/>
    <n v="2933.39"/>
    <n v="25497.89"/>
  </r>
  <r>
    <x v="7"/>
    <x v="4"/>
    <x v="2"/>
    <x v="0"/>
    <x v="51"/>
    <s v="KEPL/01004/82-83"/>
    <s v="KRISHMA ENTERPRISES"/>
    <x v="27"/>
    <n v="50"/>
    <n v="3500"/>
    <n v="37.25"/>
    <n v="130375"/>
    <n v="-10025.84"/>
    <n v="0"/>
    <n v="15645.389285000001"/>
    <n v="135994.54928499999"/>
  </r>
  <r>
    <x v="8"/>
    <x v="4"/>
    <x v="2"/>
    <x v="0"/>
    <x v="51"/>
    <s v="KEPL/01004/82-83"/>
    <s v="KRISHMA ENTERPRISES"/>
    <x v="33"/>
    <n v="28"/>
    <n v="1120"/>
    <n v="67.040000000000006"/>
    <n v="75084.800000000003"/>
    <n v="-5774.02"/>
    <n v="0"/>
    <n v="9010.4005269999998"/>
    <n v="78321.180527000004"/>
  </r>
  <r>
    <x v="8"/>
    <x v="4"/>
    <x v="2"/>
    <x v="0"/>
    <x v="51"/>
    <s v="KEPL/01004/82-83"/>
    <s v="KRISHMA ENTERPRISES"/>
    <x v="41"/>
    <n v="10"/>
    <n v="400"/>
    <n v="67.040000000000006"/>
    <n v="26816"/>
    <n v="-2062.15"/>
    <n v="0"/>
    <n v="3218.000188"/>
    <n v="27971.850188"/>
  </r>
  <r>
    <x v="16"/>
    <x v="4"/>
    <x v="2"/>
    <x v="0"/>
    <x v="52"/>
    <s v="KEPL/01006/82-83"/>
    <s v="MEGA MART PVT.LTD"/>
    <x v="35"/>
    <n v="6"/>
    <n v="360"/>
    <n v="129.41999999999999"/>
    <n v="46591.199999999997"/>
    <n v="0"/>
    <n v="0"/>
    <n v="6056.86"/>
    <n v="52648.06"/>
  </r>
  <r>
    <x v="3"/>
    <x v="4"/>
    <x v="2"/>
    <x v="0"/>
    <x v="53"/>
    <s v="KEPL/01010/82-83"/>
    <s v="NILLONS L&amp;D"/>
    <x v="4"/>
    <n v="0.05"/>
    <n v="1"/>
    <n v="175.05"/>
    <n v="175.05"/>
    <n v="-13.46"/>
    <n v="0"/>
    <n v="21.006668999999999"/>
    <n v="182.59666899999999"/>
  </r>
  <r>
    <x v="11"/>
    <x v="4"/>
    <x v="2"/>
    <x v="0"/>
    <x v="53"/>
    <s v="KEPL/01010/82-83"/>
    <s v="NILLONS L&amp;D"/>
    <x v="53"/>
    <n v="0.03"/>
    <n v="1"/>
    <n v="81.94"/>
    <n v="81.94"/>
    <n v="-6.3"/>
    <n v="0"/>
    <n v="9.8331850000000003"/>
    <n v="85.473185000000001"/>
  </r>
  <r>
    <x v="2"/>
    <x v="4"/>
    <x v="2"/>
    <x v="0"/>
    <x v="53"/>
    <s v="KEPL/01010/82-83"/>
    <s v="NILLONS L&amp;D"/>
    <x v="3"/>
    <n v="0.05"/>
    <n v="1"/>
    <n v="186.23"/>
    <n v="186.23"/>
    <n v="-14.32"/>
    <n v="0"/>
    <n v="22.348267"/>
    <n v="194.25826699999999"/>
  </r>
  <r>
    <x v="3"/>
    <x v="4"/>
    <x v="2"/>
    <x v="0"/>
    <x v="53"/>
    <s v="KEPL/01010/82-83"/>
    <s v="NILLONS L&amp;D"/>
    <x v="9"/>
    <n v="0.05"/>
    <n v="1"/>
    <n v="175.05"/>
    <n v="175.05"/>
    <n v="-13.46"/>
    <n v="0"/>
    <n v="21.006668999999999"/>
    <n v="182.59666899999999"/>
  </r>
  <r>
    <x v="14"/>
    <x v="4"/>
    <x v="2"/>
    <x v="0"/>
    <x v="53"/>
    <s v="KEPL/01010/82-83"/>
    <s v="NILLONS L&amp;D"/>
    <x v="31"/>
    <n v="0.02"/>
    <n v="1"/>
    <n v="111.74"/>
    <n v="111.74"/>
    <n v="-8.59"/>
    <n v="0"/>
    <n v="13.40948"/>
    <n v="116.55947999999999"/>
  </r>
  <r>
    <x v="10"/>
    <x v="4"/>
    <x v="2"/>
    <x v="0"/>
    <x v="53"/>
    <s v="KEPL/01010/82-83"/>
    <s v="NILLONS L&amp;D"/>
    <x v="18"/>
    <n v="7.0000000000000007E-2"/>
    <n v="1"/>
    <n v="260.72000000000003"/>
    <n v="260.72000000000003"/>
    <n v="-20.05"/>
    <n v="0"/>
    <n v="31.287054000000001"/>
    <n v="271.95705400000003"/>
  </r>
  <r>
    <x v="0"/>
    <x v="4"/>
    <x v="2"/>
    <x v="0"/>
    <x v="53"/>
    <s v="KEPL/01010/82-83"/>
    <s v="NILLONS L&amp;D"/>
    <x v="0"/>
    <n v="0.03"/>
    <n v="1"/>
    <n v="111.74"/>
    <n v="111.74"/>
    <n v="-8.59"/>
    <n v="0"/>
    <n v="13.40948"/>
    <n v="116.55947999999999"/>
  </r>
  <r>
    <x v="18"/>
    <x v="4"/>
    <x v="2"/>
    <x v="0"/>
    <x v="53"/>
    <s v="KEPL/01010/82-83"/>
    <s v="NILLONS L&amp;D"/>
    <x v="43"/>
    <n v="0.02"/>
    <n v="1"/>
    <n v="111.74"/>
    <n v="111.74"/>
    <n v="-8.59"/>
    <n v="0"/>
    <n v="13.40948"/>
    <n v="116.55947999999999"/>
  </r>
  <r>
    <x v="9"/>
    <x v="4"/>
    <x v="2"/>
    <x v="0"/>
    <x v="53"/>
    <s v="KEPL/01010/82-83"/>
    <s v="NILLONS L&amp;D"/>
    <x v="38"/>
    <n v="0.04"/>
    <n v="1"/>
    <n v="186.23"/>
    <n v="186.23"/>
    <n v="-14.32"/>
    <n v="0"/>
    <n v="22.348267"/>
    <n v="194.25826699999999"/>
  </r>
  <r>
    <x v="0"/>
    <x v="4"/>
    <x v="2"/>
    <x v="0"/>
    <x v="53"/>
    <s v="KEPL/01010/82-83"/>
    <s v="NILLONS L&amp;D"/>
    <x v="1"/>
    <n v="0.03"/>
    <n v="1"/>
    <n v="111.74"/>
    <n v="111.74"/>
    <n v="-8.59"/>
    <n v="0"/>
    <n v="13.40948"/>
    <n v="116.55947999999999"/>
  </r>
  <r>
    <x v="7"/>
    <x v="4"/>
    <x v="2"/>
    <x v="0"/>
    <x v="53"/>
    <s v="KEPL/01010/82-83"/>
    <s v="NILLONS L&amp;D"/>
    <x v="12"/>
    <n v="0.01"/>
    <n v="1"/>
    <n v="37.25"/>
    <n v="37.25"/>
    <n v="-2.86"/>
    <n v="0"/>
    <n v="4.4706929999999998"/>
    <n v="38.860692999999998"/>
  </r>
  <r>
    <x v="6"/>
    <x v="4"/>
    <x v="2"/>
    <x v="0"/>
    <x v="53"/>
    <s v="KEPL/01010/82-83"/>
    <s v="NILLONS L&amp;D"/>
    <x v="16"/>
    <n v="0.05"/>
    <n v="1"/>
    <n v="204.85"/>
    <n v="204.85"/>
    <n v="-15.75"/>
    <n v="0"/>
    <n v="24.582964"/>
    <n v="213.682964"/>
  </r>
  <r>
    <x v="8"/>
    <x v="4"/>
    <x v="2"/>
    <x v="0"/>
    <x v="53"/>
    <s v="KEPL/01010/82-83"/>
    <s v="NILLONS L&amp;D"/>
    <x v="13"/>
    <n v="0.04"/>
    <n v="1"/>
    <n v="141.54"/>
    <n v="141.54"/>
    <n v="-10.88"/>
    <n v="0"/>
    <n v="16.985775"/>
    <n v="147.64577499999999"/>
  </r>
  <r>
    <x v="9"/>
    <x v="4"/>
    <x v="2"/>
    <x v="0"/>
    <x v="53"/>
    <s v="KEPL/01010/82-83"/>
    <s v="NILLONS L&amp;D"/>
    <x v="22"/>
    <n v="0.04"/>
    <n v="1"/>
    <n v="204.85"/>
    <n v="204.85"/>
    <n v="-15.75"/>
    <n v="0"/>
    <n v="24.582964"/>
    <n v="213.682964"/>
  </r>
  <r>
    <x v="9"/>
    <x v="4"/>
    <x v="2"/>
    <x v="0"/>
    <x v="53"/>
    <s v="KEPL/01010/82-83"/>
    <s v="NILLONS L&amp;D"/>
    <x v="44"/>
    <n v="0.04"/>
    <n v="1"/>
    <n v="186.23"/>
    <n v="186.23"/>
    <n v="-14.32"/>
    <n v="0"/>
    <n v="22.348267"/>
    <n v="194.25826699999999"/>
  </r>
  <r>
    <x v="9"/>
    <x v="4"/>
    <x v="2"/>
    <x v="0"/>
    <x v="53"/>
    <s v="KEPL/01010/82-83"/>
    <s v="NILLONS L&amp;D"/>
    <x v="14"/>
    <n v="0.04"/>
    <n v="1"/>
    <n v="186.23"/>
    <n v="186.23"/>
    <n v="-14.32"/>
    <n v="0"/>
    <n v="22.348267"/>
    <n v="194.25826699999999"/>
  </r>
  <r>
    <x v="3"/>
    <x v="4"/>
    <x v="2"/>
    <x v="0"/>
    <x v="53"/>
    <s v="KEPL/01010/82-83"/>
    <s v="NILLONS L&amp;D"/>
    <x v="15"/>
    <n v="0.05"/>
    <n v="1"/>
    <n v="175.05"/>
    <n v="175.05"/>
    <n v="-13.46"/>
    <n v="0"/>
    <n v="21.006668999999999"/>
    <n v="182.59666899999999"/>
  </r>
  <r>
    <x v="11"/>
    <x v="4"/>
    <x v="2"/>
    <x v="0"/>
    <x v="53"/>
    <s v="KEPL/01010/82-83"/>
    <s v="NILLONS L&amp;D"/>
    <x v="36"/>
    <n v="0.03"/>
    <n v="1"/>
    <n v="81.94"/>
    <n v="81.94"/>
    <n v="-6.3"/>
    <n v="0"/>
    <n v="9.8331850000000003"/>
    <n v="85.473185000000001"/>
  </r>
  <r>
    <x v="11"/>
    <x v="4"/>
    <x v="2"/>
    <x v="0"/>
    <x v="53"/>
    <s v="KEPL/01010/82-83"/>
    <s v="NILLONS L&amp;D"/>
    <x v="37"/>
    <n v="0.03"/>
    <n v="1"/>
    <n v="81.94"/>
    <n v="81.94"/>
    <n v="-6.3"/>
    <n v="0"/>
    <n v="9.8331850000000003"/>
    <n v="85.473185000000001"/>
  </r>
  <r>
    <x v="17"/>
    <x v="4"/>
    <x v="2"/>
    <x v="0"/>
    <x v="53"/>
    <s v="KEPL/01011/82-83"/>
    <s v="NILLONS L&amp;D"/>
    <x v="39"/>
    <n v="0.05"/>
    <n v="1"/>
    <n v="249.55"/>
    <n v="249.55"/>
    <n v="-19.190000000000001"/>
    <n v="0"/>
    <n v="29.947030999999999"/>
    <n v="260.30703099999999"/>
  </r>
  <r>
    <x v="3"/>
    <x v="4"/>
    <x v="2"/>
    <x v="0"/>
    <x v="53"/>
    <s v="KEPL/01011/82-83"/>
    <s v="NILLONS L&amp;D"/>
    <x v="55"/>
    <n v="0.05"/>
    <n v="1"/>
    <n v="175.06"/>
    <n v="175.06"/>
    <n v="-13.46"/>
    <n v="0"/>
    <n v="21.008161999999999"/>
    <n v="182.60816199999999"/>
  </r>
  <r>
    <x v="0"/>
    <x v="4"/>
    <x v="2"/>
    <x v="0"/>
    <x v="53"/>
    <s v="KEPL/01011/82-83"/>
    <s v="NILLONS L&amp;D"/>
    <x v="58"/>
    <n v="0.03"/>
    <n v="1"/>
    <n v="111.74"/>
    <n v="111.74"/>
    <n v="-8.59"/>
    <n v="0"/>
    <n v="13.409604"/>
    <n v="116.55960399999999"/>
  </r>
  <r>
    <x v="0"/>
    <x v="4"/>
    <x v="2"/>
    <x v="0"/>
    <x v="53"/>
    <s v="KEPL/01011/82-83"/>
    <s v="NILLONS L&amp;D"/>
    <x v="57"/>
    <n v="0.03"/>
    <n v="1"/>
    <n v="111.74"/>
    <n v="111.74"/>
    <n v="-8.59"/>
    <n v="0"/>
    <n v="13.409604"/>
    <n v="116.55960399999999"/>
  </r>
  <r>
    <x v="6"/>
    <x v="4"/>
    <x v="2"/>
    <x v="0"/>
    <x v="53"/>
    <s v="KEPL/01011/82-83"/>
    <s v="NILLONS L&amp;D"/>
    <x v="28"/>
    <n v="0.05"/>
    <n v="1"/>
    <n v="204.85"/>
    <n v="204.85"/>
    <n v="-15.75"/>
    <n v="0"/>
    <n v="24.583189999999998"/>
    <n v="213.68319"/>
  </r>
  <r>
    <x v="3"/>
    <x v="4"/>
    <x v="2"/>
    <x v="0"/>
    <x v="53"/>
    <s v="KEPL/01011/82-83"/>
    <s v="NILLONS L&amp;D"/>
    <x v="54"/>
    <n v="0.05"/>
    <n v="1"/>
    <n v="175.06"/>
    <n v="175.06"/>
    <n v="-13.46"/>
    <n v="0"/>
    <n v="21.008161999999999"/>
    <n v="182.60816199999999"/>
  </r>
  <r>
    <x v="6"/>
    <x v="4"/>
    <x v="2"/>
    <x v="0"/>
    <x v="53"/>
    <s v="KEPL/01011/82-83"/>
    <s v="NILLONS L&amp;D"/>
    <x v="59"/>
    <n v="0.05"/>
    <n v="1"/>
    <n v="204.85"/>
    <n v="204.85"/>
    <n v="-15.75"/>
    <n v="0"/>
    <n v="24.583189999999998"/>
    <n v="213.68319"/>
  </r>
  <r>
    <x v="6"/>
    <x v="4"/>
    <x v="2"/>
    <x v="0"/>
    <x v="53"/>
    <s v="KEPL/01011/82-83"/>
    <s v="NILLONS L&amp;D"/>
    <x v="48"/>
    <n v="0.05"/>
    <n v="1"/>
    <n v="204.85"/>
    <n v="204.85"/>
    <n v="-15.75"/>
    <n v="0"/>
    <n v="24.583189999999998"/>
    <n v="213.68319"/>
  </r>
  <r>
    <x v="6"/>
    <x v="4"/>
    <x v="2"/>
    <x v="0"/>
    <x v="53"/>
    <s v="KEPL/01011/82-83"/>
    <s v="NILLONS L&amp;D"/>
    <x v="30"/>
    <n v="0.05"/>
    <n v="1"/>
    <n v="242.1"/>
    <n v="242.1"/>
    <n v="-18.62"/>
    <n v="0"/>
    <n v="29.052624000000002"/>
    <n v="252.532624"/>
  </r>
  <r>
    <x v="3"/>
    <x v="4"/>
    <x v="2"/>
    <x v="0"/>
    <x v="53"/>
    <s v="KEPL/01011/82-83"/>
    <s v="NILLONS L&amp;D"/>
    <x v="46"/>
    <n v="0.05"/>
    <n v="1"/>
    <n v="175.06"/>
    <n v="175.06"/>
    <n v="-13.46"/>
    <n v="0"/>
    <n v="21.008161999999999"/>
    <n v="182.60816199999999"/>
  </r>
  <r>
    <x v="10"/>
    <x v="4"/>
    <x v="2"/>
    <x v="0"/>
    <x v="53"/>
    <s v="KEPL/01011/82-83"/>
    <s v="NILLONS L&amp;D"/>
    <x v="45"/>
    <n v="7.0000000000000007E-2"/>
    <n v="1"/>
    <n v="260.72000000000003"/>
    <n v="260.72000000000003"/>
    <n v="-20.05"/>
    <n v="0"/>
    <n v="31.287341999999999"/>
    <n v="271.95734199999998"/>
  </r>
  <r>
    <x v="15"/>
    <x v="4"/>
    <x v="2"/>
    <x v="0"/>
    <x v="53"/>
    <s v="KEPL/01011/82-83"/>
    <s v="NILLONS L&amp;D"/>
    <x v="32"/>
    <n v="0.02"/>
    <n v="1"/>
    <n v="111.74"/>
    <n v="111.74"/>
    <n v="-8.59"/>
    <n v="0"/>
    <n v="13.409604"/>
    <n v="116.55960399999999"/>
  </r>
  <r>
    <x v="0"/>
    <x v="4"/>
    <x v="2"/>
    <x v="0"/>
    <x v="53"/>
    <s v="KEPL/01011/82-83"/>
    <s v="NILLONS L&amp;D"/>
    <x v="47"/>
    <n v="0.03"/>
    <n v="1"/>
    <n v="111.74"/>
    <n v="111.74"/>
    <n v="-8.59"/>
    <n v="0"/>
    <n v="13.409604"/>
    <n v="116.55960399999999"/>
  </r>
  <r>
    <x v="6"/>
    <x v="4"/>
    <x v="2"/>
    <x v="0"/>
    <x v="53"/>
    <s v="KEPL/01011/82-83"/>
    <s v="NILLONS L&amp;D"/>
    <x v="29"/>
    <n v="0.05"/>
    <n v="1"/>
    <n v="204.85"/>
    <n v="204.85"/>
    <n v="-15.75"/>
    <n v="0"/>
    <n v="24.583189999999998"/>
    <n v="213.68319"/>
  </r>
  <r>
    <x v="10"/>
    <x v="4"/>
    <x v="2"/>
    <x v="0"/>
    <x v="53"/>
    <s v="KEPL/01011/82-83"/>
    <s v="NILLONS L&amp;D"/>
    <x v="49"/>
    <n v="7.0000000000000007E-2"/>
    <n v="1"/>
    <n v="260.72000000000003"/>
    <n v="260.72000000000003"/>
    <n v="-20.05"/>
    <n v="0"/>
    <n v="31.287341999999999"/>
    <n v="271.95734199999998"/>
  </r>
  <r>
    <x v="3"/>
    <x v="4"/>
    <x v="2"/>
    <x v="0"/>
    <x v="53"/>
    <s v="KEPL/01012/82-83"/>
    <s v="R.P DISTRIBUTOR TRADE CENTER"/>
    <x v="54"/>
    <n v="2"/>
    <n v="40"/>
    <n v="175.06"/>
    <n v="7002.4"/>
    <n v="-538.48"/>
    <n v="0"/>
    <n v="840.30961600000012"/>
    <n v="7304.2296159999996"/>
  </r>
  <r>
    <x v="3"/>
    <x v="4"/>
    <x v="2"/>
    <x v="0"/>
    <x v="53"/>
    <s v="KEPL/01012/82-83"/>
    <s v="R.P DISTRIBUTOR TRADE CENTER"/>
    <x v="55"/>
    <n v="2"/>
    <n v="40"/>
    <n v="175.06"/>
    <n v="7002.4"/>
    <n v="-538.48"/>
    <n v="0"/>
    <n v="840.30961600000012"/>
    <n v="7304.2296159999996"/>
  </r>
  <r>
    <x v="10"/>
    <x v="4"/>
    <x v="2"/>
    <x v="0"/>
    <x v="53"/>
    <s v="KEPL/01012/82-83"/>
    <s v="R.P DISTRIBUTOR TRADE CENTER"/>
    <x v="45"/>
    <n v="2"/>
    <n v="30"/>
    <n v="260.72000000000003"/>
    <n v="7821.6"/>
    <n v="-601.48"/>
    <n v="0"/>
    <n v="938.61561800000004"/>
    <n v="8158.7356179999997"/>
  </r>
  <r>
    <x v="0"/>
    <x v="4"/>
    <x v="2"/>
    <x v="0"/>
    <x v="53"/>
    <s v="KEPL/01012/82-83"/>
    <s v="R.P DISTRIBUTOR TRADE CENTER"/>
    <x v="57"/>
    <n v="2"/>
    <n v="80"/>
    <n v="111.74"/>
    <n v="8939.2000000000007"/>
    <n v="-687.42"/>
    <n v="0"/>
    <n v="1072.7314200000001"/>
    <n v="9324.5114200000007"/>
  </r>
  <r>
    <x v="20"/>
    <x v="4"/>
    <x v="2"/>
    <x v="0"/>
    <x v="53"/>
    <s v="KEPL/01012/82-83"/>
    <s v="R.P DISTRIBUTOR TRADE CENTER"/>
    <x v="52"/>
    <n v="3"/>
    <n v="12"/>
    <n v="595.92999999999995"/>
    <n v="7151.16"/>
    <n v="-549.91999999999996"/>
    <n v="0"/>
    <n v="858.16121599999997"/>
    <n v="7459.4012160000002"/>
  </r>
  <r>
    <x v="8"/>
    <x v="4"/>
    <x v="2"/>
    <x v="0"/>
    <x v="53"/>
    <s v="KEPL/01012/82-83"/>
    <s v="R.P DISTRIBUTOR TRADE CENTER"/>
    <x v="33"/>
    <n v="1"/>
    <n v="40"/>
    <n v="67.040000000000006"/>
    <n v="2681.6"/>
    <n v="-206.22"/>
    <n v="0"/>
    <n v="321.79940600000003"/>
    <n v="2797.1794060000002"/>
  </r>
  <r>
    <x v="0"/>
    <x v="4"/>
    <x v="2"/>
    <x v="0"/>
    <x v="53"/>
    <s v="KEPL/01012/82-83"/>
    <s v="R.P DISTRIBUTOR TRADE CENTER"/>
    <x v="58"/>
    <n v="2"/>
    <n v="80"/>
    <n v="111.74"/>
    <n v="8939.2000000000007"/>
    <n v="-687.42"/>
    <n v="0"/>
    <n v="1072.7314200000001"/>
    <n v="9324.5114200000007"/>
  </r>
  <r>
    <x v="16"/>
    <x v="4"/>
    <x v="2"/>
    <x v="0"/>
    <x v="53"/>
    <s v="KEPL/01012/82-83"/>
    <s v="R.P DISTRIBUTOR TRADE CENTER"/>
    <x v="35"/>
    <n v="2"/>
    <n v="120"/>
    <n v="145.26"/>
    <n v="17431.2"/>
    <n v="-1340.46"/>
    <n v="0"/>
    <n v="2091.7962389999998"/>
    <n v="18182.536239000001"/>
  </r>
  <r>
    <x v="0"/>
    <x v="4"/>
    <x v="2"/>
    <x v="0"/>
    <x v="53"/>
    <s v="KEPL/01012/82-83"/>
    <s v="R.P DISTRIBUTOR TRADE CENTER"/>
    <x v="47"/>
    <n v="10"/>
    <n v="400"/>
    <n v="111.74"/>
    <n v="44696"/>
    <n v="-3437.12"/>
    <n v="0"/>
    <n v="5363.654501"/>
    <n v="46622.534501000002"/>
  </r>
  <r>
    <x v="10"/>
    <x v="4"/>
    <x v="2"/>
    <x v="0"/>
    <x v="53"/>
    <s v="KEPL/01012/82-83"/>
    <s v="R.P DISTRIBUTOR TRADE CENTER"/>
    <x v="49"/>
    <n v="5"/>
    <n v="75"/>
    <n v="260.72000000000003"/>
    <n v="19554"/>
    <n v="-1503.6999999999998"/>
    <n v="0"/>
    <n v="2346.5390440000001"/>
    <n v="20396.839044"/>
  </r>
  <r>
    <x v="6"/>
    <x v="4"/>
    <x v="2"/>
    <x v="0"/>
    <x v="53"/>
    <s v="KEPL/01012/82-83"/>
    <s v="R.P DISTRIBUTOR TRADE CENTER"/>
    <x v="59"/>
    <n v="2"/>
    <n v="40"/>
    <n v="204.85"/>
    <n v="8194"/>
    <n v="-630.12"/>
    <n v="0"/>
    <n v="983.30441799999994"/>
    <n v="8547.1844180000007"/>
  </r>
  <r>
    <x v="6"/>
    <x v="4"/>
    <x v="2"/>
    <x v="0"/>
    <x v="53"/>
    <s v="KEPL/01012/82-83"/>
    <s v="R.P DISTRIBUTOR TRADE CENTER"/>
    <x v="29"/>
    <n v="2"/>
    <n v="40"/>
    <n v="204.85"/>
    <n v="8194"/>
    <n v="-630.12"/>
    <n v="0"/>
    <n v="983.30441799999994"/>
    <n v="8547.1844180000007"/>
  </r>
  <r>
    <x v="3"/>
    <x v="4"/>
    <x v="2"/>
    <x v="0"/>
    <x v="53"/>
    <s v="KEPL/01012/82-83"/>
    <s v="R.P DISTRIBUTOR TRADE CENTER"/>
    <x v="46"/>
    <n v="10"/>
    <n v="200"/>
    <n v="175.06"/>
    <n v="35012"/>
    <n v="-2692.42"/>
    <n v="0"/>
    <n v="4201.5454789999994"/>
    <n v="36521.125479000002"/>
  </r>
  <r>
    <x v="7"/>
    <x v="4"/>
    <x v="2"/>
    <x v="0"/>
    <x v="53"/>
    <s v="KEPL/01012/82-83"/>
    <s v="R.P DISTRIBUTOR TRADE CENTER"/>
    <x v="27"/>
    <n v="15"/>
    <n v="1050"/>
    <n v="37.25"/>
    <n v="39112.5"/>
    <n v="-3007.75"/>
    <n v="0"/>
    <n v="4693.6175880000001"/>
    <n v="40798.367588000001"/>
  </r>
  <r>
    <x v="15"/>
    <x v="4"/>
    <x v="2"/>
    <x v="0"/>
    <x v="53"/>
    <s v="KEPL/01023/82-83"/>
    <s v="SIMPEX SOLUTION PVT. LTD"/>
    <x v="32"/>
    <n v="0.08"/>
    <n v="5"/>
    <n v="106.19"/>
    <n v="530.95000000000005"/>
    <n v="0"/>
    <n v="0"/>
    <n v="69.023409999999998"/>
    <n v="599.97340999999994"/>
  </r>
  <r>
    <x v="8"/>
    <x v="4"/>
    <x v="2"/>
    <x v="0"/>
    <x v="53"/>
    <s v="KEPL/01023/82-83"/>
    <s v="SIMPEX SOLUTION PVT. LTD"/>
    <x v="41"/>
    <n v="0.38"/>
    <n v="15"/>
    <n v="63.72"/>
    <n v="955.8"/>
    <n v="0"/>
    <n v="0"/>
    <n v="124.253839"/>
    <n v="1080.0538389999999"/>
  </r>
  <r>
    <x v="16"/>
    <x v="4"/>
    <x v="2"/>
    <x v="0"/>
    <x v="53"/>
    <s v="KEPL/01023/82-83"/>
    <s v="SIMPEX SOLUTION PVT. LTD"/>
    <x v="35"/>
    <n v="0.08"/>
    <n v="5"/>
    <n v="138.05000000000001"/>
    <n v="690.24999999999989"/>
    <n v="0"/>
    <n v="0"/>
    <n v="89.732383999999996"/>
    <n v="779.98238400000002"/>
  </r>
  <r>
    <x v="18"/>
    <x v="4"/>
    <x v="2"/>
    <x v="0"/>
    <x v="53"/>
    <s v="KEPL/01023/82-83"/>
    <s v="SIMPEX SOLUTION PVT. LTD"/>
    <x v="43"/>
    <n v="0.08"/>
    <n v="5"/>
    <n v="106.19"/>
    <n v="530.95000000000005"/>
    <n v="0"/>
    <n v="0"/>
    <n v="69.023409999999998"/>
    <n v="599.97340999999994"/>
  </r>
  <r>
    <x v="17"/>
    <x v="4"/>
    <x v="2"/>
    <x v="0"/>
    <x v="53"/>
    <s v="KEPL/01023/82-83"/>
    <s v="SIMPEX SOLUTION PVT. LTD"/>
    <x v="39"/>
    <n v="0.25"/>
    <n v="5"/>
    <n v="237.17"/>
    <n v="1185.8499999999999"/>
    <n v="0"/>
    <n v="0"/>
    <n v="154.16030000000001"/>
    <n v="1340.0102999999999"/>
  </r>
  <r>
    <x v="8"/>
    <x v="4"/>
    <x v="2"/>
    <x v="0"/>
    <x v="53"/>
    <s v="KEPL/01023/82-83"/>
    <s v="SIMPEX SOLUTION PVT. LTD"/>
    <x v="34"/>
    <n v="0.13"/>
    <n v="5"/>
    <n v="63.72"/>
    <n v="318.60000000000002"/>
    <n v="0"/>
    <n v="0"/>
    <n v="41.417946000000001"/>
    <n v="360.01794599999999"/>
  </r>
  <r>
    <x v="11"/>
    <x v="4"/>
    <x v="2"/>
    <x v="0"/>
    <x v="53"/>
    <s v="KEPL/01023/82-83"/>
    <s v="SIMPEX SOLUTION PVT. LTD"/>
    <x v="37"/>
    <n v="0.25"/>
    <n v="10"/>
    <n v="77.88"/>
    <n v="778.8"/>
    <n v="0"/>
    <n v="0"/>
    <n v="101.24386899999999"/>
    <n v="880.04386899999997"/>
  </r>
  <r>
    <x v="11"/>
    <x v="4"/>
    <x v="2"/>
    <x v="0"/>
    <x v="53"/>
    <s v="KEPL/01023/82-83"/>
    <s v="SIMPEX SOLUTION PVT. LTD"/>
    <x v="53"/>
    <n v="0.25"/>
    <n v="10"/>
    <n v="77.88"/>
    <n v="778.8"/>
    <n v="0"/>
    <n v="0"/>
    <n v="101.24386899999999"/>
    <n v="880.04386899999997"/>
  </r>
  <r>
    <x v="0"/>
    <x v="4"/>
    <x v="2"/>
    <x v="0"/>
    <x v="53"/>
    <s v="KEPL/01023/82-83"/>
    <s v="SIMPEX SOLUTION PVT. LTD"/>
    <x v="58"/>
    <n v="0.13"/>
    <n v="5"/>
    <n v="106.19"/>
    <n v="530.95000000000005"/>
    <n v="0"/>
    <n v="0"/>
    <n v="69.023409999999998"/>
    <n v="599.97340999999994"/>
  </r>
  <r>
    <x v="14"/>
    <x v="4"/>
    <x v="2"/>
    <x v="0"/>
    <x v="53"/>
    <s v="KEPL/01023/82-83"/>
    <s v="SIMPEX SOLUTION PVT. LTD"/>
    <x v="31"/>
    <n v="0.17"/>
    <n v="10"/>
    <n v="106.19"/>
    <n v="1061.9000000000001"/>
    <n v="0"/>
    <n v="0"/>
    <n v="138.04682099999999"/>
    <n v="1199.946821"/>
  </r>
  <r>
    <x v="0"/>
    <x v="4"/>
    <x v="2"/>
    <x v="0"/>
    <x v="53"/>
    <s v="KEPL/01023/82-83"/>
    <s v="SIMPEX SOLUTION PVT. LTD"/>
    <x v="47"/>
    <n v="0.13"/>
    <n v="5"/>
    <n v="106.19"/>
    <n v="530.95000000000005"/>
    <n v="0"/>
    <n v="0"/>
    <n v="69.023409999999998"/>
    <n v="599.97340999999994"/>
  </r>
  <r>
    <x v="11"/>
    <x v="4"/>
    <x v="2"/>
    <x v="0"/>
    <x v="53"/>
    <s v="KEPL/01023/82-83"/>
    <s v="SIMPEX SOLUTION PVT. LTD"/>
    <x v="36"/>
    <n v="0.25"/>
    <n v="10"/>
    <n v="77.88"/>
    <n v="778.8"/>
    <n v="0"/>
    <n v="0"/>
    <n v="101.24386899999999"/>
    <n v="880.04386899999997"/>
  </r>
  <r>
    <x v="9"/>
    <x v="4"/>
    <x v="2"/>
    <x v="0"/>
    <x v="53"/>
    <s v="KEPL/01023/82-83"/>
    <s v="SIMPEX SOLUTION PVT. LTD"/>
    <x v="38"/>
    <n v="0.21"/>
    <n v="5"/>
    <n v="176.99"/>
    <n v="884.95"/>
    <n v="0"/>
    <n v="0"/>
    <n v="115.043351"/>
    <n v="999.99335099999996"/>
  </r>
  <r>
    <x v="0"/>
    <x v="4"/>
    <x v="2"/>
    <x v="0"/>
    <x v="53"/>
    <s v="KEPL/01023/82-83"/>
    <s v="SIMPEX SOLUTION PVT. LTD"/>
    <x v="57"/>
    <n v="0.13"/>
    <n v="5"/>
    <n v="106.19"/>
    <n v="530.95000000000005"/>
    <n v="0"/>
    <n v="0"/>
    <n v="69.023409999999998"/>
    <n v="599.97340999999994"/>
  </r>
  <r>
    <x v="2"/>
    <x v="4"/>
    <x v="2"/>
    <x v="0"/>
    <x v="53"/>
    <s v="KEPL/01023/82-83"/>
    <s v="SIMPEX SOLUTION PVT. LTD"/>
    <x v="3"/>
    <n v="0.5"/>
    <n v="10"/>
    <n v="176.99"/>
    <n v="1769.9"/>
    <n v="0"/>
    <n v="0"/>
    <n v="230.08670100000001"/>
    <n v="1999.986701"/>
  </r>
  <r>
    <x v="9"/>
    <x v="4"/>
    <x v="2"/>
    <x v="0"/>
    <x v="53"/>
    <s v="KEPL/01024/82-83"/>
    <s v="SIMPEX SOLUTION PVT. LTD"/>
    <x v="44"/>
    <n v="0.21"/>
    <n v="5"/>
    <n v="176.99"/>
    <n v="884.95"/>
    <n v="0"/>
    <n v="0"/>
    <n v="115.04373799999999"/>
    <n v="999.99373800000001"/>
  </r>
  <r>
    <x v="6"/>
    <x v="4"/>
    <x v="2"/>
    <x v="0"/>
    <x v="53"/>
    <s v="KEPL/01024/82-83"/>
    <s v="SIMPEX SOLUTION PVT. LTD"/>
    <x v="59"/>
    <n v="0.25"/>
    <n v="5"/>
    <n v="194.69"/>
    <n v="973.44999999999993"/>
    <n v="0"/>
    <n v="0"/>
    <n v="126.548762"/>
    <n v="1099.9987619999999"/>
  </r>
  <r>
    <x v="1"/>
    <x v="4"/>
    <x v="2"/>
    <x v="0"/>
    <x v="53"/>
    <s v="KEPL/01024/82-83"/>
    <s v="SIMPEX SOLUTION PVT. LTD"/>
    <x v="26"/>
    <n v="0.28000000000000003"/>
    <n v="5"/>
    <n v="169.91"/>
    <n v="849.55000000000007"/>
    <n v="0"/>
    <n v="0"/>
    <n v="110.441729"/>
    <n v="959.99172899999996"/>
  </r>
  <r>
    <x v="1"/>
    <x v="4"/>
    <x v="2"/>
    <x v="0"/>
    <x v="53"/>
    <s v="KEPL/01024/82-83"/>
    <s v="SIMPEX SOLUTION PVT. LTD"/>
    <x v="25"/>
    <n v="0.28000000000000003"/>
    <n v="5"/>
    <n v="169.91"/>
    <n v="849.55000000000007"/>
    <n v="0"/>
    <n v="0"/>
    <n v="110.441729"/>
    <n v="959.99172899999996"/>
  </r>
  <r>
    <x v="6"/>
    <x v="4"/>
    <x v="2"/>
    <x v="0"/>
    <x v="53"/>
    <s v="KEPL/01024/82-83"/>
    <s v="SIMPEX SOLUTION PVT. LTD"/>
    <x v="48"/>
    <n v="0.25"/>
    <n v="5"/>
    <n v="194.69"/>
    <n v="973.44999999999993"/>
    <n v="0"/>
    <n v="0"/>
    <n v="126.548762"/>
    <n v="1099.9987619999999"/>
  </r>
  <r>
    <x v="6"/>
    <x v="4"/>
    <x v="2"/>
    <x v="0"/>
    <x v="53"/>
    <s v="KEPL/01024/82-83"/>
    <s v="SIMPEX SOLUTION PVT. LTD"/>
    <x v="28"/>
    <n v="0.25"/>
    <n v="5"/>
    <n v="194.69"/>
    <n v="973.44999999999993"/>
    <n v="0"/>
    <n v="0"/>
    <n v="126.548762"/>
    <n v="1099.9987619999999"/>
  </r>
  <r>
    <x v="9"/>
    <x v="4"/>
    <x v="2"/>
    <x v="0"/>
    <x v="53"/>
    <s v="KEPL/01024/82-83"/>
    <s v="SIMPEX SOLUTION PVT. LTD"/>
    <x v="22"/>
    <n v="0.42"/>
    <n v="10"/>
    <n v="194.69"/>
    <n v="1946.8999999999999"/>
    <n v="0"/>
    <n v="0"/>
    <n v="253.09752500000002"/>
    <n v="2199.9975250000002"/>
  </r>
  <r>
    <x v="8"/>
    <x v="4"/>
    <x v="2"/>
    <x v="0"/>
    <x v="53"/>
    <s v="KEPL/01024/82-83"/>
    <s v="SIMPEX SOLUTION PVT. LTD"/>
    <x v="13"/>
    <n v="0.83"/>
    <n v="20"/>
    <n v="134.51"/>
    <n v="2690.2000000000003"/>
    <n v="0"/>
    <n v="0"/>
    <n v="349.72672499999999"/>
    <n v="3039.9267249999998"/>
  </r>
  <r>
    <x v="6"/>
    <x v="4"/>
    <x v="2"/>
    <x v="0"/>
    <x v="53"/>
    <s v="KEPL/01024/82-83"/>
    <s v="SIMPEX SOLUTION PVT. LTD"/>
    <x v="30"/>
    <n v="0.25"/>
    <n v="5"/>
    <n v="230.09"/>
    <n v="1150.45"/>
    <n v="0"/>
    <n v="0"/>
    <n v="149.55880999999999"/>
    <n v="1300.00881"/>
  </r>
  <r>
    <x v="1"/>
    <x v="4"/>
    <x v="2"/>
    <x v="0"/>
    <x v="53"/>
    <s v="KEPL/01024/82-83"/>
    <s v="SIMPEX SOLUTION PVT. LTD"/>
    <x v="2"/>
    <n v="0.28000000000000003"/>
    <n v="5"/>
    <n v="169.91"/>
    <n v="849.55000000000007"/>
    <n v="0"/>
    <n v="0"/>
    <n v="110.441729"/>
    <n v="959.99172899999996"/>
  </r>
  <r>
    <x v="1"/>
    <x v="4"/>
    <x v="2"/>
    <x v="0"/>
    <x v="53"/>
    <s v="KEPL/01024/82-83"/>
    <s v="SIMPEX SOLUTION PVT. LTD"/>
    <x v="24"/>
    <n v="0.28000000000000003"/>
    <n v="5"/>
    <n v="169.91"/>
    <n v="849.55000000000007"/>
    <n v="0"/>
    <n v="0"/>
    <n v="110.441729"/>
    <n v="959.99172899999996"/>
  </r>
  <r>
    <x v="11"/>
    <x v="4"/>
    <x v="2"/>
    <x v="0"/>
    <x v="53"/>
    <s v="KEPL/01025/82-83"/>
    <s v="SHUBHASHREE MARKETING"/>
    <x v="36"/>
    <n v="1"/>
    <n v="40"/>
    <n v="81.94"/>
    <n v="3277.6"/>
    <n v="-252.05"/>
    <n v="0"/>
    <n v="393.32158599999997"/>
    <n v="3418.8715860000002"/>
  </r>
  <r>
    <x v="8"/>
    <x v="4"/>
    <x v="2"/>
    <x v="0"/>
    <x v="53"/>
    <s v="KEPL/01025/82-83"/>
    <s v="SHUBHASHREE MARKETING"/>
    <x v="33"/>
    <n v="4"/>
    <n v="160"/>
    <n v="67.040000000000006"/>
    <n v="10726.4"/>
    <n v="-824.86"/>
    <n v="0"/>
    <n v="1287.200482"/>
    <n v="11188.740481999999"/>
  </r>
  <r>
    <x v="3"/>
    <x v="4"/>
    <x v="2"/>
    <x v="0"/>
    <x v="53"/>
    <s v="KEPL/01025/82-83"/>
    <s v="SHUBHASHREE MARKETING"/>
    <x v="55"/>
    <n v="1"/>
    <n v="20"/>
    <n v="175.06"/>
    <n v="3501.2"/>
    <n v="-269.24"/>
    <n v="0"/>
    <n v="420.15489200000002"/>
    <n v="3652.1148920000001"/>
  </r>
  <r>
    <x v="10"/>
    <x v="4"/>
    <x v="2"/>
    <x v="0"/>
    <x v="53"/>
    <s v="KEPL/01025/82-83"/>
    <s v="SHUBHASHREE MARKETING"/>
    <x v="49"/>
    <n v="6"/>
    <n v="90"/>
    <n v="260.72000000000003"/>
    <n v="23464.799999999999"/>
    <n v="-1804.44"/>
    <n v="0"/>
    <n v="2815.8474179999998"/>
    <n v="24476.207418000002"/>
  </r>
  <r>
    <x v="3"/>
    <x v="4"/>
    <x v="2"/>
    <x v="0"/>
    <x v="53"/>
    <s v="KEPL/01025/82-83"/>
    <s v="SHUBHASHREE MARKETING"/>
    <x v="46"/>
    <n v="2"/>
    <n v="40"/>
    <n v="175.06"/>
    <n v="7002.4"/>
    <n v="-538.48"/>
    <n v="0"/>
    <n v="840.30978400000004"/>
    <n v="7304.2297840000001"/>
  </r>
  <r>
    <x v="9"/>
    <x v="4"/>
    <x v="2"/>
    <x v="0"/>
    <x v="53"/>
    <s v="KEPL/01025/82-83"/>
    <s v="SHUBHASHREE MARKETING"/>
    <x v="22"/>
    <n v="2"/>
    <n v="48"/>
    <n v="204.85"/>
    <n v="9832.8000000000011"/>
    <n v="-756.14"/>
    <n v="0"/>
    <n v="1179.9660590000001"/>
    <n v="10256.626059"/>
  </r>
  <r>
    <x v="11"/>
    <x v="4"/>
    <x v="2"/>
    <x v="0"/>
    <x v="53"/>
    <s v="KEPL/01025/82-83"/>
    <s v="SHUBHASHREE MARKETING"/>
    <x v="37"/>
    <n v="1"/>
    <n v="40"/>
    <n v="81.94"/>
    <n v="3277.6"/>
    <n v="-252.05"/>
    <n v="0"/>
    <n v="393.32158599999997"/>
    <n v="3418.8715860000002"/>
  </r>
  <r>
    <x v="8"/>
    <x v="4"/>
    <x v="2"/>
    <x v="0"/>
    <x v="53"/>
    <s v="KEPL/01025/82-83"/>
    <s v="SHUBHASHREE MARKETING"/>
    <x v="34"/>
    <n v="2"/>
    <n v="80"/>
    <n v="67.040000000000006"/>
    <n v="5363.2"/>
    <n v="-412.43"/>
    <n v="0"/>
    <n v="643.60024099999998"/>
    <n v="5594.3702409999996"/>
  </r>
  <r>
    <x v="6"/>
    <x v="4"/>
    <x v="2"/>
    <x v="0"/>
    <x v="53"/>
    <s v="KEPL/01025/82-83"/>
    <s v="SHUBHASHREE MARKETING"/>
    <x v="59"/>
    <n v="1"/>
    <n v="20"/>
    <n v="204.85"/>
    <n v="4097"/>
    <n v="-315.06"/>
    <n v="0"/>
    <n v="491.652308"/>
    <n v="4273.5923080000002"/>
  </r>
  <r>
    <x v="6"/>
    <x v="4"/>
    <x v="2"/>
    <x v="0"/>
    <x v="53"/>
    <s v="KEPL/01025/82-83"/>
    <s v="SHUBHASHREE MARKETING"/>
    <x v="28"/>
    <n v="3"/>
    <n v="60"/>
    <n v="204.85"/>
    <n v="12291"/>
    <n v="-945.18"/>
    <n v="0"/>
    <n v="1474.9569230000002"/>
    <n v="12820.776922999999"/>
  </r>
  <r>
    <x v="3"/>
    <x v="4"/>
    <x v="2"/>
    <x v="0"/>
    <x v="53"/>
    <s v="KEPL/01025/82-83"/>
    <s v="SHUBHASHREE MARKETING"/>
    <x v="54"/>
    <n v="1"/>
    <n v="20"/>
    <n v="175.06"/>
    <n v="3501.2"/>
    <n v="-269.24"/>
    <n v="0"/>
    <n v="420.15489200000002"/>
    <n v="3652.1148920000001"/>
  </r>
  <r>
    <x v="6"/>
    <x v="4"/>
    <x v="2"/>
    <x v="0"/>
    <x v="53"/>
    <s v="KEPL/01025/82-83"/>
    <s v="SHUBHASHREE MARKETING"/>
    <x v="48"/>
    <n v="1"/>
    <n v="20"/>
    <n v="204.85"/>
    <n v="4097"/>
    <n v="-315.06"/>
    <n v="0"/>
    <n v="491.652308"/>
    <n v="4273.5923080000002"/>
  </r>
  <r>
    <x v="8"/>
    <x v="4"/>
    <x v="2"/>
    <x v="0"/>
    <x v="53"/>
    <s v="KEPL/01025/82-83"/>
    <s v="SHUBHASHREE MARKETING"/>
    <x v="41"/>
    <n v="2"/>
    <n v="80"/>
    <n v="67.040000000000006"/>
    <n v="5363.2"/>
    <n v="-412.43"/>
    <n v="0"/>
    <n v="643.60024099999998"/>
    <n v="5594.3702409999996"/>
  </r>
  <r>
    <x v="8"/>
    <x v="4"/>
    <x v="2"/>
    <x v="0"/>
    <x v="53"/>
    <s v="KEPL/01025/82-83"/>
    <s v="SHUBHASHREE MARKETING"/>
    <x v="13"/>
    <n v="2"/>
    <n v="48"/>
    <n v="141.54"/>
    <n v="6793.92"/>
    <n v="-522.45000000000005"/>
    <n v="0"/>
    <n v="815.29127900000003"/>
    <n v="7086.7612790000003"/>
  </r>
  <r>
    <x v="3"/>
    <x v="4"/>
    <x v="2"/>
    <x v="0"/>
    <x v="54"/>
    <s v="KEPL/01028/82-83"/>
    <s v="GORIN TRADING "/>
    <x v="55"/>
    <n v="2"/>
    <n v="40"/>
    <n v="175.06"/>
    <n v="7002.4"/>
    <n v="-538.48"/>
    <n v="0"/>
    <n v="840.30952100000002"/>
    <n v="7304.2295210000002"/>
  </r>
  <r>
    <x v="8"/>
    <x v="4"/>
    <x v="2"/>
    <x v="0"/>
    <x v="54"/>
    <s v="KEPL/01028/82-83"/>
    <s v="GORIN TRADING "/>
    <x v="41"/>
    <n v="1"/>
    <n v="40"/>
    <n v="67.040000000000006"/>
    <n v="2681.6"/>
    <n v="-206.22"/>
    <n v="0"/>
    <n v="321.79937000000001"/>
    <n v="2797.1793699999998"/>
  </r>
  <r>
    <x v="0"/>
    <x v="4"/>
    <x v="2"/>
    <x v="0"/>
    <x v="54"/>
    <s v="KEPL/01028/82-83"/>
    <s v="GORIN TRADING "/>
    <x v="0"/>
    <n v="1"/>
    <n v="40"/>
    <n v="111.74"/>
    <n v="4469.6000000000004"/>
    <n v="-343.71"/>
    <n v="0"/>
    <n v="536.36564999999996"/>
    <n v="4662.2556500000001"/>
  </r>
  <r>
    <x v="11"/>
    <x v="4"/>
    <x v="2"/>
    <x v="0"/>
    <x v="54"/>
    <s v="KEPL/01028/82-83"/>
    <s v="GORIN TRADING "/>
    <x v="36"/>
    <n v="1"/>
    <n v="40"/>
    <n v="81.94"/>
    <n v="3277.6"/>
    <n v="-252.05"/>
    <n v="0"/>
    <n v="393.32146299999999"/>
    <n v="3418.8714629999999"/>
  </r>
  <r>
    <x v="0"/>
    <x v="4"/>
    <x v="2"/>
    <x v="0"/>
    <x v="54"/>
    <s v="KEPL/01028/82-83"/>
    <s v="GORIN TRADING "/>
    <x v="57"/>
    <n v="2"/>
    <n v="80"/>
    <n v="111.74"/>
    <n v="8939.2000000000007"/>
    <n v="-687.42"/>
    <n v="0"/>
    <n v="1072.7312999999999"/>
    <n v="9324.5113000000001"/>
  </r>
  <r>
    <x v="3"/>
    <x v="4"/>
    <x v="2"/>
    <x v="0"/>
    <x v="54"/>
    <s v="KEPL/01028/82-83"/>
    <s v="GORIN TRADING "/>
    <x v="46"/>
    <n v="3"/>
    <n v="60"/>
    <n v="175.06"/>
    <n v="10503.6"/>
    <n v="-807.7299999999999"/>
    <n v="0"/>
    <n v="1260.462982"/>
    <n v="10956.332982"/>
  </r>
  <r>
    <x v="10"/>
    <x v="4"/>
    <x v="2"/>
    <x v="0"/>
    <x v="54"/>
    <s v="KEPL/01028/82-83"/>
    <s v="GORIN TRADING "/>
    <x v="49"/>
    <n v="5"/>
    <n v="75"/>
    <n v="260.72000000000003"/>
    <n v="19554"/>
    <n v="-1503.6999999999998"/>
    <n v="0"/>
    <n v="2346.5387799999999"/>
    <n v="20396.838779999998"/>
  </r>
  <r>
    <x v="11"/>
    <x v="4"/>
    <x v="2"/>
    <x v="0"/>
    <x v="54"/>
    <s v="KEPL/01028/82-83"/>
    <s v="GORIN TRADING "/>
    <x v="53"/>
    <n v="1"/>
    <n v="40"/>
    <n v="81.94"/>
    <n v="3277.6"/>
    <n v="-252.05"/>
    <n v="0"/>
    <n v="393.32146299999999"/>
    <n v="3418.8714629999999"/>
  </r>
  <r>
    <x v="9"/>
    <x v="4"/>
    <x v="2"/>
    <x v="0"/>
    <x v="54"/>
    <s v="KEPL/01028/82-83"/>
    <s v="GORIN TRADING "/>
    <x v="22"/>
    <n v="1"/>
    <n v="24"/>
    <n v="204.85"/>
    <n v="4916.4000000000005"/>
    <n v="-378.07"/>
    <n v="0"/>
    <n v="589.982845"/>
    <n v="5128.3128450000004"/>
  </r>
  <r>
    <x v="11"/>
    <x v="4"/>
    <x v="2"/>
    <x v="0"/>
    <x v="54"/>
    <s v="KEPL/01028/82-83"/>
    <s v="GORIN TRADING "/>
    <x v="37"/>
    <n v="1"/>
    <n v="40"/>
    <n v="81.94"/>
    <n v="3277.6"/>
    <n v="-252.05"/>
    <n v="0"/>
    <n v="393.32146299999999"/>
    <n v="3418.8714629999999"/>
  </r>
  <r>
    <x v="2"/>
    <x v="4"/>
    <x v="2"/>
    <x v="0"/>
    <x v="54"/>
    <s v="KEPL/01028/82-83"/>
    <s v="GORIN TRADING "/>
    <x v="3"/>
    <n v="2"/>
    <n v="40"/>
    <n v="186.22"/>
    <n v="7448.8"/>
    <n v="-572.80999999999995"/>
    <n v="0"/>
    <n v="893.87861600000008"/>
    <n v="7769.8686159999997"/>
  </r>
  <r>
    <x v="0"/>
    <x v="4"/>
    <x v="2"/>
    <x v="0"/>
    <x v="54"/>
    <s v="KEPL/01028/82-83"/>
    <s v="GORIN TRADING "/>
    <x v="47"/>
    <n v="5"/>
    <n v="200"/>
    <n v="111.74"/>
    <n v="22348"/>
    <n v="-1718.56"/>
    <n v="0"/>
    <n v="2681.8269489999998"/>
    <n v="23311.266949000001"/>
  </r>
  <r>
    <x v="6"/>
    <x v="4"/>
    <x v="2"/>
    <x v="0"/>
    <x v="54"/>
    <s v="KEPL/01028/82-83"/>
    <s v="GORIN TRADING "/>
    <x v="48"/>
    <n v="2"/>
    <n v="40"/>
    <n v="204.85"/>
    <n v="8194"/>
    <n v="-630.12"/>
    <n v="0"/>
    <n v="983.30430800000011"/>
    <n v="8547.1843079999999"/>
  </r>
  <r>
    <x v="20"/>
    <x v="4"/>
    <x v="2"/>
    <x v="0"/>
    <x v="54"/>
    <s v="KEPL/01028/82-83"/>
    <s v="GORIN TRADING "/>
    <x v="52"/>
    <n v="10"/>
    <n v="40"/>
    <n v="595.92999999999995"/>
    <n v="23837.200000000001"/>
    <n v="-1833.08"/>
    <n v="0"/>
    <n v="2860.5353319999999"/>
    <n v="24864.655331999998"/>
  </r>
  <r>
    <x v="15"/>
    <x v="4"/>
    <x v="2"/>
    <x v="0"/>
    <x v="54"/>
    <s v="KEPL/01028/82-83"/>
    <s v="GORIN TRADING "/>
    <x v="32"/>
    <n v="2"/>
    <n v="120"/>
    <n v="111.74"/>
    <n v="13408.8"/>
    <n v="-1031.1400000000001"/>
    <n v="0"/>
    <n v="1609.0956490000001"/>
    <n v="13986.755649000001"/>
  </r>
  <r>
    <x v="6"/>
    <x v="4"/>
    <x v="2"/>
    <x v="0"/>
    <x v="54"/>
    <s v="KEPL/01028/82-83"/>
    <s v="GORIN TRADING "/>
    <x v="29"/>
    <n v="2"/>
    <n v="40"/>
    <n v="204.85"/>
    <n v="8194"/>
    <n v="-630.12"/>
    <n v="0"/>
    <n v="983.30430800000011"/>
    <n v="8547.1843079999999"/>
  </r>
  <r>
    <x v="16"/>
    <x v="4"/>
    <x v="2"/>
    <x v="0"/>
    <x v="54"/>
    <s v="KEPL/01030/82-83"/>
    <s v="BEERA BARJEE INTERNATIONAL PVT.LTD"/>
    <x v="35"/>
    <n v="1"/>
    <n v="60"/>
    <n v="145.26"/>
    <n v="8715.6"/>
    <n v="-670.23"/>
    <n v="0"/>
    <n v="1045.8980260000001"/>
    <n v="9091.2680259999997"/>
  </r>
  <r>
    <x v="8"/>
    <x v="4"/>
    <x v="2"/>
    <x v="0"/>
    <x v="54"/>
    <s v="KEPL/01030/82-83"/>
    <s v="BEERA BARJEE INTERNATIONAL PVT.LTD"/>
    <x v="13"/>
    <n v="3"/>
    <n v="72"/>
    <n v="141.54"/>
    <n v="10190.879999999999"/>
    <n v="-783.68"/>
    <n v="0"/>
    <n v="1222.9359139999999"/>
    <n v="10630.135914"/>
  </r>
  <r>
    <x v="3"/>
    <x v="4"/>
    <x v="2"/>
    <x v="0"/>
    <x v="54"/>
    <s v="KEPL/01030/82-83"/>
    <s v="BEERA BARJEE INTERNATIONAL PVT.LTD"/>
    <x v="54"/>
    <n v="1"/>
    <n v="20"/>
    <n v="175.05"/>
    <n v="3500.9999999999995"/>
    <n v="-269.23"/>
    <n v="0"/>
    <n v="420.13006999999999"/>
    <n v="3651.9000700000001"/>
  </r>
  <r>
    <x v="2"/>
    <x v="4"/>
    <x v="2"/>
    <x v="0"/>
    <x v="54"/>
    <s v="KEPL/01030/82-83"/>
    <s v="BEERA BARJEE INTERNATIONAL PVT.LTD"/>
    <x v="3"/>
    <n v="5"/>
    <n v="100"/>
    <n v="186.22"/>
    <n v="18622"/>
    <n v="-1432.03"/>
    <n v="0"/>
    <n v="2234.6959430000002"/>
    <n v="19424.665943"/>
  </r>
  <r>
    <x v="8"/>
    <x v="4"/>
    <x v="2"/>
    <x v="0"/>
    <x v="54"/>
    <s v="KEPL/01030/82-83"/>
    <s v="BEERA BARJEE INTERNATIONAL PVT.LTD"/>
    <x v="34"/>
    <n v="1"/>
    <n v="40"/>
    <n v="67.040000000000006"/>
    <n v="2681.6"/>
    <n v="-206.22"/>
    <n v="0"/>
    <n v="321.79937699999999"/>
    <n v="2797.1793769999999"/>
  </r>
  <r>
    <x v="8"/>
    <x v="4"/>
    <x v="2"/>
    <x v="0"/>
    <x v="54"/>
    <s v="KEPL/01030/82-83"/>
    <s v="BEERA BARJEE INTERNATIONAL PVT.LTD"/>
    <x v="41"/>
    <n v="3"/>
    <n v="120"/>
    <n v="67.040000000000006"/>
    <n v="8044.8"/>
    <n v="-618.65"/>
    <n v="0"/>
    <n v="965.39943199999993"/>
    <n v="8391.5494319999998"/>
  </r>
  <r>
    <x v="3"/>
    <x v="4"/>
    <x v="2"/>
    <x v="0"/>
    <x v="54"/>
    <s v="KEPL/01030/82-83"/>
    <s v="BEERA BARJEE INTERNATIONAL PVT.LTD"/>
    <x v="55"/>
    <n v="1"/>
    <n v="20"/>
    <n v="175.06"/>
    <n v="3501.2"/>
    <n v="-269.24"/>
    <n v="0"/>
    <n v="420.15476999999998"/>
    <n v="3652.1147700000001"/>
  </r>
  <r>
    <x v="3"/>
    <x v="4"/>
    <x v="2"/>
    <x v="0"/>
    <x v="54"/>
    <s v="KEPL/01030/82-83"/>
    <s v="BEERA BARJEE INTERNATIONAL PVT.LTD"/>
    <x v="46"/>
    <n v="1"/>
    <n v="20"/>
    <n v="175.06"/>
    <n v="3501.2"/>
    <n v="-269.24"/>
    <n v="0"/>
    <n v="420.15476999999998"/>
    <n v="3652.1147700000001"/>
  </r>
  <r>
    <x v="10"/>
    <x v="4"/>
    <x v="2"/>
    <x v="0"/>
    <x v="54"/>
    <s v="KEPL/01030/82-83"/>
    <s v="BEERA BARJEE INTERNATIONAL PVT.LTD"/>
    <x v="49"/>
    <n v="1"/>
    <n v="15"/>
    <n v="260.72000000000003"/>
    <n v="3910.8"/>
    <n v="-300.74"/>
    <n v="0"/>
    <n v="469.30776699999996"/>
    <n v="4079.3677670000002"/>
  </r>
  <r>
    <x v="10"/>
    <x v="4"/>
    <x v="2"/>
    <x v="0"/>
    <x v="54"/>
    <s v="KEPL/01030/82-83"/>
    <s v="BEERA BARJEE INTERNATIONAL PVT.LTD"/>
    <x v="45"/>
    <n v="1"/>
    <n v="15"/>
    <n v="260.72000000000003"/>
    <n v="3910.8"/>
    <n v="-300.74"/>
    <n v="0"/>
    <n v="469.30776699999996"/>
    <n v="4079.3677670000002"/>
  </r>
  <r>
    <x v="0"/>
    <x v="4"/>
    <x v="2"/>
    <x v="0"/>
    <x v="54"/>
    <s v="KEPL/01030/82-83"/>
    <s v="BEERA BARJEE INTERNATIONAL PVT.LTD"/>
    <x v="47"/>
    <n v="2"/>
    <n v="80"/>
    <n v="111.74"/>
    <n v="8939.2000000000007"/>
    <n v="-687.42"/>
    <n v="0"/>
    <n v="1072.731325"/>
    <n v="9324.5113249999995"/>
  </r>
  <r>
    <x v="0"/>
    <x v="4"/>
    <x v="2"/>
    <x v="0"/>
    <x v="54"/>
    <s v="KEPL/01030/82-83"/>
    <s v="BEERA BARJEE INTERNATIONAL PVT.LTD"/>
    <x v="58"/>
    <n v="2"/>
    <n v="80"/>
    <n v="111.74"/>
    <n v="8939.2000000000007"/>
    <n v="-687.42"/>
    <n v="0"/>
    <n v="1072.731325"/>
    <n v="9324.5113249999995"/>
  </r>
  <r>
    <x v="0"/>
    <x v="4"/>
    <x v="2"/>
    <x v="0"/>
    <x v="54"/>
    <s v="KEPL/01030/82-83"/>
    <s v="BEERA BARJEE INTERNATIONAL PVT.LTD"/>
    <x v="57"/>
    <n v="2"/>
    <n v="80"/>
    <n v="111.74"/>
    <n v="8939.2000000000007"/>
    <n v="-687.42"/>
    <n v="0"/>
    <n v="1072.731325"/>
    <n v="9324.5113249999995"/>
  </r>
  <r>
    <x v="9"/>
    <x v="4"/>
    <x v="2"/>
    <x v="0"/>
    <x v="54"/>
    <s v="KEPL/01030/82-83"/>
    <s v="BEERA BARJEE INTERNATIONAL PVT.LTD"/>
    <x v="22"/>
    <n v="3"/>
    <n v="72"/>
    <n v="204.85"/>
    <n v="14749.199999999999"/>
    <n v="-1134.21"/>
    <n v="0"/>
    <n v="1769.9485759999998"/>
    <n v="15384.938576"/>
  </r>
  <r>
    <x v="9"/>
    <x v="4"/>
    <x v="2"/>
    <x v="0"/>
    <x v="54"/>
    <s v="KEPL/01030/82-83"/>
    <s v="BEERA BARJEE INTERNATIONAL PVT.LTD"/>
    <x v="38"/>
    <n v="1"/>
    <n v="24"/>
    <n v="186.23"/>
    <n v="4469.5200000000004"/>
    <n v="-343.71"/>
    <n v="0"/>
    <n v="536.35526200000004"/>
    <n v="4662.1652620000004"/>
  </r>
  <r>
    <x v="8"/>
    <x v="4"/>
    <x v="2"/>
    <x v="0"/>
    <x v="54"/>
    <s v="KEPL/01030/82-83"/>
    <s v="BEERA BARJEE INTERNATIONAL PVT.LTD"/>
    <x v="56"/>
    <n v="1"/>
    <n v="800"/>
    <n v="7.45"/>
    <n v="5960"/>
    <n v="-458.32"/>
    <n v="0"/>
    <n v="715.21834999999999"/>
    <n v="6216.8983500000004"/>
  </r>
  <r>
    <x v="10"/>
    <x v="4"/>
    <x v="2"/>
    <x v="0"/>
    <x v="54"/>
    <s v="KEPL/01088/82-83"/>
    <s v="WELSON TRADE &amp; RASAN MART"/>
    <x v="45"/>
    <n v="2"/>
    <n v="30"/>
    <n v="260.72000000000003"/>
    <n v="7821.6"/>
    <n v="-601.48"/>
    <n v="0"/>
    <n v="938.615588"/>
    <n v="8158.7355879999996"/>
  </r>
  <r>
    <x v="1"/>
    <x v="4"/>
    <x v="2"/>
    <x v="0"/>
    <x v="54"/>
    <s v="KEPL/01088/82-83"/>
    <s v="WELSON TRADE &amp; RASAN MART"/>
    <x v="26"/>
    <n v="1"/>
    <n v="18"/>
    <n v="178.78"/>
    <n v="3218.0400000000004"/>
    <n v="-247.47"/>
    <n v="0"/>
    <n v="386.17409500000002"/>
    <n v="3356.744095"/>
  </r>
  <r>
    <x v="0"/>
    <x v="4"/>
    <x v="2"/>
    <x v="0"/>
    <x v="54"/>
    <s v="KEPL/01088/82-83"/>
    <s v="WELSON TRADE &amp; RASAN MART"/>
    <x v="58"/>
    <n v="1"/>
    <n v="40"/>
    <n v="111.74"/>
    <n v="4469.6000000000004"/>
    <n v="-343.71"/>
    <n v="0"/>
    <n v="536.36569299999996"/>
    <n v="4662.2556930000001"/>
  </r>
  <r>
    <x v="3"/>
    <x v="4"/>
    <x v="2"/>
    <x v="0"/>
    <x v="54"/>
    <s v="KEPL/01088/82-83"/>
    <s v="WELSON TRADE &amp; RASAN MART"/>
    <x v="46"/>
    <n v="3"/>
    <n v="60"/>
    <n v="175.06"/>
    <n v="10503.6"/>
    <n v="-807.7299999999999"/>
    <n v="0"/>
    <n v="1260.463084"/>
    <n v="10956.333084"/>
  </r>
  <r>
    <x v="2"/>
    <x v="4"/>
    <x v="2"/>
    <x v="0"/>
    <x v="54"/>
    <s v="KEPL/01088/82-83"/>
    <s v="WELSON TRADE &amp; RASAN MART"/>
    <x v="3"/>
    <n v="5"/>
    <n v="100"/>
    <n v="186.22"/>
    <n v="18622"/>
    <n v="-1432.03"/>
    <n v="0"/>
    <n v="2234.6960720000002"/>
    <n v="19424.666072"/>
  </r>
  <r>
    <x v="13"/>
    <x v="4"/>
    <x v="2"/>
    <x v="0"/>
    <x v="54"/>
    <s v="KEPL/01088/82-83"/>
    <s v="WELSON TRADE &amp; RASAN MART"/>
    <x v="21"/>
    <n v="1"/>
    <n v="240"/>
    <n v="14.9"/>
    <n v="3576"/>
    <n v="-274.99"/>
    <n v="0"/>
    <n v="429.13129500000002"/>
    <n v="3730.1412949999999"/>
  </r>
  <r>
    <x v="12"/>
    <x v="4"/>
    <x v="2"/>
    <x v="0"/>
    <x v="54"/>
    <s v="KEPL/01088/82-83"/>
    <s v="WELSON TRADE &amp; RASAN MART"/>
    <x v="60"/>
    <n v="1"/>
    <n v="1000"/>
    <n v="1.86"/>
    <n v="1860"/>
    <n v="-143.03"/>
    <n v="0"/>
    <n v="223.206097"/>
    <n v="1940.176097"/>
  </r>
  <r>
    <x v="17"/>
    <x v="4"/>
    <x v="2"/>
    <x v="0"/>
    <x v="54"/>
    <s v="KEPL/01088/82-83"/>
    <s v="WELSON TRADE &amp; RASAN MART"/>
    <x v="39"/>
    <n v="1"/>
    <n v="20"/>
    <n v="249.55"/>
    <n v="4991"/>
    <n v="-383.81"/>
    <n v="0"/>
    <n v="598.93469300000004"/>
    <n v="5206.1246929999998"/>
  </r>
  <r>
    <x v="10"/>
    <x v="4"/>
    <x v="2"/>
    <x v="0"/>
    <x v="54"/>
    <s v="KEPL/01088/82-83"/>
    <s v="WELSON TRADE &amp; RASAN MART"/>
    <x v="49"/>
    <n v="3"/>
    <n v="45"/>
    <n v="260.72000000000003"/>
    <n v="11732.4"/>
    <n v="-902.22"/>
    <n v="0"/>
    <n v="1407.9233819999999"/>
    <n v="12238.103381999999"/>
  </r>
  <r>
    <x v="0"/>
    <x v="4"/>
    <x v="2"/>
    <x v="0"/>
    <x v="54"/>
    <s v="KEPL/01093/82-83"/>
    <s v="KRISHMA ENTERPRISES"/>
    <x v="47"/>
    <n v="2"/>
    <n v="80"/>
    <n v="111.74"/>
    <n v="8939.2000000000007"/>
    <n v="-687.42"/>
    <n v="0"/>
    <n v="1072.7314269999999"/>
    <n v="9324.5114269999995"/>
  </r>
  <r>
    <x v="3"/>
    <x v="4"/>
    <x v="2"/>
    <x v="0"/>
    <x v="54"/>
    <s v="KEPL/01093/82-83"/>
    <s v="KRISHMA ENTERPRISES"/>
    <x v="46"/>
    <n v="5"/>
    <n v="100"/>
    <n v="175.05"/>
    <n v="17505"/>
    <n v="-1346.1299999999999"/>
    <n v="0"/>
    <n v="2100.6531530000002"/>
    <n v="18259.523152999998"/>
  </r>
  <r>
    <x v="2"/>
    <x v="4"/>
    <x v="2"/>
    <x v="0"/>
    <x v="54"/>
    <s v="KEPL/01093/82-83"/>
    <s v="KRISHMA ENTERPRISES"/>
    <x v="3"/>
    <n v="40"/>
    <n v="800"/>
    <n v="186.22"/>
    <n v="148976"/>
    <n v="-11456.25"/>
    <n v="0"/>
    <n v="17877.567947"/>
    <n v="155397.317947"/>
  </r>
  <r>
    <x v="0"/>
    <x v="4"/>
    <x v="2"/>
    <x v="0"/>
    <x v="54"/>
    <s v="KEPL/01093/82-83"/>
    <s v="KRISHMA ENTERPRISES"/>
    <x v="57"/>
    <n v="2"/>
    <n v="80"/>
    <n v="111.74"/>
    <n v="8939.2000000000007"/>
    <n v="-687.42"/>
    <n v="0"/>
    <n v="1072.7314269999999"/>
    <n v="9324.5114269999995"/>
  </r>
  <r>
    <x v="20"/>
    <x v="4"/>
    <x v="2"/>
    <x v="0"/>
    <x v="54"/>
    <s v="KEPL/01093/82-83"/>
    <s v="KRISHMA ENTERPRISES"/>
    <x v="52"/>
    <n v="100"/>
    <n v="400"/>
    <n v="595.92999999999995"/>
    <n v="238372"/>
    <n v="-18330.810000000001"/>
    <n v="0"/>
    <n v="28605.355415999999"/>
    <n v="248646.54541600001"/>
  </r>
  <r>
    <x v="16"/>
    <x v="4"/>
    <x v="2"/>
    <x v="0"/>
    <x v="54"/>
    <s v="KEPL/01093/82-83"/>
    <s v="KRISHMA ENTERPRISES"/>
    <x v="35"/>
    <n v="5"/>
    <n v="300"/>
    <n v="145.26"/>
    <n v="43578"/>
    <n v="-3351.1499999999996"/>
    <n v="0"/>
    <n v="5229.4906309999997"/>
    <n v="45456.340630999999"/>
  </r>
  <r>
    <x v="3"/>
    <x v="4"/>
    <x v="2"/>
    <x v="0"/>
    <x v="54"/>
    <s v="KEPL/01095/82-83"/>
    <s v="AASHI TRADERS"/>
    <x v="46"/>
    <n v="15"/>
    <n v="300"/>
    <n v="175.05"/>
    <n v="52515"/>
    <n v="-4038.4"/>
    <n v="0"/>
    <n v="6301.9562519999999"/>
    <n v="54778.556252000002"/>
  </r>
  <r>
    <x v="10"/>
    <x v="4"/>
    <x v="2"/>
    <x v="0"/>
    <x v="54"/>
    <s v="KEPL/01095/82-83"/>
    <s v="AASHI TRADERS"/>
    <x v="49"/>
    <n v="15"/>
    <n v="225"/>
    <n v="260.72000000000003"/>
    <n v="58662"/>
    <n v="-4511.1099999999997"/>
    <n v="0"/>
    <n v="7039.6137479999998"/>
    <n v="61190.503748000003"/>
  </r>
  <r>
    <x v="0"/>
    <x v="5"/>
    <x v="2"/>
    <x v="0"/>
    <x v="55"/>
    <s v="KEPL/01140/82-83"/>
    <s v="SAFAL MART PVT.LTD"/>
    <x v="47"/>
    <n v="1"/>
    <n v="40"/>
    <n v="111.74"/>
    <n v="4469.6000000000004"/>
    <n v="-223.48"/>
    <n v="-84.922056999999995"/>
    <n v="540.95562500000005"/>
    <n v="4702.1535679999997"/>
  </r>
  <r>
    <x v="17"/>
    <x v="5"/>
    <x v="2"/>
    <x v="0"/>
    <x v="55"/>
    <s v="KEPL/01140/82-83"/>
    <s v="SAFAL MART PVT.LTD"/>
    <x v="39"/>
    <n v="1"/>
    <n v="20"/>
    <n v="249.55"/>
    <n v="4991"/>
    <n v="-249.55"/>
    <n v="-94.828616999999994"/>
    <n v="604.0606600000001"/>
    <n v="5250.6820429999998"/>
  </r>
  <r>
    <x v="3"/>
    <x v="5"/>
    <x v="2"/>
    <x v="0"/>
    <x v="55"/>
    <s v="KEPL/01140/82-83"/>
    <s v="SAFAL MART PVT.LTD"/>
    <x v="55"/>
    <n v="1"/>
    <n v="20"/>
    <n v="175.05"/>
    <n v="3500.9999999999995"/>
    <n v="-175.05"/>
    <n v="-66.518731000000002"/>
    <n v="423.72598099999999"/>
    <n v="3683.1572500000002"/>
  </r>
  <r>
    <x v="3"/>
    <x v="5"/>
    <x v="2"/>
    <x v="0"/>
    <x v="55"/>
    <s v="KEPL/01140/82-83"/>
    <s v="SAFAL MART PVT.LTD"/>
    <x v="46"/>
    <n v="1"/>
    <n v="20"/>
    <n v="175.05"/>
    <n v="3500.9999999999995"/>
    <n v="-175.05"/>
    <n v="-66.518731000000002"/>
    <n v="423.72598099999999"/>
    <n v="3683.1572500000002"/>
  </r>
  <r>
    <x v="1"/>
    <x v="5"/>
    <x v="2"/>
    <x v="0"/>
    <x v="55"/>
    <s v="KEPL/01140/82-83"/>
    <s v="SAFAL MART PVT.LTD"/>
    <x v="24"/>
    <n v="1"/>
    <n v="18"/>
    <n v="178.78"/>
    <n v="3218.0400000000004"/>
    <n v="-160.9"/>
    <n v="-61.142552999999992"/>
    <n v="389.47959099999997"/>
    <n v="3385.477038"/>
  </r>
  <r>
    <x v="0"/>
    <x v="5"/>
    <x v="2"/>
    <x v="0"/>
    <x v="55"/>
    <s v="KEPL/01140/82-83"/>
    <s v="SAFAL MART PVT.LTD"/>
    <x v="0"/>
    <n v="1"/>
    <n v="40"/>
    <n v="111.74"/>
    <n v="4469.6000000000004"/>
    <n v="-223.48"/>
    <n v="-84.922056999999995"/>
    <n v="540.95562500000005"/>
    <n v="4702.1535679999997"/>
  </r>
  <r>
    <x v="0"/>
    <x v="5"/>
    <x v="2"/>
    <x v="0"/>
    <x v="55"/>
    <s v="KEPL/01140/82-83"/>
    <s v="SAFAL MART PVT.LTD"/>
    <x v="57"/>
    <n v="1"/>
    <n v="40"/>
    <n v="111.74"/>
    <n v="4469.6000000000004"/>
    <n v="-223.48"/>
    <n v="-84.922056999999995"/>
    <n v="540.95562500000005"/>
    <n v="4702.1535679999997"/>
  </r>
  <r>
    <x v="6"/>
    <x v="5"/>
    <x v="2"/>
    <x v="0"/>
    <x v="55"/>
    <s v="KEPL/01140/82-83"/>
    <s v="SAFAL MART PVT.LTD"/>
    <x v="30"/>
    <n v="1"/>
    <n v="20"/>
    <n v="242.1"/>
    <n v="4841.9999999999991"/>
    <n v="-242.1"/>
    <n v="-91.997628000000006"/>
    <n v="586.02719200000001"/>
    <n v="5093.929564"/>
  </r>
  <r>
    <x v="2"/>
    <x v="5"/>
    <x v="2"/>
    <x v="0"/>
    <x v="55"/>
    <s v="KEPL/01140/82-83"/>
    <s v="SAFAL MART PVT.LTD"/>
    <x v="3"/>
    <n v="1"/>
    <n v="20"/>
    <n v="186.23"/>
    <n v="3724.6000000000004"/>
    <n v="-186.23"/>
    <n v="-70.767114000000007"/>
    <n v="450.78828600000003"/>
    <n v="3918.3911720000001"/>
  </r>
  <r>
    <x v="9"/>
    <x v="5"/>
    <x v="2"/>
    <x v="0"/>
    <x v="55"/>
    <s v="KEPL/01140/82-83"/>
    <s v="SAFAL MART PVT.LTD"/>
    <x v="44"/>
    <n v="1"/>
    <n v="24"/>
    <n v="186.23"/>
    <n v="4469.5200000000004"/>
    <n v="-223.48"/>
    <n v="-84.920456999999999"/>
    <n v="540.94543299999998"/>
    <n v="4702.0649759999997"/>
  </r>
  <r>
    <x v="3"/>
    <x v="5"/>
    <x v="2"/>
    <x v="0"/>
    <x v="56"/>
    <s v="KEPL/01142/82-83"/>
    <s v="SHREE BHOLEY SHANKAR KIRANA STORE"/>
    <x v="46"/>
    <n v="1"/>
    <n v="20"/>
    <n v="175.05"/>
    <n v="3500.9999999999995"/>
    <n v="-269.23"/>
    <n v="0"/>
    <n v="420.130132"/>
    <n v="3651.9001320000002"/>
  </r>
  <r>
    <x v="7"/>
    <x v="5"/>
    <x v="2"/>
    <x v="0"/>
    <x v="56"/>
    <s v="KEPL/01142/82-83"/>
    <s v="SHREE BHOLEY SHANKAR KIRANA STORE"/>
    <x v="27"/>
    <n v="1"/>
    <n v="70"/>
    <n v="37.25"/>
    <n v="2607.5"/>
    <n v="-200.52"/>
    <n v="0"/>
    <n v="312.90742399999999"/>
    <n v="2719.887424"/>
  </r>
  <r>
    <x v="0"/>
    <x v="5"/>
    <x v="2"/>
    <x v="0"/>
    <x v="56"/>
    <s v="KEPL/01142/82-83"/>
    <s v="SHREE BHOLEY SHANKAR KIRANA STORE"/>
    <x v="58"/>
    <n v="5"/>
    <n v="200"/>
    <n v="111.74"/>
    <n v="22348"/>
    <n v="-1718.56"/>
    <n v="0"/>
    <n v="2681.8274040000001"/>
    <n v="23311.267403999998"/>
  </r>
  <r>
    <x v="7"/>
    <x v="5"/>
    <x v="2"/>
    <x v="0"/>
    <x v="56"/>
    <s v="KEPL/01142/82-83"/>
    <s v="SHREE BHOLEY SHANKAR KIRANA STORE"/>
    <x v="12"/>
    <n v="1"/>
    <n v="130"/>
    <n v="33.520000000000003"/>
    <n v="4357.6000000000004"/>
    <n v="-335.1"/>
    <n v="0"/>
    <n v="522.92503999999997"/>
    <n v="4545.4250400000001"/>
  </r>
  <r>
    <x v="8"/>
    <x v="5"/>
    <x v="2"/>
    <x v="0"/>
    <x v="56"/>
    <s v="KEPL/01144/82-83"/>
    <s v="NEW MATA RANI SUPPLIERS"/>
    <x v="56"/>
    <n v="2"/>
    <n v="1600"/>
    <n v="7.45"/>
    <n v="11920"/>
    <n v="-916.65"/>
    <n v="0"/>
    <n v="1430.435215"/>
    <n v="12433.785215"/>
  </r>
  <r>
    <x v="3"/>
    <x v="5"/>
    <x v="2"/>
    <x v="0"/>
    <x v="56"/>
    <s v="KEPL/01144/82-83"/>
    <s v="NEW MATA RANI SUPPLIERS"/>
    <x v="46"/>
    <n v="2"/>
    <n v="40"/>
    <n v="175.05"/>
    <n v="7001.9999999999991"/>
    <n v="-538.45000000000005"/>
    <n v="0"/>
    <n v="840.26133200000004"/>
    <n v="7303.8113320000002"/>
  </r>
  <r>
    <x v="7"/>
    <x v="5"/>
    <x v="2"/>
    <x v="0"/>
    <x v="56"/>
    <s v="KEPL/01144/82-83"/>
    <s v="NEW MATA RANI SUPPLIERS"/>
    <x v="27"/>
    <n v="10"/>
    <n v="700"/>
    <n v="37.25"/>
    <n v="26075"/>
    <n v="-2005.1699999999998"/>
    <n v="0"/>
    <n v="3129.077276"/>
    <n v="27198.907276000002"/>
  </r>
  <r>
    <x v="8"/>
    <x v="5"/>
    <x v="2"/>
    <x v="0"/>
    <x v="56"/>
    <s v="KEPL/01144/82-83"/>
    <s v="NEW MATA RANI SUPPLIERS"/>
    <x v="13"/>
    <n v="2"/>
    <n v="48"/>
    <n v="141.53"/>
    <n v="6793.44"/>
    <n v="-522.41999999999996"/>
    <n v="0"/>
    <n v="815.232437"/>
    <n v="7086.2524370000001"/>
  </r>
  <r>
    <x v="10"/>
    <x v="5"/>
    <x v="2"/>
    <x v="0"/>
    <x v="56"/>
    <s v="KEPL/01144/82-83"/>
    <s v="NEW MATA RANI SUPPLIERS"/>
    <x v="49"/>
    <n v="2"/>
    <n v="30"/>
    <n v="260.72000000000003"/>
    <n v="7821.6"/>
    <n v="-601.48"/>
    <n v="0"/>
    <n v="938.61541299999999"/>
    <n v="8158.7354130000003"/>
  </r>
  <r>
    <x v="16"/>
    <x v="5"/>
    <x v="2"/>
    <x v="0"/>
    <x v="56"/>
    <s v="KEPL/01144/82-83"/>
    <s v="NEW MATA RANI SUPPLIERS"/>
    <x v="35"/>
    <n v="2"/>
    <n v="120"/>
    <n v="145.26"/>
    <n v="17431.2"/>
    <n v="-1340.46"/>
    <n v="0"/>
    <n v="2091.795783"/>
    <n v="18182.535782999999"/>
  </r>
  <r>
    <x v="20"/>
    <x v="5"/>
    <x v="2"/>
    <x v="0"/>
    <x v="56"/>
    <s v="KEPL/01144/82-83"/>
    <s v="NEW MATA RANI SUPPLIERS"/>
    <x v="52"/>
    <n v="15"/>
    <n v="60"/>
    <n v="595.92999999999995"/>
    <n v="35755.799999999996"/>
    <n v="-2749.62"/>
    <n v="0"/>
    <n v="4290.8025440000001"/>
    <n v="37296.982543999999"/>
  </r>
  <r>
    <x v="2"/>
    <x v="5"/>
    <x v="2"/>
    <x v="0"/>
    <x v="57"/>
    <s v="KEPL/01158/82-83"/>
    <s v="AAFNAI PASAL PVT.LTD"/>
    <x v="3"/>
    <n v="4"/>
    <n v="80"/>
    <n v="186.23"/>
    <n v="14898.400000000001"/>
    <n v="-1145.6899999999998"/>
    <n v="0"/>
    <n v="1787.8519509999999"/>
    <n v="15540.561951"/>
  </r>
  <r>
    <x v="1"/>
    <x v="5"/>
    <x v="2"/>
    <x v="0"/>
    <x v="57"/>
    <s v="KEPL/01158/82-83"/>
    <s v="AAFNAI PASAL PVT.LTD"/>
    <x v="2"/>
    <n v="1"/>
    <n v="18"/>
    <n v="178.78"/>
    <n v="3218.0400000000004"/>
    <n v="-247.47"/>
    <n v="0"/>
    <n v="386.17402500000003"/>
    <n v="3356.744025"/>
  </r>
  <r>
    <x v="1"/>
    <x v="5"/>
    <x v="2"/>
    <x v="0"/>
    <x v="57"/>
    <s v="KEPL/01158/82-83"/>
    <s v="AAFNAI PASAL PVT.LTD"/>
    <x v="25"/>
    <n v="1"/>
    <n v="18"/>
    <n v="178.78"/>
    <n v="3218.0400000000004"/>
    <n v="-247.47"/>
    <n v="0"/>
    <n v="386.17402500000003"/>
    <n v="3356.744025"/>
  </r>
  <r>
    <x v="17"/>
    <x v="5"/>
    <x v="2"/>
    <x v="0"/>
    <x v="58"/>
    <s v="KEPL/01159/82-83"/>
    <s v="AAFNAI PASAL PVT.LTD"/>
    <x v="39"/>
    <n v="2"/>
    <n v="40"/>
    <n v="249.55"/>
    <n v="9982"/>
    <n v="-767.62"/>
    <n v="0"/>
    <n v="1197.870212"/>
    <n v="10412.250212000001"/>
  </r>
  <r>
    <x v="6"/>
    <x v="5"/>
    <x v="2"/>
    <x v="0"/>
    <x v="58"/>
    <s v="KEPL/01159/82-83"/>
    <s v="AAFNAI PASAL PVT.LTD"/>
    <x v="30"/>
    <n v="2"/>
    <n v="40"/>
    <n v="242.1"/>
    <n v="9683.9999999999982"/>
    <n v="-744.7"/>
    <n v="0"/>
    <n v="1162.109788"/>
    <n v="10101.409788000001"/>
  </r>
  <r>
    <x v="16"/>
    <x v="5"/>
    <x v="2"/>
    <x v="0"/>
    <x v="58"/>
    <s v="KEPL/01161/82-83"/>
    <s v="MEGA MART PVT.LTD"/>
    <x v="35"/>
    <n v="1"/>
    <n v="60"/>
    <n v="129.41999999999999"/>
    <n v="7765.2"/>
    <n v="0"/>
    <n v="0"/>
    <n v="1009.4752540000001"/>
    <n v="8774.6752539999998"/>
  </r>
  <r>
    <x v="16"/>
    <x v="5"/>
    <x v="2"/>
    <x v="0"/>
    <x v="58"/>
    <s v="KEPL/01161/82-83"/>
    <s v="MEGA MART PVT.LTD"/>
    <x v="42"/>
    <n v="4"/>
    <n v="120"/>
    <n v="282.08"/>
    <n v="33849.599999999999"/>
    <n v="0"/>
    <n v="0"/>
    <n v="4400.4447460000001"/>
    <n v="38250.044746"/>
  </r>
  <r>
    <x v="1"/>
    <x v="5"/>
    <x v="2"/>
    <x v="0"/>
    <x v="58"/>
    <s v="KEPL/01162/82-83"/>
    <s v="SHUBHASHREE MARKETING"/>
    <x v="2"/>
    <n v="10"/>
    <n v="180"/>
    <n v="178.78"/>
    <n v="32180.400000000001"/>
    <n v="-2474.6699999999996"/>
    <n v="0"/>
    <n v="3861.7429509999997"/>
    <n v="33567.472951000003"/>
  </r>
  <r>
    <x v="1"/>
    <x v="5"/>
    <x v="2"/>
    <x v="0"/>
    <x v="58"/>
    <s v="KEPL/01162/82-83"/>
    <s v="SHUBHASHREE MARKETING"/>
    <x v="24"/>
    <n v="10"/>
    <n v="180"/>
    <n v="178.78"/>
    <n v="32180.400000000001"/>
    <n v="-2474.6699999999996"/>
    <n v="0"/>
    <n v="3861.7429509999997"/>
    <n v="33567.472951000003"/>
  </r>
  <r>
    <x v="1"/>
    <x v="5"/>
    <x v="2"/>
    <x v="0"/>
    <x v="58"/>
    <s v="KEPL/01162/82-83"/>
    <s v="SHUBHASHREE MARKETING"/>
    <x v="25"/>
    <n v="3"/>
    <n v="54"/>
    <n v="178.78"/>
    <n v="9654.119999999999"/>
    <n v="-742.4"/>
    <n v="0"/>
    <n v="1158.523015"/>
    <n v="10070.243015"/>
  </r>
  <r>
    <x v="13"/>
    <x v="5"/>
    <x v="2"/>
    <x v="0"/>
    <x v="58"/>
    <s v="KEPL/01162/82-83"/>
    <s v="SHUBHASHREE MARKETING"/>
    <x v="21"/>
    <n v="1"/>
    <n v="240"/>
    <n v="14.9"/>
    <n v="3576"/>
    <n v="-274.99"/>
    <n v="0"/>
    <n v="429.13108300000005"/>
    <n v="3730.141083"/>
  </r>
  <r>
    <x v="16"/>
    <x v="5"/>
    <x v="2"/>
    <x v="0"/>
    <x v="59"/>
    <s v="KEPL/01165/82-83"/>
    <s v="ARUNIMA TRADERS"/>
    <x v="35"/>
    <n v="1"/>
    <n v="60"/>
    <n v="145.26"/>
    <n v="8715.6"/>
    <n v="-670.23"/>
    <n v="0"/>
    <n v="1045.897825"/>
    <n v="9091.2678250000008"/>
  </r>
  <r>
    <x v="10"/>
    <x v="5"/>
    <x v="2"/>
    <x v="0"/>
    <x v="59"/>
    <s v="KEPL/01165/82-83"/>
    <s v="ARUNIMA TRADERS"/>
    <x v="49"/>
    <n v="2"/>
    <n v="30"/>
    <n v="260.72000000000003"/>
    <n v="7821.6"/>
    <n v="-601.48"/>
    <n v="0"/>
    <n v="938.61535299999991"/>
    <n v="8158.735353"/>
  </r>
  <r>
    <x v="7"/>
    <x v="5"/>
    <x v="2"/>
    <x v="0"/>
    <x v="59"/>
    <s v="KEPL/01165/82-83"/>
    <s v="ARUNIMA TRADERS"/>
    <x v="12"/>
    <n v="2"/>
    <n v="260"/>
    <n v="37.25"/>
    <n v="9685"/>
    <n v="-744.78"/>
    <n v="0"/>
    <n v="1162.2282950000001"/>
    <n v="10102.448295"/>
  </r>
  <r>
    <x v="0"/>
    <x v="5"/>
    <x v="2"/>
    <x v="0"/>
    <x v="59"/>
    <s v="KEPL/01165/82-83"/>
    <s v="ARUNIMA TRADERS"/>
    <x v="57"/>
    <n v="2"/>
    <n v="80"/>
    <n v="111.74"/>
    <n v="8939.2000000000007"/>
    <n v="-687.42"/>
    <n v="0"/>
    <n v="1072.7311179999999"/>
    <n v="9324.5111180000004"/>
  </r>
  <r>
    <x v="8"/>
    <x v="5"/>
    <x v="2"/>
    <x v="0"/>
    <x v="59"/>
    <s v="KEPL/01165/82-83"/>
    <s v="ARUNIMA TRADERS"/>
    <x v="13"/>
    <n v="1"/>
    <n v="24"/>
    <n v="141.53"/>
    <n v="3396.72"/>
    <n v="-261.20999999999998"/>
    <n v="0"/>
    <n v="407.61619300000001"/>
    <n v="3543.1261930000001"/>
  </r>
  <r>
    <x v="10"/>
    <x v="5"/>
    <x v="2"/>
    <x v="0"/>
    <x v="59"/>
    <s v="KEPL/01165/82-83"/>
    <s v="ARUNIMA TRADERS"/>
    <x v="45"/>
    <n v="2"/>
    <n v="30"/>
    <n v="260.72000000000003"/>
    <n v="7821.6"/>
    <n v="-601.48"/>
    <n v="0"/>
    <n v="938.61535299999991"/>
    <n v="8158.735353"/>
  </r>
  <r>
    <x v="3"/>
    <x v="5"/>
    <x v="2"/>
    <x v="0"/>
    <x v="59"/>
    <s v="KEPL/01165/82-83"/>
    <s v="ARUNIMA TRADERS"/>
    <x v="46"/>
    <n v="2"/>
    <n v="40"/>
    <n v="175.05"/>
    <n v="7001.9999999999991"/>
    <n v="-538.45000000000005"/>
    <n v="0"/>
    <n v="840.26127899999994"/>
    <n v="7303.8112789999996"/>
  </r>
  <r>
    <x v="7"/>
    <x v="5"/>
    <x v="2"/>
    <x v="0"/>
    <x v="59"/>
    <s v="KEPL/01165/82-83"/>
    <s v="ARUNIMA TRADERS"/>
    <x v="27"/>
    <n v="2"/>
    <n v="140"/>
    <n v="37.25"/>
    <n v="5215"/>
    <n v="-401.03"/>
    <n v="0"/>
    <n v="625.81593599999997"/>
    <n v="5439.7859360000002"/>
  </r>
  <r>
    <x v="11"/>
    <x v="5"/>
    <x v="2"/>
    <x v="0"/>
    <x v="59"/>
    <s v="KEPL/01165/82-83"/>
    <s v="ARUNIMA TRADERS"/>
    <x v="36"/>
    <n v="1"/>
    <n v="40"/>
    <n v="81.94"/>
    <n v="3277.6"/>
    <n v="-252.05"/>
    <n v="0"/>
    <n v="393.32139699999999"/>
    <n v="3418.8713969999999"/>
  </r>
  <r>
    <x v="20"/>
    <x v="5"/>
    <x v="2"/>
    <x v="0"/>
    <x v="59"/>
    <s v="KEPL/01165/82-83"/>
    <s v="ARUNIMA TRADERS"/>
    <x v="52"/>
    <n v="2"/>
    <n v="8"/>
    <n v="595.92999999999995"/>
    <n v="4767.4399999999996"/>
    <n v="-366.62"/>
    <n v="0"/>
    <n v="572.10645"/>
    <n v="4972.9264499999999"/>
  </r>
  <r>
    <x v="0"/>
    <x v="5"/>
    <x v="2"/>
    <x v="0"/>
    <x v="59"/>
    <s v="KEPL/01165/82-83"/>
    <s v="ARUNIMA TRADERS"/>
    <x v="0"/>
    <n v="2"/>
    <n v="80"/>
    <n v="111.74"/>
    <n v="8939.2000000000007"/>
    <n v="-687.42"/>
    <n v="0"/>
    <n v="1072.7311179999999"/>
    <n v="9324.5111180000004"/>
  </r>
  <r>
    <x v="17"/>
    <x v="5"/>
    <x v="2"/>
    <x v="0"/>
    <x v="59"/>
    <s v="KEPL/01165/82-83"/>
    <s v="ARUNIMA TRADERS"/>
    <x v="39"/>
    <n v="2"/>
    <n v="40"/>
    <n v="249.55"/>
    <n v="9982"/>
    <n v="-767.62"/>
    <n v="0"/>
    <n v="1197.869085"/>
    <n v="10412.249084999999"/>
  </r>
  <r>
    <x v="3"/>
    <x v="5"/>
    <x v="2"/>
    <x v="0"/>
    <x v="59"/>
    <s v="KEPL/01165/82-83"/>
    <s v="ARUNIMA TRADERS"/>
    <x v="55"/>
    <n v="2"/>
    <n v="40"/>
    <n v="175.05"/>
    <n v="7001.9999999999991"/>
    <n v="-538.45000000000005"/>
    <n v="0"/>
    <n v="840.26127899999994"/>
    <n v="7303.8112789999996"/>
  </r>
  <r>
    <x v="0"/>
    <x v="5"/>
    <x v="2"/>
    <x v="0"/>
    <x v="59"/>
    <s v="KEPL/01165/82-83"/>
    <s v="ARUNIMA TRADERS"/>
    <x v="47"/>
    <n v="2"/>
    <n v="80"/>
    <n v="111.74"/>
    <n v="8939.2000000000007"/>
    <n v="-687.42"/>
    <n v="0"/>
    <n v="1072.7311179999999"/>
    <n v="9324.5111180000004"/>
  </r>
  <r>
    <x v="3"/>
    <x v="5"/>
    <x v="2"/>
    <x v="0"/>
    <x v="59"/>
    <s v="KEPL/01165/82-83"/>
    <s v="ARUNIMA TRADERS"/>
    <x v="54"/>
    <n v="1"/>
    <n v="20"/>
    <n v="175.05"/>
    <n v="3500.9999999999995"/>
    <n v="-269.23"/>
    <n v="0"/>
    <n v="420.12998999999996"/>
    <n v="3651.8999899999999"/>
  </r>
  <r>
    <x v="8"/>
    <x v="5"/>
    <x v="2"/>
    <x v="0"/>
    <x v="59"/>
    <s v="KEPL/01165/82-83"/>
    <s v="ARUNIMA TRADERS"/>
    <x v="56"/>
    <n v="1"/>
    <n v="800"/>
    <n v="7.45"/>
    <n v="5960"/>
    <n v="-458.32"/>
    <n v="0"/>
    <n v="715.21821199999999"/>
    <n v="6216.8982120000001"/>
  </r>
  <r>
    <x v="8"/>
    <x v="5"/>
    <x v="2"/>
    <x v="0"/>
    <x v="60"/>
    <s v="KEPL/01177/82-83"/>
    <s v="RAJU KIRANA PASAL"/>
    <x v="56"/>
    <n v="2"/>
    <n v="1600"/>
    <n v="7.45"/>
    <n v="11920"/>
    <n v="-916.65"/>
    <n v="0"/>
    <n v="1430.4352769999998"/>
    <n v="12433.785277000001"/>
  </r>
  <r>
    <x v="16"/>
    <x v="5"/>
    <x v="2"/>
    <x v="0"/>
    <x v="60"/>
    <s v="KEPL/01177/82-83"/>
    <s v="RAJU KIRANA PASAL"/>
    <x v="35"/>
    <n v="2"/>
    <n v="120"/>
    <n v="145.26"/>
    <n v="17431.2"/>
    <n v="-1340.46"/>
    <n v="0"/>
    <n v="2091.7958739999999"/>
    <n v="18182.535874000001"/>
  </r>
  <r>
    <x v="8"/>
    <x v="5"/>
    <x v="2"/>
    <x v="0"/>
    <x v="60"/>
    <s v="KEPL/01177/82-83"/>
    <s v="RAJU KIRANA PASAL"/>
    <x v="41"/>
    <n v="0.5"/>
    <n v="20"/>
    <n v="67.040000000000006"/>
    <n v="1340.8"/>
    <n v="-103.11"/>
    <n v="0"/>
    <n v="160.89967499999997"/>
    <n v="1398.5896749999999"/>
  </r>
  <r>
    <x v="8"/>
    <x v="5"/>
    <x v="2"/>
    <x v="0"/>
    <x v="60"/>
    <s v="KEPL/01177/82-83"/>
    <s v="RAJU KIRANA PASAL"/>
    <x v="33"/>
    <n v="0.5"/>
    <n v="20"/>
    <n v="67.040000000000006"/>
    <n v="1340.8"/>
    <n v="-103.11"/>
    <n v="0"/>
    <n v="160.89967499999997"/>
    <n v="1398.5896749999999"/>
  </r>
  <r>
    <x v="8"/>
    <x v="5"/>
    <x v="2"/>
    <x v="0"/>
    <x v="60"/>
    <s v="KEPL/01177/82-83"/>
    <s v="RAJU KIRANA PASAL"/>
    <x v="34"/>
    <n v="0.5"/>
    <n v="20"/>
    <n v="67.040000000000006"/>
    <n v="1340.8"/>
    <n v="-103.11"/>
    <n v="0"/>
    <n v="160.89967499999997"/>
    <n v="1398.5896749999999"/>
  </r>
  <r>
    <x v="17"/>
    <x v="5"/>
    <x v="2"/>
    <x v="0"/>
    <x v="60"/>
    <s v="KEPL/01177/82-83"/>
    <s v="RAJU KIRANA PASAL"/>
    <x v="39"/>
    <n v="1"/>
    <n v="20"/>
    <n v="249.55"/>
    <n v="4991"/>
    <n v="-383.81"/>
    <n v="0"/>
    <n v="598.93460700000003"/>
    <n v="5206.1246069999997"/>
  </r>
  <r>
    <x v="0"/>
    <x v="5"/>
    <x v="2"/>
    <x v="0"/>
    <x v="60"/>
    <s v="KEPL/01177/82-83"/>
    <s v="RAJU KIRANA PASAL"/>
    <x v="57"/>
    <n v="5"/>
    <n v="200"/>
    <n v="111.74"/>
    <n v="22348"/>
    <n v="-1718.56"/>
    <n v="0"/>
    <n v="2681.8267819999996"/>
    <n v="23311.266781999999"/>
  </r>
  <r>
    <x v="10"/>
    <x v="5"/>
    <x v="2"/>
    <x v="0"/>
    <x v="60"/>
    <s v="KEPL/01177/82-83"/>
    <s v="RAJU KIRANA PASAL"/>
    <x v="45"/>
    <n v="1"/>
    <n v="15"/>
    <n v="260.72000000000003"/>
    <n v="3910.8"/>
    <n v="-300.74"/>
    <n v="0"/>
    <n v="469.307727"/>
    <n v="4079.3677269999998"/>
  </r>
  <r>
    <x v="7"/>
    <x v="5"/>
    <x v="2"/>
    <x v="0"/>
    <x v="60"/>
    <s v="KEPL/01177/82-83"/>
    <s v="RAJU KIRANA PASAL"/>
    <x v="27"/>
    <n v="5"/>
    <n v="350"/>
    <n v="37.25"/>
    <n v="13037.5"/>
    <n v="-1002.58"/>
    <n v="0"/>
    <n v="1564.539356"/>
    <n v="13599.459355999999"/>
  </r>
  <r>
    <x v="3"/>
    <x v="5"/>
    <x v="2"/>
    <x v="0"/>
    <x v="60"/>
    <s v="KEPL/01177/82-83"/>
    <s v="RAJU KIRANA PASAL"/>
    <x v="46"/>
    <n v="2"/>
    <n v="40"/>
    <n v="175.06"/>
    <n v="7002.4"/>
    <n v="-538.48"/>
    <n v="0"/>
    <n v="840.30946899999992"/>
    <n v="7304.2294689999999"/>
  </r>
  <r>
    <x v="7"/>
    <x v="5"/>
    <x v="2"/>
    <x v="0"/>
    <x v="60"/>
    <s v="KEPL/01177/82-83"/>
    <s v="RAJU KIRANA PASAL"/>
    <x v="12"/>
    <n v="1"/>
    <n v="130"/>
    <n v="37.25"/>
    <n v="4842.5"/>
    <n v="-372.39"/>
    <n v="0"/>
    <n v="581.11420899999996"/>
    <n v="5051.224209"/>
  </r>
  <r>
    <x v="3"/>
    <x v="5"/>
    <x v="2"/>
    <x v="0"/>
    <x v="60"/>
    <s v="KEPL/01177/82-83"/>
    <s v="RAJU KIRANA PASAL"/>
    <x v="55"/>
    <n v="2"/>
    <n v="40"/>
    <n v="175.06"/>
    <n v="7002.4"/>
    <n v="-538.48"/>
    <n v="0"/>
    <n v="840.30946899999992"/>
    <n v="7304.2294689999999"/>
  </r>
  <r>
    <x v="0"/>
    <x v="5"/>
    <x v="2"/>
    <x v="0"/>
    <x v="60"/>
    <s v="KEPL/01177/82-83"/>
    <s v="RAJU KIRANA PASAL"/>
    <x v="47"/>
    <n v="5"/>
    <n v="200"/>
    <n v="111.74"/>
    <n v="22348"/>
    <n v="-1718.56"/>
    <n v="0"/>
    <n v="2681.8267819999996"/>
    <n v="23311.266781999999"/>
  </r>
  <r>
    <x v="10"/>
    <x v="5"/>
    <x v="2"/>
    <x v="0"/>
    <x v="60"/>
    <s v="KEPL/01177/82-83"/>
    <s v="RAJU KIRANA PASAL"/>
    <x v="49"/>
    <n v="2"/>
    <n v="30"/>
    <n v="260.72000000000003"/>
    <n v="7821.6"/>
    <n v="-601.48"/>
    <n v="0"/>
    <n v="938.615454"/>
    <n v="8158.7354539999997"/>
  </r>
  <r>
    <x v="0"/>
    <x v="5"/>
    <x v="2"/>
    <x v="0"/>
    <x v="60"/>
    <s v="KEPL/01177/82-83"/>
    <s v="RAJU KIRANA PASAL"/>
    <x v="0"/>
    <n v="2"/>
    <n v="80"/>
    <n v="111.74"/>
    <n v="8939.2000000000007"/>
    <n v="-687.42"/>
    <n v="0"/>
    <n v="1072.731233"/>
    <n v="9324.5112329999993"/>
  </r>
  <r>
    <x v="3"/>
    <x v="5"/>
    <x v="2"/>
    <x v="0"/>
    <x v="60"/>
    <s v="KEPL/01177/82-83"/>
    <s v="RAJU KIRANA PASAL"/>
    <x v="54"/>
    <n v="1"/>
    <n v="20"/>
    <n v="175.06"/>
    <n v="3501.2"/>
    <n v="-269.24"/>
    <n v="0"/>
    <n v="420.15473500000002"/>
    <n v="3652.1147350000001"/>
  </r>
  <r>
    <x v="8"/>
    <x v="5"/>
    <x v="2"/>
    <x v="0"/>
    <x v="60"/>
    <s v="KEPL/01178/82-83"/>
    <s v="NAWA ATITHI STORES"/>
    <x v="13"/>
    <n v="2"/>
    <n v="48"/>
    <n v="141.54"/>
    <n v="6793.92"/>
    <n v="-522.45000000000005"/>
    <n v="0"/>
    <n v="815.29149900000004"/>
    <n v="7086.7614990000002"/>
  </r>
  <r>
    <x v="20"/>
    <x v="5"/>
    <x v="2"/>
    <x v="0"/>
    <x v="60"/>
    <s v="KEPL/01178/82-83"/>
    <s v="NAWA ATITHI STORES"/>
    <x v="52"/>
    <n v="5"/>
    <n v="20"/>
    <n v="595.92999999999995"/>
    <n v="11918.6"/>
    <n v="-916.54"/>
    <n v="0"/>
    <n v="1430.268501"/>
    <n v="12432.328501"/>
  </r>
  <r>
    <x v="3"/>
    <x v="5"/>
    <x v="2"/>
    <x v="0"/>
    <x v="60"/>
    <s v="KEPL/01179/82-83"/>
    <s v="MEGA MART PVT.LTD"/>
    <x v="55"/>
    <n v="33"/>
    <n v="660"/>
    <n v="155.97"/>
    <n v="102940.2"/>
    <n v="0"/>
    <n v="0"/>
    <n v="13382.227031"/>
    <n v="116322.427031"/>
  </r>
  <r>
    <x v="3"/>
    <x v="5"/>
    <x v="2"/>
    <x v="0"/>
    <x v="60"/>
    <s v="KEPL/01179/82-83"/>
    <s v="MEGA MART PVT.LTD"/>
    <x v="46"/>
    <n v="31"/>
    <n v="620"/>
    <n v="155.97"/>
    <n v="96701.4"/>
    <n v="0"/>
    <n v="0"/>
    <n v="12571.182969000001"/>
    <n v="109272.582969"/>
  </r>
  <r>
    <x v="11"/>
    <x v="5"/>
    <x v="2"/>
    <x v="0"/>
    <x v="60"/>
    <s v="KEPL/01180/82-83"/>
    <s v="KRISHMA ENTERPRISES"/>
    <x v="36"/>
    <n v="2"/>
    <n v="80"/>
    <n v="81.94"/>
    <n v="6555.2"/>
    <n v="-504.09"/>
    <n v="0"/>
    <n v="786.6442209999999"/>
    <n v="6837.7542210000001"/>
  </r>
  <r>
    <x v="1"/>
    <x v="5"/>
    <x v="2"/>
    <x v="0"/>
    <x v="60"/>
    <s v="KEPL/01180/82-83"/>
    <s v="KRISHMA ENTERPRISES"/>
    <x v="2"/>
    <n v="10"/>
    <n v="180"/>
    <n v="178.78"/>
    <n v="32180.400000000001"/>
    <n v="-2474.6699999999996"/>
    <n v="0"/>
    <n v="3861.7445130000001"/>
    <n v="33567.474513000001"/>
  </r>
  <r>
    <x v="1"/>
    <x v="5"/>
    <x v="2"/>
    <x v="0"/>
    <x v="60"/>
    <s v="KEPL/01180/82-83"/>
    <s v="KRISHMA ENTERPRISES"/>
    <x v="26"/>
    <n v="10"/>
    <n v="180"/>
    <n v="178.78"/>
    <n v="32180.400000000001"/>
    <n v="-2474.6699999999996"/>
    <n v="0"/>
    <n v="3861.7445130000001"/>
    <n v="33567.474513000001"/>
  </r>
  <r>
    <x v="1"/>
    <x v="5"/>
    <x v="2"/>
    <x v="0"/>
    <x v="60"/>
    <s v="KEPL/01180/82-83"/>
    <s v="KRISHMA ENTERPRISES"/>
    <x v="24"/>
    <n v="40"/>
    <n v="720"/>
    <n v="178.78"/>
    <n v="128721.60000000001"/>
    <n v="-9898.6899999999987"/>
    <n v="0"/>
    <n v="15446.976752999999"/>
    <n v="134269.886753"/>
  </r>
  <r>
    <x v="17"/>
    <x v="5"/>
    <x v="2"/>
    <x v="0"/>
    <x v="60"/>
    <s v="KEPL/01182/82-83"/>
    <s v="GORIN TRADING "/>
    <x v="39"/>
    <n v="2"/>
    <n v="40"/>
    <n v="249.55"/>
    <n v="9982"/>
    <n v="-767.62"/>
    <n v="0"/>
    <n v="1197.8698650000001"/>
    <n v="10412.249865"/>
  </r>
  <r>
    <x v="3"/>
    <x v="5"/>
    <x v="2"/>
    <x v="0"/>
    <x v="60"/>
    <s v="KEPL/01182/82-83"/>
    <s v="GORIN TRADING "/>
    <x v="54"/>
    <n v="1"/>
    <n v="20"/>
    <n v="175.06"/>
    <n v="3501.2"/>
    <n v="-269.24"/>
    <n v="0"/>
    <n v="420.15496300000001"/>
    <n v="3652.114963"/>
  </r>
  <r>
    <x v="8"/>
    <x v="5"/>
    <x v="2"/>
    <x v="0"/>
    <x v="60"/>
    <s v="KEPL/01182/82-83"/>
    <s v="GORIN TRADING "/>
    <x v="13"/>
    <n v="2"/>
    <n v="48"/>
    <n v="141.54"/>
    <n v="6793.92"/>
    <n v="-522.45000000000005"/>
    <n v="0"/>
    <n v="815.29141699999991"/>
    <n v="7086.7614169999997"/>
  </r>
  <r>
    <x v="6"/>
    <x v="5"/>
    <x v="2"/>
    <x v="0"/>
    <x v="60"/>
    <s v="KEPL/01182/82-83"/>
    <s v="GORIN TRADING "/>
    <x v="28"/>
    <n v="1"/>
    <n v="20"/>
    <n v="204.85"/>
    <n v="4097"/>
    <n v="-315.06"/>
    <n v="0"/>
    <n v="491.65239099999997"/>
    <n v="4273.5923910000001"/>
  </r>
  <r>
    <x v="3"/>
    <x v="5"/>
    <x v="2"/>
    <x v="0"/>
    <x v="60"/>
    <s v="KEPL/01182/82-83"/>
    <s v="GORIN TRADING "/>
    <x v="46"/>
    <n v="2"/>
    <n v="40"/>
    <n v="175.06"/>
    <n v="7002.4"/>
    <n v="-538.48"/>
    <n v="0"/>
    <n v="840.30992600000002"/>
    <n v="7304.229926"/>
  </r>
  <r>
    <x v="6"/>
    <x v="5"/>
    <x v="2"/>
    <x v="0"/>
    <x v="60"/>
    <s v="KEPL/01182/82-83"/>
    <s v="GORIN TRADING "/>
    <x v="30"/>
    <n v="1"/>
    <n v="20"/>
    <n v="242.1"/>
    <n v="4841.9999999999991"/>
    <n v="-372.35"/>
    <n v="0"/>
    <n v="581.05472599999996"/>
    <n v="5050.7047259999999"/>
  </r>
  <r>
    <x v="20"/>
    <x v="5"/>
    <x v="2"/>
    <x v="0"/>
    <x v="60"/>
    <s v="KEPL/01182/82-83"/>
    <s v="GORIN TRADING "/>
    <x v="52"/>
    <n v="10"/>
    <n v="40"/>
    <n v="595.92999999999995"/>
    <n v="23837.200000000001"/>
    <n v="-1833.08"/>
    <n v="0"/>
    <n v="2860.5367109999997"/>
    <n v="24864.656711"/>
  </r>
  <r>
    <x v="11"/>
    <x v="5"/>
    <x v="2"/>
    <x v="0"/>
    <x v="60"/>
    <s v="KEPL/01186/82-83"/>
    <s v="SHUBHASHREE MARKETING"/>
    <x v="53"/>
    <n v="2"/>
    <n v="80"/>
    <n v="81.94"/>
    <n v="6555.2"/>
    <n v="-504.09"/>
    <n v="0"/>
    <n v="786.644452"/>
    <n v="6837.7544520000001"/>
  </r>
  <r>
    <x v="3"/>
    <x v="5"/>
    <x v="2"/>
    <x v="0"/>
    <x v="60"/>
    <s v="KEPL/01186/82-83"/>
    <s v="SHUBHASHREE MARKETING"/>
    <x v="55"/>
    <n v="2"/>
    <n v="40"/>
    <n v="175.06"/>
    <n v="7002.4"/>
    <n v="-538.48"/>
    <n v="0"/>
    <n v="840.30976199999998"/>
    <n v="7304.2297619999999"/>
  </r>
  <r>
    <x v="0"/>
    <x v="5"/>
    <x v="2"/>
    <x v="0"/>
    <x v="60"/>
    <s v="KEPL/01186/82-83"/>
    <s v="SHUBHASHREE MARKETING"/>
    <x v="47"/>
    <n v="3"/>
    <n v="120"/>
    <n v="111.74"/>
    <n v="13408.8"/>
    <n v="-1031.1400000000001"/>
    <n v="0"/>
    <n v="1609.0961109999998"/>
    <n v="13986.756111000001"/>
  </r>
  <r>
    <x v="17"/>
    <x v="5"/>
    <x v="2"/>
    <x v="0"/>
    <x v="60"/>
    <s v="KEPL/01186/82-83"/>
    <s v="SHUBHASHREE MARKETING"/>
    <x v="39"/>
    <n v="6"/>
    <n v="120"/>
    <n v="249.55"/>
    <n v="29946"/>
    <n v="-2302.85"/>
    <n v="0"/>
    <n v="3593.6101939999999"/>
    <n v="31236.760193999999"/>
  </r>
  <r>
    <x v="0"/>
    <x v="5"/>
    <x v="2"/>
    <x v="0"/>
    <x v="60"/>
    <s v="KEPL/01186/82-83"/>
    <s v="SHUBHASHREE MARKETING"/>
    <x v="57"/>
    <n v="2"/>
    <n v="80"/>
    <n v="111.74"/>
    <n v="8939.2000000000007"/>
    <n v="-687.42"/>
    <n v="0"/>
    <n v="1072.7316069999999"/>
    <n v="9324.5116070000004"/>
  </r>
  <r>
    <x v="10"/>
    <x v="5"/>
    <x v="2"/>
    <x v="0"/>
    <x v="60"/>
    <s v="KEPL/01186/82-83"/>
    <s v="SHUBHASHREE MARKETING"/>
    <x v="45"/>
    <n v="1"/>
    <n v="15"/>
    <n v="260.72000000000003"/>
    <n v="3910.8"/>
    <n v="-300.74"/>
    <n v="0"/>
    <n v="469.30789099999998"/>
    <n v="4079.3678909999999"/>
  </r>
  <r>
    <x v="3"/>
    <x v="5"/>
    <x v="2"/>
    <x v="0"/>
    <x v="60"/>
    <s v="KEPL/01186/82-83"/>
    <s v="SHUBHASHREE MARKETING"/>
    <x v="46"/>
    <n v="3"/>
    <n v="60"/>
    <n v="175.06"/>
    <n v="10503.6"/>
    <n v="-807.7299999999999"/>
    <n v="0"/>
    <n v="1260.4633429999999"/>
    <n v="10956.333343"/>
  </r>
  <r>
    <x v="13"/>
    <x v="5"/>
    <x v="2"/>
    <x v="0"/>
    <x v="60"/>
    <s v="KEPL/01186/82-83"/>
    <s v="SHUBHASHREE MARKETING"/>
    <x v="50"/>
    <n v="1"/>
    <n v="240"/>
    <n v="14.9"/>
    <n v="3576"/>
    <n v="-274.99"/>
    <n v="0"/>
    <n v="429.13138299999997"/>
    <n v="3730.1413830000001"/>
  </r>
  <r>
    <x v="0"/>
    <x v="5"/>
    <x v="2"/>
    <x v="0"/>
    <x v="60"/>
    <s v="KEPL/01186/82-83"/>
    <s v="SHUBHASHREE MARKETING"/>
    <x v="0"/>
    <n v="1"/>
    <n v="40"/>
    <n v="111.74"/>
    <n v="4469.6000000000004"/>
    <n v="-343.71"/>
    <n v="0"/>
    <n v="536.36580400000003"/>
    <n v="4662.2558040000004"/>
  </r>
  <r>
    <x v="10"/>
    <x v="5"/>
    <x v="2"/>
    <x v="0"/>
    <x v="60"/>
    <s v="KEPL/01186/82-83"/>
    <s v="SHUBHASHREE MARKETING"/>
    <x v="49"/>
    <n v="5"/>
    <n v="75"/>
    <n v="260.72000000000003"/>
    <n v="19554"/>
    <n v="-1503.6999999999998"/>
    <n v="0"/>
    <n v="2346.5394529999999"/>
    <n v="20396.839453000001"/>
  </r>
  <r>
    <x v="12"/>
    <x v="5"/>
    <x v="2"/>
    <x v="0"/>
    <x v="61"/>
    <s v="KEPL/01200/82-83"/>
    <s v="NEW MATA RANI SUPPLIERS"/>
    <x v="60"/>
    <n v="5"/>
    <n v="5000"/>
    <n v="1.86"/>
    <n v="9300"/>
    <n v="-715.17"/>
    <n v="0"/>
    <n v="1116.03"/>
    <n v="9700.86"/>
  </r>
  <r>
    <x v="3"/>
    <x v="5"/>
    <x v="2"/>
    <x v="0"/>
    <x v="61"/>
    <s v="KEPL/01201/82-83"/>
    <s v="R.P DISTRIBUTOR TRADE CENTER"/>
    <x v="46"/>
    <n v="3"/>
    <n v="60"/>
    <n v="175.06"/>
    <n v="10503.6"/>
    <n v="-807.7299999999999"/>
    <n v="0"/>
    <n v="1260.462949"/>
    <n v="10956.332949"/>
  </r>
  <r>
    <x v="10"/>
    <x v="5"/>
    <x v="2"/>
    <x v="0"/>
    <x v="61"/>
    <s v="KEPL/01201/82-83"/>
    <s v="R.P DISTRIBUTOR TRADE CENTER"/>
    <x v="49"/>
    <n v="3"/>
    <n v="45"/>
    <n v="260.72000000000003"/>
    <n v="11732.4"/>
    <n v="-902.22"/>
    <n v="0"/>
    <n v="1407.9232319999999"/>
    <n v="12238.103231999999"/>
  </r>
  <r>
    <x v="0"/>
    <x v="5"/>
    <x v="2"/>
    <x v="0"/>
    <x v="61"/>
    <s v="KEPL/01201/82-83"/>
    <s v="R.P DISTRIBUTOR TRADE CENTER"/>
    <x v="47"/>
    <n v="5"/>
    <n v="200"/>
    <n v="111.74"/>
    <n v="22348"/>
    <n v="-1718.56"/>
    <n v="0"/>
    <n v="2681.8268799999996"/>
    <n v="23311.266879999999"/>
  </r>
  <r>
    <x v="7"/>
    <x v="5"/>
    <x v="2"/>
    <x v="0"/>
    <x v="61"/>
    <s v="KEPL/01201/82-83"/>
    <s v="R.P DISTRIBUTOR TRADE CENTER"/>
    <x v="27"/>
    <n v="15"/>
    <n v="1050"/>
    <n v="37.25"/>
    <n v="39112.5"/>
    <n v="-3007.75"/>
    <n v="0"/>
    <n v="4693.6169389999995"/>
    <n v="40798.366939"/>
  </r>
  <r>
    <x v="8"/>
    <x v="5"/>
    <x v="2"/>
    <x v="0"/>
    <x v="61"/>
    <s v="KEPL/01202/82-83"/>
    <s v="GORIN TRADING "/>
    <x v="13"/>
    <n v="1"/>
    <n v="24"/>
    <n v="141.54"/>
    <n v="3396.96"/>
    <n v="-261.23"/>
    <n v="0"/>
    <n v="407.64370199999996"/>
    <n v="3543.3737019999999"/>
  </r>
  <r>
    <x v="8"/>
    <x v="5"/>
    <x v="2"/>
    <x v="0"/>
    <x v="61"/>
    <s v="KEPL/01202/82-83"/>
    <s v="GORIN TRADING "/>
    <x v="56"/>
    <n v="1"/>
    <n v="800"/>
    <n v="7.45"/>
    <n v="5960"/>
    <n v="-458.32"/>
    <n v="0"/>
    <n v="715.21629799999994"/>
    <n v="6216.8962979999997"/>
  </r>
  <r>
    <x v="17"/>
    <x v="5"/>
    <x v="2"/>
    <x v="0"/>
    <x v="61"/>
    <s v="KEPL/01203/82-83"/>
    <s v="AASHI TRADERS"/>
    <x v="39"/>
    <n v="2"/>
    <n v="40"/>
    <n v="249.55"/>
    <n v="9982"/>
    <n v="-767.62"/>
    <n v="0"/>
    <n v="1197.8697279999999"/>
    <n v="10412.249728000001"/>
  </r>
  <r>
    <x v="8"/>
    <x v="5"/>
    <x v="2"/>
    <x v="0"/>
    <x v="61"/>
    <s v="KEPL/01203/82-83"/>
    <s v="AASHI TRADERS"/>
    <x v="13"/>
    <n v="5"/>
    <n v="120"/>
    <n v="141.54"/>
    <n v="16984.8"/>
    <n v="-1306.1299999999999"/>
    <n v="0"/>
    <n v="2038.227658"/>
    <n v="17716.897658000002"/>
  </r>
  <r>
    <x v="6"/>
    <x v="5"/>
    <x v="2"/>
    <x v="0"/>
    <x v="61"/>
    <s v="KEPL/01203/82-83"/>
    <s v="AASHI TRADERS"/>
    <x v="28"/>
    <n v="2"/>
    <n v="40"/>
    <n v="204.85"/>
    <n v="8194"/>
    <n v="-630.12"/>
    <n v="0"/>
    <n v="983.30466899999999"/>
    <n v="8547.1846690000002"/>
  </r>
  <r>
    <x v="6"/>
    <x v="5"/>
    <x v="2"/>
    <x v="0"/>
    <x v="61"/>
    <s v="KEPL/01203/82-83"/>
    <s v="AASHI TRADERS"/>
    <x v="48"/>
    <n v="2"/>
    <n v="40"/>
    <n v="204.85"/>
    <n v="8194"/>
    <n v="-630.12"/>
    <n v="0"/>
    <n v="983.30466899999999"/>
    <n v="8547.1846690000002"/>
  </r>
  <r>
    <x v="3"/>
    <x v="5"/>
    <x v="2"/>
    <x v="0"/>
    <x v="61"/>
    <s v="KEPL/01203/82-83"/>
    <s v="AASHI TRADERS"/>
    <x v="55"/>
    <n v="5"/>
    <n v="100"/>
    <n v="175.06"/>
    <n v="17506"/>
    <n v="-1346.21"/>
    <n v="0"/>
    <n v="2100.773275"/>
    <n v="18260.563275"/>
  </r>
  <r>
    <x v="20"/>
    <x v="5"/>
    <x v="2"/>
    <x v="0"/>
    <x v="62"/>
    <s v="KEPL/01210/82-83"/>
    <s v="MALIKA DISTRIBUTORS NEPAL PVT LTD."/>
    <x v="52"/>
    <n v="20"/>
    <n v="80"/>
    <n v="595.92999999999995"/>
    <n v="47674.400000000001"/>
    <n v="-3666.16"/>
    <n v="0"/>
    <n v="5721.0700000000006"/>
    <n v="49729.31"/>
  </r>
  <r>
    <x v="11"/>
    <x v="5"/>
    <x v="2"/>
    <x v="0"/>
    <x v="62"/>
    <s v="KEPL/01212/82-83"/>
    <s v="SIMPEX SOLUTION PVT. LTD"/>
    <x v="36"/>
    <n v="0.5"/>
    <n v="20"/>
    <n v="77.88"/>
    <n v="1557.6"/>
    <n v="0"/>
    <n v="0"/>
    <n v="202.488123"/>
    <n v="1760.088123"/>
  </r>
  <r>
    <x v="0"/>
    <x v="5"/>
    <x v="2"/>
    <x v="0"/>
    <x v="62"/>
    <s v="KEPL/01212/82-83"/>
    <s v="SIMPEX SOLUTION PVT. LTD"/>
    <x v="57"/>
    <n v="0.5"/>
    <n v="20"/>
    <n v="106.19"/>
    <n v="2123.8000000000002"/>
    <n v="0"/>
    <n v="0"/>
    <n v="276.09416800000002"/>
    <n v="2399.8941679999998"/>
  </r>
  <r>
    <x v="15"/>
    <x v="5"/>
    <x v="2"/>
    <x v="0"/>
    <x v="62"/>
    <s v="KEPL/01212/82-83"/>
    <s v="SIMPEX SOLUTION PVT. LTD"/>
    <x v="32"/>
    <n v="0.5"/>
    <n v="30"/>
    <n v="106.19"/>
    <n v="3185.7"/>
    <n v="0"/>
    <n v="0"/>
    <n v="414.14125100000001"/>
    <n v="3599.8412509999998"/>
  </r>
  <r>
    <x v="0"/>
    <x v="5"/>
    <x v="2"/>
    <x v="0"/>
    <x v="62"/>
    <s v="KEPL/01212/82-83"/>
    <s v="SIMPEX SOLUTION PVT. LTD"/>
    <x v="47"/>
    <n v="0.5"/>
    <n v="20"/>
    <n v="106.19"/>
    <n v="2123.8000000000002"/>
    <n v="0"/>
    <n v="0"/>
    <n v="276.09416800000002"/>
    <n v="2399.8941679999998"/>
  </r>
  <r>
    <x v="11"/>
    <x v="5"/>
    <x v="2"/>
    <x v="0"/>
    <x v="62"/>
    <s v="KEPL/01212/82-83"/>
    <s v="SIMPEX SOLUTION PVT. LTD"/>
    <x v="53"/>
    <n v="0.5"/>
    <n v="20"/>
    <n v="77.88"/>
    <n v="1557.6"/>
    <n v="0"/>
    <n v="0"/>
    <n v="202.488123"/>
    <n v="1760.088123"/>
  </r>
  <r>
    <x v="0"/>
    <x v="5"/>
    <x v="2"/>
    <x v="0"/>
    <x v="62"/>
    <s v="KEPL/01212/82-83"/>
    <s v="SIMPEX SOLUTION PVT. LTD"/>
    <x v="58"/>
    <n v="0.5"/>
    <n v="20"/>
    <n v="106.19"/>
    <n v="2123.8000000000002"/>
    <n v="0"/>
    <n v="0"/>
    <n v="276.09416800000002"/>
    <n v="2399.8941679999998"/>
  </r>
  <r>
    <x v="3"/>
    <x v="5"/>
    <x v="2"/>
    <x v="0"/>
    <x v="63"/>
    <s v="KEPL/01229/82-83"/>
    <s v="BEERA BARJEE INTERNATIONAL PVT.LTD"/>
    <x v="46"/>
    <n v="2"/>
    <n v="40"/>
    <n v="175.06"/>
    <n v="7002.4"/>
    <n v="-538.48"/>
    <n v="0"/>
    <n v="840.30977699999994"/>
    <n v="7304.2297769999996"/>
  </r>
  <r>
    <x v="11"/>
    <x v="5"/>
    <x v="2"/>
    <x v="0"/>
    <x v="63"/>
    <s v="KEPL/01229/82-83"/>
    <s v="BEERA BARJEE INTERNATIONAL PVT.LTD"/>
    <x v="36"/>
    <n v="2"/>
    <n v="80"/>
    <n v="81.94"/>
    <n v="6555.2"/>
    <n v="-504.09"/>
    <n v="0"/>
    <n v="786.64446600000008"/>
    <n v="6837.7544660000003"/>
  </r>
  <r>
    <x v="14"/>
    <x v="5"/>
    <x v="2"/>
    <x v="0"/>
    <x v="63"/>
    <s v="KEPL/01229/82-83"/>
    <s v="BEERA BARJEE INTERNATIONAL PVT.LTD"/>
    <x v="31"/>
    <n v="1"/>
    <n v="60"/>
    <n v="111.74"/>
    <n v="6704.4"/>
    <n v="-515.57000000000005"/>
    <n v="0"/>
    <n v="804.54806999999994"/>
    <n v="6993.3780699999998"/>
  </r>
  <r>
    <x v="15"/>
    <x v="5"/>
    <x v="2"/>
    <x v="0"/>
    <x v="63"/>
    <s v="KEPL/01229/82-83"/>
    <s v="BEERA BARJEE INTERNATIONAL PVT.LTD"/>
    <x v="32"/>
    <n v="1"/>
    <n v="60"/>
    <n v="111.74"/>
    <n v="6704.4"/>
    <n v="-515.57000000000005"/>
    <n v="0"/>
    <n v="804.54806999999994"/>
    <n v="6993.3780699999998"/>
  </r>
  <r>
    <x v="3"/>
    <x v="5"/>
    <x v="2"/>
    <x v="0"/>
    <x v="63"/>
    <s v="KEPL/01229/82-83"/>
    <s v="BEERA BARJEE INTERNATIONAL PVT.LTD"/>
    <x v="55"/>
    <n v="2"/>
    <n v="40"/>
    <n v="175.06"/>
    <n v="7002.4"/>
    <n v="-538.48"/>
    <n v="0"/>
    <n v="840.30977699999994"/>
    <n v="7304.2297769999996"/>
  </r>
  <r>
    <x v="6"/>
    <x v="5"/>
    <x v="2"/>
    <x v="0"/>
    <x v="63"/>
    <s v="KEPL/01229/82-83"/>
    <s v="BEERA BARJEE INTERNATIONAL PVT.LTD"/>
    <x v="29"/>
    <n v="1"/>
    <n v="20"/>
    <n v="204.85"/>
    <n v="4097"/>
    <n v="-315.06"/>
    <n v="0"/>
    <n v="491.65230400000002"/>
    <n v="4273.5923039999998"/>
  </r>
  <r>
    <x v="9"/>
    <x v="5"/>
    <x v="2"/>
    <x v="0"/>
    <x v="63"/>
    <s v="KEPL/01229/82-83"/>
    <s v="BEERA BARJEE INTERNATIONAL PVT.LTD"/>
    <x v="22"/>
    <n v="3"/>
    <n v="72"/>
    <n v="204.85"/>
    <n v="14749.199999999999"/>
    <n v="-1134.21"/>
    <n v="0"/>
    <n v="1769.9490730000002"/>
    <n v="15384.939073"/>
  </r>
  <r>
    <x v="9"/>
    <x v="5"/>
    <x v="2"/>
    <x v="0"/>
    <x v="63"/>
    <s v="KEPL/01229/82-83"/>
    <s v="BEERA BARJEE INTERNATIONAL PVT.LTD"/>
    <x v="44"/>
    <n v="1"/>
    <n v="24"/>
    <n v="186.23"/>
    <n v="4469.45"/>
    <n v="-343.7"/>
    <n v="0"/>
    <n v="536.34761300000002"/>
    <n v="4662.0976129999999"/>
  </r>
  <r>
    <x v="6"/>
    <x v="5"/>
    <x v="2"/>
    <x v="0"/>
    <x v="63"/>
    <s v="KEPL/01229/82-83"/>
    <s v="BEERA BARJEE INTERNATIONAL PVT.LTD"/>
    <x v="28"/>
    <n v="1"/>
    <n v="20"/>
    <n v="204.85"/>
    <n v="4097"/>
    <n v="-315.06"/>
    <n v="0"/>
    <n v="491.65230400000002"/>
    <n v="4273.5923039999998"/>
  </r>
  <r>
    <x v="8"/>
    <x v="5"/>
    <x v="2"/>
    <x v="0"/>
    <x v="63"/>
    <s v="KEPL/01229/82-83"/>
    <s v="BEERA BARJEE INTERNATIONAL PVT.LTD"/>
    <x v="13"/>
    <n v="3"/>
    <n v="72"/>
    <n v="141.54"/>
    <n v="10190.879999999999"/>
    <n v="-783.68"/>
    <n v="0"/>
    <n v="1222.9362580000002"/>
    <n v="10630.136258"/>
  </r>
  <r>
    <x v="13"/>
    <x v="5"/>
    <x v="2"/>
    <x v="0"/>
    <x v="63"/>
    <s v="KEPL/01229/82-83"/>
    <s v="BEERA BARJEE INTERNATIONAL PVT.LTD"/>
    <x v="21"/>
    <n v="1"/>
    <n v="240"/>
    <n v="14.9"/>
    <n v="3576"/>
    <n v="-274.99"/>
    <n v="0"/>
    <n v="429.13139100000001"/>
    <n v="3730.1413910000001"/>
  </r>
  <r>
    <x v="3"/>
    <x v="5"/>
    <x v="2"/>
    <x v="0"/>
    <x v="63"/>
    <s v="KEPL/01229/82-83"/>
    <s v="BEERA BARJEE INTERNATIONAL PVT.LTD"/>
    <x v="54"/>
    <n v="2"/>
    <n v="40"/>
    <n v="175.06"/>
    <n v="7002.4"/>
    <n v="-538.48"/>
    <n v="0"/>
    <n v="840.30977699999994"/>
    <n v="7304.2297769999996"/>
  </r>
  <r>
    <x v="10"/>
    <x v="5"/>
    <x v="2"/>
    <x v="0"/>
    <x v="63"/>
    <s v="KEPL/01229/82-83"/>
    <s v="BEERA BARJEE INTERNATIONAL PVT.LTD"/>
    <x v="45"/>
    <n v="2"/>
    <n v="30"/>
    <n v="260.72000000000003"/>
    <n v="7821.6"/>
    <n v="-601.48"/>
    <n v="0"/>
    <n v="938.61579800000004"/>
    <n v="8158.7357979999997"/>
  </r>
  <r>
    <x v="16"/>
    <x v="5"/>
    <x v="2"/>
    <x v="0"/>
    <x v="63"/>
    <s v="KEPL/01229/82-83"/>
    <s v="BEERA BARJEE INTERNATIONAL PVT.LTD"/>
    <x v="35"/>
    <n v="1"/>
    <n v="60"/>
    <n v="145.26"/>
    <n v="8715.6"/>
    <n v="-670.23"/>
    <n v="0"/>
    <n v="1045.8983209999999"/>
    <n v="9091.2683209999996"/>
  </r>
  <r>
    <x v="18"/>
    <x v="5"/>
    <x v="2"/>
    <x v="0"/>
    <x v="63"/>
    <s v="KEPL/01229/82-83"/>
    <s v="BEERA BARJEE INTERNATIONAL PVT.LTD"/>
    <x v="43"/>
    <n v="1"/>
    <n v="60"/>
    <n v="111.74"/>
    <n v="6704.4"/>
    <n v="-515.57000000000005"/>
    <n v="0"/>
    <n v="804.54806999999994"/>
    <n v="6993.3780699999998"/>
  </r>
  <r>
    <x v="11"/>
    <x v="5"/>
    <x v="2"/>
    <x v="0"/>
    <x v="63"/>
    <s v="KEPL/01229/82-83"/>
    <s v="BEERA BARJEE INTERNATIONAL PVT.LTD"/>
    <x v="37"/>
    <n v="2"/>
    <n v="80"/>
    <n v="81.94"/>
    <n v="6555.2"/>
    <n v="-504.09"/>
    <n v="0"/>
    <n v="786.64446600000008"/>
    <n v="6837.7544660000003"/>
  </r>
  <r>
    <x v="11"/>
    <x v="5"/>
    <x v="2"/>
    <x v="0"/>
    <x v="63"/>
    <s v="KEPL/01229/82-83"/>
    <s v="BEERA BARJEE INTERNATIONAL PVT.LTD"/>
    <x v="53"/>
    <n v="2"/>
    <n v="80"/>
    <n v="81.94"/>
    <n v="6555.2"/>
    <n v="-504.09"/>
    <n v="0"/>
    <n v="786.64446600000008"/>
    <n v="6837.7544660000003"/>
  </r>
  <r>
    <x v="20"/>
    <x v="5"/>
    <x v="2"/>
    <x v="0"/>
    <x v="64"/>
    <s v="KEPL/01243/82-83"/>
    <s v="SHUBHASHREE MARKETING"/>
    <x v="52"/>
    <n v="25"/>
    <n v="100"/>
    <n v="595.92999999999995"/>
    <n v="59593"/>
    <n v="-4582.7"/>
    <n v="0"/>
    <n v="7151.3408950000003"/>
    <n v="62161.640894999997"/>
  </r>
  <r>
    <x v="6"/>
    <x v="5"/>
    <x v="2"/>
    <x v="0"/>
    <x v="64"/>
    <s v="KEPL/01243/82-83"/>
    <s v="SHUBHASHREE MARKETING"/>
    <x v="28"/>
    <n v="2"/>
    <n v="40"/>
    <n v="204.85"/>
    <n v="8194"/>
    <n v="-630.12"/>
    <n v="0"/>
    <n v="983.30466100000001"/>
    <n v="8547.1846609999993"/>
  </r>
  <r>
    <x v="3"/>
    <x v="5"/>
    <x v="2"/>
    <x v="0"/>
    <x v="64"/>
    <s v="KEPL/01243/82-83"/>
    <s v="SHUBHASHREE MARKETING"/>
    <x v="46"/>
    <n v="5"/>
    <n v="100"/>
    <n v="175.06"/>
    <n v="17506"/>
    <n v="-1346.21"/>
    <n v="0"/>
    <n v="2100.7732569999998"/>
    <n v="18260.563257000002"/>
  </r>
  <r>
    <x v="17"/>
    <x v="5"/>
    <x v="2"/>
    <x v="0"/>
    <x v="64"/>
    <s v="KEPL/01243/82-83"/>
    <s v="SHUBHASHREE MARKETING"/>
    <x v="39"/>
    <n v="10"/>
    <n v="200"/>
    <n v="249.55"/>
    <n v="49910"/>
    <n v="-3838.08"/>
    <n v="0"/>
    <n v="5989.3511870000002"/>
    <n v="52061.271186999998"/>
  </r>
  <r>
    <x v="0"/>
    <x v="5"/>
    <x v="2"/>
    <x v="0"/>
    <x v="65"/>
    <s v="KEPL/01245/82-83"/>
    <s v="NEW HORIZON DISTRIBUTORS"/>
    <x v="57"/>
    <n v="1"/>
    <n v="40"/>
    <n v="111.74"/>
    <n v="4469.6000000000004"/>
    <n v="-343.71"/>
    <n v="0"/>
    <n v="536.36562300000003"/>
    <n v="4662.255623"/>
  </r>
  <r>
    <x v="0"/>
    <x v="5"/>
    <x v="2"/>
    <x v="0"/>
    <x v="65"/>
    <s v="KEPL/01245/82-83"/>
    <s v="NEW HORIZON DISTRIBUTORS"/>
    <x v="47"/>
    <n v="1"/>
    <n v="40"/>
    <n v="111.74"/>
    <n v="4469.6000000000004"/>
    <n v="-343.71"/>
    <n v="0"/>
    <n v="536.36562300000003"/>
    <n v="4662.255623"/>
  </r>
  <r>
    <x v="3"/>
    <x v="5"/>
    <x v="2"/>
    <x v="0"/>
    <x v="65"/>
    <s v="KEPL/01245/82-83"/>
    <s v="NEW HORIZON DISTRIBUTORS"/>
    <x v="54"/>
    <n v="3"/>
    <n v="60"/>
    <n v="175.05"/>
    <n v="10503.189999999999"/>
    <n v="-807.7"/>
    <n v="0"/>
    <n v="1260.413519"/>
    <n v="10955.903519"/>
  </r>
  <r>
    <x v="0"/>
    <x v="5"/>
    <x v="2"/>
    <x v="0"/>
    <x v="65"/>
    <s v="KEPL/01245/82-83"/>
    <s v="NEW HORIZON DISTRIBUTORS"/>
    <x v="0"/>
    <n v="1"/>
    <n v="40"/>
    <n v="111.74"/>
    <n v="4469.6000000000004"/>
    <n v="-343.71"/>
    <n v="0"/>
    <n v="536.36562300000003"/>
    <n v="4662.255623"/>
  </r>
  <r>
    <x v="7"/>
    <x v="5"/>
    <x v="2"/>
    <x v="0"/>
    <x v="65"/>
    <s v="KEPL/01245/82-83"/>
    <s v="NEW HORIZON DISTRIBUTORS"/>
    <x v="12"/>
    <n v="1.5"/>
    <n v="195"/>
    <n v="33.520000000000003"/>
    <n v="6536.4"/>
    <n v="-502.65"/>
    <n v="0"/>
    <n v="784.38738699999999"/>
    <n v="6818.1373869999998"/>
  </r>
  <r>
    <x v="3"/>
    <x v="5"/>
    <x v="2"/>
    <x v="0"/>
    <x v="65"/>
    <s v="KEPL/01245/82-83"/>
    <s v="NEW HORIZON DISTRIBUTORS"/>
    <x v="55"/>
    <n v="3"/>
    <n v="60"/>
    <n v="175.06"/>
    <n v="10503.6"/>
    <n v="-807.7299999999999"/>
    <n v="0"/>
    <n v="1260.4629190000001"/>
    <n v="10956.332919"/>
  </r>
  <r>
    <x v="6"/>
    <x v="5"/>
    <x v="2"/>
    <x v="0"/>
    <x v="65"/>
    <s v="KEPL/01245/82-83"/>
    <s v="NEW HORIZON DISTRIBUTORS"/>
    <x v="48"/>
    <n v="3"/>
    <n v="60"/>
    <n v="204.85"/>
    <n v="12291"/>
    <n v="-945.18"/>
    <n v="0"/>
    <n v="1474.9563880000001"/>
    <n v="12820.776388"/>
  </r>
  <r>
    <x v="3"/>
    <x v="5"/>
    <x v="2"/>
    <x v="0"/>
    <x v="65"/>
    <s v="KEPL/01245/82-83"/>
    <s v="NEW HORIZON DISTRIBUTORS"/>
    <x v="46"/>
    <n v="3"/>
    <n v="60"/>
    <n v="175.06"/>
    <n v="10503.6"/>
    <n v="-807.7299999999999"/>
    <n v="0"/>
    <n v="1260.4629190000001"/>
    <n v="10956.332919"/>
  </r>
  <r>
    <x v="0"/>
    <x v="5"/>
    <x v="2"/>
    <x v="0"/>
    <x v="65"/>
    <s v="KEPL/01246/82-83"/>
    <s v="DURGA LAXMI AND SONS"/>
    <x v="47"/>
    <n v="3"/>
    <n v="120"/>
    <n v="111.74"/>
    <n v="13408.8"/>
    <n v="-1031.1400000000001"/>
    <n v="0"/>
    <n v="1609.0964449999999"/>
    <n v="13986.756445000001"/>
  </r>
  <r>
    <x v="3"/>
    <x v="5"/>
    <x v="2"/>
    <x v="0"/>
    <x v="65"/>
    <s v="KEPL/01246/82-83"/>
    <s v="DURGA LAXMI AND SONS"/>
    <x v="54"/>
    <n v="3"/>
    <n v="60"/>
    <n v="175.06"/>
    <n v="10503.41"/>
    <n v="-807.71"/>
    <n v="0"/>
    <n v="1260.441505"/>
    <n v="10956.141505"/>
  </r>
  <r>
    <x v="3"/>
    <x v="5"/>
    <x v="2"/>
    <x v="0"/>
    <x v="65"/>
    <s v="KEPL/01246/82-83"/>
    <s v="DURGA LAXMI AND SONS"/>
    <x v="55"/>
    <n v="3"/>
    <n v="60"/>
    <n v="175.06"/>
    <n v="10503.6"/>
    <n v="-807.7299999999999"/>
    <n v="0"/>
    <n v="1260.4636049999999"/>
    <n v="10956.333605"/>
  </r>
  <r>
    <x v="10"/>
    <x v="5"/>
    <x v="2"/>
    <x v="0"/>
    <x v="65"/>
    <s v="KEPL/01246/82-83"/>
    <s v="DURGA LAXMI AND SONS"/>
    <x v="49"/>
    <n v="2"/>
    <n v="30"/>
    <n v="260.72000000000003"/>
    <n v="7821.6"/>
    <n v="-601.48"/>
    <n v="0"/>
    <n v="938.61597599999993"/>
    <n v="8158.7359759999999"/>
  </r>
  <r>
    <x v="0"/>
    <x v="5"/>
    <x v="2"/>
    <x v="0"/>
    <x v="65"/>
    <s v="KEPL/01246/82-83"/>
    <s v="DURGA LAXMI AND SONS"/>
    <x v="58"/>
    <n v="3"/>
    <n v="120"/>
    <n v="111.74"/>
    <n v="13408.8"/>
    <n v="-1031.1400000000001"/>
    <n v="0"/>
    <n v="1609.0964449999999"/>
    <n v="13986.756445000001"/>
  </r>
  <r>
    <x v="10"/>
    <x v="5"/>
    <x v="2"/>
    <x v="0"/>
    <x v="65"/>
    <s v="KEPL/01246/82-83"/>
    <s v="DURGA LAXMI AND SONS"/>
    <x v="45"/>
    <n v="2"/>
    <n v="30"/>
    <n v="260.72000000000003"/>
    <n v="7821.6"/>
    <n v="-601.48"/>
    <n v="0"/>
    <n v="938.61597599999993"/>
    <n v="8158.7359759999999"/>
  </r>
  <r>
    <x v="3"/>
    <x v="5"/>
    <x v="2"/>
    <x v="0"/>
    <x v="65"/>
    <s v="KEPL/01246/82-83"/>
    <s v="DURGA LAXMI AND SONS"/>
    <x v="46"/>
    <n v="3"/>
    <n v="60"/>
    <n v="175.06"/>
    <n v="10503.6"/>
    <n v="-807.7299999999999"/>
    <n v="0"/>
    <n v="1260.4636049999999"/>
    <n v="10956.333605"/>
  </r>
  <r>
    <x v="0"/>
    <x v="5"/>
    <x v="2"/>
    <x v="0"/>
    <x v="65"/>
    <s v="KEPL/01246/82-83"/>
    <s v="DURGA LAXMI AND SONS"/>
    <x v="57"/>
    <n v="3"/>
    <n v="120"/>
    <n v="111.74"/>
    <n v="13408.8"/>
    <n v="-1031.1400000000001"/>
    <n v="0"/>
    <n v="1609.0964449999999"/>
    <n v="13986.756445000001"/>
  </r>
  <r>
    <x v="11"/>
    <x v="5"/>
    <x v="2"/>
    <x v="0"/>
    <x v="66"/>
    <s v="KEPL/01274/82-83"/>
    <s v="NEW AAKRITI SUPPLIERS"/>
    <x v="37"/>
    <n v="1"/>
    <n v="40"/>
    <n v="81.94"/>
    <n v="3277.6"/>
    <n v="-252.05"/>
    <n v="0"/>
    <n v="393.321302"/>
    <n v="3418.871302"/>
  </r>
  <r>
    <x v="11"/>
    <x v="5"/>
    <x v="2"/>
    <x v="0"/>
    <x v="66"/>
    <s v="KEPL/01274/82-83"/>
    <s v="NEW AAKRITI SUPPLIERS"/>
    <x v="53"/>
    <n v="5"/>
    <n v="200"/>
    <n v="81.94"/>
    <n v="16388"/>
    <n v="-1260.24"/>
    <n v="0"/>
    <n v="1966.607808"/>
    <n v="17094.367807999999"/>
  </r>
  <r>
    <x v="9"/>
    <x v="5"/>
    <x v="2"/>
    <x v="0"/>
    <x v="66"/>
    <s v="KEPL/01274/82-83"/>
    <s v="NEW AAKRITI SUPPLIERS"/>
    <x v="38"/>
    <n v="3"/>
    <n v="72"/>
    <n v="186.23"/>
    <n v="13408.490000000002"/>
    <n v="-1031.1100000000001"/>
    <n v="0"/>
    <n v="1609.0585879999999"/>
    <n v="13986.438588000001"/>
  </r>
  <r>
    <x v="11"/>
    <x v="5"/>
    <x v="2"/>
    <x v="0"/>
    <x v="66"/>
    <s v="KEPL/01274/82-83"/>
    <s v="NEW AAKRITI SUPPLIERS"/>
    <x v="36"/>
    <n v="5"/>
    <n v="200"/>
    <n v="81.94"/>
    <n v="16388"/>
    <n v="-1260.24"/>
    <n v="0"/>
    <n v="1966.607808"/>
    <n v="17094.367807999999"/>
  </r>
  <r>
    <x v="1"/>
    <x v="5"/>
    <x v="2"/>
    <x v="0"/>
    <x v="66"/>
    <s v="KEPL/01274/82-83"/>
    <s v="NEW AAKRITI SUPPLIERS"/>
    <x v="24"/>
    <n v="1"/>
    <n v="18"/>
    <n v="178.78"/>
    <n v="3218.0400000000004"/>
    <n v="-247.47"/>
    <n v="0"/>
    <n v="386.17390499999999"/>
    <n v="3356.7439049999998"/>
  </r>
  <r>
    <x v="9"/>
    <x v="5"/>
    <x v="2"/>
    <x v="0"/>
    <x v="66"/>
    <s v="KEPL/01274/82-83"/>
    <s v="NEW AAKRITI SUPPLIERS"/>
    <x v="44"/>
    <n v="3"/>
    <n v="72"/>
    <n v="186.22"/>
    <n v="13407.84"/>
    <n v="-1031.06"/>
    <n v="0"/>
    <n v="1608.9805880000001"/>
    <n v="13985.760587999999"/>
  </r>
  <r>
    <x v="20"/>
    <x v="5"/>
    <x v="2"/>
    <x v="0"/>
    <x v="66"/>
    <s v="KEPL/01275/82-83"/>
    <s v="NEW CHANDESHWARI SUPPLIERS"/>
    <x v="52"/>
    <n v="50"/>
    <n v="200"/>
    <n v="595.92999999999995"/>
    <n v="119186"/>
    <n v="-9165.4"/>
    <n v="0"/>
    <n v="14302.68"/>
    <n v="124323.28"/>
  </r>
  <r>
    <x v="6"/>
    <x v="5"/>
    <x v="2"/>
    <x v="0"/>
    <x v="67"/>
    <s v="KEPL/01278/82-83"/>
    <s v="NILLONS L&amp;D"/>
    <x v="28"/>
    <n v="0.05"/>
    <n v="1"/>
    <n v="204.85"/>
    <n v="204.85"/>
    <n v="-15.75"/>
    <n v="0"/>
    <n v="24.58"/>
    <n v="213.68"/>
  </r>
  <r>
    <x v="17"/>
    <x v="5"/>
    <x v="2"/>
    <x v="0"/>
    <x v="67"/>
    <s v="KEPL/01285/82-83"/>
    <s v="AASHI TRADERS"/>
    <x v="39"/>
    <n v="5"/>
    <n v="100"/>
    <n v="249.55"/>
    <n v="24955"/>
    <n v="-1919.04"/>
    <n v="0"/>
    <n v="2994.6755290000001"/>
    <n v="26030.635528999999"/>
  </r>
  <r>
    <x v="11"/>
    <x v="5"/>
    <x v="2"/>
    <x v="0"/>
    <x v="67"/>
    <s v="KEPL/01285/82-83"/>
    <s v="AASHI TRADERS"/>
    <x v="36"/>
    <n v="5"/>
    <n v="200"/>
    <n v="81.94"/>
    <n v="16388"/>
    <n v="-1260.24"/>
    <n v="0"/>
    <n v="1966.609279"/>
    <n v="17094.369278999999"/>
  </r>
  <r>
    <x v="11"/>
    <x v="5"/>
    <x v="2"/>
    <x v="0"/>
    <x v="67"/>
    <s v="KEPL/01285/82-83"/>
    <s v="AASHI TRADERS"/>
    <x v="37"/>
    <n v="3"/>
    <n v="120"/>
    <n v="81.94"/>
    <n v="9832.8000000000011"/>
    <n v="-756.14"/>
    <n v="0"/>
    <n v="1179.966087"/>
    <n v="10256.626087000001"/>
  </r>
  <r>
    <x v="8"/>
    <x v="5"/>
    <x v="2"/>
    <x v="0"/>
    <x v="67"/>
    <s v="KEPL/01285/82-83"/>
    <s v="AASHI TRADERS"/>
    <x v="13"/>
    <n v="5"/>
    <n v="120"/>
    <n v="141.54"/>
    <n v="16984.8"/>
    <n v="-1306.1299999999999"/>
    <n v="0"/>
    <n v="2038.2275959999999"/>
    <n v="17716.897595999999"/>
  </r>
  <r>
    <x v="13"/>
    <x v="5"/>
    <x v="2"/>
    <x v="0"/>
    <x v="67"/>
    <s v="KEPL/01285/82-83"/>
    <s v="AASHI TRADERS"/>
    <x v="21"/>
    <n v="2"/>
    <n v="480"/>
    <n v="14.9"/>
    <n v="7152"/>
    <n v="-549.99"/>
    <n v="0"/>
    <n v="858.26150900000005"/>
    <n v="7460.2715090000002"/>
  </r>
  <r>
    <x v="7"/>
    <x v="5"/>
    <x v="2"/>
    <x v="0"/>
    <x v="68"/>
    <s v="KEPL/01292/82-83"/>
    <s v="AAFNAI PASAL PVT.LTD"/>
    <x v="27"/>
    <n v="2"/>
    <n v="140"/>
    <n v="37.25"/>
    <n v="5215"/>
    <n v="-401.03"/>
    <n v="0"/>
    <n v="625.815157"/>
    <n v="5439.7851570000003"/>
  </r>
  <r>
    <x v="17"/>
    <x v="5"/>
    <x v="2"/>
    <x v="0"/>
    <x v="68"/>
    <s v="KEPL/01292/82-83"/>
    <s v="AAFNAI PASAL PVT.LTD"/>
    <x v="39"/>
    <n v="2"/>
    <n v="40"/>
    <n v="249.55"/>
    <n v="9982"/>
    <n v="-767.62"/>
    <n v="0"/>
    <n v="1197.8675949999999"/>
    <n v="10412.247595000001"/>
  </r>
  <r>
    <x v="6"/>
    <x v="5"/>
    <x v="2"/>
    <x v="0"/>
    <x v="68"/>
    <s v="KEPL/01292/82-83"/>
    <s v="AAFNAI PASAL PVT.LTD"/>
    <x v="30"/>
    <n v="2"/>
    <n v="40"/>
    <n v="242.1"/>
    <n v="9683.9999999999982"/>
    <n v="-744.7"/>
    <n v="0"/>
    <n v="1162.1072489999999"/>
    <n v="10101.407249"/>
  </r>
  <r>
    <x v="20"/>
    <x v="5"/>
    <x v="2"/>
    <x v="0"/>
    <x v="69"/>
    <s v="KEPL/01298/82-83"/>
    <s v="NAWA ATITHI STORES"/>
    <x v="52"/>
    <n v="5"/>
    <n v="20"/>
    <n v="595.92999999999995"/>
    <n v="11918.6"/>
    <n v="-916.54"/>
    <n v="0"/>
    <n v="1430.2687739999999"/>
    <n v="12432.328774"/>
  </r>
  <r>
    <x v="11"/>
    <x v="5"/>
    <x v="2"/>
    <x v="0"/>
    <x v="69"/>
    <s v="KEPL/01298/82-83"/>
    <s v="NAWA ATITHI STORES"/>
    <x v="36"/>
    <n v="2"/>
    <n v="80"/>
    <n v="81.94"/>
    <n v="6555.2"/>
    <n v="-504.09"/>
    <n v="0"/>
    <n v="786.64483599999994"/>
    <n v="6837.7548360000001"/>
  </r>
  <r>
    <x v="0"/>
    <x v="5"/>
    <x v="2"/>
    <x v="0"/>
    <x v="69"/>
    <s v="KEPL/01298/82-83"/>
    <s v="NAWA ATITHI STORES"/>
    <x v="58"/>
    <n v="2"/>
    <n v="80"/>
    <n v="111.74"/>
    <n v="8939.2000000000007"/>
    <n v="-687.42"/>
    <n v="0"/>
    <n v="1072.7321300000001"/>
    <n v="9324.5121299999992"/>
  </r>
  <r>
    <x v="0"/>
    <x v="5"/>
    <x v="2"/>
    <x v="0"/>
    <x v="69"/>
    <s v="KEPL/01298/82-83"/>
    <s v="NAWA ATITHI STORES"/>
    <x v="57"/>
    <n v="2"/>
    <n v="80"/>
    <n v="111.74"/>
    <n v="8939.2000000000007"/>
    <n v="-687.42"/>
    <n v="0"/>
    <n v="1072.7321300000001"/>
    <n v="9324.5121299999992"/>
  </r>
  <r>
    <x v="0"/>
    <x v="5"/>
    <x v="2"/>
    <x v="0"/>
    <x v="69"/>
    <s v="KEPL/01298/82-83"/>
    <s v="NAWA ATITHI STORES"/>
    <x v="47"/>
    <n v="2"/>
    <n v="80"/>
    <n v="111.74"/>
    <n v="8939.2000000000007"/>
    <n v="-687.42"/>
    <n v="0"/>
    <n v="1072.7321300000001"/>
    <n v="9324.5121299999992"/>
  </r>
  <r>
    <x v="3"/>
    <x v="5"/>
    <x v="2"/>
    <x v="0"/>
    <x v="69"/>
    <s v="KEPL/01302/82-83"/>
    <s v="M AND P TRADE SUPPLIERS"/>
    <x v="54"/>
    <n v="1"/>
    <n v="20"/>
    <n v="175.06"/>
    <n v="3501.2"/>
    <n v="-269.24"/>
    <n v="0"/>
    <n v="420.15483599999999"/>
    <n v="3652.1148360000002"/>
  </r>
  <r>
    <x v="0"/>
    <x v="5"/>
    <x v="2"/>
    <x v="0"/>
    <x v="69"/>
    <s v="KEPL/01302/82-83"/>
    <s v="M AND P TRADE SUPPLIERS"/>
    <x v="57"/>
    <n v="1"/>
    <n v="40"/>
    <n v="111.74"/>
    <n v="4469.6000000000004"/>
    <n v="-343.71"/>
    <n v="0"/>
    <n v="536.36574499999995"/>
    <n v="4662.2557450000004"/>
  </r>
  <r>
    <x v="3"/>
    <x v="5"/>
    <x v="2"/>
    <x v="0"/>
    <x v="69"/>
    <s v="KEPL/01302/82-83"/>
    <s v="M AND P TRADE SUPPLIERS"/>
    <x v="55"/>
    <n v="1"/>
    <n v="20"/>
    <n v="175.06"/>
    <n v="3501.2"/>
    <n v="-269.24"/>
    <n v="0"/>
    <n v="420.15483599999999"/>
    <n v="3652.1148360000002"/>
  </r>
  <r>
    <x v="10"/>
    <x v="5"/>
    <x v="2"/>
    <x v="0"/>
    <x v="69"/>
    <s v="KEPL/01302/82-83"/>
    <s v="M AND P TRADE SUPPLIERS"/>
    <x v="45"/>
    <n v="1"/>
    <n v="15"/>
    <n v="260.72000000000003"/>
    <n v="3910.8"/>
    <n v="-300.74"/>
    <n v="0"/>
    <n v="469.30784"/>
    <n v="4079.3678399999999"/>
  </r>
  <r>
    <x v="11"/>
    <x v="5"/>
    <x v="2"/>
    <x v="0"/>
    <x v="69"/>
    <s v="KEPL/01302/82-83"/>
    <s v="M AND P TRADE SUPPLIERS"/>
    <x v="53"/>
    <n v="1"/>
    <n v="40"/>
    <n v="81.94"/>
    <n v="3277.6"/>
    <n v="-252.05"/>
    <n v="0"/>
    <n v="393.32153299999999"/>
    <n v="3418.871533"/>
  </r>
  <r>
    <x v="0"/>
    <x v="5"/>
    <x v="2"/>
    <x v="0"/>
    <x v="69"/>
    <s v="KEPL/01302/82-83"/>
    <s v="M AND P TRADE SUPPLIERS"/>
    <x v="47"/>
    <n v="1"/>
    <n v="40"/>
    <n v="111.74"/>
    <n v="4469.6000000000004"/>
    <n v="-343.71"/>
    <n v="0"/>
    <n v="536.36574499999995"/>
    <n v="4662.2557450000004"/>
  </r>
  <r>
    <x v="8"/>
    <x v="5"/>
    <x v="2"/>
    <x v="0"/>
    <x v="69"/>
    <s v="KEPL/01302/82-83"/>
    <s v="M AND P TRADE SUPPLIERS"/>
    <x v="13"/>
    <n v="1"/>
    <n v="24"/>
    <n v="141.54"/>
    <n v="3396.96"/>
    <n v="-261.23"/>
    <n v="0"/>
    <n v="407.64493399999998"/>
    <n v="3543.3749339999999"/>
  </r>
  <r>
    <x v="11"/>
    <x v="5"/>
    <x v="2"/>
    <x v="0"/>
    <x v="69"/>
    <s v="KEPL/01302/82-83"/>
    <s v="M AND P TRADE SUPPLIERS"/>
    <x v="36"/>
    <n v="1"/>
    <n v="40"/>
    <n v="81.94"/>
    <n v="3277.6"/>
    <n v="-252.05"/>
    <n v="0"/>
    <n v="393.32153299999999"/>
    <n v="3418.871533"/>
  </r>
  <r>
    <x v="20"/>
    <x v="5"/>
    <x v="2"/>
    <x v="0"/>
    <x v="69"/>
    <s v="KEPL/01302/82-83"/>
    <s v="M AND P TRADE SUPPLIERS"/>
    <x v="52"/>
    <n v="2"/>
    <n v="8"/>
    <n v="595.92999999999995"/>
    <n v="4767.4399999999996"/>
    <n v="-366.62"/>
    <n v="0"/>
    <n v="572.10664800000006"/>
    <n v="4972.9266479999997"/>
  </r>
  <r>
    <x v="3"/>
    <x v="5"/>
    <x v="2"/>
    <x v="0"/>
    <x v="69"/>
    <s v="KEPL/01302/82-83"/>
    <s v="M AND P TRADE SUPPLIERS"/>
    <x v="46"/>
    <n v="1"/>
    <n v="20"/>
    <n v="175.06"/>
    <n v="3501.2"/>
    <n v="-269.24"/>
    <n v="0"/>
    <n v="420.15483599999999"/>
    <n v="3652.1148360000002"/>
  </r>
  <r>
    <x v="7"/>
    <x v="5"/>
    <x v="2"/>
    <x v="0"/>
    <x v="69"/>
    <s v="KEPL/01302/82-83"/>
    <s v="M AND P TRADE SUPPLIERS"/>
    <x v="27"/>
    <n v="3"/>
    <n v="210"/>
    <n v="37.25"/>
    <n v="7822.5"/>
    <n v="-601.55000000000007"/>
    <n v="0"/>
    <n v="938.72357899999997"/>
    <n v="8159.6735790000002"/>
  </r>
  <r>
    <x v="0"/>
    <x v="5"/>
    <x v="2"/>
    <x v="0"/>
    <x v="69"/>
    <s v="KEPL/01302/82-83"/>
    <s v="M AND P TRADE SUPPLIERS"/>
    <x v="0"/>
    <n v="1"/>
    <n v="40"/>
    <n v="111.74"/>
    <n v="4469.6000000000004"/>
    <n v="-343.71"/>
    <n v="0"/>
    <n v="536.36574499999995"/>
    <n v="4662.2557450000004"/>
  </r>
  <r>
    <x v="7"/>
    <x v="5"/>
    <x v="2"/>
    <x v="0"/>
    <x v="69"/>
    <s v="KEPL/01302/82-83"/>
    <s v="M AND P TRADE SUPPLIERS"/>
    <x v="12"/>
    <n v="1"/>
    <n v="130"/>
    <n v="37.25"/>
    <n v="4842.5"/>
    <n v="-372.39"/>
    <n v="0"/>
    <n v="581.11434900000006"/>
    <n v="5051.2243490000001"/>
  </r>
  <r>
    <x v="10"/>
    <x v="5"/>
    <x v="2"/>
    <x v="0"/>
    <x v="69"/>
    <s v="KEPL/01302/82-83"/>
    <s v="M AND P TRADE SUPPLIERS"/>
    <x v="49"/>
    <n v="1"/>
    <n v="15"/>
    <n v="260.72000000000003"/>
    <n v="3910.8"/>
    <n v="-300.74"/>
    <n v="0"/>
    <n v="469.30784"/>
    <n v="4079.3678399999999"/>
  </r>
  <r>
    <x v="10"/>
    <x v="5"/>
    <x v="2"/>
    <x v="0"/>
    <x v="69"/>
    <s v="KEPL/01303/82-83"/>
    <s v="DINESH TRADING HOUSE"/>
    <x v="45"/>
    <n v="1"/>
    <n v="15"/>
    <n v="260.72000000000003"/>
    <n v="3910.8"/>
    <n v="-300.74"/>
    <n v="0"/>
    <n v="469.30769500000002"/>
    <n v="4079.3676949999999"/>
  </r>
  <r>
    <x v="17"/>
    <x v="5"/>
    <x v="2"/>
    <x v="0"/>
    <x v="69"/>
    <s v="KEPL/01303/82-83"/>
    <s v="DINESH TRADING HOUSE"/>
    <x v="39"/>
    <n v="5"/>
    <n v="100"/>
    <n v="249.55"/>
    <n v="24955"/>
    <n v="-1919.04"/>
    <n v="0"/>
    <n v="2994.6741280000001"/>
    <n v="26030.634128000002"/>
  </r>
  <r>
    <x v="8"/>
    <x v="5"/>
    <x v="2"/>
    <x v="0"/>
    <x v="69"/>
    <s v="KEPL/01303/82-83"/>
    <s v="DINESH TRADING HOUSE"/>
    <x v="13"/>
    <n v="1"/>
    <n v="24"/>
    <n v="141.54"/>
    <n v="3396.96"/>
    <n v="-261.23"/>
    <n v="0"/>
    <n v="407.64480900000001"/>
    <n v="3543.3748089999999"/>
  </r>
  <r>
    <x v="6"/>
    <x v="5"/>
    <x v="2"/>
    <x v="0"/>
    <x v="69"/>
    <s v="KEPL/01303/82-83"/>
    <s v="DINESH TRADING HOUSE"/>
    <x v="48"/>
    <n v="1"/>
    <n v="20"/>
    <n v="204.85"/>
    <n v="4097"/>
    <n v="-315.06"/>
    <n v="0"/>
    <n v="491.65209000000004"/>
    <n v="4273.5920900000001"/>
  </r>
  <r>
    <x v="11"/>
    <x v="5"/>
    <x v="2"/>
    <x v="0"/>
    <x v="69"/>
    <s v="KEPL/01303/82-83"/>
    <s v="DINESH TRADING HOUSE"/>
    <x v="53"/>
    <n v="1"/>
    <n v="40"/>
    <n v="81.94"/>
    <n v="3277.6"/>
    <n v="-252.05"/>
    <n v="0"/>
    <n v="393.32141200000001"/>
    <n v="3418.871412"/>
  </r>
  <r>
    <x v="20"/>
    <x v="5"/>
    <x v="2"/>
    <x v="0"/>
    <x v="69"/>
    <s v="KEPL/01303/82-83"/>
    <s v="DINESH TRADING HOUSE"/>
    <x v="52"/>
    <n v="10"/>
    <n v="40"/>
    <n v="595.92999999999995"/>
    <n v="23837.200000000001"/>
    <n v="-1833.08"/>
    <n v="0"/>
    <n v="2860.5349579999997"/>
    <n v="24864.654957999999"/>
  </r>
  <r>
    <x v="3"/>
    <x v="5"/>
    <x v="2"/>
    <x v="0"/>
    <x v="69"/>
    <s v="KEPL/01303/82-83"/>
    <s v="DINESH TRADING HOUSE"/>
    <x v="46"/>
    <n v="1"/>
    <n v="20"/>
    <n v="175.06"/>
    <n v="3501.2"/>
    <n v="-269.24"/>
    <n v="0"/>
    <n v="420.15470599999998"/>
    <n v="3652.1147059999998"/>
  </r>
  <r>
    <x v="9"/>
    <x v="5"/>
    <x v="2"/>
    <x v="0"/>
    <x v="69"/>
    <s v="KEPL/01303/82-83"/>
    <s v="DINESH TRADING HOUSE"/>
    <x v="44"/>
    <n v="1"/>
    <n v="24"/>
    <n v="186.22"/>
    <n v="4469.28"/>
    <n v="-343.69"/>
    <n v="0"/>
    <n v="536.32658000000004"/>
    <n v="4661.9165800000001"/>
  </r>
  <r>
    <x v="7"/>
    <x v="5"/>
    <x v="2"/>
    <x v="0"/>
    <x v="69"/>
    <s v="KEPL/01303/82-83"/>
    <s v="DINESH TRADING HOUSE"/>
    <x v="12"/>
    <n v="1"/>
    <n v="130"/>
    <n v="37.25"/>
    <n v="4842.5"/>
    <n v="-372.39"/>
    <n v="0"/>
    <n v="581.11417000000006"/>
    <n v="5051.2241700000004"/>
  </r>
  <r>
    <x v="0"/>
    <x v="5"/>
    <x v="2"/>
    <x v="0"/>
    <x v="69"/>
    <s v="KEPL/01303/82-83"/>
    <s v="DINESH TRADING HOUSE"/>
    <x v="0"/>
    <n v="1"/>
    <n v="40"/>
    <n v="111.74"/>
    <n v="4469.6000000000004"/>
    <n v="-343.71"/>
    <n v="0"/>
    <n v="536.36558000000002"/>
    <n v="4662.25558"/>
  </r>
  <r>
    <x v="11"/>
    <x v="5"/>
    <x v="2"/>
    <x v="0"/>
    <x v="69"/>
    <s v="KEPL/01303/82-83"/>
    <s v="DINESH TRADING HOUSE"/>
    <x v="36"/>
    <n v="1"/>
    <n v="40"/>
    <n v="81.94"/>
    <n v="3277.6"/>
    <n v="-252.05"/>
    <n v="0"/>
    <n v="393.32141200000001"/>
    <n v="3418.871412"/>
  </r>
  <r>
    <x v="10"/>
    <x v="5"/>
    <x v="2"/>
    <x v="0"/>
    <x v="69"/>
    <s v="KEPL/01303/82-83"/>
    <s v="DINESH TRADING HOUSE"/>
    <x v="49"/>
    <n v="1"/>
    <n v="15"/>
    <n v="260.72000000000003"/>
    <n v="3910.8"/>
    <n v="-300.74"/>
    <n v="0"/>
    <n v="469.30769500000002"/>
    <n v="4079.3676949999999"/>
  </r>
  <r>
    <x v="6"/>
    <x v="5"/>
    <x v="2"/>
    <x v="0"/>
    <x v="69"/>
    <s v="KEPL/01303/82-83"/>
    <s v="DINESH TRADING HOUSE"/>
    <x v="30"/>
    <n v="1"/>
    <n v="20"/>
    <n v="242.1"/>
    <n v="4841.9999999999991"/>
    <n v="-372.35"/>
    <n v="0"/>
    <n v="581.05436999999995"/>
    <n v="5050.7043700000004"/>
  </r>
  <r>
    <x v="12"/>
    <x v="5"/>
    <x v="2"/>
    <x v="0"/>
    <x v="69"/>
    <s v="KEPL/01303/82-83"/>
    <s v="DINESH TRADING HOUSE"/>
    <x v="60"/>
    <n v="1"/>
    <n v="1000"/>
    <n v="1.86"/>
    <n v="1860"/>
    <n v="-143.03"/>
    <n v="0"/>
    <n v="223.20605"/>
    <n v="1940.17605"/>
  </r>
  <r>
    <x v="3"/>
    <x v="5"/>
    <x v="2"/>
    <x v="0"/>
    <x v="69"/>
    <s v="KEPL/01303/82-83"/>
    <s v="DINESH TRADING HOUSE"/>
    <x v="55"/>
    <n v="1"/>
    <n v="20"/>
    <n v="175.06"/>
    <n v="3501.2"/>
    <n v="-269.24"/>
    <n v="0"/>
    <n v="420.15470599999998"/>
    <n v="3652.1147059999998"/>
  </r>
  <r>
    <x v="3"/>
    <x v="5"/>
    <x v="2"/>
    <x v="0"/>
    <x v="69"/>
    <s v="KEPL/01303/82-83"/>
    <s v="DINESH TRADING HOUSE"/>
    <x v="54"/>
    <n v="1"/>
    <n v="20"/>
    <n v="175.06"/>
    <n v="3501.2"/>
    <n v="-269.24"/>
    <n v="0"/>
    <n v="420.15470599999998"/>
    <n v="3652.1147059999998"/>
  </r>
  <r>
    <x v="0"/>
    <x v="5"/>
    <x v="2"/>
    <x v="0"/>
    <x v="69"/>
    <s v="KEPL/01303/82-83"/>
    <s v="DINESH TRADING HOUSE"/>
    <x v="57"/>
    <n v="1"/>
    <n v="40"/>
    <n v="111.74"/>
    <n v="4469.6000000000004"/>
    <n v="-343.71"/>
    <n v="0"/>
    <n v="536.36558000000002"/>
    <n v="4662.25558"/>
  </r>
  <r>
    <x v="0"/>
    <x v="5"/>
    <x v="2"/>
    <x v="0"/>
    <x v="69"/>
    <s v="KEPL/01303/82-83"/>
    <s v="DINESH TRADING HOUSE"/>
    <x v="47"/>
    <n v="1"/>
    <n v="40"/>
    <n v="111.74"/>
    <n v="4469.6000000000004"/>
    <n v="-343.71"/>
    <n v="0"/>
    <n v="536.36558000000002"/>
    <n v="4662.25558"/>
  </r>
  <r>
    <x v="9"/>
    <x v="5"/>
    <x v="2"/>
    <x v="0"/>
    <x v="69"/>
    <s v="KEPL/01303/82-83"/>
    <s v="DINESH TRADING HOUSE"/>
    <x v="38"/>
    <n v="1"/>
    <n v="24"/>
    <n v="186.22"/>
    <n v="4469.28"/>
    <n v="-343.69"/>
    <n v="0"/>
    <n v="536.32658000000004"/>
    <n v="4661.9165800000001"/>
  </r>
  <r>
    <x v="7"/>
    <x v="5"/>
    <x v="2"/>
    <x v="0"/>
    <x v="69"/>
    <s v="KEPL/01303/82-83"/>
    <s v="DINESH TRADING HOUSE"/>
    <x v="27"/>
    <n v="10"/>
    <n v="700"/>
    <n v="37.25"/>
    <n v="26075"/>
    <n v="-2005.1699999999998"/>
    <n v="0"/>
    <n v="3129.077198"/>
    <n v="27198.907198000001"/>
  </r>
  <r>
    <x v="3"/>
    <x v="5"/>
    <x v="2"/>
    <x v="0"/>
    <x v="69"/>
    <s v="KEPL/01304/82-83"/>
    <s v="GORIN TRADING "/>
    <x v="46"/>
    <n v="5"/>
    <n v="100"/>
    <n v="175.06"/>
    <n v="17506"/>
    <n v="-1346.21"/>
    <n v="0"/>
    <n v="2100.7716740000001"/>
    <n v="18260.561674"/>
  </r>
  <r>
    <x v="10"/>
    <x v="5"/>
    <x v="2"/>
    <x v="0"/>
    <x v="69"/>
    <s v="KEPL/01304/82-83"/>
    <s v="GORIN TRADING "/>
    <x v="49"/>
    <n v="10"/>
    <n v="150"/>
    <n v="260.72000000000003"/>
    <n v="39108"/>
    <n v="-3007.4100000000003"/>
    <n v="0"/>
    <n v="4693.0744070000001"/>
    <n v="40793.664406999997"/>
  </r>
  <r>
    <x v="6"/>
    <x v="5"/>
    <x v="2"/>
    <x v="0"/>
    <x v="69"/>
    <s v="KEPL/01304/82-83"/>
    <s v="GORIN TRADING "/>
    <x v="28"/>
    <n v="2"/>
    <n v="40"/>
    <n v="204.85"/>
    <n v="8194"/>
    <n v="-630.12"/>
    <n v="0"/>
    <n v="983.30392000000006"/>
    <n v="8547.1839199999995"/>
  </r>
  <r>
    <x v="20"/>
    <x v="5"/>
    <x v="2"/>
    <x v="0"/>
    <x v="70"/>
    <s v="KEPL/01308/82-83"/>
    <s v="NILLONS L&amp;D"/>
    <x v="52"/>
    <n v="0.25"/>
    <n v="1"/>
    <n v="595.92999999999995"/>
    <n v="595.92999999999995"/>
    <n v="-45.83"/>
    <n v="0"/>
    <n v="71.512127000000007"/>
    <n v="621.61212699999999"/>
  </r>
  <r>
    <x v="4"/>
    <x v="5"/>
    <x v="2"/>
    <x v="0"/>
    <x v="70"/>
    <s v="KEPL/01308/82-83"/>
    <s v="NILLONS L&amp;D"/>
    <x v="5"/>
    <n v="0.01"/>
    <n v="1"/>
    <n v="18.62"/>
    <n v="18.62"/>
    <n v="-1.43"/>
    <n v="0"/>
    <n v="2.2346729999999999"/>
    <n v="19.424672999999999"/>
  </r>
  <r>
    <x v="11"/>
    <x v="5"/>
    <x v="2"/>
    <x v="0"/>
    <x v="70"/>
    <s v="KEPL/01308/82-83"/>
    <s v="NILLONS L&amp;D"/>
    <x v="37"/>
    <n v="0.03"/>
    <n v="1"/>
    <n v="81.94"/>
    <n v="81.94"/>
    <n v="-6.3"/>
    <n v="0"/>
    <n v="9.8330800000000007"/>
    <n v="85.473079999999996"/>
  </r>
  <r>
    <x v="11"/>
    <x v="5"/>
    <x v="2"/>
    <x v="0"/>
    <x v="70"/>
    <s v="KEPL/01308/82-83"/>
    <s v="NILLONS L&amp;D"/>
    <x v="53"/>
    <n v="0.03"/>
    <n v="1"/>
    <n v="81.94"/>
    <n v="81.94"/>
    <n v="-6.3"/>
    <n v="0"/>
    <n v="9.8330800000000007"/>
    <n v="85.473079999999996"/>
  </r>
  <r>
    <x v="14"/>
    <x v="5"/>
    <x v="2"/>
    <x v="0"/>
    <x v="70"/>
    <s v="KEPL/01308/82-83"/>
    <s v="NILLONS L&amp;D"/>
    <x v="31"/>
    <n v="0.02"/>
    <n v="1"/>
    <n v="111.74"/>
    <n v="111.74"/>
    <n v="-8.59"/>
    <n v="0"/>
    <n v="13.409336"/>
    <n v="116.559336"/>
  </r>
  <r>
    <x v="8"/>
    <x v="5"/>
    <x v="2"/>
    <x v="0"/>
    <x v="70"/>
    <s v="KEPL/01308/82-83"/>
    <s v="NILLONS L&amp;D"/>
    <x v="33"/>
    <n v="0.03"/>
    <n v="1"/>
    <n v="67.040000000000006"/>
    <n v="67.040000000000006"/>
    <n v="-5.16"/>
    <n v="0"/>
    <n v="8.0443020000000001"/>
    <n v="69.924301999999997"/>
  </r>
  <r>
    <x v="16"/>
    <x v="5"/>
    <x v="2"/>
    <x v="0"/>
    <x v="70"/>
    <s v="KEPL/01308/82-83"/>
    <s v="NILLONS L&amp;D"/>
    <x v="35"/>
    <n v="0.02"/>
    <n v="1"/>
    <n v="145.26"/>
    <n v="145.26"/>
    <n v="-11.17"/>
    <n v="0"/>
    <n v="17.431487000000001"/>
    <n v="151.52148700000001"/>
  </r>
  <r>
    <x v="9"/>
    <x v="5"/>
    <x v="2"/>
    <x v="0"/>
    <x v="70"/>
    <s v="KEPL/01308/82-83"/>
    <s v="NILLONS L&amp;D"/>
    <x v="38"/>
    <n v="0.04"/>
    <n v="1"/>
    <n v="186.22"/>
    <n v="186.22"/>
    <n v="-14.32"/>
    <n v="0"/>
    <n v="22.346727000000001"/>
    <n v="194.24672699999999"/>
  </r>
  <r>
    <x v="7"/>
    <x v="5"/>
    <x v="2"/>
    <x v="0"/>
    <x v="70"/>
    <s v="KEPL/01308/82-83"/>
    <s v="NILLONS L&amp;D"/>
    <x v="12"/>
    <n v="0.01"/>
    <n v="1"/>
    <n v="37.25"/>
    <n v="37.25"/>
    <n v="-2.86"/>
    <n v="0"/>
    <n v="4.4706450000000002"/>
    <n v="38.860644999999998"/>
  </r>
  <r>
    <x v="8"/>
    <x v="5"/>
    <x v="2"/>
    <x v="0"/>
    <x v="70"/>
    <s v="KEPL/01308/82-83"/>
    <s v="NILLONS L&amp;D"/>
    <x v="34"/>
    <n v="0.03"/>
    <n v="1"/>
    <n v="67.040000000000006"/>
    <n v="67.040000000000006"/>
    <n v="-5.16"/>
    <n v="0"/>
    <n v="8.0443020000000001"/>
    <n v="69.924301999999997"/>
  </r>
  <r>
    <x v="16"/>
    <x v="5"/>
    <x v="2"/>
    <x v="0"/>
    <x v="70"/>
    <s v="KEPL/01308/82-83"/>
    <s v="NILLONS L&amp;D"/>
    <x v="42"/>
    <n v="0.03"/>
    <n v="1"/>
    <n v="316.58999999999997"/>
    <n v="316.58999999999997"/>
    <n v="-24.35"/>
    <n v="0"/>
    <n v="37.990735999999998"/>
    <n v="330.23073599999998"/>
  </r>
  <r>
    <x v="17"/>
    <x v="5"/>
    <x v="2"/>
    <x v="0"/>
    <x v="70"/>
    <s v="KEPL/01308/82-83"/>
    <s v="NILLONS L&amp;D"/>
    <x v="39"/>
    <n v="0.05"/>
    <n v="1"/>
    <n v="249.55"/>
    <n v="249.55"/>
    <n v="-19.190000000000001"/>
    <n v="0"/>
    <n v="29.946434"/>
    <n v="260.30643400000002"/>
  </r>
  <r>
    <x v="8"/>
    <x v="5"/>
    <x v="2"/>
    <x v="0"/>
    <x v="70"/>
    <s v="KEPL/01308/82-83"/>
    <s v="NILLONS L&amp;D"/>
    <x v="56"/>
    <n v="0"/>
    <n v="1"/>
    <n v="7.46"/>
    <n v="7.46"/>
    <n v="-0.56999999999999995"/>
    <n v="0"/>
    <n v="0.89568899999999996"/>
    <n v="7.7856889999999996"/>
  </r>
  <r>
    <x v="11"/>
    <x v="5"/>
    <x v="2"/>
    <x v="0"/>
    <x v="70"/>
    <s v="KEPL/01308/82-83"/>
    <s v="NILLONS L&amp;D"/>
    <x v="36"/>
    <n v="0.03"/>
    <n v="1"/>
    <n v="81.94"/>
    <n v="81.94"/>
    <n v="-6.3"/>
    <n v="0"/>
    <n v="9.8330800000000007"/>
    <n v="85.473079999999996"/>
  </r>
  <r>
    <x v="8"/>
    <x v="5"/>
    <x v="2"/>
    <x v="0"/>
    <x v="70"/>
    <s v="KEPL/01308/82-83"/>
    <s v="NILLONS L&amp;D"/>
    <x v="41"/>
    <n v="0.03"/>
    <n v="1"/>
    <n v="67.040000000000006"/>
    <n v="67.040000000000006"/>
    <n v="-5.16"/>
    <n v="0"/>
    <n v="8.0443020000000001"/>
    <n v="69.924301999999997"/>
  </r>
  <r>
    <x v="10"/>
    <x v="5"/>
    <x v="2"/>
    <x v="0"/>
    <x v="70"/>
    <s v="KEPL/01309/82-83"/>
    <s v="NILLONS L&amp;D"/>
    <x v="45"/>
    <n v="7.0000000000000007E-2"/>
    <n v="1"/>
    <n v="260.72000000000003"/>
    <n v="260.72000000000003"/>
    <n v="-20.05"/>
    <n v="0"/>
    <n v="31.287534000000001"/>
    <n v="271.95753400000001"/>
  </r>
  <r>
    <x v="1"/>
    <x v="5"/>
    <x v="2"/>
    <x v="0"/>
    <x v="70"/>
    <s v="KEPL/01309/82-83"/>
    <s v="NILLONS L&amp;D"/>
    <x v="26"/>
    <n v="0.06"/>
    <n v="1"/>
    <n v="178.78"/>
    <n v="178.78"/>
    <n v="-13.75"/>
    <n v="0"/>
    <n v="21.454198000000002"/>
    <n v="186.48419799999999"/>
  </r>
  <r>
    <x v="0"/>
    <x v="5"/>
    <x v="2"/>
    <x v="0"/>
    <x v="70"/>
    <s v="KEPL/01309/82-83"/>
    <s v="NILLONS L&amp;D"/>
    <x v="58"/>
    <n v="0.03"/>
    <n v="1"/>
    <n v="111.74"/>
    <n v="111.74"/>
    <n v="-8.59"/>
    <n v="0"/>
    <n v="13.409686000000001"/>
    <n v="116.559686"/>
  </r>
  <r>
    <x v="15"/>
    <x v="5"/>
    <x v="2"/>
    <x v="0"/>
    <x v="70"/>
    <s v="KEPL/01309/82-83"/>
    <s v="NILLONS L&amp;D"/>
    <x v="32"/>
    <n v="0.02"/>
    <n v="1"/>
    <n v="111.74"/>
    <n v="111.74"/>
    <n v="-8.59"/>
    <n v="0"/>
    <n v="13.409686000000001"/>
    <n v="116.559686"/>
  </r>
  <r>
    <x v="18"/>
    <x v="5"/>
    <x v="2"/>
    <x v="0"/>
    <x v="70"/>
    <s v="KEPL/01309/82-83"/>
    <s v="NILLONS L&amp;D"/>
    <x v="43"/>
    <n v="0.02"/>
    <n v="1"/>
    <n v="111.74"/>
    <n v="111.74"/>
    <n v="-8.59"/>
    <n v="0"/>
    <n v="13.409686000000001"/>
    <n v="116.559686"/>
  </r>
  <r>
    <x v="1"/>
    <x v="5"/>
    <x v="2"/>
    <x v="0"/>
    <x v="70"/>
    <s v="KEPL/01309/82-83"/>
    <s v="NILLONS L&amp;D"/>
    <x v="25"/>
    <n v="0.06"/>
    <n v="1"/>
    <n v="178.78"/>
    <n v="178.78"/>
    <n v="-13.75"/>
    <n v="0"/>
    <n v="21.454198000000002"/>
    <n v="186.48419799999999"/>
  </r>
  <r>
    <x v="0"/>
    <x v="5"/>
    <x v="2"/>
    <x v="0"/>
    <x v="70"/>
    <s v="KEPL/01309/82-83"/>
    <s v="NILLONS L&amp;D"/>
    <x v="57"/>
    <n v="0.03"/>
    <n v="1"/>
    <n v="111.74"/>
    <n v="111.74"/>
    <n v="-8.59"/>
    <n v="0"/>
    <n v="13.409686000000001"/>
    <n v="116.559686"/>
  </r>
  <r>
    <x v="0"/>
    <x v="5"/>
    <x v="2"/>
    <x v="0"/>
    <x v="70"/>
    <s v="KEPL/01309/82-83"/>
    <s v="NILLONS L&amp;D"/>
    <x v="47"/>
    <n v="0.03"/>
    <n v="1"/>
    <n v="111.74"/>
    <n v="111.74"/>
    <n v="-8.59"/>
    <n v="0"/>
    <n v="13.409686000000001"/>
    <n v="116.559686"/>
  </r>
  <r>
    <x v="2"/>
    <x v="5"/>
    <x v="2"/>
    <x v="0"/>
    <x v="70"/>
    <s v="KEPL/01309/82-83"/>
    <s v="NILLONS L&amp;D"/>
    <x v="3"/>
    <n v="0.05"/>
    <n v="1"/>
    <n v="186.22"/>
    <n v="186.22"/>
    <n v="-14.32"/>
    <n v="0"/>
    <n v="22.34731"/>
    <n v="194.24731"/>
  </r>
  <r>
    <x v="10"/>
    <x v="5"/>
    <x v="2"/>
    <x v="0"/>
    <x v="70"/>
    <s v="KEPL/01309/82-83"/>
    <s v="NILLONS L&amp;D"/>
    <x v="49"/>
    <n v="7.0000000000000007E-2"/>
    <n v="1"/>
    <n v="260.72000000000003"/>
    <n v="260.72000000000003"/>
    <n v="-20.05"/>
    <n v="0"/>
    <n v="31.287534000000001"/>
    <n v="271.95753400000001"/>
  </r>
  <r>
    <x v="3"/>
    <x v="5"/>
    <x v="2"/>
    <x v="0"/>
    <x v="70"/>
    <s v="KEPL/01309/82-83"/>
    <s v="NILLONS L&amp;D"/>
    <x v="46"/>
    <n v="0.05"/>
    <n v="1"/>
    <n v="175.06"/>
    <n v="175.06"/>
    <n v="-13.46"/>
    <n v="0"/>
    <n v="21.008292000000001"/>
    <n v="182.60829200000001"/>
  </r>
  <r>
    <x v="3"/>
    <x v="5"/>
    <x v="2"/>
    <x v="0"/>
    <x v="70"/>
    <s v="KEPL/01309/82-83"/>
    <s v="NILLONS L&amp;D"/>
    <x v="54"/>
    <n v="0.05"/>
    <n v="1"/>
    <n v="175.06"/>
    <n v="175.06"/>
    <n v="-13.46"/>
    <n v="0"/>
    <n v="21.008292000000001"/>
    <n v="182.60829200000001"/>
  </r>
  <r>
    <x v="3"/>
    <x v="5"/>
    <x v="2"/>
    <x v="0"/>
    <x v="70"/>
    <s v="KEPL/01309/82-83"/>
    <s v="NILLONS L&amp;D"/>
    <x v="55"/>
    <n v="0.05"/>
    <n v="1"/>
    <n v="175.06"/>
    <n v="175.06"/>
    <n v="-13.46"/>
    <n v="0"/>
    <n v="21.008292000000001"/>
    <n v="182.60829200000001"/>
  </r>
  <r>
    <x v="1"/>
    <x v="5"/>
    <x v="2"/>
    <x v="0"/>
    <x v="70"/>
    <s v="KEPL/01309/82-83"/>
    <s v="NILLONS L&amp;D"/>
    <x v="2"/>
    <n v="0.06"/>
    <n v="1"/>
    <n v="178.78"/>
    <n v="178.78"/>
    <n v="-13.75"/>
    <n v="0"/>
    <n v="21.454198000000002"/>
    <n v="186.48419799999999"/>
  </r>
  <r>
    <x v="1"/>
    <x v="5"/>
    <x v="2"/>
    <x v="0"/>
    <x v="70"/>
    <s v="KEPL/01309/82-83"/>
    <s v="NILLONS L&amp;D"/>
    <x v="24"/>
    <n v="0.06"/>
    <n v="1"/>
    <n v="178.78"/>
    <n v="178.78"/>
    <n v="-13.75"/>
    <n v="0"/>
    <n v="21.454198000000002"/>
    <n v="186.48419799999999"/>
  </r>
  <r>
    <x v="13"/>
    <x v="5"/>
    <x v="2"/>
    <x v="0"/>
    <x v="70"/>
    <s v="KEPL/01309/82-83"/>
    <s v="NILLONS L&amp;D"/>
    <x v="50"/>
    <n v="0"/>
    <n v="1"/>
    <n v="14.9"/>
    <n v="14.9"/>
    <n v="-1.1499999999999999"/>
    <n v="0"/>
    <n v="1.787525"/>
    <n v="15.537525"/>
  </r>
  <r>
    <x v="13"/>
    <x v="5"/>
    <x v="2"/>
    <x v="0"/>
    <x v="70"/>
    <s v="KEPL/01310/82-83"/>
    <s v="NILLONS L&amp;D"/>
    <x v="21"/>
    <n v="0"/>
    <n v="1"/>
    <n v="14.9"/>
    <n v="14.9"/>
    <n v="-1.1499999999999999"/>
    <n v="0"/>
    <n v="1.787504"/>
    <n v="15.537504"/>
  </r>
  <r>
    <x v="12"/>
    <x v="5"/>
    <x v="2"/>
    <x v="0"/>
    <x v="70"/>
    <s v="KEPL/01310/82-83"/>
    <s v="NILLONS L&amp;D"/>
    <x v="60"/>
    <n v="0"/>
    <n v="1"/>
    <n v="1.86"/>
    <n v="1.86"/>
    <n v="-0.14000000000000001"/>
    <n v="0"/>
    <n v="0.22360099999999999"/>
    <n v="1.9436009999999999"/>
  </r>
  <r>
    <x v="8"/>
    <x v="5"/>
    <x v="2"/>
    <x v="0"/>
    <x v="70"/>
    <s v="KEPL/01310/82-83"/>
    <s v="NILLONS L&amp;D"/>
    <x v="13"/>
    <n v="0.04"/>
    <n v="1"/>
    <n v="141.54"/>
    <n v="141.54"/>
    <n v="-10.88"/>
    <n v="0"/>
    <n v="16.98584"/>
    <n v="147.64583999999999"/>
  </r>
  <r>
    <x v="6"/>
    <x v="5"/>
    <x v="2"/>
    <x v="0"/>
    <x v="70"/>
    <s v="KEPL/01310/82-83"/>
    <s v="NILLONS L&amp;D"/>
    <x v="59"/>
    <n v="0.05"/>
    <n v="1"/>
    <n v="204.85"/>
    <n v="204.85"/>
    <n v="-15.75"/>
    <n v="0"/>
    <n v="24.583058000000001"/>
    <n v="213.68305799999999"/>
  </r>
  <r>
    <x v="6"/>
    <x v="5"/>
    <x v="2"/>
    <x v="0"/>
    <x v="70"/>
    <s v="KEPL/01310/82-83"/>
    <s v="NILLONS L&amp;D"/>
    <x v="29"/>
    <n v="0.05"/>
    <n v="1"/>
    <n v="204.85"/>
    <n v="204.85"/>
    <n v="-15.75"/>
    <n v="0"/>
    <n v="24.583058000000001"/>
    <n v="213.68305799999999"/>
  </r>
  <r>
    <x v="7"/>
    <x v="5"/>
    <x v="2"/>
    <x v="0"/>
    <x v="70"/>
    <s v="KEPL/01310/82-83"/>
    <s v="NILLONS L&amp;D"/>
    <x v="27"/>
    <n v="0.01"/>
    <n v="1"/>
    <n v="37.25"/>
    <n v="37.25"/>
    <n v="-2.86"/>
    <n v="0"/>
    <n v="4.4707109999999997"/>
    <n v="38.860711000000002"/>
  </r>
  <r>
    <x v="6"/>
    <x v="5"/>
    <x v="2"/>
    <x v="0"/>
    <x v="70"/>
    <s v="KEPL/01310/82-83"/>
    <s v="NILLONS L&amp;D"/>
    <x v="28"/>
    <n v="0.05"/>
    <n v="1"/>
    <n v="204.85"/>
    <n v="204.85"/>
    <n v="-15.75"/>
    <n v="0"/>
    <n v="24.583058000000001"/>
    <n v="213.68305799999999"/>
  </r>
  <r>
    <x v="6"/>
    <x v="5"/>
    <x v="2"/>
    <x v="0"/>
    <x v="70"/>
    <s v="KEPL/01310/82-83"/>
    <s v="NILLONS L&amp;D"/>
    <x v="48"/>
    <n v="0.05"/>
    <n v="1"/>
    <n v="204.85"/>
    <n v="204.85"/>
    <n v="-15.75"/>
    <n v="0"/>
    <n v="24.583058000000001"/>
    <n v="213.68305799999999"/>
  </r>
  <r>
    <x v="9"/>
    <x v="5"/>
    <x v="2"/>
    <x v="0"/>
    <x v="70"/>
    <s v="KEPL/01310/82-83"/>
    <s v="NILLONS L&amp;D"/>
    <x v="22"/>
    <n v="0.04"/>
    <n v="1"/>
    <n v="204.85"/>
    <n v="204.85"/>
    <n v="-15.75"/>
    <n v="0"/>
    <n v="24.583058000000001"/>
    <n v="213.68305799999999"/>
  </r>
  <r>
    <x v="9"/>
    <x v="5"/>
    <x v="2"/>
    <x v="0"/>
    <x v="70"/>
    <s v="KEPL/01310/82-83"/>
    <s v="NILLONS L&amp;D"/>
    <x v="44"/>
    <n v="0.04"/>
    <n v="1"/>
    <n v="186.22"/>
    <n v="186.22"/>
    <n v="-14.32"/>
    <n v="0"/>
    <n v="22.347052999999999"/>
    <n v="194.24705299999999"/>
  </r>
  <r>
    <x v="11"/>
    <x v="5"/>
    <x v="2"/>
    <x v="0"/>
    <x v="70"/>
    <s v="KEPL/01315/82-83"/>
    <s v="BEERA BARJEE INTERNATIONAL PVT.LTD"/>
    <x v="53"/>
    <n v="1"/>
    <n v="40"/>
    <n v="81.94"/>
    <n v="3277.6"/>
    <n v="-252.05"/>
    <n v="0"/>
    <n v="393.32137799999998"/>
    <n v="3418.8713779999998"/>
  </r>
  <r>
    <x v="3"/>
    <x v="5"/>
    <x v="2"/>
    <x v="0"/>
    <x v="70"/>
    <s v="KEPL/01315/82-83"/>
    <s v="BEERA BARJEE INTERNATIONAL PVT.LTD"/>
    <x v="46"/>
    <n v="1"/>
    <n v="20"/>
    <n v="175.06"/>
    <n v="3501.2"/>
    <n v="-269.24"/>
    <n v="0"/>
    <n v="420.15466900000001"/>
    <n v="3652.114669"/>
  </r>
  <r>
    <x v="8"/>
    <x v="5"/>
    <x v="2"/>
    <x v="0"/>
    <x v="70"/>
    <s v="KEPL/01315/82-83"/>
    <s v="BEERA BARJEE INTERNATIONAL PVT.LTD"/>
    <x v="13"/>
    <n v="2"/>
    <n v="48"/>
    <n v="141.54"/>
    <n v="6793.92"/>
    <n v="-522.45000000000005"/>
    <n v="0"/>
    <n v="815.29084699999999"/>
    <n v="7086.7608469999996"/>
  </r>
  <r>
    <x v="3"/>
    <x v="5"/>
    <x v="2"/>
    <x v="0"/>
    <x v="70"/>
    <s v="KEPL/01315/82-83"/>
    <s v="BEERA BARJEE INTERNATIONAL PVT.LTD"/>
    <x v="54"/>
    <n v="1"/>
    <n v="20"/>
    <n v="175.06"/>
    <n v="3501.2"/>
    <n v="-269.24"/>
    <n v="0"/>
    <n v="420.15466900000001"/>
    <n v="3652.114669"/>
  </r>
  <r>
    <x v="0"/>
    <x v="5"/>
    <x v="2"/>
    <x v="0"/>
    <x v="70"/>
    <s v="KEPL/01315/82-83"/>
    <s v="BEERA BARJEE INTERNATIONAL PVT.LTD"/>
    <x v="57"/>
    <n v="2"/>
    <n v="80"/>
    <n v="111.74"/>
    <n v="8939.2000000000007"/>
    <n v="-687.42"/>
    <n v="0"/>
    <n v="1072.7310669999999"/>
    <n v="9324.5110669999995"/>
  </r>
  <r>
    <x v="6"/>
    <x v="5"/>
    <x v="2"/>
    <x v="0"/>
    <x v="70"/>
    <s v="KEPL/01315/82-83"/>
    <s v="BEERA BARJEE INTERNATIONAL PVT.LTD"/>
    <x v="29"/>
    <n v="2"/>
    <n v="40"/>
    <n v="204.85"/>
    <n v="8194"/>
    <n v="-630.12"/>
    <n v="0"/>
    <n v="983.30409499999996"/>
    <n v="8547.1840950000005"/>
  </r>
  <r>
    <x v="11"/>
    <x v="5"/>
    <x v="2"/>
    <x v="0"/>
    <x v="70"/>
    <s v="KEPL/01315/82-83"/>
    <s v="BEERA BARJEE INTERNATIONAL PVT.LTD"/>
    <x v="36"/>
    <n v="1"/>
    <n v="40"/>
    <n v="81.94"/>
    <n v="3277.6"/>
    <n v="-252.05"/>
    <n v="0"/>
    <n v="393.32137799999998"/>
    <n v="3418.8713779999998"/>
  </r>
  <r>
    <x v="9"/>
    <x v="5"/>
    <x v="2"/>
    <x v="0"/>
    <x v="70"/>
    <s v="KEPL/01315/82-83"/>
    <s v="BEERA BARJEE INTERNATIONAL PVT.LTD"/>
    <x v="38"/>
    <n v="1"/>
    <n v="24"/>
    <n v="186.22"/>
    <n v="4469.28"/>
    <n v="-343.69"/>
    <n v="0"/>
    <n v="536.32653299999993"/>
    <n v="4661.9165329999996"/>
  </r>
  <r>
    <x v="7"/>
    <x v="5"/>
    <x v="2"/>
    <x v="0"/>
    <x v="70"/>
    <s v="KEPL/01315/82-83"/>
    <s v="BEERA BARJEE INTERNATIONAL PVT.LTD"/>
    <x v="27"/>
    <n v="2"/>
    <n v="140"/>
    <n v="37.25"/>
    <n v="5215"/>
    <n v="-401.03"/>
    <n v="0"/>
    <n v="625.81590600000004"/>
    <n v="5439.7859060000001"/>
  </r>
  <r>
    <x v="6"/>
    <x v="5"/>
    <x v="2"/>
    <x v="0"/>
    <x v="70"/>
    <s v="KEPL/01315/82-83"/>
    <s v="BEERA BARJEE INTERNATIONAL PVT.LTD"/>
    <x v="59"/>
    <n v="1"/>
    <n v="20"/>
    <n v="204.85"/>
    <n v="4097"/>
    <n v="-315.06"/>
    <n v="0"/>
    <n v="491.65204699999998"/>
    <n v="4273.5920470000001"/>
  </r>
  <r>
    <x v="3"/>
    <x v="5"/>
    <x v="2"/>
    <x v="0"/>
    <x v="70"/>
    <s v="KEPL/01315/82-83"/>
    <s v="BEERA BARJEE INTERNATIONAL PVT.LTD"/>
    <x v="55"/>
    <n v="1"/>
    <n v="20"/>
    <n v="175.06"/>
    <n v="3501.2"/>
    <n v="-269.24"/>
    <n v="0"/>
    <n v="420.15466900000001"/>
    <n v="3652.114669"/>
  </r>
  <r>
    <x v="0"/>
    <x v="5"/>
    <x v="2"/>
    <x v="0"/>
    <x v="70"/>
    <s v="KEPL/01315/82-83"/>
    <s v="BEERA BARJEE INTERNATIONAL PVT.LTD"/>
    <x v="47"/>
    <n v="2"/>
    <n v="80"/>
    <n v="111.74"/>
    <n v="8939.2000000000007"/>
    <n v="-687.42"/>
    <n v="0"/>
    <n v="1072.7310669999999"/>
    <n v="9324.5110669999995"/>
  </r>
  <r>
    <x v="0"/>
    <x v="5"/>
    <x v="2"/>
    <x v="0"/>
    <x v="70"/>
    <s v="KEPL/01315/82-83"/>
    <s v="BEERA BARJEE INTERNATIONAL PVT.LTD"/>
    <x v="58"/>
    <n v="1"/>
    <n v="40"/>
    <n v="111.74"/>
    <n v="4469.6000000000004"/>
    <n v="-343.71"/>
    <n v="0"/>
    <n v="536.36553300000003"/>
    <n v="4662.2555329999996"/>
  </r>
  <r>
    <x v="6"/>
    <x v="5"/>
    <x v="2"/>
    <x v="0"/>
    <x v="70"/>
    <s v="KEPL/01315/82-83"/>
    <s v="BEERA BARJEE INTERNATIONAL PVT.LTD"/>
    <x v="48"/>
    <n v="1"/>
    <n v="20"/>
    <n v="204.85"/>
    <n v="4097"/>
    <n v="-315.06"/>
    <n v="0"/>
    <n v="491.65204699999998"/>
    <n v="4273.5920470000001"/>
  </r>
  <r>
    <x v="6"/>
    <x v="5"/>
    <x v="2"/>
    <x v="0"/>
    <x v="70"/>
    <s v="KEPL/01315/82-83"/>
    <s v="BEERA BARJEE INTERNATIONAL PVT.LTD"/>
    <x v="28"/>
    <n v="2"/>
    <n v="40"/>
    <n v="204.85"/>
    <n v="8194"/>
    <n v="-630.12"/>
    <n v="0"/>
    <n v="983.30409499999996"/>
    <n v="8547.1840950000005"/>
  </r>
  <r>
    <x v="20"/>
    <x v="5"/>
    <x v="2"/>
    <x v="0"/>
    <x v="70"/>
    <s v="KEPL/01316/82-83"/>
    <s v="GORIN TRADING "/>
    <x v="52"/>
    <n v="20"/>
    <n v="80"/>
    <n v="595.92999999999995"/>
    <n v="47674.400000000001"/>
    <n v="-3666.16"/>
    <n v="0"/>
    <n v="5721.0700000000006"/>
    <n v="49729.31"/>
  </r>
  <r>
    <x v="0"/>
    <x v="5"/>
    <x v="2"/>
    <x v="0"/>
    <x v="70"/>
    <s v="KEPL/01324/82-83"/>
    <s v="NEW MATA RANI SUPPLIERS"/>
    <x v="57"/>
    <n v="3"/>
    <n v="120"/>
    <n v="111.74"/>
    <n v="13408.8"/>
    <n v="-1031.1400000000001"/>
    <n v="0"/>
    <n v="1609.095255"/>
    <n v="13986.755255"/>
  </r>
  <r>
    <x v="0"/>
    <x v="5"/>
    <x v="2"/>
    <x v="0"/>
    <x v="70"/>
    <s v="KEPL/01324/82-83"/>
    <s v="NEW MATA RANI SUPPLIERS"/>
    <x v="47"/>
    <n v="4"/>
    <n v="160"/>
    <n v="111.74"/>
    <n v="17878.400000000001"/>
    <n v="-1374.85"/>
    <n v="0"/>
    <n v="2145.4607730000002"/>
    <n v="18649.010773000002"/>
  </r>
  <r>
    <x v="3"/>
    <x v="5"/>
    <x v="2"/>
    <x v="0"/>
    <x v="70"/>
    <s v="KEPL/01324/82-83"/>
    <s v="NEW MATA RANI SUPPLIERS"/>
    <x v="46"/>
    <n v="2"/>
    <n v="40"/>
    <n v="175.06"/>
    <n v="7002.4"/>
    <n v="-538.48"/>
    <n v="0"/>
    <n v="840.30931500000008"/>
    <n v="7304.2293149999996"/>
  </r>
  <r>
    <x v="3"/>
    <x v="5"/>
    <x v="2"/>
    <x v="0"/>
    <x v="70"/>
    <s v="KEPL/01324/82-83"/>
    <s v="NEW MATA RANI SUPPLIERS"/>
    <x v="55"/>
    <n v="1"/>
    <n v="20"/>
    <n v="175.06"/>
    <n v="3501.2"/>
    <n v="-269.24"/>
    <n v="0"/>
    <n v="420.15465799999998"/>
    <n v="3652.114658"/>
  </r>
  <r>
    <x v="8"/>
    <x v="5"/>
    <x v="2"/>
    <x v="0"/>
    <x v="70"/>
    <s v="KESR/0029/82-83"/>
    <s v="ABIRAL SUPPLIERS AND TRADERS"/>
    <x v="13"/>
    <n v="-0.75"/>
    <n v="-18"/>
    <n v="141.53"/>
    <n v="-2547.54"/>
    <n v="195.91"/>
    <n v="0"/>
    <n v="-305.71202099999999"/>
    <n v="-2657.3420209999999"/>
  </r>
  <r>
    <x v="13"/>
    <x v="5"/>
    <x v="2"/>
    <x v="0"/>
    <x v="70"/>
    <s v="KESR/0029/82-83"/>
    <s v="ABIRAL SUPPLIERS AND TRADERS"/>
    <x v="40"/>
    <n v="-1"/>
    <n v="-600"/>
    <n v="7.45"/>
    <n v="-4470"/>
    <n v="343.74"/>
    <n v="0"/>
    <n v="-536.41401300000007"/>
    <n v="-4662.6740129999998"/>
  </r>
  <r>
    <x v="9"/>
    <x v="5"/>
    <x v="2"/>
    <x v="0"/>
    <x v="70"/>
    <s v="KESR/0029/82-83"/>
    <s v="ABIRAL SUPPLIERS AND TRADERS"/>
    <x v="44"/>
    <n v="-1.75"/>
    <n v="-42"/>
    <n v="186.23"/>
    <n v="-7821.66"/>
    <n v="601.4899999999999"/>
    <n v="0"/>
    <n v="-938.62247200000002"/>
    <n v="-8158.7924720000001"/>
  </r>
  <r>
    <x v="11"/>
    <x v="5"/>
    <x v="2"/>
    <x v="0"/>
    <x v="70"/>
    <s v="KESR/0029/82-83"/>
    <s v="ABIRAL SUPPLIERS AND TRADERS"/>
    <x v="53"/>
    <n v="-0.57999999999999996"/>
    <n v="-23"/>
    <n v="81.94"/>
    <n v="-1884.6200000000001"/>
    <n v="144.93"/>
    <n v="0"/>
    <n v="-226.15979000000002"/>
    <n v="-1965.84979"/>
  </r>
  <r>
    <x v="11"/>
    <x v="5"/>
    <x v="2"/>
    <x v="0"/>
    <x v="70"/>
    <s v="KESR/0029/82-83"/>
    <s v="ABIRAL SUPPLIERS AND TRADERS"/>
    <x v="36"/>
    <n v="-1.85"/>
    <n v="-74"/>
    <n v="81.94"/>
    <n v="-6063.5599999999995"/>
    <n v="466.29"/>
    <n v="0"/>
    <n v="-727.64538900000002"/>
    <n v="-6324.9153889999998"/>
  </r>
  <r>
    <x v="13"/>
    <x v="5"/>
    <x v="2"/>
    <x v="0"/>
    <x v="70"/>
    <s v="KESR/0029/82-83"/>
    <s v="ABIRAL SUPPLIERS AND TRADERS"/>
    <x v="23"/>
    <n v="-1"/>
    <n v="-600"/>
    <n v="7.45"/>
    <n v="-4470"/>
    <n v="343.74"/>
    <n v="0"/>
    <n v="-536.41401300000007"/>
    <n v="-4662.6740129999998"/>
  </r>
  <r>
    <x v="9"/>
    <x v="5"/>
    <x v="2"/>
    <x v="0"/>
    <x v="70"/>
    <s v="KESR/0029/82-83"/>
    <s v="ABIRAL SUPPLIERS AND TRADERS"/>
    <x v="22"/>
    <n v="-0.96"/>
    <n v="-23"/>
    <n v="204.85"/>
    <n v="-4711.55"/>
    <n v="362.32"/>
    <n v="0"/>
    <n v="-565.40012400000001"/>
    <n v="-4914.6301240000003"/>
  </r>
  <r>
    <x v="8"/>
    <x v="5"/>
    <x v="2"/>
    <x v="0"/>
    <x v="70"/>
    <s v="KESR/0029/82-83"/>
    <s v="ABIRAL SUPPLIERS AND TRADERS"/>
    <x v="56"/>
    <n v="-2"/>
    <n v="-1600"/>
    <n v="7.45"/>
    <n v="-11920"/>
    <n v="916.65"/>
    <n v="0"/>
    <n v="-1430.4360669999999"/>
    <n v="-12433.786066999999"/>
  </r>
  <r>
    <x v="20"/>
    <x v="5"/>
    <x v="2"/>
    <x v="0"/>
    <x v="70"/>
    <s v="KESR/0029/82-83"/>
    <s v="ABIRAL SUPPLIERS AND TRADERS"/>
    <x v="52"/>
    <n v="-2"/>
    <n v="-8"/>
    <n v="595.92999999999995"/>
    <n v="-4767.4399999999996"/>
    <n v="366.62"/>
    <n v="0"/>
    <n v="-572.10682700000007"/>
    <n v="-4972.9268270000002"/>
  </r>
  <r>
    <x v="9"/>
    <x v="5"/>
    <x v="2"/>
    <x v="0"/>
    <x v="70"/>
    <s v="KESR/0029/82-83"/>
    <s v="ABIRAL SUPPLIERS AND TRADERS"/>
    <x v="38"/>
    <n v="-2.75"/>
    <n v="-66"/>
    <n v="186.23"/>
    <n v="-12291.18"/>
    <n v="945.19"/>
    <n v="0"/>
    <n v="-1474.9792850000001"/>
    <n v="-12820.969284999999"/>
  </r>
  <r>
    <x v="13"/>
    <x v="5"/>
    <x v="2"/>
    <x v="0"/>
    <x v="71"/>
    <s v="KEPL/01325/82-83"/>
    <s v="BEERA BARJEE INTERNATIONAL PVT.LTD"/>
    <x v="40"/>
    <n v="1"/>
    <n v="600"/>
    <n v="7.45"/>
    <n v="4470"/>
    <n v="-343.74"/>
    <n v="0"/>
    <n v="536.41500000000008"/>
    <n v="4662.6750000000002"/>
  </r>
  <r>
    <x v="13"/>
    <x v="5"/>
    <x v="2"/>
    <x v="0"/>
    <x v="71"/>
    <s v="KEPL/01325/82-83"/>
    <s v="BEERA BARJEE INTERNATIONAL PVT.LTD"/>
    <x v="23"/>
    <n v="1"/>
    <n v="600"/>
    <n v="7.45"/>
    <n v="4470"/>
    <n v="-343.74"/>
    <n v="0"/>
    <n v="536.41500000000008"/>
    <n v="4662.6750000000002"/>
  </r>
  <r>
    <x v="9"/>
    <x v="5"/>
    <x v="2"/>
    <x v="0"/>
    <x v="71"/>
    <s v="KEPL/01329/82-83"/>
    <s v="GORIN TRADING "/>
    <x v="22"/>
    <n v="0.96"/>
    <n v="23"/>
    <n v="204.85"/>
    <n v="4711.55"/>
    <n v="-362.32"/>
    <n v="0"/>
    <n v="565.4"/>
    <n v="4914.63"/>
  </r>
  <r>
    <x v="3"/>
    <x v="5"/>
    <x v="2"/>
    <x v="0"/>
    <x v="71"/>
    <s v="KEPL/01332/82-83"/>
    <s v="CHHATRA DEV GENERAL SUPPLIERS"/>
    <x v="46"/>
    <n v="3"/>
    <n v="60"/>
    <n v="175.06"/>
    <n v="10503.6"/>
    <n v="-807.7299999999999"/>
    <n v="0"/>
    <n v="1260.4630599999998"/>
    <n v="10956.333060000001"/>
  </r>
  <r>
    <x v="8"/>
    <x v="5"/>
    <x v="2"/>
    <x v="0"/>
    <x v="71"/>
    <s v="KEPL/01332/82-83"/>
    <s v="CHHATRA DEV GENERAL SUPPLIERS"/>
    <x v="13"/>
    <n v="5"/>
    <n v="120"/>
    <n v="141.54"/>
    <n v="16984.62"/>
    <n v="-1306.1199999999999"/>
    <n v="0"/>
    <n v="2038.2049359999999"/>
    <n v="17716.704935999998"/>
  </r>
  <r>
    <x v="20"/>
    <x v="5"/>
    <x v="2"/>
    <x v="0"/>
    <x v="71"/>
    <s v="KEPL/01332/82-83"/>
    <s v="CHHATRA DEV GENERAL SUPPLIERS"/>
    <x v="52"/>
    <n v="15"/>
    <n v="60"/>
    <n v="595.92999999999995"/>
    <n v="35755.799999999996"/>
    <n v="-2749.62"/>
    <n v="0"/>
    <n v="4290.8032649999996"/>
    <n v="37296.983265000003"/>
  </r>
  <r>
    <x v="11"/>
    <x v="5"/>
    <x v="2"/>
    <x v="0"/>
    <x v="71"/>
    <s v="KEPL/01332/82-83"/>
    <s v="CHHATRA DEV GENERAL SUPPLIERS"/>
    <x v="36"/>
    <n v="5"/>
    <n v="200"/>
    <n v="81.94"/>
    <n v="16388"/>
    <n v="-1260.24"/>
    <n v="0"/>
    <n v="1966.6087379999999"/>
    <n v="17094.368738000001"/>
  </r>
  <r>
    <x v="6"/>
    <x v="5"/>
    <x v="2"/>
    <x v="0"/>
    <x v="71"/>
    <s v="KEPL/01339/82-83"/>
    <s v="KRISHMA ENTERPRISES"/>
    <x v="28"/>
    <n v="10"/>
    <n v="200"/>
    <n v="204.85"/>
    <n v="40970"/>
    <n v="-3150.5899999999997"/>
    <n v="0"/>
    <n v="4916.5239759999995"/>
    <n v="42735.933976"/>
  </r>
  <r>
    <x v="0"/>
    <x v="5"/>
    <x v="2"/>
    <x v="0"/>
    <x v="71"/>
    <s v="KEPL/01339/82-83"/>
    <s v="KRISHMA ENTERPRISES"/>
    <x v="47"/>
    <n v="5.01"/>
    <n v="200"/>
    <n v="111.74"/>
    <n v="22348"/>
    <n v="-1718.56"/>
    <n v="0"/>
    <n v="2681.827569"/>
    <n v="23311.267569"/>
  </r>
  <r>
    <x v="3"/>
    <x v="5"/>
    <x v="2"/>
    <x v="0"/>
    <x v="71"/>
    <s v="KEPL/01339/82-83"/>
    <s v="KRISHMA ENTERPRISES"/>
    <x v="46"/>
    <n v="6"/>
    <n v="120"/>
    <n v="175.06"/>
    <n v="21007.200000000001"/>
    <n v="-1615.45"/>
    <n v="0"/>
    <n v="2520.927846"/>
    <n v="21912.677845999999"/>
  </r>
  <r>
    <x v="0"/>
    <x v="5"/>
    <x v="2"/>
    <x v="0"/>
    <x v="71"/>
    <s v="KEPL/01339/82-83"/>
    <s v="KRISHMA ENTERPRISES"/>
    <x v="57"/>
    <n v="5"/>
    <n v="200"/>
    <n v="111.74"/>
    <n v="22348"/>
    <n v="-1718.56"/>
    <n v="0"/>
    <n v="2681.827569"/>
    <n v="23311.267569"/>
  </r>
  <r>
    <x v="3"/>
    <x v="5"/>
    <x v="2"/>
    <x v="0"/>
    <x v="71"/>
    <s v="KEPL/01339/82-83"/>
    <s v="KRISHMA ENTERPRISES"/>
    <x v="55"/>
    <n v="6"/>
    <n v="120"/>
    <n v="175.06"/>
    <n v="21007.200000000001"/>
    <n v="-1615.45"/>
    <n v="0"/>
    <n v="2520.927846"/>
    <n v="21912.677845999999"/>
  </r>
  <r>
    <x v="16"/>
    <x v="5"/>
    <x v="2"/>
    <x v="0"/>
    <x v="71"/>
    <s v="KEPL/01339/82-83"/>
    <s v="KRISHMA ENTERPRISES"/>
    <x v="35"/>
    <n v="5"/>
    <n v="300"/>
    <n v="145.26"/>
    <n v="43578"/>
    <n v="-3351.1499999999996"/>
    <n v="0"/>
    <n v="5229.4912189999995"/>
    <n v="45456.341219000002"/>
  </r>
  <r>
    <x v="6"/>
    <x v="5"/>
    <x v="2"/>
    <x v="0"/>
    <x v="71"/>
    <s v="KEPL/01339/82-83"/>
    <s v="KRISHMA ENTERPRISES"/>
    <x v="29"/>
    <n v="10"/>
    <n v="200"/>
    <n v="204.85"/>
    <n v="40970"/>
    <n v="-3150.5899999999997"/>
    <n v="0"/>
    <n v="4916.5239759999995"/>
    <n v="42735.933976"/>
  </r>
  <r>
    <x v="20"/>
    <x v="5"/>
    <x v="2"/>
    <x v="0"/>
    <x v="71"/>
    <s v="KEPL/01340/82-83"/>
    <s v="SHREE BHOLEY SHANKAR KIRANA STORE"/>
    <x v="52"/>
    <n v="50"/>
    <n v="200"/>
    <n v="595.92999999999995"/>
    <n v="119186"/>
    <n v="-9165.4"/>
    <n v="0"/>
    <n v="14302.68"/>
    <n v="124323.28"/>
  </r>
  <r>
    <x v="6"/>
    <x v="5"/>
    <x v="2"/>
    <x v="0"/>
    <x v="71"/>
    <s v="KEPL/01341/82-83"/>
    <s v="R.P DISTRIBUTOR TRADE CENTER"/>
    <x v="29"/>
    <n v="1"/>
    <n v="20"/>
    <n v="204.85"/>
    <n v="4097"/>
    <n v="-315.06"/>
    <n v="0"/>
    <n v="491.652064"/>
    <n v="4273.5920640000004"/>
  </r>
  <r>
    <x v="0"/>
    <x v="5"/>
    <x v="2"/>
    <x v="0"/>
    <x v="71"/>
    <s v="KEPL/01341/82-83"/>
    <s v="R.P DISTRIBUTOR TRADE CENTER"/>
    <x v="47"/>
    <n v="5"/>
    <n v="200"/>
    <n v="111.74"/>
    <n v="22348"/>
    <n v="-1718.56"/>
    <n v="0"/>
    <n v="2681.8264600000002"/>
    <n v="23311.266459999999"/>
  </r>
  <r>
    <x v="10"/>
    <x v="5"/>
    <x v="2"/>
    <x v="0"/>
    <x v="71"/>
    <s v="KEPL/01341/82-83"/>
    <s v="R.P DISTRIBUTOR TRADE CENTER"/>
    <x v="49"/>
    <n v="5"/>
    <n v="75"/>
    <n v="260.72000000000003"/>
    <n v="19554"/>
    <n v="-1503.6999999999998"/>
    <n v="0"/>
    <n v="2346.538352"/>
    <n v="20396.838351999999"/>
  </r>
  <r>
    <x v="20"/>
    <x v="5"/>
    <x v="2"/>
    <x v="0"/>
    <x v="71"/>
    <s v="KEPL/01341/82-83"/>
    <s v="R.P DISTRIBUTOR TRADE CENTER"/>
    <x v="52"/>
    <n v="10"/>
    <n v="40"/>
    <n v="595.92999999999995"/>
    <n v="23837.200000000001"/>
    <n v="-1833.08"/>
    <n v="0"/>
    <n v="2860.5348099999997"/>
    <n v="24864.65481"/>
  </r>
  <r>
    <x v="3"/>
    <x v="5"/>
    <x v="2"/>
    <x v="0"/>
    <x v="71"/>
    <s v="KEPL/01341/82-83"/>
    <s v="R.P DISTRIBUTOR TRADE CENTER"/>
    <x v="46"/>
    <n v="5"/>
    <n v="100"/>
    <n v="175.06"/>
    <n v="17506"/>
    <n v="-1346.21"/>
    <n v="0"/>
    <n v="2100.7721200000001"/>
    <n v="18260.562119999999"/>
  </r>
  <r>
    <x v="6"/>
    <x v="5"/>
    <x v="2"/>
    <x v="0"/>
    <x v="71"/>
    <s v="KEPL/01341/82-83"/>
    <s v="R.P DISTRIBUTOR TRADE CENTER"/>
    <x v="59"/>
    <n v="1"/>
    <n v="20"/>
    <n v="204.85"/>
    <n v="4097"/>
    <n v="-315.06"/>
    <n v="0"/>
    <n v="491.652064"/>
    <n v="4273.5920640000004"/>
  </r>
  <r>
    <x v="6"/>
    <x v="5"/>
    <x v="2"/>
    <x v="0"/>
    <x v="71"/>
    <s v="KEPL/01341/82-83"/>
    <s v="R.P DISTRIBUTOR TRADE CENTER"/>
    <x v="48"/>
    <n v="1"/>
    <n v="20"/>
    <n v="204.85"/>
    <n v="4097"/>
    <n v="-315.06"/>
    <n v="0"/>
    <n v="491.652064"/>
    <n v="4273.5920640000004"/>
  </r>
  <r>
    <x v="6"/>
    <x v="5"/>
    <x v="2"/>
    <x v="0"/>
    <x v="71"/>
    <s v="KEPL/01341/82-83"/>
    <s v="R.P DISTRIBUTOR TRADE CENTER"/>
    <x v="28"/>
    <n v="1"/>
    <n v="20"/>
    <n v="204.85"/>
    <n v="4097"/>
    <n v="-315.06"/>
    <n v="0"/>
    <n v="491.652064"/>
    <n v="4273.5920640000004"/>
  </r>
  <r>
    <x v="11"/>
    <x v="5"/>
    <x v="2"/>
    <x v="0"/>
    <x v="71"/>
    <s v="KEPL/01342/82-83"/>
    <s v="RAJU KIRANA PASAL"/>
    <x v="36"/>
    <n v="1"/>
    <n v="40"/>
    <n v="81.94"/>
    <n v="3277.6"/>
    <n v="-252.05"/>
    <n v="0"/>
    <n v="393.32183500000002"/>
    <n v="3418.8718349999999"/>
  </r>
  <r>
    <x v="8"/>
    <x v="5"/>
    <x v="2"/>
    <x v="0"/>
    <x v="71"/>
    <s v="KEPL/01342/82-83"/>
    <s v="RAJU KIRANA PASAL"/>
    <x v="13"/>
    <n v="1"/>
    <n v="24"/>
    <n v="141.54"/>
    <n v="3396.96"/>
    <n v="-261.23"/>
    <n v="0"/>
    <n v="407.64524699999998"/>
    <n v="3543.3752469999999"/>
  </r>
  <r>
    <x v="12"/>
    <x v="5"/>
    <x v="2"/>
    <x v="0"/>
    <x v="71"/>
    <s v="KEPL/01342/82-83"/>
    <s v="RAJU KIRANA PASAL"/>
    <x v="60"/>
    <n v="1"/>
    <n v="1000"/>
    <n v="1.86"/>
    <n v="1860"/>
    <n v="-143.03"/>
    <n v="0"/>
    <n v="223.20629"/>
    <n v="1940.1762900000001"/>
  </r>
  <r>
    <x v="11"/>
    <x v="5"/>
    <x v="2"/>
    <x v="0"/>
    <x v="71"/>
    <s v="KEPL/01342/82-83"/>
    <s v="RAJU KIRANA PASAL"/>
    <x v="53"/>
    <n v="1"/>
    <n v="40"/>
    <n v="81.94"/>
    <n v="3277.6"/>
    <n v="-252.05"/>
    <n v="0"/>
    <n v="393.32183500000002"/>
    <n v="3418.8718349999999"/>
  </r>
  <r>
    <x v="7"/>
    <x v="5"/>
    <x v="2"/>
    <x v="0"/>
    <x v="71"/>
    <s v="KEPL/01342/82-83"/>
    <s v="RAJU KIRANA PASAL"/>
    <x v="12"/>
    <n v="1"/>
    <n v="130"/>
    <n v="37.25"/>
    <n v="4842.5"/>
    <n v="-372.39"/>
    <n v="0"/>
    <n v="581.11479400000007"/>
    <n v="5051.2247939999997"/>
  </r>
  <r>
    <x v="18"/>
    <x v="5"/>
    <x v="2"/>
    <x v="0"/>
    <x v="72"/>
    <s v="KEPL/01362/82-83"/>
    <s v="SIMPEX SOLUTION PVT. LTD"/>
    <x v="43"/>
    <n v="0.17"/>
    <n v="10"/>
    <n v="106.19"/>
    <n v="1061.9000000000001"/>
    <n v="0"/>
    <n v="0"/>
    <n v="138.046719"/>
    <n v="1199.946719"/>
  </r>
  <r>
    <x v="8"/>
    <x v="5"/>
    <x v="2"/>
    <x v="0"/>
    <x v="72"/>
    <s v="KEPL/01362/82-83"/>
    <s v="SIMPEX SOLUTION PVT. LTD"/>
    <x v="13"/>
    <n v="1.67"/>
    <n v="40"/>
    <n v="134.51"/>
    <n v="5380.4000000000005"/>
    <n v="0"/>
    <n v="0"/>
    <n v="699.45057599999996"/>
    <n v="6079.8505759999998"/>
  </r>
  <r>
    <x v="6"/>
    <x v="5"/>
    <x v="2"/>
    <x v="0"/>
    <x v="72"/>
    <s v="KEPL/01362/82-83"/>
    <s v="SIMPEX SOLUTION PVT. LTD"/>
    <x v="28"/>
    <n v="0.5"/>
    <n v="10"/>
    <n v="194.69"/>
    <n v="1946.8999999999999"/>
    <n v="0"/>
    <n v="0"/>
    <n v="253.096485"/>
    <n v="2199.9964850000001"/>
  </r>
  <r>
    <x v="8"/>
    <x v="5"/>
    <x v="2"/>
    <x v="0"/>
    <x v="72"/>
    <s v="KEPL/01362/82-83"/>
    <s v="SIMPEX SOLUTION PVT. LTD"/>
    <x v="34"/>
    <n v="0.25"/>
    <n v="10"/>
    <n v="70.8"/>
    <n v="708"/>
    <n v="0"/>
    <n v="0"/>
    <n v="92.039812999999995"/>
    <n v="800.03981299999998"/>
  </r>
  <r>
    <x v="9"/>
    <x v="5"/>
    <x v="2"/>
    <x v="0"/>
    <x v="72"/>
    <s v="KEPL/01362/82-83"/>
    <s v="SIMPEX SOLUTION PVT. LTD"/>
    <x v="22"/>
    <n v="0.42"/>
    <n v="10"/>
    <n v="194.69"/>
    <n v="1946.8999999999999"/>
    <n v="0"/>
    <n v="0"/>
    <n v="253.096485"/>
    <n v="2199.9964850000001"/>
  </r>
  <r>
    <x v="14"/>
    <x v="5"/>
    <x v="2"/>
    <x v="0"/>
    <x v="72"/>
    <s v="KEPL/01362/82-83"/>
    <s v="SIMPEX SOLUTION PVT. LTD"/>
    <x v="31"/>
    <n v="0.33"/>
    <n v="20"/>
    <n v="106.19"/>
    <n v="2123.8000000000002"/>
    <n v="0"/>
    <n v="0"/>
    <n v="276.09343799999999"/>
    <n v="2399.8934380000001"/>
  </r>
  <r>
    <x v="6"/>
    <x v="5"/>
    <x v="2"/>
    <x v="0"/>
    <x v="72"/>
    <s v="KEPL/01362/82-83"/>
    <s v="SIMPEX SOLUTION PVT. LTD"/>
    <x v="59"/>
    <n v="0.5"/>
    <n v="10"/>
    <n v="194.69"/>
    <n v="1946.8999999999999"/>
    <n v="0"/>
    <n v="0"/>
    <n v="253.096485"/>
    <n v="2199.9964850000001"/>
  </r>
  <r>
    <x v="1"/>
    <x v="5"/>
    <x v="2"/>
    <x v="0"/>
    <x v="72"/>
    <s v="KEPL/01363/82-83"/>
    <s v="SHUBHASHREE MARKETING"/>
    <x v="25"/>
    <n v="2"/>
    <n v="36"/>
    <n v="178.78"/>
    <n v="6436.0800000000008"/>
    <n v="-494.93"/>
    <n v="0"/>
    <n v="772.34944700000005"/>
    <n v="6713.4994470000001"/>
  </r>
  <r>
    <x v="7"/>
    <x v="5"/>
    <x v="2"/>
    <x v="0"/>
    <x v="72"/>
    <s v="KEPL/01363/82-83"/>
    <s v="SHUBHASHREE MARKETING"/>
    <x v="27"/>
    <n v="10"/>
    <n v="700"/>
    <n v="37.25"/>
    <n v="26075"/>
    <n v="-2005.1699999999998"/>
    <n v="0"/>
    <n v="3129.077687"/>
    <n v="27198.907686999999"/>
  </r>
  <r>
    <x v="1"/>
    <x v="5"/>
    <x v="2"/>
    <x v="0"/>
    <x v="72"/>
    <s v="KEPL/01363/82-83"/>
    <s v="SHUBHASHREE MARKETING"/>
    <x v="26"/>
    <n v="5"/>
    <n v="90"/>
    <n v="178.78"/>
    <n v="16090.2"/>
    <n v="-1237.3400000000001"/>
    <n v="0"/>
    <n v="1930.8716689999999"/>
    <n v="16783.731669000001"/>
  </r>
  <r>
    <x v="13"/>
    <x v="5"/>
    <x v="2"/>
    <x v="0"/>
    <x v="72"/>
    <s v="KEPL/01363/82-83"/>
    <s v="SHUBHASHREE MARKETING"/>
    <x v="50"/>
    <n v="2"/>
    <n v="480"/>
    <n v="14.9"/>
    <n v="7152"/>
    <n v="-549.99"/>
    <n v="0"/>
    <n v="858.26124200000004"/>
    <n v="7460.2712419999998"/>
  </r>
  <r>
    <x v="8"/>
    <x v="5"/>
    <x v="2"/>
    <x v="0"/>
    <x v="72"/>
    <s v="KEPL/01363/82-83"/>
    <s v="SHUBHASHREE MARKETING"/>
    <x v="33"/>
    <n v="3"/>
    <n v="120"/>
    <n v="74.489999999999995"/>
    <n v="8938.8000000000011"/>
    <n v="-687.3900000000001"/>
    <n v="0"/>
    <n v="1072.683227"/>
    <n v="9324.0932269999994"/>
  </r>
  <r>
    <x v="0"/>
    <x v="5"/>
    <x v="2"/>
    <x v="0"/>
    <x v="72"/>
    <s v="KEPL/01363/82-83"/>
    <s v="SHUBHASHREE MARKETING"/>
    <x v="47"/>
    <n v="4"/>
    <n v="160"/>
    <n v="111.74"/>
    <n v="17878.400000000001"/>
    <n v="-1374.85"/>
    <n v="0"/>
    <n v="2145.461354"/>
    <n v="18649.011353999998"/>
  </r>
  <r>
    <x v="8"/>
    <x v="5"/>
    <x v="2"/>
    <x v="0"/>
    <x v="72"/>
    <s v="KEPL/01363/82-83"/>
    <s v="SHUBHASHREE MARKETING"/>
    <x v="34"/>
    <n v="3"/>
    <n v="120"/>
    <n v="74.489999999999995"/>
    <n v="8938.8000000000011"/>
    <n v="-687.3900000000001"/>
    <n v="0"/>
    <n v="1072.683227"/>
    <n v="9324.0932269999994"/>
  </r>
  <r>
    <x v="17"/>
    <x v="5"/>
    <x v="2"/>
    <x v="0"/>
    <x v="72"/>
    <s v="KEPL/01363/82-83"/>
    <s v="SHUBHASHREE MARKETING"/>
    <x v="39"/>
    <n v="6"/>
    <n v="120"/>
    <n v="249.55"/>
    <n v="29946"/>
    <n v="-2302.85"/>
    <n v="0"/>
    <n v="3593.6092550000003"/>
    <n v="31236.759255000001"/>
  </r>
  <r>
    <x v="13"/>
    <x v="5"/>
    <x v="2"/>
    <x v="0"/>
    <x v="72"/>
    <s v="KEPL/01363/82-83"/>
    <s v="SHUBHASHREE MARKETING"/>
    <x v="40"/>
    <n v="5"/>
    <n v="3000"/>
    <n v="7.46"/>
    <n v="22380"/>
    <n v="-1721.0200000000002"/>
    <n v="0"/>
    <n v="2685.6672170000002"/>
    <n v="23344.647217000002"/>
  </r>
  <r>
    <x v="13"/>
    <x v="5"/>
    <x v="2"/>
    <x v="0"/>
    <x v="72"/>
    <s v="KEPL/01363/82-83"/>
    <s v="SHUBHASHREE MARKETING"/>
    <x v="21"/>
    <n v="2"/>
    <n v="480"/>
    <n v="14.9"/>
    <n v="7152"/>
    <n v="-549.99"/>
    <n v="0"/>
    <n v="858.26124200000004"/>
    <n v="7460.2712419999998"/>
  </r>
  <r>
    <x v="19"/>
    <x v="5"/>
    <x v="2"/>
    <x v="0"/>
    <x v="72"/>
    <s v="KEPL/01363/82-83"/>
    <s v="SHUBHASHREE MARKETING"/>
    <x v="51"/>
    <n v="10"/>
    <n v="500"/>
    <n v="89.39"/>
    <n v="44695"/>
    <n v="-3437.0499999999997"/>
    <n v="0"/>
    <n v="5363.5331349999997"/>
    <n v="46621.483135000002"/>
  </r>
  <r>
    <x v="20"/>
    <x v="5"/>
    <x v="2"/>
    <x v="0"/>
    <x v="72"/>
    <s v="KEPL/01363/82-83"/>
    <s v="SHUBHASHREE MARKETING"/>
    <x v="52"/>
    <n v="10"/>
    <n v="40"/>
    <n v="595.92999999999995"/>
    <n v="23837.200000000001"/>
    <n v="-1833.08"/>
    <n v="0"/>
    <n v="2860.5354050000001"/>
    <n v="24864.655405000001"/>
  </r>
  <r>
    <x v="8"/>
    <x v="5"/>
    <x v="2"/>
    <x v="0"/>
    <x v="72"/>
    <s v="KEPL/01363/82-83"/>
    <s v="SHUBHASHREE MARKETING"/>
    <x v="13"/>
    <n v="2"/>
    <n v="48"/>
    <n v="141.54"/>
    <n v="6793.92"/>
    <n v="-522.45000000000005"/>
    <n v="0"/>
    <n v="815.29104399999994"/>
    <n v="7086.7610439999999"/>
  </r>
  <r>
    <x v="0"/>
    <x v="5"/>
    <x v="2"/>
    <x v="0"/>
    <x v="72"/>
    <s v="KEPL/01363/82-83"/>
    <s v="SHUBHASHREE MARKETING"/>
    <x v="57"/>
    <n v="2"/>
    <n v="80"/>
    <n v="111.74"/>
    <n v="8939.2000000000007"/>
    <n v="-687.42"/>
    <n v="0"/>
    <n v="1072.731327"/>
    <n v="9324.5113270000002"/>
  </r>
  <r>
    <x v="13"/>
    <x v="5"/>
    <x v="2"/>
    <x v="0"/>
    <x v="72"/>
    <s v="KEPL/01363/82-83"/>
    <s v="SHUBHASHREE MARKETING"/>
    <x v="23"/>
    <n v="5"/>
    <n v="3000"/>
    <n v="7.46"/>
    <n v="22380"/>
    <n v="-1721.0200000000002"/>
    <n v="0"/>
    <n v="2685.6672170000002"/>
    <n v="23344.647217000002"/>
  </r>
  <r>
    <x v="1"/>
    <x v="5"/>
    <x v="2"/>
    <x v="0"/>
    <x v="72"/>
    <s v="KEPL/01363/82-83"/>
    <s v="SHUBHASHREE MARKETING"/>
    <x v="2"/>
    <n v="5"/>
    <n v="90"/>
    <n v="178.78"/>
    <n v="16090.2"/>
    <n v="-1237.3400000000001"/>
    <n v="0"/>
    <n v="1930.8716689999999"/>
    <n v="16783.731669000001"/>
  </r>
  <r>
    <x v="1"/>
    <x v="5"/>
    <x v="2"/>
    <x v="0"/>
    <x v="72"/>
    <s v="KEPL/01363/82-83"/>
    <s v="SHUBHASHREE MARKETING"/>
    <x v="24"/>
    <n v="10"/>
    <n v="180"/>
    <n v="178.78"/>
    <n v="32180.400000000001"/>
    <n v="-2474.6699999999996"/>
    <n v="0"/>
    <n v="3861.7446369999998"/>
    <n v="33567.474636999999"/>
  </r>
  <r>
    <x v="16"/>
    <x v="5"/>
    <x v="2"/>
    <x v="0"/>
    <x v="72"/>
    <s v="KEPL/01364/82-83"/>
    <s v="GORIN TRADING "/>
    <x v="35"/>
    <n v="2"/>
    <n v="120"/>
    <n v="145.26"/>
    <n v="17431.2"/>
    <n v="-1340.46"/>
    <n v="0"/>
    <n v="2091.795858"/>
    <n v="18182.535857999999"/>
  </r>
  <r>
    <x v="9"/>
    <x v="5"/>
    <x v="2"/>
    <x v="0"/>
    <x v="72"/>
    <s v="KEPL/01364/82-83"/>
    <s v="GORIN TRADING "/>
    <x v="22"/>
    <n v="5"/>
    <n v="120"/>
    <n v="204.85"/>
    <n v="24582"/>
    <n v="-1890.36"/>
    <n v="0"/>
    <n v="2949.9127169999997"/>
    <n v="25641.552716999999"/>
  </r>
  <r>
    <x v="19"/>
    <x v="5"/>
    <x v="2"/>
    <x v="0"/>
    <x v="72"/>
    <s v="KEPL/01364/82-83"/>
    <s v="GORIN TRADING "/>
    <x v="51"/>
    <n v="10"/>
    <n v="500"/>
    <n v="89.39"/>
    <n v="44695"/>
    <n v="-3437.0499999999997"/>
    <n v="0"/>
    <n v="5363.5326220000006"/>
    <n v="46621.482622000003"/>
  </r>
  <r>
    <x v="8"/>
    <x v="5"/>
    <x v="2"/>
    <x v="0"/>
    <x v="72"/>
    <s v="KEPL/01364/82-83"/>
    <s v="GORIN TRADING "/>
    <x v="34"/>
    <n v="2"/>
    <n v="80"/>
    <n v="74.489999999999995"/>
    <n v="5959.2"/>
    <n v="-458.26"/>
    <n v="0"/>
    <n v="715.12208300000009"/>
    <n v="6216.0620829999998"/>
  </r>
  <r>
    <x v="17"/>
    <x v="5"/>
    <x v="2"/>
    <x v="0"/>
    <x v="72"/>
    <s v="KEPL/01364/82-83"/>
    <s v="GORIN TRADING "/>
    <x v="39"/>
    <n v="5"/>
    <n v="100"/>
    <n v="249.55"/>
    <n v="24955"/>
    <n v="-1919.04"/>
    <n v="0"/>
    <n v="2994.6743100000003"/>
    <n v="26030.634310000001"/>
  </r>
  <r>
    <x v="13"/>
    <x v="5"/>
    <x v="2"/>
    <x v="0"/>
    <x v="72"/>
    <s v="KEPL/01364/82-83"/>
    <s v="GORIN TRADING "/>
    <x v="23"/>
    <n v="2"/>
    <n v="1200"/>
    <n v="7.46"/>
    <n v="8952"/>
    <n v="-688.41"/>
    <n v="0"/>
    <n v="1074.2665240000001"/>
    <n v="9337.8565240000007"/>
  </r>
  <r>
    <x v="7"/>
    <x v="5"/>
    <x v="2"/>
    <x v="0"/>
    <x v="72"/>
    <s v="KEPL/01364/82-83"/>
    <s v="GORIN TRADING "/>
    <x v="27"/>
    <n v="5"/>
    <n v="350"/>
    <n v="37.25"/>
    <n v="13037.5"/>
    <n v="-1002.58"/>
    <n v="0"/>
    <n v="1564.539344"/>
    <n v="13599.459344000001"/>
  </r>
  <r>
    <x v="8"/>
    <x v="5"/>
    <x v="2"/>
    <x v="0"/>
    <x v="72"/>
    <s v="KEPL/01364/82-83"/>
    <s v="GORIN TRADING "/>
    <x v="33"/>
    <n v="5"/>
    <n v="200"/>
    <n v="74.489999999999995"/>
    <n v="14898"/>
    <n v="-1145.6600000000001"/>
    <n v="0"/>
    <n v="1787.803907"/>
    <n v="15540.143907"/>
  </r>
  <r>
    <x v="16"/>
    <x v="5"/>
    <x v="2"/>
    <x v="0"/>
    <x v="72"/>
    <s v="KEPL/01364/82-83"/>
    <s v="GORIN TRADING "/>
    <x v="42"/>
    <n v="5"/>
    <n v="150"/>
    <n v="316.58999999999997"/>
    <n v="47488.5"/>
    <n v="-3651.87"/>
    <n v="0"/>
    <n v="5698.7609680000005"/>
    <n v="49535.390968"/>
  </r>
  <r>
    <x v="13"/>
    <x v="5"/>
    <x v="2"/>
    <x v="0"/>
    <x v="72"/>
    <s v="KEPL/01364/82-83"/>
    <s v="GORIN TRADING "/>
    <x v="40"/>
    <n v="3"/>
    <n v="1800"/>
    <n v="7.46"/>
    <n v="13427.999999999998"/>
    <n v="-1032.6099999999999"/>
    <n v="0"/>
    <n v="1611.4004360000001"/>
    <n v="14006.790435999999"/>
  </r>
  <r>
    <x v="13"/>
    <x v="5"/>
    <x v="2"/>
    <x v="0"/>
    <x v="72"/>
    <s v="KEPL/01364/82-83"/>
    <s v="GORIN TRADING "/>
    <x v="50"/>
    <n v="1"/>
    <n v="240"/>
    <n v="14.9"/>
    <n v="3576"/>
    <n v="-274.99"/>
    <n v="0"/>
    <n v="429.13123000000002"/>
    <n v="3730.1412300000002"/>
  </r>
  <r>
    <x v="13"/>
    <x v="5"/>
    <x v="2"/>
    <x v="0"/>
    <x v="72"/>
    <s v="KEPL/01365/82-83"/>
    <s v="DINESH TRADING HOUSE"/>
    <x v="23"/>
    <n v="1"/>
    <n v="600"/>
    <n v="7.46"/>
    <n v="4476"/>
    <n v="-344.2"/>
    <n v="0"/>
    <n v="537.13398200000006"/>
    <n v="4668.9339819999996"/>
  </r>
  <r>
    <x v="9"/>
    <x v="5"/>
    <x v="2"/>
    <x v="0"/>
    <x v="72"/>
    <s v="KEPL/01365/82-83"/>
    <s v="DINESH TRADING HOUSE"/>
    <x v="22"/>
    <n v="2"/>
    <n v="48"/>
    <n v="204.85"/>
    <n v="9832.8000000000011"/>
    <n v="-756.14"/>
    <n v="0"/>
    <n v="1179.9657589999999"/>
    <n v="10256.625759"/>
  </r>
  <r>
    <x v="13"/>
    <x v="5"/>
    <x v="2"/>
    <x v="0"/>
    <x v="72"/>
    <s v="KEPL/01365/82-83"/>
    <s v="DINESH TRADING HOUSE"/>
    <x v="50"/>
    <n v="1"/>
    <n v="240"/>
    <n v="14.9"/>
    <n v="3576"/>
    <n v="-274.99"/>
    <n v="0"/>
    <n v="429.13128499999999"/>
    <n v="3730.1412850000002"/>
  </r>
  <r>
    <x v="19"/>
    <x v="5"/>
    <x v="2"/>
    <x v="0"/>
    <x v="72"/>
    <s v="KEPL/01365/82-83"/>
    <s v="DINESH TRADING HOUSE"/>
    <x v="51"/>
    <n v="5"/>
    <n v="250"/>
    <n v="89.39"/>
    <n v="22347.5"/>
    <n v="-1718.52"/>
    <n v="0"/>
    <n v="2681.7673080000004"/>
    <n v="23310.747308000002"/>
  </r>
  <r>
    <x v="13"/>
    <x v="5"/>
    <x v="2"/>
    <x v="0"/>
    <x v="72"/>
    <s v="KEPL/01365/82-83"/>
    <s v="DINESH TRADING HOUSE"/>
    <x v="40"/>
    <n v="1"/>
    <n v="600"/>
    <n v="7.46"/>
    <n v="4476"/>
    <n v="-344.2"/>
    <n v="0"/>
    <n v="537.13398200000006"/>
    <n v="4668.9339819999996"/>
  </r>
  <r>
    <x v="16"/>
    <x v="5"/>
    <x v="2"/>
    <x v="0"/>
    <x v="72"/>
    <s v="KEPL/01365/82-83"/>
    <s v="DINESH TRADING HOUSE"/>
    <x v="42"/>
    <n v="2"/>
    <n v="60"/>
    <n v="316.58999999999997"/>
    <n v="18995.399999999998"/>
    <n v="-1460.75"/>
    <n v="0"/>
    <n v="2279.504422"/>
    <n v="19814.154422"/>
  </r>
  <r>
    <x v="8"/>
    <x v="5"/>
    <x v="2"/>
    <x v="0"/>
    <x v="72"/>
    <s v="KEPL/01365/82-83"/>
    <s v="DINESH TRADING HOUSE"/>
    <x v="33"/>
    <n v="2"/>
    <n v="80"/>
    <n v="74.489999999999995"/>
    <n v="5959.2"/>
    <n v="-458.26"/>
    <n v="0"/>
    <n v="715.12217499999997"/>
    <n v="6216.062175"/>
  </r>
  <r>
    <x v="8"/>
    <x v="5"/>
    <x v="2"/>
    <x v="0"/>
    <x v="72"/>
    <s v="KEPL/01365/82-83"/>
    <s v="DINESH TRADING HOUSE"/>
    <x v="34"/>
    <n v="1"/>
    <n v="40"/>
    <n v="74.489999999999995"/>
    <n v="2979.6"/>
    <n v="-229.13"/>
    <n v="0"/>
    <n v="357.56108799999998"/>
    <n v="3108.0310880000002"/>
  </r>
  <r>
    <x v="13"/>
    <x v="5"/>
    <x v="2"/>
    <x v="0"/>
    <x v="72"/>
    <s v="KEPL/01366/82-83"/>
    <s v="M AND P TRADE SUPPLIERS"/>
    <x v="40"/>
    <n v="1"/>
    <n v="600"/>
    <n v="7.46"/>
    <n v="4476"/>
    <n v="-344.2"/>
    <n v="0"/>
    <n v="537.13414299999999"/>
    <n v="4668.9341430000004"/>
  </r>
  <r>
    <x v="16"/>
    <x v="5"/>
    <x v="2"/>
    <x v="0"/>
    <x v="72"/>
    <s v="KEPL/01366/82-83"/>
    <s v="M AND P TRADE SUPPLIERS"/>
    <x v="42"/>
    <n v="1"/>
    <n v="30"/>
    <n v="316.58999999999997"/>
    <n v="9497.6999999999989"/>
    <n v="-730.36999999999989"/>
    <n v="0"/>
    <n v="1139.7532040000001"/>
    <n v="9907.0832040000005"/>
  </r>
  <r>
    <x v="6"/>
    <x v="5"/>
    <x v="2"/>
    <x v="0"/>
    <x v="72"/>
    <s v="KEPL/01366/82-83"/>
    <s v="M AND P TRADE SUPPLIERS"/>
    <x v="29"/>
    <n v="1"/>
    <n v="20"/>
    <n v="204.85"/>
    <n v="4097"/>
    <n v="-315.06"/>
    <n v="0"/>
    <n v="491.652331"/>
    <n v="4273.5923309999998"/>
  </r>
  <r>
    <x v="13"/>
    <x v="5"/>
    <x v="2"/>
    <x v="0"/>
    <x v="72"/>
    <s v="KEPL/01366/82-83"/>
    <s v="M AND P TRADE SUPPLIERS"/>
    <x v="50"/>
    <n v="1"/>
    <n v="240"/>
    <n v="14.9"/>
    <n v="3576"/>
    <n v="-274.99"/>
    <n v="0"/>
    <n v="429.13141399999995"/>
    <n v="3730.1414140000002"/>
  </r>
  <r>
    <x v="9"/>
    <x v="5"/>
    <x v="2"/>
    <x v="0"/>
    <x v="72"/>
    <s v="KEPL/01366/82-83"/>
    <s v="M AND P TRADE SUPPLIERS"/>
    <x v="22"/>
    <n v="1"/>
    <n v="24"/>
    <n v="204.85"/>
    <n v="4916.4000000000005"/>
    <n v="-378.07"/>
    <n v="0"/>
    <n v="589.98305700000003"/>
    <n v="5128.3130570000003"/>
  </r>
  <r>
    <x v="6"/>
    <x v="5"/>
    <x v="2"/>
    <x v="0"/>
    <x v="72"/>
    <s v="KEPL/01366/82-83"/>
    <s v="M AND P TRADE SUPPLIERS"/>
    <x v="59"/>
    <n v="1"/>
    <n v="20"/>
    <n v="204.85"/>
    <n v="4097"/>
    <n v="-315.06"/>
    <n v="0"/>
    <n v="491.652331"/>
    <n v="4273.5923309999998"/>
  </r>
  <r>
    <x v="8"/>
    <x v="5"/>
    <x v="2"/>
    <x v="0"/>
    <x v="72"/>
    <s v="KEPL/01366/82-83"/>
    <s v="M AND P TRADE SUPPLIERS"/>
    <x v="34"/>
    <n v="1"/>
    <n v="40"/>
    <n v="74.489999999999995"/>
    <n v="2979.6"/>
    <n v="-229.13"/>
    <n v="0"/>
    <n v="357.561195"/>
    <n v="3108.031195"/>
  </r>
  <r>
    <x v="8"/>
    <x v="5"/>
    <x v="2"/>
    <x v="0"/>
    <x v="72"/>
    <s v="KEPL/01366/82-83"/>
    <s v="M AND P TRADE SUPPLIERS"/>
    <x v="33"/>
    <n v="2"/>
    <n v="80"/>
    <n v="74.489999999999995"/>
    <n v="5959.2"/>
    <n v="-458.26"/>
    <n v="0"/>
    <n v="715.12239099999999"/>
    <n v="6216.0623910000004"/>
  </r>
  <r>
    <x v="13"/>
    <x v="5"/>
    <x v="2"/>
    <x v="0"/>
    <x v="72"/>
    <s v="KEPL/01366/82-83"/>
    <s v="M AND P TRADE SUPPLIERS"/>
    <x v="23"/>
    <n v="1"/>
    <n v="600"/>
    <n v="7.46"/>
    <n v="4476"/>
    <n v="-344.2"/>
    <n v="0"/>
    <n v="537.13414299999999"/>
    <n v="4668.9341430000004"/>
  </r>
  <r>
    <x v="19"/>
    <x v="5"/>
    <x v="2"/>
    <x v="0"/>
    <x v="72"/>
    <s v="KEPL/01366/82-83"/>
    <s v="M AND P TRADE SUPPLIERS"/>
    <x v="51"/>
    <n v="3"/>
    <n v="150"/>
    <n v="89.39"/>
    <n v="13408.500000000002"/>
    <n v="-1031.1100000000001"/>
    <n v="0"/>
    <n v="1609.0611289999999"/>
    <n v="13986.451128999999"/>
  </r>
  <r>
    <x v="6"/>
    <x v="5"/>
    <x v="2"/>
    <x v="0"/>
    <x v="72"/>
    <s v="KEPL/01366/82-83"/>
    <s v="M AND P TRADE SUPPLIERS"/>
    <x v="48"/>
    <n v="1"/>
    <n v="20"/>
    <n v="204.85"/>
    <n v="4097"/>
    <n v="-315.06"/>
    <n v="0"/>
    <n v="491.652331"/>
    <n v="4273.5923309999998"/>
  </r>
  <r>
    <x v="6"/>
    <x v="5"/>
    <x v="2"/>
    <x v="0"/>
    <x v="72"/>
    <s v="KEPL/01366/82-83"/>
    <s v="M AND P TRADE SUPPLIERS"/>
    <x v="28"/>
    <n v="1"/>
    <n v="20"/>
    <n v="204.85"/>
    <n v="4097"/>
    <n v="-315.06"/>
    <n v="0"/>
    <n v="491.652331"/>
    <n v="4273.5923309999998"/>
  </r>
  <r>
    <x v="8"/>
    <x v="5"/>
    <x v="2"/>
    <x v="0"/>
    <x v="72"/>
    <s v="KEPL/01367/82-83"/>
    <s v="NEW MATA RANI SUPPLIERS"/>
    <x v="34"/>
    <n v="1"/>
    <n v="40"/>
    <n v="74.489999999999995"/>
    <n v="2979.6"/>
    <n v="-229.13"/>
    <n v="0"/>
    <n v="357.561172"/>
    <n v="3108.031172"/>
  </r>
  <r>
    <x v="9"/>
    <x v="5"/>
    <x v="2"/>
    <x v="0"/>
    <x v="72"/>
    <s v="KEPL/01367/82-83"/>
    <s v="NEW MATA RANI SUPPLIERS"/>
    <x v="22"/>
    <n v="2"/>
    <n v="48"/>
    <n v="204.85"/>
    <n v="9832.8000000000011"/>
    <n v="-756.14"/>
    <n v="0"/>
    <n v="1179.9660369999999"/>
    <n v="10256.626037"/>
  </r>
  <r>
    <x v="19"/>
    <x v="5"/>
    <x v="2"/>
    <x v="0"/>
    <x v="72"/>
    <s v="KEPL/01367/82-83"/>
    <s v="NEW MATA RANI SUPPLIERS"/>
    <x v="51"/>
    <n v="5"/>
    <n v="250"/>
    <n v="89.39"/>
    <n v="22347.5"/>
    <n v="-1718.52"/>
    <n v="0"/>
    <n v="2681.767938"/>
    <n v="23310.747938"/>
  </r>
  <r>
    <x v="6"/>
    <x v="5"/>
    <x v="2"/>
    <x v="0"/>
    <x v="72"/>
    <s v="KEPL/01367/82-83"/>
    <s v="NEW MATA RANI SUPPLIERS"/>
    <x v="48"/>
    <n v="1"/>
    <n v="20"/>
    <n v="204.85"/>
    <n v="4097"/>
    <n v="-315.06"/>
    <n v="0"/>
    <n v="491.65229900000003"/>
    <n v="4273.5922989999999"/>
  </r>
  <r>
    <x v="0"/>
    <x v="5"/>
    <x v="2"/>
    <x v="0"/>
    <x v="72"/>
    <s v="KEPL/01367/82-83"/>
    <s v="NEW MATA RANI SUPPLIERS"/>
    <x v="47"/>
    <n v="2"/>
    <n v="80"/>
    <n v="111.74"/>
    <n v="8939.2000000000007"/>
    <n v="-687.42"/>
    <n v="0"/>
    <n v="1072.7316149999999"/>
    <n v="9324.5116149999994"/>
  </r>
  <r>
    <x v="8"/>
    <x v="5"/>
    <x v="2"/>
    <x v="0"/>
    <x v="72"/>
    <s v="KEPL/01367/82-83"/>
    <s v="NEW MATA RANI SUPPLIERS"/>
    <x v="33"/>
    <n v="2"/>
    <n v="80"/>
    <n v="74.489999999999995"/>
    <n v="5959.2"/>
    <n v="-458.26"/>
    <n v="0"/>
    <n v="715.122343"/>
    <n v="6216.0623429999996"/>
  </r>
  <r>
    <x v="11"/>
    <x v="5"/>
    <x v="2"/>
    <x v="0"/>
    <x v="72"/>
    <s v="KEPL/01367/82-83"/>
    <s v="NEW MATA RANI SUPPLIERS"/>
    <x v="53"/>
    <n v="2"/>
    <n v="80"/>
    <n v="81.94"/>
    <n v="6555.2"/>
    <n v="-504.09"/>
    <n v="0"/>
    <n v="786.64445799999999"/>
    <n v="6837.7544580000003"/>
  </r>
  <r>
    <x v="16"/>
    <x v="5"/>
    <x v="2"/>
    <x v="0"/>
    <x v="72"/>
    <s v="KEPL/01367/82-83"/>
    <s v="NEW MATA RANI SUPPLIERS"/>
    <x v="42"/>
    <n v="2"/>
    <n v="60"/>
    <n v="316.58999999999997"/>
    <n v="18995.399999999998"/>
    <n v="-1460.75"/>
    <n v="0"/>
    <n v="2279.5049570000001"/>
    <n v="19814.154956999999"/>
  </r>
  <r>
    <x v="13"/>
    <x v="5"/>
    <x v="2"/>
    <x v="0"/>
    <x v="72"/>
    <s v="KEPL/01367/82-83"/>
    <s v="NEW MATA RANI SUPPLIERS"/>
    <x v="40"/>
    <n v="1"/>
    <n v="600"/>
    <n v="7.46"/>
    <n v="4476"/>
    <n v="-344.2"/>
    <n v="0"/>
    <n v="537.13410799999997"/>
    <n v="4668.9341080000004"/>
  </r>
  <r>
    <x v="6"/>
    <x v="5"/>
    <x v="2"/>
    <x v="0"/>
    <x v="72"/>
    <s v="KEPL/01367/82-83"/>
    <s v="NEW MATA RANI SUPPLIERS"/>
    <x v="59"/>
    <n v="1"/>
    <n v="20"/>
    <n v="204.85"/>
    <n v="4097"/>
    <n v="-315.06"/>
    <n v="0"/>
    <n v="491.65229900000003"/>
    <n v="4273.5922989999999"/>
  </r>
  <r>
    <x v="6"/>
    <x v="5"/>
    <x v="2"/>
    <x v="0"/>
    <x v="72"/>
    <s v="KEPL/01367/82-83"/>
    <s v="NEW MATA RANI SUPPLIERS"/>
    <x v="29"/>
    <n v="1"/>
    <n v="20"/>
    <n v="204.85"/>
    <n v="4097"/>
    <n v="-315.06"/>
    <n v="0"/>
    <n v="491.65229900000003"/>
    <n v="4273.5922989999999"/>
  </r>
  <r>
    <x v="6"/>
    <x v="5"/>
    <x v="2"/>
    <x v="0"/>
    <x v="72"/>
    <s v="KEPL/01367/82-83"/>
    <s v="NEW MATA RANI SUPPLIERS"/>
    <x v="28"/>
    <n v="1"/>
    <n v="20"/>
    <n v="204.85"/>
    <n v="4097"/>
    <n v="-315.06"/>
    <n v="0"/>
    <n v="491.65229900000003"/>
    <n v="4273.5922989999999"/>
  </r>
  <r>
    <x v="13"/>
    <x v="5"/>
    <x v="2"/>
    <x v="0"/>
    <x v="72"/>
    <s v="KEPL/01367/82-83"/>
    <s v="NEW MATA RANI SUPPLIERS"/>
    <x v="23"/>
    <n v="2"/>
    <n v="1200"/>
    <n v="7.46"/>
    <n v="8952"/>
    <n v="-688.41"/>
    <n v="0"/>
    <n v="1074.2669150000002"/>
    <n v="9337.8569150000003"/>
  </r>
  <r>
    <x v="8"/>
    <x v="5"/>
    <x v="2"/>
    <x v="0"/>
    <x v="72"/>
    <s v="KEPL/01367/82-83"/>
    <s v="NEW MATA RANI SUPPLIERS"/>
    <x v="13"/>
    <n v="2"/>
    <n v="48"/>
    <n v="141.54"/>
    <n v="6793.92"/>
    <n v="-522.45000000000005"/>
    <n v="0"/>
    <n v="815.29126299999996"/>
    <n v="7086.7612630000003"/>
  </r>
  <r>
    <x v="16"/>
    <x v="5"/>
    <x v="2"/>
    <x v="0"/>
    <x v="72"/>
    <s v="KEPL/01368/82-83"/>
    <s v="BEERA BARJEE INTERNATIONAL PVT.LTD"/>
    <x v="42"/>
    <n v="2"/>
    <n v="60"/>
    <n v="316.58999999999997"/>
    <n v="18995.399999999998"/>
    <n v="-1460.75"/>
    <n v="0"/>
    <n v="2279.5049210000002"/>
    <n v="19814.154921000001"/>
  </r>
  <r>
    <x v="8"/>
    <x v="5"/>
    <x v="2"/>
    <x v="0"/>
    <x v="72"/>
    <s v="KEPL/01368/82-83"/>
    <s v="BEERA BARJEE INTERNATIONAL PVT.LTD"/>
    <x v="34"/>
    <n v="1"/>
    <n v="40"/>
    <n v="74.489999999999995"/>
    <n v="2979.6"/>
    <n v="-229.13"/>
    <n v="0"/>
    <n v="357.56116600000001"/>
    <n v="3108.0311660000002"/>
  </r>
  <r>
    <x v="19"/>
    <x v="5"/>
    <x v="2"/>
    <x v="0"/>
    <x v="72"/>
    <s v="KEPL/01368/82-83"/>
    <s v="BEERA BARJEE INTERNATIONAL PVT.LTD"/>
    <x v="51"/>
    <n v="5"/>
    <n v="250"/>
    <n v="89.39"/>
    <n v="22347.5"/>
    <n v="-1718.52"/>
    <n v="0"/>
    <n v="2681.767895"/>
    <n v="23310.747895"/>
  </r>
  <r>
    <x v="9"/>
    <x v="5"/>
    <x v="2"/>
    <x v="0"/>
    <x v="72"/>
    <s v="KEPL/01368/82-83"/>
    <s v="BEERA BARJEE INTERNATIONAL PVT.LTD"/>
    <x v="22"/>
    <n v="2"/>
    <n v="48"/>
    <n v="204.85"/>
    <n v="9832.8000000000011"/>
    <n v="-756.14"/>
    <n v="0"/>
    <n v="1179.9660180000001"/>
    <n v="10256.626018000001"/>
  </r>
  <r>
    <x v="19"/>
    <x v="5"/>
    <x v="2"/>
    <x v="0"/>
    <x v="72"/>
    <s v="KEPL/01369/82-83"/>
    <s v="RAJU KIRANA PASAL"/>
    <x v="51"/>
    <n v="3"/>
    <n v="150"/>
    <n v="89.39"/>
    <n v="13408.500000000002"/>
    <n v="-1031.1100000000001"/>
    <n v="0"/>
    <n v="1609.0594180000001"/>
    <n v="13986.449418"/>
  </r>
  <r>
    <x v="13"/>
    <x v="5"/>
    <x v="2"/>
    <x v="0"/>
    <x v="72"/>
    <s v="KEPL/01369/82-83"/>
    <s v="RAJU KIRANA PASAL"/>
    <x v="40"/>
    <n v="1"/>
    <n v="600"/>
    <n v="7.46"/>
    <n v="4476"/>
    <n v="-344.2"/>
    <n v="0"/>
    <n v="537.13357199999996"/>
    <n v="4668.9335719999999"/>
  </r>
  <r>
    <x v="9"/>
    <x v="5"/>
    <x v="2"/>
    <x v="0"/>
    <x v="72"/>
    <s v="KEPL/01369/82-83"/>
    <s v="RAJU KIRANA PASAL"/>
    <x v="22"/>
    <n v="1"/>
    <n v="24"/>
    <n v="204.85"/>
    <n v="4916.4000000000005"/>
    <n v="-378.07"/>
    <n v="0"/>
    <n v="589.98243000000002"/>
    <n v="5128.3124299999999"/>
  </r>
  <r>
    <x v="8"/>
    <x v="5"/>
    <x v="2"/>
    <x v="0"/>
    <x v="72"/>
    <s v="KEPL/01369/82-83"/>
    <s v="RAJU KIRANA PASAL"/>
    <x v="33"/>
    <n v="2"/>
    <n v="80"/>
    <n v="74.489999999999995"/>
    <n v="5959.2"/>
    <n v="-458.26"/>
    <n v="0"/>
    <n v="715.12162999999998"/>
    <n v="6216.0616300000002"/>
  </r>
  <r>
    <x v="16"/>
    <x v="5"/>
    <x v="2"/>
    <x v="0"/>
    <x v="72"/>
    <s v="KEPL/01369/82-83"/>
    <s v="RAJU KIRANA PASAL"/>
    <x v="42"/>
    <n v="1"/>
    <n v="30"/>
    <n v="316.58999999999997"/>
    <n v="9497.6999999999989"/>
    <n v="-730.36999999999989"/>
    <n v="0"/>
    <n v="1139.751992"/>
    <n v="9907.0819919999994"/>
  </r>
  <r>
    <x v="13"/>
    <x v="5"/>
    <x v="2"/>
    <x v="0"/>
    <x v="72"/>
    <s v="KEPL/01369/82-83"/>
    <s v="RAJU KIRANA PASAL"/>
    <x v="21"/>
    <n v="1"/>
    <n v="240"/>
    <n v="14.9"/>
    <n v="3576"/>
    <n v="-274.99"/>
    <n v="0"/>
    <n v="429.13095800000002"/>
    <n v="3730.140958"/>
  </r>
  <r>
    <x v="8"/>
    <x v="5"/>
    <x v="2"/>
    <x v="0"/>
    <x v="72"/>
    <s v="KEPL/01370/82-83"/>
    <s v="KRISHMA ENTERPRISES"/>
    <x v="33"/>
    <n v="50"/>
    <n v="2000"/>
    <n v="74.489999999999995"/>
    <n v="148980"/>
    <n v="-11456.560000000001"/>
    <n v="0"/>
    <n v="17878.047134"/>
    <n v="155401.487134"/>
  </r>
  <r>
    <x v="19"/>
    <x v="5"/>
    <x v="2"/>
    <x v="0"/>
    <x v="72"/>
    <s v="KEPL/01370/82-83"/>
    <s v="KRISHMA ENTERPRISES"/>
    <x v="51"/>
    <n v="50"/>
    <n v="2500"/>
    <n v="89.39"/>
    <n v="223475"/>
    <n v="-17185.23"/>
    <n v="0"/>
    <n v="26817.670000999999"/>
    <n v="233107.44000100001"/>
  </r>
  <r>
    <x v="9"/>
    <x v="5"/>
    <x v="2"/>
    <x v="0"/>
    <x v="72"/>
    <s v="KEPL/01370/82-83"/>
    <s v="KRISHMA ENTERPRISES"/>
    <x v="22"/>
    <n v="2"/>
    <n v="48"/>
    <n v="204.85"/>
    <n v="9832.8000000000011"/>
    <n v="-756.14"/>
    <n v="0"/>
    <n v="1179.965796"/>
    <n v="10256.625796"/>
  </r>
  <r>
    <x v="8"/>
    <x v="5"/>
    <x v="2"/>
    <x v="0"/>
    <x v="72"/>
    <s v="KEPL/01370/82-83"/>
    <s v="KRISHMA ENTERPRISES"/>
    <x v="34"/>
    <n v="15"/>
    <n v="600"/>
    <n v="74.489999999999995"/>
    <n v="44694"/>
    <n v="-3436.97"/>
    <n v="0"/>
    <n v="5363.4138800000001"/>
    <n v="46620.443879999999"/>
  </r>
  <r>
    <x v="20"/>
    <x v="5"/>
    <x v="2"/>
    <x v="0"/>
    <x v="72"/>
    <s v="KEPL/01370/82-83"/>
    <s v="KRISHMA ENTERPRISES"/>
    <x v="52"/>
    <n v="60"/>
    <n v="240"/>
    <n v="595.92999999999995"/>
    <n v="143023.19999999998"/>
    <n v="-10998.48"/>
    <n v="0"/>
    <n v="17163.213537"/>
    <n v="149187.933537"/>
  </r>
  <r>
    <x v="16"/>
    <x v="5"/>
    <x v="2"/>
    <x v="0"/>
    <x v="72"/>
    <s v="KEPL/01370/82-83"/>
    <s v="KRISHMA ENTERPRISES"/>
    <x v="42"/>
    <n v="20"/>
    <n v="600"/>
    <n v="316.58999999999997"/>
    <n v="189954"/>
    <n v="-14607.46"/>
    <n v="0"/>
    <n v="22795.050115999999"/>
    <n v="198141.59011600001"/>
  </r>
  <r>
    <x v="7"/>
    <x v="5"/>
    <x v="2"/>
    <x v="0"/>
    <x v="72"/>
    <s v="KEPL/01370/82-83"/>
    <s v="KRISHMA ENTERPRISES"/>
    <x v="27"/>
    <n v="50"/>
    <n v="3500"/>
    <n v="37.25"/>
    <n v="130375"/>
    <n v="-10025.84"/>
    <n v="0"/>
    <n v="15645.390742"/>
    <n v="135994.55074199999"/>
  </r>
  <r>
    <x v="11"/>
    <x v="5"/>
    <x v="2"/>
    <x v="0"/>
    <x v="72"/>
    <s v="KEPL/01370/82-83"/>
    <s v="KRISHMA ENTERPRISES"/>
    <x v="36"/>
    <n v="5"/>
    <n v="200"/>
    <n v="81.94"/>
    <n v="16388"/>
    <n v="-1260.24"/>
    <n v="0"/>
    <n v="1966.6087930000001"/>
    <n v="17094.368793000001"/>
  </r>
  <r>
    <x v="13"/>
    <x v="5"/>
    <x v="2"/>
    <x v="0"/>
    <x v="72"/>
    <s v="KEPL/01371/82-83"/>
    <s v="MALIKA DISTRIBUTORS NEPAL PVT LTD."/>
    <x v="40"/>
    <n v="1"/>
    <n v="600"/>
    <n v="7.46"/>
    <n v="4476"/>
    <n v="-344.2"/>
    <n v="0"/>
    <n v="537.134005"/>
    <n v="4668.9340050000001"/>
  </r>
  <r>
    <x v="3"/>
    <x v="5"/>
    <x v="2"/>
    <x v="0"/>
    <x v="72"/>
    <s v="KEPL/01371/82-83"/>
    <s v="MALIKA DISTRIBUTORS NEPAL PVT LTD."/>
    <x v="55"/>
    <n v="1"/>
    <n v="20"/>
    <n v="175.06"/>
    <n v="3501.2"/>
    <n v="-269.24"/>
    <n v="0"/>
    <n v="420.15480399999996"/>
    <n v="3652.1148039999998"/>
  </r>
  <r>
    <x v="19"/>
    <x v="5"/>
    <x v="2"/>
    <x v="0"/>
    <x v="72"/>
    <s v="KEPL/01371/82-83"/>
    <s v="MALIKA DISTRIBUTORS NEPAL PVT LTD."/>
    <x v="51"/>
    <n v="2"/>
    <n v="100"/>
    <n v="89.39"/>
    <n v="8939"/>
    <n v="-687.41"/>
    <n v="0"/>
    <n v="1072.706711"/>
    <n v="9324.2967110000009"/>
  </r>
  <r>
    <x v="0"/>
    <x v="5"/>
    <x v="2"/>
    <x v="0"/>
    <x v="72"/>
    <s v="KEPL/01371/82-83"/>
    <s v="MALIKA DISTRIBUTORS NEPAL PVT LTD."/>
    <x v="47"/>
    <n v="1"/>
    <n v="40"/>
    <n v="111.74"/>
    <n v="4469.6000000000004"/>
    <n v="-343.71"/>
    <n v="0"/>
    <n v="536.36570500000005"/>
    <n v="4662.2557049999996"/>
  </r>
  <r>
    <x v="8"/>
    <x v="5"/>
    <x v="2"/>
    <x v="0"/>
    <x v="72"/>
    <s v="KEPL/01371/82-83"/>
    <s v="MALIKA DISTRIBUTORS NEPAL PVT LTD."/>
    <x v="13"/>
    <n v="2"/>
    <n v="48"/>
    <n v="141.54"/>
    <n v="6793.92"/>
    <n v="-522.45000000000005"/>
    <n v="0"/>
    <n v="815.29110800000001"/>
    <n v="7086.7611079999997"/>
  </r>
  <r>
    <x v="10"/>
    <x v="5"/>
    <x v="2"/>
    <x v="0"/>
    <x v="72"/>
    <s v="KEPL/01371/82-83"/>
    <s v="MALIKA DISTRIBUTORS NEPAL PVT LTD."/>
    <x v="49"/>
    <n v="1"/>
    <n v="15"/>
    <n v="260.72000000000003"/>
    <n v="3910.8"/>
    <n v="-300.74"/>
    <n v="0"/>
    <n v="469.30780500000003"/>
    <n v="4079.3678049999999"/>
  </r>
  <r>
    <x v="13"/>
    <x v="5"/>
    <x v="2"/>
    <x v="0"/>
    <x v="72"/>
    <s v="KEPL/01371/82-83"/>
    <s v="MALIKA DISTRIBUTORS NEPAL PVT LTD."/>
    <x v="23"/>
    <n v="1"/>
    <n v="600"/>
    <n v="7.46"/>
    <n v="4476"/>
    <n v="-344.2"/>
    <n v="0"/>
    <n v="537.134005"/>
    <n v="4668.9340050000001"/>
  </r>
  <r>
    <x v="8"/>
    <x v="5"/>
    <x v="2"/>
    <x v="0"/>
    <x v="72"/>
    <s v="KEPL/01371/82-83"/>
    <s v="MALIKA DISTRIBUTORS NEPAL PVT LTD."/>
    <x v="56"/>
    <n v="1"/>
    <n v="800"/>
    <n v="7.46"/>
    <n v="5968"/>
    <n v="-458.94"/>
    <n v="0"/>
    <n v="716.17780700000003"/>
    <n v="6225.2378070000004"/>
  </r>
  <r>
    <x v="0"/>
    <x v="5"/>
    <x v="2"/>
    <x v="0"/>
    <x v="72"/>
    <s v="KEPL/01371/82-83"/>
    <s v="MALIKA DISTRIBUTORS NEPAL PVT LTD."/>
    <x v="58"/>
    <n v="1"/>
    <n v="40"/>
    <n v="111.74"/>
    <n v="4469.6000000000004"/>
    <n v="-343.71"/>
    <n v="0"/>
    <n v="536.36570500000005"/>
    <n v="4662.2557049999996"/>
  </r>
  <r>
    <x v="8"/>
    <x v="5"/>
    <x v="2"/>
    <x v="0"/>
    <x v="72"/>
    <s v="KEPL/01371/82-83"/>
    <s v="MALIKA DISTRIBUTORS NEPAL PVT LTD."/>
    <x v="33"/>
    <n v="1"/>
    <n v="40"/>
    <n v="74.489999999999995"/>
    <n v="2979.6"/>
    <n v="-229.13"/>
    <n v="0"/>
    <n v="357.561104"/>
    <n v="3108.0311040000001"/>
  </r>
  <r>
    <x v="3"/>
    <x v="5"/>
    <x v="2"/>
    <x v="0"/>
    <x v="72"/>
    <s v="KEPL/01371/82-83"/>
    <s v="MALIKA DISTRIBUTORS NEPAL PVT LTD."/>
    <x v="54"/>
    <n v="1"/>
    <n v="20"/>
    <n v="175.06"/>
    <n v="3501.2"/>
    <n v="-269.24"/>
    <n v="0"/>
    <n v="420.15480399999996"/>
    <n v="3652.1148039999998"/>
  </r>
  <r>
    <x v="12"/>
    <x v="5"/>
    <x v="2"/>
    <x v="0"/>
    <x v="72"/>
    <s v="KEPL/01371/82-83"/>
    <s v="MALIKA DISTRIBUTORS NEPAL PVT LTD."/>
    <x v="60"/>
    <n v="1"/>
    <n v="1000"/>
    <n v="1.86"/>
    <n v="1860"/>
    <n v="-143.03"/>
    <n v="0"/>
    <n v="223.20610200000002"/>
    <n v="1940.1761019999999"/>
  </r>
  <r>
    <x v="13"/>
    <x v="5"/>
    <x v="2"/>
    <x v="0"/>
    <x v="72"/>
    <s v="KEPL/01371/82-83"/>
    <s v="MALIKA DISTRIBUTORS NEPAL PVT LTD."/>
    <x v="50"/>
    <n v="1"/>
    <n v="240"/>
    <n v="14.9"/>
    <n v="3576"/>
    <n v="-274.99"/>
    <n v="0"/>
    <n v="429.13130399999994"/>
    <n v="3730.1413040000002"/>
  </r>
  <r>
    <x v="9"/>
    <x v="5"/>
    <x v="2"/>
    <x v="0"/>
    <x v="72"/>
    <s v="KEPL/01371/82-83"/>
    <s v="MALIKA DISTRIBUTORS NEPAL PVT LTD."/>
    <x v="22"/>
    <n v="1"/>
    <n v="24"/>
    <n v="204.85"/>
    <n v="4916.4000000000005"/>
    <n v="-378.07"/>
    <n v="0"/>
    <n v="589.98290600000007"/>
    <n v="5128.3129060000001"/>
  </r>
  <r>
    <x v="7"/>
    <x v="5"/>
    <x v="2"/>
    <x v="0"/>
    <x v="72"/>
    <s v="KEPL/01371/82-83"/>
    <s v="MALIKA DISTRIBUTORS NEPAL PVT LTD."/>
    <x v="27"/>
    <n v="5"/>
    <n v="350"/>
    <n v="37.25"/>
    <n v="13037.5"/>
    <n v="-1002.58"/>
    <n v="0"/>
    <n v="1564.539616"/>
    <n v="13599.459616"/>
  </r>
  <r>
    <x v="13"/>
    <x v="5"/>
    <x v="2"/>
    <x v="0"/>
    <x v="72"/>
    <s v="KEPL/01371/82-83"/>
    <s v="MALIKA DISTRIBUTORS NEPAL PVT LTD."/>
    <x v="21"/>
    <n v="1"/>
    <n v="240"/>
    <n v="14.9"/>
    <n v="3576"/>
    <n v="-274.99"/>
    <n v="0"/>
    <n v="429.13130399999994"/>
    <n v="3730.1413040000002"/>
  </r>
  <r>
    <x v="20"/>
    <x v="5"/>
    <x v="2"/>
    <x v="0"/>
    <x v="72"/>
    <s v="KEPL/01371/82-83"/>
    <s v="MALIKA DISTRIBUTORS NEPAL PVT LTD."/>
    <x v="52"/>
    <n v="30"/>
    <n v="120"/>
    <n v="595.92999999999995"/>
    <n v="71511.599999999991"/>
    <n v="-5499.24"/>
    <n v="0"/>
    <n v="8581.6068869999999"/>
    <n v="74593.966887000002"/>
  </r>
  <r>
    <x v="0"/>
    <x v="5"/>
    <x v="2"/>
    <x v="0"/>
    <x v="72"/>
    <s v="KEPL/01371/82-83"/>
    <s v="MALIKA DISTRIBUTORS NEPAL PVT LTD."/>
    <x v="57"/>
    <n v="1"/>
    <n v="40"/>
    <n v="111.74"/>
    <n v="4469.6000000000004"/>
    <n v="-343.71"/>
    <n v="0"/>
    <n v="536.36570500000005"/>
    <n v="4662.2557049999996"/>
  </r>
  <r>
    <x v="10"/>
    <x v="5"/>
    <x v="2"/>
    <x v="0"/>
    <x v="72"/>
    <s v="KEPL/01371/82-83"/>
    <s v="MALIKA DISTRIBUTORS NEPAL PVT LTD."/>
    <x v="45"/>
    <n v="1"/>
    <n v="15"/>
    <n v="260.72000000000003"/>
    <n v="3910.8"/>
    <n v="-300.74"/>
    <n v="0"/>
    <n v="469.30780500000003"/>
    <n v="4079.3678049999999"/>
  </r>
  <r>
    <x v="3"/>
    <x v="5"/>
    <x v="2"/>
    <x v="0"/>
    <x v="72"/>
    <s v="KEPL/01371/82-83"/>
    <s v="MALIKA DISTRIBUTORS NEPAL PVT LTD."/>
    <x v="46"/>
    <n v="1"/>
    <n v="20"/>
    <n v="175.06"/>
    <n v="3501.2"/>
    <n v="-269.24"/>
    <n v="0"/>
    <n v="420.15480399999996"/>
    <n v="3652.1148039999998"/>
  </r>
  <r>
    <x v="3"/>
    <x v="5"/>
    <x v="2"/>
    <x v="0"/>
    <x v="72"/>
    <s v="KEPL/01372/82-83"/>
    <s v="ABIRAL SUPPLIERS AND TRADERS"/>
    <x v="46"/>
    <n v="3"/>
    <n v="60"/>
    <n v="175.06"/>
    <n v="10503.6"/>
    <n v="-807.7299999999999"/>
    <n v="0"/>
    <n v="1260.4631910000001"/>
    <n v="10956.333191"/>
  </r>
  <r>
    <x v="16"/>
    <x v="5"/>
    <x v="2"/>
    <x v="0"/>
    <x v="72"/>
    <s v="KEPL/01372/82-83"/>
    <s v="ABIRAL SUPPLIERS AND TRADERS"/>
    <x v="35"/>
    <n v="3"/>
    <n v="180"/>
    <n v="145.26"/>
    <n v="26146.799999999999"/>
    <n v="-2010.6899999999998"/>
    <n v="0"/>
    <n v="3137.6945250000003"/>
    <n v="27273.804525"/>
  </r>
  <r>
    <x v="16"/>
    <x v="5"/>
    <x v="2"/>
    <x v="0"/>
    <x v="72"/>
    <s v="KEPL/01372/82-83"/>
    <s v="ABIRAL SUPPLIERS AND TRADERS"/>
    <x v="42"/>
    <n v="3"/>
    <n v="90"/>
    <n v="316.58999999999997"/>
    <n v="28493.1"/>
    <n v="-2191.12"/>
    <n v="0"/>
    <n v="3419.257646"/>
    <n v="29721.237646000001"/>
  </r>
  <r>
    <x v="3"/>
    <x v="5"/>
    <x v="2"/>
    <x v="0"/>
    <x v="72"/>
    <s v="KEPL/01372/82-83"/>
    <s v="ABIRAL SUPPLIERS AND TRADERS"/>
    <x v="55"/>
    <n v="2"/>
    <n v="40"/>
    <n v="175.06"/>
    <n v="7002.4"/>
    <n v="-538.48"/>
    <n v="0"/>
    <n v="840.30966000000001"/>
    <n v="7304.22966"/>
  </r>
  <r>
    <x v="0"/>
    <x v="5"/>
    <x v="2"/>
    <x v="0"/>
    <x v="72"/>
    <s v="KEPL/01372/82-83"/>
    <s v="ABIRAL SUPPLIERS AND TRADERS"/>
    <x v="47"/>
    <n v="2"/>
    <n v="80"/>
    <n v="111.74"/>
    <n v="8939.2000000000007"/>
    <n v="-687.42"/>
    <n v="0"/>
    <n v="1072.731477"/>
    <n v="9324.511477"/>
  </r>
  <r>
    <x v="10"/>
    <x v="5"/>
    <x v="2"/>
    <x v="0"/>
    <x v="72"/>
    <s v="KEPL/01372/82-83"/>
    <s v="ABIRAL SUPPLIERS AND TRADERS"/>
    <x v="49"/>
    <n v="3"/>
    <n v="45"/>
    <n v="260.72000000000003"/>
    <n v="11732.4"/>
    <n v="-902.22"/>
    <n v="0"/>
    <n v="1407.923501"/>
    <n v="12238.103501"/>
  </r>
  <r>
    <x v="19"/>
    <x v="5"/>
    <x v="2"/>
    <x v="0"/>
    <x v="72"/>
    <s v="KEPL/01373/82-83"/>
    <s v="AASHI TRADERS"/>
    <x v="51"/>
    <n v="5"/>
    <n v="250"/>
    <n v="89.39"/>
    <n v="22347.5"/>
    <n v="-1718.52"/>
    <n v="0"/>
    <n v="2681.7677199999998"/>
    <n v="23310.747719999999"/>
  </r>
  <r>
    <x v="13"/>
    <x v="5"/>
    <x v="2"/>
    <x v="0"/>
    <x v="72"/>
    <s v="KEPL/01373/82-83"/>
    <s v="AASHI TRADERS"/>
    <x v="40"/>
    <n v="1"/>
    <n v="600"/>
    <n v="7.46"/>
    <n v="4476"/>
    <n v="-344.2"/>
    <n v="0"/>
    <n v="537.13406399999997"/>
    <n v="4668.934064"/>
  </r>
  <r>
    <x v="9"/>
    <x v="5"/>
    <x v="2"/>
    <x v="0"/>
    <x v="72"/>
    <s v="KEPL/01373/82-83"/>
    <s v="AASHI TRADERS"/>
    <x v="22"/>
    <n v="5"/>
    <n v="120"/>
    <n v="204.85"/>
    <n v="24582"/>
    <n v="-1890.36"/>
    <n v="0"/>
    <n v="2949.913552"/>
    <n v="25641.553552000001"/>
  </r>
  <r>
    <x v="17"/>
    <x v="5"/>
    <x v="2"/>
    <x v="0"/>
    <x v="72"/>
    <s v="KEPL/01373/82-83"/>
    <s v="AASHI TRADERS"/>
    <x v="39"/>
    <n v="5"/>
    <n v="100"/>
    <n v="249.55"/>
    <n v="24955"/>
    <n v="-1919.04"/>
    <n v="0"/>
    <n v="2994.6751570000001"/>
    <n v="26030.635157000001"/>
  </r>
  <r>
    <x v="11"/>
    <x v="5"/>
    <x v="2"/>
    <x v="0"/>
    <x v="72"/>
    <s v="KEPL/01373/82-83"/>
    <s v="AASHI TRADERS"/>
    <x v="36"/>
    <n v="5"/>
    <n v="200"/>
    <n v="81.94"/>
    <n v="16388"/>
    <n v="-1260.24"/>
    <n v="0"/>
    <n v="1966.6090340000001"/>
    <n v="17094.369033999999"/>
  </r>
  <r>
    <x v="13"/>
    <x v="5"/>
    <x v="2"/>
    <x v="0"/>
    <x v="72"/>
    <s v="KEPL/01373/82-83"/>
    <s v="AASHI TRADERS"/>
    <x v="23"/>
    <n v="5"/>
    <n v="3000"/>
    <n v="7.46"/>
    <n v="22380"/>
    <n v="-1721.0200000000002"/>
    <n v="0"/>
    <n v="2685.6677199999999"/>
    <n v="23344.647720000001"/>
  </r>
  <r>
    <x v="13"/>
    <x v="5"/>
    <x v="2"/>
    <x v="0"/>
    <x v="72"/>
    <s v="KEPL/01373/82-83"/>
    <s v="AASHI TRADERS"/>
    <x v="21"/>
    <n v="3"/>
    <n v="720"/>
    <n v="14.9"/>
    <n v="10728"/>
    <n v="-824.98"/>
    <n v="0"/>
    <n v="1287.3927530000001"/>
    <n v="11190.412753000001"/>
  </r>
  <r>
    <x v="13"/>
    <x v="5"/>
    <x v="2"/>
    <x v="0"/>
    <x v="72"/>
    <s v="KEPL/01374/82-83"/>
    <s v="NEW HORIZON DISTRIBUTORS"/>
    <x v="40"/>
    <n v="1"/>
    <n v="600"/>
    <n v="7.46"/>
    <n v="4476"/>
    <n v="-344.2"/>
    <n v="0"/>
    <n v="537.13406599999996"/>
    <n v="4668.9340659999998"/>
  </r>
  <r>
    <x v="13"/>
    <x v="5"/>
    <x v="2"/>
    <x v="0"/>
    <x v="72"/>
    <s v="KEPL/01374/82-83"/>
    <s v="NEW HORIZON DISTRIBUTORS"/>
    <x v="23"/>
    <n v="1"/>
    <n v="600"/>
    <n v="7.46"/>
    <n v="4476"/>
    <n v="-344.2"/>
    <n v="0"/>
    <n v="537.13406599999996"/>
    <n v="4668.9340659999998"/>
  </r>
  <r>
    <x v="19"/>
    <x v="5"/>
    <x v="2"/>
    <x v="0"/>
    <x v="72"/>
    <s v="KEPL/01374/82-83"/>
    <s v="NEW HORIZON DISTRIBUTORS"/>
    <x v="51"/>
    <n v="3"/>
    <n v="150"/>
    <n v="89.39"/>
    <n v="13408.500000000002"/>
    <n v="-1031.1100000000001"/>
    <n v="0"/>
    <n v="1609.0608970000001"/>
    <n v="13986.450897000001"/>
  </r>
  <r>
    <x v="9"/>
    <x v="5"/>
    <x v="2"/>
    <x v="0"/>
    <x v="72"/>
    <s v="KEPL/01374/82-83"/>
    <s v="NEW HORIZON DISTRIBUTORS"/>
    <x v="22"/>
    <n v="1"/>
    <n v="24"/>
    <n v="204.85"/>
    <n v="4916.4000000000005"/>
    <n v="-378.07"/>
    <n v="0"/>
    <n v="589.98297200000002"/>
    <n v="5128.3129719999997"/>
  </r>
  <r>
    <x v="14"/>
    <x v="5"/>
    <x v="2"/>
    <x v="0"/>
    <x v="72"/>
    <s v="KEPL/01374/82-83"/>
    <s v="NEW HORIZON DISTRIBUTORS"/>
    <x v="31"/>
    <n v="1"/>
    <n v="60"/>
    <n v="111.74"/>
    <n v="6704.4"/>
    <n v="-515.57000000000005"/>
    <n v="0"/>
    <n v="804.54799899999989"/>
    <n v="6993.3779990000003"/>
  </r>
  <r>
    <x v="16"/>
    <x v="5"/>
    <x v="2"/>
    <x v="0"/>
    <x v="72"/>
    <s v="KEPL/01375/82-83"/>
    <s v="BIJAYA TRADERS"/>
    <x v="35"/>
    <n v="1"/>
    <n v="60"/>
    <n v="145.26"/>
    <n v="8715.6"/>
    <n v="-670.23"/>
    <n v="0"/>
    <n v="1045.8980670000001"/>
    <n v="9091.2680670000009"/>
  </r>
  <r>
    <x v="3"/>
    <x v="5"/>
    <x v="2"/>
    <x v="0"/>
    <x v="72"/>
    <s v="KEPL/01375/82-83"/>
    <s v="BIJAYA TRADERS"/>
    <x v="54"/>
    <n v="1"/>
    <n v="20"/>
    <n v="175.06"/>
    <n v="3501.2"/>
    <n v="-269.24"/>
    <n v="0"/>
    <n v="420.154787"/>
    <n v="3652.114787"/>
  </r>
  <r>
    <x v="10"/>
    <x v="5"/>
    <x v="2"/>
    <x v="0"/>
    <x v="72"/>
    <s v="KEPL/01375/82-83"/>
    <s v="BIJAYA TRADERS"/>
    <x v="45"/>
    <n v="2"/>
    <n v="30"/>
    <n v="260.72000000000003"/>
    <n v="7821.6"/>
    <n v="-601.48"/>
    <n v="0"/>
    <n v="938.61557099999993"/>
    <n v="8158.7355710000002"/>
  </r>
  <r>
    <x v="10"/>
    <x v="5"/>
    <x v="2"/>
    <x v="0"/>
    <x v="72"/>
    <s v="KEPL/01375/82-83"/>
    <s v="BIJAYA TRADERS"/>
    <x v="49"/>
    <n v="5"/>
    <n v="75"/>
    <n v="260.72000000000003"/>
    <n v="19554"/>
    <n v="-1503.6999999999998"/>
    <n v="0"/>
    <n v="2346.5389270000001"/>
    <n v="20396.838927000001"/>
  </r>
  <r>
    <x v="8"/>
    <x v="5"/>
    <x v="2"/>
    <x v="0"/>
    <x v="72"/>
    <s v="KEPL/01375/82-83"/>
    <s v="BIJAYA TRADERS"/>
    <x v="13"/>
    <n v="4"/>
    <n v="96"/>
    <n v="141.54"/>
    <n v="13587.84"/>
    <n v="-1044.9000000000001"/>
    <n v="0"/>
    <n v="1630.5821489999998"/>
    <n v="14173.522149"/>
  </r>
  <r>
    <x v="3"/>
    <x v="5"/>
    <x v="2"/>
    <x v="0"/>
    <x v="72"/>
    <s v="KEPL/01375/82-83"/>
    <s v="BIJAYA TRADERS"/>
    <x v="46"/>
    <n v="5"/>
    <n v="100"/>
    <n v="175.06"/>
    <n v="17506"/>
    <n v="-1346.21"/>
    <n v="0"/>
    <n v="2100.7726349999998"/>
    <n v="18260.562634999998"/>
  </r>
  <r>
    <x v="9"/>
    <x v="5"/>
    <x v="2"/>
    <x v="0"/>
    <x v="72"/>
    <s v="KEPL/01375/82-83"/>
    <s v="BIJAYA TRADERS"/>
    <x v="22"/>
    <n v="1"/>
    <n v="24"/>
    <n v="204.85"/>
    <n v="4916.4000000000005"/>
    <n v="-378.07"/>
    <n v="0"/>
    <n v="589.98288200000002"/>
    <n v="5128.3128820000002"/>
  </r>
  <r>
    <x v="3"/>
    <x v="5"/>
    <x v="2"/>
    <x v="0"/>
    <x v="72"/>
    <s v="KEPL/01375/82-83"/>
    <s v="BIJAYA TRADERS"/>
    <x v="55"/>
    <n v="2"/>
    <n v="40"/>
    <n v="175.06"/>
    <n v="7002.4"/>
    <n v="-538.48"/>
    <n v="0"/>
    <n v="840.309574"/>
    <n v="7304.229574"/>
  </r>
  <r>
    <x v="19"/>
    <x v="5"/>
    <x v="2"/>
    <x v="0"/>
    <x v="72"/>
    <s v="KEPL/01375/82-83"/>
    <s v="BIJAYA TRADERS"/>
    <x v="51"/>
    <n v="2"/>
    <n v="100"/>
    <n v="89.39"/>
    <n v="8939"/>
    <n v="-687.41"/>
    <n v="0"/>
    <n v="1072.7066669999999"/>
    <n v="9324.2966670000005"/>
  </r>
  <r>
    <x v="16"/>
    <x v="5"/>
    <x v="2"/>
    <x v="0"/>
    <x v="72"/>
    <s v="KEPL/01375/82-83"/>
    <s v="BIJAYA TRADERS"/>
    <x v="42"/>
    <n v="1"/>
    <n v="30"/>
    <n v="316.58999999999997"/>
    <n v="9497.6999999999989"/>
    <n v="-730.36999999999989"/>
    <n v="0"/>
    <n v="1139.7528650000002"/>
    <n v="9907.0828650000003"/>
  </r>
  <r>
    <x v="9"/>
    <x v="5"/>
    <x v="2"/>
    <x v="0"/>
    <x v="72"/>
    <s v="KEPL/01375/82-83"/>
    <s v="BIJAYA TRADERS"/>
    <x v="44"/>
    <n v="10"/>
    <n v="240"/>
    <n v="186.22"/>
    <n v="44693.039999999994"/>
    <n v="-3436.89"/>
    <n v="0"/>
    <n v="5363.2993330000008"/>
    <n v="46619.449332999997"/>
  </r>
  <r>
    <x v="8"/>
    <x v="5"/>
    <x v="2"/>
    <x v="0"/>
    <x v="72"/>
    <s v="KEPL/01375/82-83"/>
    <s v="BIJAYA TRADERS"/>
    <x v="56"/>
    <n v="2"/>
    <n v="1600"/>
    <n v="7.45"/>
    <n v="11920"/>
    <n v="-916.65"/>
    <n v="0"/>
    <n v="1430.435455"/>
    <n v="12433.785454999999"/>
  </r>
  <r>
    <x v="8"/>
    <x v="5"/>
    <x v="2"/>
    <x v="0"/>
    <x v="72"/>
    <s v="KEPL/01375/82-83"/>
    <s v="BIJAYA TRADERS"/>
    <x v="33"/>
    <n v="1"/>
    <n v="40"/>
    <n v="74.489999999999995"/>
    <n v="2979.6"/>
    <n v="-229.13"/>
    <n v="0"/>
    <n v="357.56108899999998"/>
    <n v="3108.0310890000001"/>
  </r>
  <r>
    <x v="8"/>
    <x v="5"/>
    <x v="2"/>
    <x v="0"/>
    <x v="72"/>
    <s v="KEPL/01376/82-83"/>
    <s v="CHHATRA DEV GENERAL SUPPLIERS"/>
    <x v="33"/>
    <n v="3"/>
    <n v="120"/>
    <n v="74.489999999999995"/>
    <n v="8938.8000000000011"/>
    <n v="-687.3900000000001"/>
    <n v="0"/>
    <n v="1072.685164"/>
    <n v="9324.0951640000003"/>
  </r>
  <r>
    <x v="13"/>
    <x v="5"/>
    <x v="2"/>
    <x v="0"/>
    <x v="72"/>
    <s v="KEPL/01376/82-83"/>
    <s v="CHHATRA DEV GENERAL SUPPLIERS"/>
    <x v="50"/>
    <n v="3"/>
    <n v="720"/>
    <n v="14.9"/>
    <n v="10728"/>
    <n v="-824.98"/>
    <n v="0"/>
    <n v="1287.3948359999999"/>
    <n v="11190.414836"/>
  </r>
  <r>
    <x v="8"/>
    <x v="5"/>
    <x v="2"/>
    <x v="0"/>
    <x v="72"/>
    <s v="KEPL/01377/82-83"/>
    <s v="R.P DISTRIBUTOR TRADE CENTER"/>
    <x v="33"/>
    <n v="2"/>
    <n v="80"/>
    <n v="74.489999999999995"/>
    <n v="5959.2"/>
    <n v="-458.26"/>
    <n v="0"/>
    <n v="715.121308"/>
    <n v="6216.0613080000003"/>
  </r>
  <r>
    <x v="19"/>
    <x v="5"/>
    <x v="2"/>
    <x v="0"/>
    <x v="72"/>
    <s v="KEPL/01377/82-83"/>
    <s v="R.P DISTRIBUTOR TRADE CENTER"/>
    <x v="51"/>
    <n v="3"/>
    <n v="150"/>
    <n v="89.39"/>
    <n v="13408.500000000002"/>
    <n v="-1031.1100000000001"/>
    <n v="0"/>
    <n v="1609.0586920000001"/>
    <n v="13986.448692"/>
  </r>
  <r>
    <x v="0"/>
    <x v="5"/>
    <x v="2"/>
    <x v="0"/>
    <x v="72"/>
    <s v="KEPL/01379/82-83"/>
    <s v="EMERALD TRADE LINK"/>
    <x v="58"/>
    <n v="1"/>
    <n v="40"/>
    <n v="111.74"/>
    <n v="4469.6000000000004"/>
    <n v="-343.71"/>
    <n v="0"/>
    <n v="536.36556500000006"/>
    <n v="4662.2555650000004"/>
  </r>
  <r>
    <x v="16"/>
    <x v="5"/>
    <x v="2"/>
    <x v="0"/>
    <x v="72"/>
    <s v="KEPL/01379/82-83"/>
    <s v="EMERALD TRADE LINK"/>
    <x v="35"/>
    <n v="1"/>
    <n v="60"/>
    <n v="145.26"/>
    <n v="8715.6"/>
    <n v="-670.23"/>
    <n v="0"/>
    <n v="1045.8978359999999"/>
    <n v="9091.2678360000009"/>
  </r>
  <r>
    <x v="16"/>
    <x v="5"/>
    <x v="2"/>
    <x v="0"/>
    <x v="72"/>
    <s v="KEPL/01379/82-83"/>
    <s v="EMERALD TRADE LINK"/>
    <x v="42"/>
    <n v="1"/>
    <n v="30"/>
    <n v="316.58999999999997"/>
    <n v="9497.6999999999989"/>
    <n v="-730.36999999999989"/>
    <n v="0"/>
    <n v="1139.752612"/>
    <n v="9907.0826120000002"/>
  </r>
  <r>
    <x v="7"/>
    <x v="5"/>
    <x v="2"/>
    <x v="0"/>
    <x v="72"/>
    <s v="KEPL/01379/82-83"/>
    <s v="EMERALD TRADE LINK"/>
    <x v="12"/>
    <n v="1"/>
    <n v="130"/>
    <n v="37.25"/>
    <n v="4842.5"/>
    <n v="-372.39"/>
    <n v="0"/>
    <n v="581.11415299999999"/>
    <n v="5051.2241530000001"/>
  </r>
  <r>
    <x v="10"/>
    <x v="5"/>
    <x v="2"/>
    <x v="0"/>
    <x v="72"/>
    <s v="KEPL/01379/82-83"/>
    <s v="EMERALD TRADE LINK"/>
    <x v="45"/>
    <n v="1"/>
    <n v="15"/>
    <n v="260.72000000000003"/>
    <n v="3910.8"/>
    <n v="-300.74"/>
    <n v="0"/>
    <n v="469.307682"/>
    <n v="4079.3676820000001"/>
  </r>
  <r>
    <x v="11"/>
    <x v="5"/>
    <x v="2"/>
    <x v="0"/>
    <x v="72"/>
    <s v="KEPL/01379/82-83"/>
    <s v="EMERALD TRADE LINK"/>
    <x v="36"/>
    <n v="1"/>
    <n v="40"/>
    <n v="81.94"/>
    <n v="3277.6"/>
    <n v="-252.05"/>
    <n v="0"/>
    <n v="393.32140100000004"/>
    <n v="3418.8714009999999"/>
  </r>
  <r>
    <x v="13"/>
    <x v="5"/>
    <x v="2"/>
    <x v="0"/>
    <x v="72"/>
    <s v="KEPL/01379/82-83"/>
    <s v="EMERALD TRADE LINK"/>
    <x v="40"/>
    <n v="1"/>
    <n v="600"/>
    <n v="7.46"/>
    <n v="4476"/>
    <n v="-344.2"/>
    <n v="0"/>
    <n v="537.13386400000002"/>
    <n v="4668.9338639999996"/>
  </r>
  <r>
    <x v="8"/>
    <x v="5"/>
    <x v="2"/>
    <x v="0"/>
    <x v="72"/>
    <s v="KEPL/01379/82-83"/>
    <s v="EMERALD TRADE LINK"/>
    <x v="56"/>
    <n v="1"/>
    <n v="800"/>
    <n v="7.46"/>
    <n v="5968"/>
    <n v="-458.94"/>
    <n v="0"/>
    <n v="716.17761899999994"/>
    <n v="6225.2376190000004"/>
  </r>
  <r>
    <x v="3"/>
    <x v="5"/>
    <x v="2"/>
    <x v="0"/>
    <x v="72"/>
    <s v="KEPL/01379/82-83"/>
    <s v="EMERALD TRADE LINK"/>
    <x v="46"/>
    <n v="1"/>
    <n v="20"/>
    <n v="175.06"/>
    <n v="3501.2"/>
    <n v="-269.24"/>
    <n v="0"/>
    <n v="420.15469399999995"/>
    <n v="3652.1146939999999"/>
  </r>
  <r>
    <x v="20"/>
    <x v="5"/>
    <x v="2"/>
    <x v="0"/>
    <x v="72"/>
    <s v="KEPL/01379/82-83"/>
    <s v="EMERALD TRADE LINK"/>
    <x v="52"/>
    <n v="10"/>
    <n v="40"/>
    <n v="595.92999999999995"/>
    <n v="23837.200000000001"/>
    <n v="-1833.08"/>
    <n v="0"/>
    <n v="2860.5348779999999"/>
    <n v="24864.654878000001"/>
  </r>
  <r>
    <x v="8"/>
    <x v="5"/>
    <x v="2"/>
    <x v="0"/>
    <x v="72"/>
    <s v="KEPL/01379/82-83"/>
    <s v="EMERALD TRADE LINK"/>
    <x v="33"/>
    <n v="1"/>
    <n v="40"/>
    <n v="74.489999999999995"/>
    <n v="2979.6"/>
    <n v="-229.13"/>
    <n v="0"/>
    <n v="357.56101000000001"/>
    <n v="3108.0310100000002"/>
  </r>
  <r>
    <x v="17"/>
    <x v="5"/>
    <x v="2"/>
    <x v="0"/>
    <x v="72"/>
    <s v="KEPL/01379/82-83"/>
    <s v="EMERALD TRADE LINK"/>
    <x v="39"/>
    <n v="5"/>
    <n v="100"/>
    <n v="249.55"/>
    <n v="24955"/>
    <n v="-1919.04"/>
    <n v="0"/>
    <n v="2994.6740439999999"/>
    <n v="26030.634043999999"/>
  </r>
  <r>
    <x v="11"/>
    <x v="5"/>
    <x v="2"/>
    <x v="0"/>
    <x v="72"/>
    <s v="KEPL/01379/82-83"/>
    <s v="EMERALD TRADE LINK"/>
    <x v="53"/>
    <n v="1"/>
    <n v="40"/>
    <n v="81.94"/>
    <n v="3277.6"/>
    <n v="-252.05"/>
    <n v="0"/>
    <n v="393.32140100000004"/>
    <n v="3418.8714009999999"/>
  </r>
  <r>
    <x v="0"/>
    <x v="5"/>
    <x v="2"/>
    <x v="0"/>
    <x v="72"/>
    <s v="KEPL/01379/82-83"/>
    <s v="EMERALD TRADE LINK"/>
    <x v="47"/>
    <n v="1"/>
    <n v="40"/>
    <n v="111.74"/>
    <n v="4469.6000000000004"/>
    <n v="-343.71"/>
    <n v="0"/>
    <n v="536.36556500000006"/>
    <n v="4662.2555650000004"/>
  </r>
  <r>
    <x v="10"/>
    <x v="5"/>
    <x v="2"/>
    <x v="0"/>
    <x v="72"/>
    <s v="KEPL/01379/82-83"/>
    <s v="EMERALD TRADE LINK"/>
    <x v="49"/>
    <n v="1"/>
    <n v="15"/>
    <n v="260.72000000000003"/>
    <n v="3910.8"/>
    <n v="-300.74"/>
    <n v="0"/>
    <n v="469.307682"/>
    <n v="4079.3676820000001"/>
  </r>
  <r>
    <x v="3"/>
    <x v="5"/>
    <x v="2"/>
    <x v="0"/>
    <x v="72"/>
    <s v="KEPL/01379/82-83"/>
    <s v="EMERALD TRADE LINK"/>
    <x v="55"/>
    <n v="1"/>
    <n v="20"/>
    <n v="175.05"/>
    <n v="3500.9999999999995"/>
    <n v="-269.23"/>
    <n v="0"/>
    <n v="420.12999400000001"/>
    <n v="3651.8999939999999"/>
  </r>
  <r>
    <x v="13"/>
    <x v="5"/>
    <x v="2"/>
    <x v="0"/>
    <x v="72"/>
    <s v="KEPL/01380/82-83"/>
    <s v="EMERALD TRADE LINK"/>
    <x v="50"/>
    <n v="1"/>
    <n v="240"/>
    <n v="14.9"/>
    <n v="3576"/>
    <n v="-274.99"/>
    <n v="0"/>
    <n v="429.131011"/>
    <n v="3730.1410110000002"/>
  </r>
  <r>
    <x v="9"/>
    <x v="5"/>
    <x v="2"/>
    <x v="0"/>
    <x v="72"/>
    <s v="KEPL/01380/82-83"/>
    <s v="EMERALD TRADE LINK"/>
    <x v="22"/>
    <n v="1"/>
    <n v="24"/>
    <n v="204.85"/>
    <n v="4916.4000000000005"/>
    <n v="-378.07"/>
    <n v="0"/>
    <n v="589.98250299999995"/>
    <n v="5128.3125030000001"/>
  </r>
  <r>
    <x v="7"/>
    <x v="5"/>
    <x v="2"/>
    <x v="0"/>
    <x v="72"/>
    <s v="KEPL/01380/82-83"/>
    <s v="EMERALD TRADE LINK"/>
    <x v="27"/>
    <n v="5"/>
    <n v="350"/>
    <n v="37.25"/>
    <n v="13037.5"/>
    <n v="-1002.58"/>
    <n v="0"/>
    <n v="1564.538546"/>
    <n v="13599.458546"/>
  </r>
  <r>
    <x v="8"/>
    <x v="5"/>
    <x v="2"/>
    <x v="0"/>
    <x v="72"/>
    <s v="KEPL/01380/82-83"/>
    <s v="EMERALD TRADE LINK"/>
    <x v="13"/>
    <n v="1"/>
    <n v="24"/>
    <n v="141.54"/>
    <n v="3396.96"/>
    <n v="-261.23"/>
    <n v="0"/>
    <n v="407.64462500000002"/>
    <n v="3543.3746249999999"/>
  </r>
  <r>
    <x v="19"/>
    <x v="5"/>
    <x v="2"/>
    <x v="0"/>
    <x v="72"/>
    <s v="KEPL/01380/82-83"/>
    <s v="EMERALD TRADE LINK"/>
    <x v="51"/>
    <n v="2"/>
    <n v="100"/>
    <n v="89.39"/>
    <n v="8939"/>
    <n v="-687.41"/>
    <n v="0"/>
    <n v="1072.7059770000001"/>
    <n v="9324.2959769999998"/>
  </r>
  <r>
    <x v="13"/>
    <x v="5"/>
    <x v="2"/>
    <x v="0"/>
    <x v="72"/>
    <s v="KEPL/01380/82-83"/>
    <s v="EMERALD TRADE LINK"/>
    <x v="21"/>
    <n v="1"/>
    <n v="240"/>
    <n v="14.9"/>
    <n v="3576"/>
    <n v="-274.99"/>
    <n v="0"/>
    <n v="429.131011"/>
    <n v="3730.1410110000002"/>
  </r>
  <r>
    <x v="12"/>
    <x v="5"/>
    <x v="2"/>
    <x v="0"/>
    <x v="72"/>
    <s v="KEPL/01380/82-83"/>
    <s v="EMERALD TRADE LINK"/>
    <x v="60"/>
    <n v="1"/>
    <n v="1000"/>
    <n v="1.86"/>
    <n v="1860"/>
    <n v="-143.03"/>
    <n v="0"/>
    <n v="223.20595"/>
    <n v="1940.1759500000001"/>
  </r>
  <r>
    <x v="13"/>
    <x v="5"/>
    <x v="2"/>
    <x v="0"/>
    <x v="72"/>
    <s v="KEPL/01380/82-83"/>
    <s v="EMERALD TRADE LINK"/>
    <x v="23"/>
    <n v="1"/>
    <n v="600"/>
    <n v="7.46"/>
    <n v="4476"/>
    <n v="-344.2"/>
    <n v="0"/>
    <n v="537.13363800000002"/>
    <n v="4668.9336380000004"/>
  </r>
  <r>
    <x v="9"/>
    <x v="5"/>
    <x v="2"/>
    <x v="0"/>
    <x v="72"/>
    <s v="KEPL/01380/82-83"/>
    <s v="EMERALD TRADE LINK"/>
    <x v="44"/>
    <n v="1"/>
    <n v="24"/>
    <n v="186.22"/>
    <n v="4469.3599999999997"/>
    <n v="-343.69"/>
    <n v="0"/>
    <n v="536.33673899999997"/>
    <n v="4662.0067390000004"/>
  </r>
  <r>
    <x v="8"/>
    <x v="5"/>
    <x v="2"/>
    <x v="0"/>
    <x v="72"/>
    <s v="KEPL/01381/82-83"/>
    <s v="AASHI TRADERS"/>
    <x v="33"/>
    <n v="2"/>
    <n v="80"/>
    <n v="74.489999999999995"/>
    <n v="5959.2"/>
    <n v="-458.26"/>
    <n v="0"/>
    <n v="715.12255299999993"/>
    <n v="6216.0625529999998"/>
  </r>
  <r>
    <x v="13"/>
    <x v="5"/>
    <x v="2"/>
    <x v="0"/>
    <x v="72"/>
    <s v="KEPL/01381/82-83"/>
    <s v="AASHI TRADERS"/>
    <x v="23"/>
    <n v="5"/>
    <n v="3000"/>
    <n v="7.46"/>
    <n v="22380"/>
    <n v="-1721.0200000000002"/>
    <n v="0"/>
    <n v="2685.668725"/>
    <n v="23344.648724999999"/>
  </r>
  <r>
    <x v="19"/>
    <x v="5"/>
    <x v="2"/>
    <x v="0"/>
    <x v="72"/>
    <s v="KEPL/01381/82-83"/>
    <s v="AASHI TRADERS"/>
    <x v="51"/>
    <n v="5"/>
    <n v="250"/>
    <n v="89.39"/>
    <n v="22347.5"/>
    <n v="-1718.52"/>
    <n v="0"/>
    <n v="2681.7687230000001"/>
    <n v="23310.748723000001"/>
  </r>
  <r>
    <x v="9"/>
    <x v="5"/>
    <x v="2"/>
    <x v="0"/>
    <x v="72"/>
    <s v="KEPL/01382/82-83"/>
    <s v="NEW AAKRITI SUPPLIERS"/>
    <x v="22"/>
    <n v="2"/>
    <n v="48"/>
    <n v="204.85"/>
    <n v="9832.8000000000011"/>
    <n v="-756.14"/>
    <n v="0"/>
    <n v="1179.9672800000001"/>
    <n v="10256.627280000001"/>
  </r>
  <r>
    <x v="13"/>
    <x v="5"/>
    <x v="2"/>
    <x v="0"/>
    <x v="72"/>
    <s v="KEPL/01382/82-83"/>
    <s v="NEW AAKRITI SUPPLIERS"/>
    <x v="40"/>
    <n v="2"/>
    <n v="1200"/>
    <n v="7.46"/>
    <n v="8952"/>
    <n v="-688.41"/>
    <n v="0"/>
    <n v="1074.268047"/>
    <n v="9337.8580469999997"/>
  </r>
  <r>
    <x v="13"/>
    <x v="5"/>
    <x v="2"/>
    <x v="0"/>
    <x v="72"/>
    <s v="KEPL/01382/82-83"/>
    <s v="NEW AAKRITI SUPPLIERS"/>
    <x v="23"/>
    <n v="1"/>
    <n v="600"/>
    <n v="7.46"/>
    <n v="4476"/>
    <n v="-344.2"/>
    <n v="0"/>
    <n v="537.13467300000002"/>
    <n v="4668.9346729999997"/>
  </r>
  <r>
    <x v="8"/>
    <x v="5"/>
    <x v="2"/>
    <x v="0"/>
    <x v="72"/>
    <s v="KEPL/01383/82-83"/>
    <s v="NAWA ATITHI STORES"/>
    <x v="33"/>
    <n v="2"/>
    <n v="80"/>
    <n v="74.489999999999995"/>
    <n v="5959.2"/>
    <n v="-458.26"/>
    <n v="0"/>
    <n v="715.12"/>
    <n v="6216.06"/>
  </r>
  <r>
    <x v="7"/>
    <x v="5"/>
    <x v="2"/>
    <x v="0"/>
    <x v="72"/>
    <s v="KEPL/01389/82-83"/>
    <s v="BHAT BHATENI SUPERMARKET &amp; DEPARTMENTAL STORE PVT. LTD."/>
    <x v="27"/>
    <n v="14"/>
    <n v="980"/>
    <n v="33.19"/>
    <n v="32526.2"/>
    <n v="0"/>
    <n v="0"/>
    <n v="4228.406121"/>
    <n v="36754.606120999997"/>
  </r>
  <r>
    <x v="6"/>
    <x v="5"/>
    <x v="2"/>
    <x v="0"/>
    <x v="72"/>
    <s v="KEPL/01389/82-83"/>
    <s v="BHAT BHATENI SUPERMARKET &amp; DEPARTMENTAL STORE PVT. LTD."/>
    <x v="29"/>
    <n v="33"/>
    <n v="660"/>
    <n v="182.52"/>
    <n v="120463.2"/>
    <n v="0"/>
    <n v="0"/>
    <n v="15660.216449"/>
    <n v="136123.41644900001"/>
  </r>
  <r>
    <x v="10"/>
    <x v="5"/>
    <x v="2"/>
    <x v="0"/>
    <x v="72"/>
    <s v="KEPL/01389/82-83"/>
    <s v="BHAT BHATENI SUPERMARKET &amp; DEPARTMENTAL STORE PVT. LTD."/>
    <x v="49"/>
    <n v="14"/>
    <n v="210"/>
    <n v="232.3"/>
    <n v="48783"/>
    <n v="0"/>
    <n v="0"/>
    <n v="6341.7901820000006"/>
    <n v="55124.790181999997"/>
  </r>
  <r>
    <x v="9"/>
    <x v="5"/>
    <x v="2"/>
    <x v="0"/>
    <x v="72"/>
    <s v="KEPL/01389/82-83"/>
    <s v="BHAT BHATENI SUPERMARKET &amp; DEPARTMENTAL STORE PVT. LTD."/>
    <x v="44"/>
    <n v="14"/>
    <n v="336"/>
    <n v="165.93"/>
    <n v="55752.480000000003"/>
    <n v="0"/>
    <n v="0"/>
    <n v="7247.8226079999995"/>
    <n v="63000.302607999998"/>
  </r>
  <r>
    <x v="6"/>
    <x v="5"/>
    <x v="2"/>
    <x v="0"/>
    <x v="72"/>
    <s v="KEPL/01389/82-83"/>
    <s v="BHAT BHATENI SUPERMARKET &amp; DEPARTMENTAL STORE PVT. LTD."/>
    <x v="59"/>
    <n v="14"/>
    <n v="280"/>
    <n v="182.52"/>
    <n v="51105.599999999999"/>
    <n v="0"/>
    <n v="0"/>
    <n v="6643.7281910000002"/>
    <n v="57749.328191000001"/>
  </r>
  <r>
    <x v="6"/>
    <x v="5"/>
    <x v="2"/>
    <x v="0"/>
    <x v="72"/>
    <s v="KEPL/01389/82-83"/>
    <s v="BHAT BHATENI SUPERMARKET &amp; DEPARTMENTAL STORE PVT. LTD."/>
    <x v="28"/>
    <n v="33"/>
    <n v="660"/>
    <n v="182.52"/>
    <n v="120463.2"/>
    <n v="0"/>
    <n v="0"/>
    <n v="15660.216449"/>
    <n v="136123.41644900001"/>
  </r>
  <r>
    <x v="1"/>
    <x v="5"/>
    <x v="2"/>
    <x v="0"/>
    <x v="72"/>
    <s v="KEPL/01456/82-83"/>
    <s v="KRISHMA ENTERPRISES"/>
    <x v="24"/>
    <n v="50"/>
    <n v="900"/>
    <n v="178.78"/>
    <n v="160902"/>
    <n v="-12373.36"/>
    <n v="0"/>
    <n v="19308.72"/>
    <n v="167837.36"/>
  </r>
  <r>
    <x v="6"/>
    <x v="6"/>
    <x v="2"/>
    <x v="0"/>
    <x v="73"/>
    <s v="KEPL/01466/82-83"/>
    <s v="WELSON TRADE &amp; RASAN MART"/>
    <x v="28"/>
    <n v="1"/>
    <n v="20"/>
    <n v="204.85"/>
    <n v="4097"/>
    <n v="-315.06"/>
    <n v="0"/>
    <n v="491.65215200000006"/>
    <n v="4273.5921520000002"/>
  </r>
  <r>
    <x v="19"/>
    <x v="6"/>
    <x v="2"/>
    <x v="0"/>
    <x v="73"/>
    <s v="KEPL/01466/82-83"/>
    <s v="WELSON TRADE &amp; RASAN MART"/>
    <x v="51"/>
    <n v="5"/>
    <n v="250"/>
    <n v="89.39"/>
    <n v="22347.5"/>
    <n v="-1718.52"/>
    <n v="0"/>
    <n v="2681.7671369999998"/>
    <n v="23310.747136999998"/>
  </r>
  <r>
    <x v="13"/>
    <x v="6"/>
    <x v="2"/>
    <x v="0"/>
    <x v="73"/>
    <s v="KEPL/01466/82-83"/>
    <s v="WELSON TRADE &amp; RASAN MART"/>
    <x v="40"/>
    <n v="3"/>
    <n v="1800"/>
    <n v="7.46"/>
    <n v="13427.999999999998"/>
    <n v="-1032.6099999999999"/>
    <n v="0"/>
    <n v="1611.4005420000001"/>
    <n v="14006.790542000001"/>
  </r>
  <r>
    <x v="3"/>
    <x v="6"/>
    <x v="2"/>
    <x v="0"/>
    <x v="73"/>
    <s v="KEPL/01466/82-83"/>
    <s v="WELSON TRADE &amp; RASAN MART"/>
    <x v="55"/>
    <n v="3"/>
    <n v="60"/>
    <n v="175.05"/>
    <n v="10503"/>
    <n v="-807.68"/>
    <n v="0"/>
    <n v="1260.391476"/>
    <n v="10955.711476"/>
  </r>
  <r>
    <x v="11"/>
    <x v="6"/>
    <x v="2"/>
    <x v="0"/>
    <x v="73"/>
    <s v="KEPL/01466/82-83"/>
    <s v="WELSON TRADE &amp; RASAN MART"/>
    <x v="53"/>
    <n v="1"/>
    <n v="40"/>
    <n v="81.94"/>
    <n v="3277.6"/>
    <n v="-252.05"/>
    <n v="0"/>
    <n v="393.321461"/>
    <n v="3418.8714610000002"/>
  </r>
  <r>
    <x v="0"/>
    <x v="6"/>
    <x v="2"/>
    <x v="0"/>
    <x v="73"/>
    <s v="KEPL/01466/82-83"/>
    <s v="WELSON TRADE &amp; RASAN MART"/>
    <x v="47"/>
    <n v="1"/>
    <n v="40"/>
    <n v="111.74"/>
    <n v="4469.6000000000004"/>
    <n v="-343.71"/>
    <n v="0"/>
    <n v="536.36564699999997"/>
    <n v="4662.255647"/>
  </r>
  <r>
    <x v="3"/>
    <x v="6"/>
    <x v="2"/>
    <x v="0"/>
    <x v="73"/>
    <s v="KEPL/01466/82-83"/>
    <s v="WELSON TRADE &amp; RASAN MART"/>
    <x v="46"/>
    <n v="3"/>
    <n v="60"/>
    <n v="175.06"/>
    <n v="10503.6"/>
    <n v="-807.7299999999999"/>
    <n v="0"/>
    <n v="1260.462976"/>
    <n v="10956.332976"/>
  </r>
  <r>
    <x v="6"/>
    <x v="6"/>
    <x v="2"/>
    <x v="0"/>
    <x v="73"/>
    <s v="KEPL/01466/82-83"/>
    <s v="WELSON TRADE &amp; RASAN MART"/>
    <x v="29"/>
    <n v="4"/>
    <n v="80"/>
    <n v="204.85"/>
    <n v="16388"/>
    <n v="-1260.24"/>
    <n v="0"/>
    <n v="1966.6086069999999"/>
    <n v="17094.368607"/>
  </r>
  <r>
    <x v="3"/>
    <x v="6"/>
    <x v="2"/>
    <x v="0"/>
    <x v="73"/>
    <s v="KEPL/01467/82-83"/>
    <s v="DURGA LAXMI AND SONS"/>
    <x v="54"/>
    <n v="2"/>
    <n v="40"/>
    <n v="175.06"/>
    <n v="7002.4"/>
    <n v="-538.48"/>
    <n v="0"/>
    <n v="840.30959600000006"/>
    <n v="7304.2295960000001"/>
  </r>
  <r>
    <x v="3"/>
    <x v="6"/>
    <x v="2"/>
    <x v="0"/>
    <x v="73"/>
    <s v="KEPL/01467/82-83"/>
    <s v="DURGA LAXMI AND SONS"/>
    <x v="55"/>
    <n v="10"/>
    <n v="200"/>
    <n v="175.05"/>
    <n v="35010"/>
    <n v="-2692.27"/>
    <n v="0"/>
    <n v="4201.3048799999997"/>
    <n v="36519.034879999999"/>
  </r>
  <r>
    <x v="3"/>
    <x v="6"/>
    <x v="2"/>
    <x v="0"/>
    <x v="73"/>
    <s v="KEPL/01467/82-83"/>
    <s v="DURGA LAXMI AND SONS"/>
    <x v="46"/>
    <n v="10"/>
    <n v="200"/>
    <n v="175.06"/>
    <n v="35012"/>
    <n v="-2692.42"/>
    <n v="0"/>
    <n v="4201.5453800000005"/>
    <n v="36521.125379999998"/>
  </r>
  <r>
    <x v="0"/>
    <x v="6"/>
    <x v="2"/>
    <x v="0"/>
    <x v="73"/>
    <s v="KEPL/01467/82-83"/>
    <s v="DURGA LAXMI AND SONS"/>
    <x v="47"/>
    <n v="10"/>
    <n v="400"/>
    <n v="111.74"/>
    <n v="44696"/>
    <n v="-3437.12"/>
    <n v="0"/>
    <n v="5363.6543750000001"/>
    <n v="46622.534375000003"/>
  </r>
  <r>
    <x v="0"/>
    <x v="6"/>
    <x v="2"/>
    <x v="0"/>
    <x v="73"/>
    <s v="KEPL/01467/82-83"/>
    <s v="DURGA LAXMI AND SONS"/>
    <x v="57"/>
    <n v="2"/>
    <n v="80"/>
    <n v="111.74"/>
    <n v="8939.2000000000007"/>
    <n v="-687.42"/>
    <n v="0"/>
    <n v="1072.731395"/>
    <n v="9324.5113949999995"/>
  </r>
  <r>
    <x v="0"/>
    <x v="6"/>
    <x v="2"/>
    <x v="0"/>
    <x v="73"/>
    <s v="KEPL/01467/82-83"/>
    <s v="DURGA LAXMI AND SONS"/>
    <x v="58"/>
    <n v="10"/>
    <n v="400"/>
    <n v="111.74"/>
    <n v="44696"/>
    <n v="-3437.12"/>
    <n v="0"/>
    <n v="5363.6543750000001"/>
    <n v="46622.534375000003"/>
  </r>
  <r>
    <x v="20"/>
    <x v="6"/>
    <x v="2"/>
    <x v="0"/>
    <x v="74"/>
    <s v="KEPL/01469/82-83"/>
    <s v="MALIKA DISTRIBUTORS NEPAL PVT LTD."/>
    <x v="52"/>
    <n v="50"/>
    <n v="200"/>
    <n v="595.92999999999995"/>
    <n v="119186"/>
    <n v="-9165.4"/>
    <n v="0"/>
    <n v="14302.68"/>
    <n v="124323.28"/>
  </r>
  <r>
    <x v="8"/>
    <x v="6"/>
    <x v="2"/>
    <x v="0"/>
    <x v="74"/>
    <s v="KEPL/01470/82-83"/>
    <s v="MEGA MART PVT.LTD"/>
    <x v="33"/>
    <n v="8"/>
    <n v="320"/>
    <n v="66.37"/>
    <n v="21238.400000000001"/>
    <n v="0"/>
    <n v="0"/>
    <n v="2760.99"/>
    <n v="23999.39"/>
  </r>
  <r>
    <x v="20"/>
    <x v="6"/>
    <x v="2"/>
    <x v="0"/>
    <x v="75"/>
    <s v="KEPL/01471/82-83"/>
    <s v="DINESH TRADING HOUSE"/>
    <x v="52"/>
    <n v="20"/>
    <n v="80"/>
    <n v="595.92999999999995"/>
    <n v="47674.400000000001"/>
    <n v="-3666.16"/>
    <n v="0"/>
    <n v="5721.0718560000005"/>
    <n v="49729.311856"/>
  </r>
  <r>
    <x v="8"/>
    <x v="6"/>
    <x v="2"/>
    <x v="0"/>
    <x v="75"/>
    <s v="KEPL/01471/82-83"/>
    <s v="DINESH TRADING HOUSE"/>
    <x v="56"/>
    <n v="5"/>
    <n v="4000"/>
    <n v="7.46"/>
    <n v="29840"/>
    <n v="-2294.7000000000003"/>
    <n v="0"/>
    <n v="3580.8894109999997"/>
    <n v="31126.189410999999"/>
  </r>
  <r>
    <x v="7"/>
    <x v="6"/>
    <x v="2"/>
    <x v="0"/>
    <x v="75"/>
    <s v="KEPL/01471/82-83"/>
    <s v="DINESH TRADING HOUSE"/>
    <x v="12"/>
    <n v="2"/>
    <n v="260"/>
    <n v="37.25"/>
    <n v="9685"/>
    <n v="-744.78"/>
    <n v="0"/>
    <n v="1162.2287329999999"/>
    <n v="10102.448732999999"/>
  </r>
  <r>
    <x v="7"/>
    <x v="6"/>
    <x v="2"/>
    <x v="0"/>
    <x v="76"/>
    <s v="KEPL/01476/82-83"/>
    <s v="AAFNAI PASAL PVT.LTD"/>
    <x v="27"/>
    <n v="2"/>
    <n v="140"/>
    <n v="37.25"/>
    <n v="5215"/>
    <n v="-401.03"/>
    <n v="0"/>
    <n v="625.81688699999995"/>
    <n v="5439.7868870000002"/>
  </r>
  <r>
    <x v="17"/>
    <x v="6"/>
    <x v="2"/>
    <x v="0"/>
    <x v="76"/>
    <s v="KEPL/01476/82-83"/>
    <s v="AAFNAI PASAL PVT.LTD"/>
    <x v="39"/>
    <n v="4"/>
    <n v="80"/>
    <n v="249.55"/>
    <n v="19964"/>
    <n v="-1535.23"/>
    <n v="0"/>
    <n v="2395.743113"/>
    <n v="20824.513113000001"/>
  </r>
  <r>
    <x v="5"/>
    <x v="6"/>
    <x v="2"/>
    <x v="0"/>
    <x v="76"/>
    <s v="KESR/0030/82-83"/>
    <s v="S GAUTAM STORE"/>
    <x v="7"/>
    <n v="-1.45"/>
    <n v="-61"/>
    <n v="74.489999999999995"/>
    <n v="-4543.8900000000003"/>
    <n v="349.43"/>
    <n v="0"/>
    <n v="-545.27991700000007"/>
    <n v="-4739.7399169999999"/>
  </r>
  <r>
    <x v="5"/>
    <x v="6"/>
    <x v="2"/>
    <x v="0"/>
    <x v="76"/>
    <s v="KESR/0030/82-83"/>
    <s v="S GAUTAM STORE"/>
    <x v="10"/>
    <n v="-2.76"/>
    <n v="-116"/>
    <n v="74.92"/>
    <n v="-8690.7199999999993"/>
    <n v="668.32"/>
    <n v="0"/>
    <n v="-1042.9122239999999"/>
    <n v="-9065.3122239999993"/>
  </r>
  <r>
    <x v="9"/>
    <x v="6"/>
    <x v="2"/>
    <x v="0"/>
    <x v="76"/>
    <s v="KESR/0030/82-83"/>
    <s v="S GAUTAM STORE"/>
    <x v="22"/>
    <n v="-1"/>
    <n v="-24"/>
    <n v="204.85"/>
    <n v="-4916.4000000000005"/>
    <n v="378.07"/>
    <n v="0"/>
    <n v="-589.98302699999999"/>
    <n v="-5128.3130270000001"/>
  </r>
  <r>
    <x v="9"/>
    <x v="6"/>
    <x v="2"/>
    <x v="0"/>
    <x v="76"/>
    <s v="KESR/0030/82-83"/>
    <s v="S GAUTAM STORE"/>
    <x v="38"/>
    <n v="-1"/>
    <n v="-24"/>
    <n v="186.23"/>
    <n v="-4469.5200000000004"/>
    <n v="343.71"/>
    <n v="0"/>
    <n v="-536.35541499999999"/>
    <n v="-4662.1654150000004"/>
  </r>
  <r>
    <x v="17"/>
    <x v="6"/>
    <x v="2"/>
    <x v="0"/>
    <x v="76"/>
    <s v="KESR/0030/82-83"/>
    <s v="S GAUTAM STORE"/>
    <x v="39"/>
    <n v="-2"/>
    <n v="-40"/>
    <n v="249.55"/>
    <n v="-9982"/>
    <n v="767.62"/>
    <n v="0"/>
    <n v="-1197.8696570000002"/>
    <n v="-10412.249657"/>
  </r>
  <r>
    <x v="3"/>
    <x v="6"/>
    <x v="2"/>
    <x v="0"/>
    <x v="76"/>
    <s v="KESR/0030/82-83"/>
    <s v="S GAUTAM STORE"/>
    <x v="4"/>
    <n v="-1.85"/>
    <n v="-37"/>
    <n v="175.05"/>
    <n v="-6476.8499999999995"/>
    <n v="498.07"/>
    <n v="0"/>
    <n v="-777.24156699999992"/>
    <n v="-6756.0215669999998"/>
  </r>
  <r>
    <x v="3"/>
    <x v="6"/>
    <x v="2"/>
    <x v="0"/>
    <x v="76"/>
    <s v="KESR/0030/82-83"/>
    <s v="S GAUTAM STORE"/>
    <x v="46"/>
    <n v="-2.65"/>
    <n v="-53"/>
    <n v="175.05"/>
    <n v="-9277.65"/>
    <n v="713.44999999999993"/>
    <n v="0"/>
    <n v="-1113.346239"/>
    <n v="-9677.5462389999993"/>
  </r>
  <r>
    <x v="0"/>
    <x v="6"/>
    <x v="2"/>
    <x v="0"/>
    <x v="76"/>
    <s v="KESR/0030/82-83"/>
    <s v="S GAUTAM STORE"/>
    <x v="0"/>
    <n v="-1.93"/>
    <n v="-77"/>
    <n v="111.74"/>
    <n v="-8603.98"/>
    <n v="661.65"/>
    <n v="0"/>
    <n v="-1032.5031220000001"/>
    <n v="-8974.833122"/>
  </r>
  <r>
    <x v="10"/>
    <x v="6"/>
    <x v="2"/>
    <x v="0"/>
    <x v="76"/>
    <s v="KESR/0030/82-83"/>
    <s v="S GAUTAM STORE"/>
    <x v="45"/>
    <n v="-0.93"/>
    <n v="-14"/>
    <n v="260.72000000000003"/>
    <n v="-3650.08"/>
    <n v="280.69"/>
    <n v="0"/>
    <n v="-438.02079400000002"/>
    <n v="-3807.4107939999999"/>
  </r>
  <r>
    <x v="11"/>
    <x v="6"/>
    <x v="2"/>
    <x v="0"/>
    <x v="76"/>
    <s v="KESR/0030/82-83"/>
    <s v="S GAUTAM STORE"/>
    <x v="36"/>
    <n v="-0.85"/>
    <n v="-34"/>
    <n v="81.94"/>
    <n v="-2785.9599999999996"/>
    <n v="214.24"/>
    <n v="0"/>
    <n v="-334.32367200000004"/>
    <n v="-2906.0436719999998"/>
  </r>
  <r>
    <x v="8"/>
    <x v="6"/>
    <x v="2"/>
    <x v="0"/>
    <x v="76"/>
    <s v="KESR/0030/82-83"/>
    <s v="S GAUTAM STORE"/>
    <x v="56"/>
    <n v="-1"/>
    <n v="-800"/>
    <n v="7.46"/>
    <n v="-5968"/>
    <n v="458.94"/>
    <n v="0"/>
    <n v="-716.177954"/>
    <n v="-6225.2379540000002"/>
  </r>
  <r>
    <x v="0"/>
    <x v="6"/>
    <x v="2"/>
    <x v="0"/>
    <x v="76"/>
    <s v="KESR/0030/82-83"/>
    <s v="S GAUTAM STORE"/>
    <x v="57"/>
    <n v="-1.35"/>
    <n v="-54"/>
    <n v="111.74"/>
    <n v="-6033.96"/>
    <n v="464.01"/>
    <n v="0"/>
    <n v="-724.09365600000001"/>
    <n v="-6294.0436559999998"/>
  </r>
  <r>
    <x v="20"/>
    <x v="6"/>
    <x v="2"/>
    <x v="0"/>
    <x v="76"/>
    <s v="KESR/0030/82-83"/>
    <s v="S GAUTAM STORE"/>
    <x v="52"/>
    <n v="-2"/>
    <n v="-8"/>
    <n v="595.92999999999995"/>
    <n v="-4767.4399999999996"/>
    <n v="366.62"/>
    <n v="0"/>
    <n v="-572.10672299999999"/>
    <n v="-4972.9267229999996"/>
  </r>
  <r>
    <x v="7"/>
    <x v="6"/>
    <x v="2"/>
    <x v="0"/>
    <x v="76"/>
    <s v="KESR/0030/82-83"/>
    <s v="S GAUTAM STORE"/>
    <x v="12"/>
    <n v="-1.57"/>
    <n v="-204"/>
    <n v="37.25"/>
    <n v="-7599"/>
    <n v="584.36"/>
    <n v="0"/>
    <n v="-911.90339599999993"/>
    <n v="-7926.543396"/>
  </r>
  <r>
    <x v="7"/>
    <x v="6"/>
    <x v="2"/>
    <x v="0"/>
    <x v="76"/>
    <s v="KESR/0030/82-83"/>
    <s v="S GAUTAM STORE"/>
    <x v="27"/>
    <n v="-0.66"/>
    <n v="-46"/>
    <n v="32.78"/>
    <n v="-1507.88"/>
    <n v="115.96"/>
    <n v="0"/>
    <n v="-180.94963899999999"/>
    <n v="-1572.869639"/>
  </r>
  <r>
    <x v="5"/>
    <x v="6"/>
    <x v="2"/>
    <x v="0"/>
    <x v="76"/>
    <s v="KESR/0030/82-83"/>
    <s v="S GAUTAM STORE"/>
    <x v="8"/>
    <n v="-2"/>
    <n v="-84"/>
    <n v="74.489999999999995"/>
    <n v="-6257.16"/>
    <n v="481.18"/>
    <n v="0"/>
    <n v="-750.87756100000001"/>
    <n v="-6526.8575609999998"/>
  </r>
  <r>
    <x v="3"/>
    <x v="6"/>
    <x v="2"/>
    <x v="0"/>
    <x v="76"/>
    <s v="KESR/0030/82-83"/>
    <s v="S GAUTAM STORE"/>
    <x v="15"/>
    <n v="-0.9"/>
    <n v="-18"/>
    <n v="175.05"/>
    <n v="-3150.9"/>
    <n v="242.3"/>
    <n v="0"/>
    <n v="-378.11808100000002"/>
    <n v="-3286.718081"/>
  </r>
  <r>
    <x v="0"/>
    <x v="6"/>
    <x v="2"/>
    <x v="0"/>
    <x v="76"/>
    <s v="KESR/0030/82-83"/>
    <s v="S GAUTAM STORE"/>
    <x v="47"/>
    <n v="-1.45"/>
    <n v="-58"/>
    <n v="111.74"/>
    <n v="-6480.92"/>
    <n v="498.38"/>
    <n v="0"/>
    <n v="-777.73036699999989"/>
    <n v="-6760.2703670000001"/>
  </r>
  <r>
    <x v="11"/>
    <x v="6"/>
    <x v="2"/>
    <x v="0"/>
    <x v="76"/>
    <s v="KESR/0030/82-83"/>
    <s v="S GAUTAM STORE"/>
    <x v="37"/>
    <n v="-1"/>
    <n v="-40"/>
    <n v="81.94"/>
    <n v="-3277.6"/>
    <n v="252.05"/>
    <n v="0"/>
    <n v="-393.32158499999997"/>
    <n v="-3418.8715849999999"/>
  </r>
  <r>
    <x v="11"/>
    <x v="6"/>
    <x v="2"/>
    <x v="0"/>
    <x v="76"/>
    <s v="KESR/0030/82-83"/>
    <s v="S GAUTAM STORE"/>
    <x v="53"/>
    <n v="-1"/>
    <n v="-40"/>
    <n v="81.94"/>
    <n v="-3277.6"/>
    <n v="252.05"/>
    <n v="0"/>
    <n v="-393.32158499999997"/>
    <n v="-3418.8715849999999"/>
  </r>
  <r>
    <x v="8"/>
    <x v="6"/>
    <x v="2"/>
    <x v="0"/>
    <x v="76"/>
    <s v="KESR/0030/82-83"/>
    <s v="S GAUTAM STORE"/>
    <x v="34"/>
    <n v="-1"/>
    <n v="-40"/>
    <n v="67.040000000000006"/>
    <n v="-2681.6"/>
    <n v="206.22"/>
    <n v="0"/>
    <n v="-321.79946899999999"/>
    <n v="-2797.1794690000002"/>
  </r>
  <r>
    <x v="16"/>
    <x v="6"/>
    <x v="2"/>
    <x v="0"/>
    <x v="76"/>
    <s v="KESR/0030/82-83"/>
    <s v="S GAUTAM STORE"/>
    <x v="35"/>
    <n v="-0.57999999999999996"/>
    <n v="-35"/>
    <n v="145.26"/>
    <n v="-5084.1000000000004"/>
    <n v="390.97"/>
    <n v="0"/>
    <n v="-610.10703100000001"/>
    <n v="-5303.2370309999997"/>
  </r>
  <r>
    <x v="13"/>
    <x v="6"/>
    <x v="2"/>
    <x v="0"/>
    <x v="76"/>
    <s v="KESR/0030/82-83"/>
    <s v="S GAUTAM STORE"/>
    <x v="50"/>
    <n v="-1"/>
    <n v="-240"/>
    <n v="14.9"/>
    <n v="-3576"/>
    <n v="274.99"/>
    <n v="0"/>
    <n v="-429.13139200000001"/>
    <n v="-3730.141392"/>
  </r>
  <r>
    <x v="13"/>
    <x v="6"/>
    <x v="2"/>
    <x v="0"/>
    <x v="76"/>
    <s v="KESR/0030/82-83"/>
    <s v="S GAUTAM STORE"/>
    <x v="23"/>
    <n v="-1"/>
    <n v="-600"/>
    <n v="7.45"/>
    <n v="-4470"/>
    <n v="343.74"/>
    <n v="0"/>
    <n v="-536.41391499999997"/>
    <n v="-4662.6739150000003"/>
  </r>
  <r>
    <x v="12"/>
    <x v="6"/>
    <x v="2"/>
    <x v="0"/>
    <x v="76"/>
    <s v="KESR/0030/82-83"/>
    <s v="S GAUTAM STORE"/>
    <x v="60"/>
    <n v="-1.3"/>
    <n v="-1300"/>
    <n v="1.79"/>
    <n v="-2327"/>
    <n v="178.95"/>
    <n v="0"/>
    <n v="-279.24655999999999"/>
    <n v="-2427.2965600000002"/>
  </r>
  <r>
    <x v="10"/>
    <x v="6"/>
    <x v="2"/>
    <x v="0"/>
    <x v="76"/>
    <s v="KESR/0030/82-83"/>
    <s v="S GAUTAM STORE"/>
    <x v="49"/>
    <n v="-1.87"/>
    <n v="-28"/>
    <n v="260.72000000000003"/>
    <n v="-7300.16"/>
    <n v="561.38"/>
    <n v="0"/>
    <n v="-876.04158800000005"/>
    <n v="-7614.8215879999998"/>
  </r>
  <r>
    <x v="8"/>
    <x v="6"/>
    <x v="2"/>
    <x v="0"/>
    <x v="76"/>
    <s v="KESR/0030/82-83"/>
    <s v="S GAUTAM STORE"/>
    <x v="41"/>
    <n v="-1"/>
    <n v="-40"/>
    <n v="67.040000000000006"/>
    <n v="-2681.6"/>
    <n v="206.22"/>
    <n v="0"/>
    <n v="-321.79946899999999"/>
    <n v="-2797.1794690000002"/>
  </r>
  <r>
    <x v="8"/>
    <x v="6"/>
    <x v="2"/>
    <x v="0"/>
    <x v="76"/>
    <s v="KESR/0030/82-83"/>
    <s v="S GAUTAM STORE"/>
    <x v="33"/>
    <n v="-2"/>
    <n v="-80"/>
    <n v="67.040000000000006"/>
    <n v="-5363.2"/>
    <n v="412.43"/>
    <n v="0"/>
    <n v="-643.60023799999999"/>
    <n v="-5594.3702380000004"/>
  </r>
  <r>
    <x v="19"/>
    <x v="6"/>
    <x v="2"/>
    <x v="0"/>
    <x v="76"/>
    <s v="KESR/0030/82-83"/>
    <s v="S GAUTAM STORE"/>
    <x v="51"/>
    <n v="-1"/>
    <n v="-50"/>
    <n v="89.39"/>
    <n v="-4469.5"/>
    <n v="343.7"/>
    <n v="0"/>
    <n v="-536.35411499999998"/>
    <n v="-4662.1541150000003"/>
  </r>
  <r>
    <x v="9"/>
    <x v="6"/>
    <x v="2"/>
    <x v="0"/>
    <x v="76"/>
    <s v="KESR/0030/82-83"/>
    <s v="S GAUTAM STORE"/>
    <x v="44"/>
    <n v="-1"/>
    <n v="-24"/>
    <n v="186.23"/>
    <n v="-4469.5200000000004"/>
    <n v="343.71"/>
    <n v="0"/>
    <n v="-536.35541499999999"/>
    <n v="-4662.1654150000004"/>
  </r>
  <r>
    <x v="6"/>
    <x v="6"/>
    <x v="2"/>
    <x v="0"/>
    <x v="76"/>
    <s v="KESR/0030/82-83"/>
    <s v="S GAUTAM STORE"/>
    <x v="30"/>
    <n v="-1"/>
    <n v="-20"/>
    <n v="242.1"/>
    <n v="-4841.9999999999991"/>
    <n v="372.35"/>
    <n v="0"/>
    <n v="-581.05462499999999"/>
    <n v="-5050.7046250000003"/>
  </r>
  <r>
    <x v="16"/>
    <x v="6"/>
    <x v="2"/>
    <x v="0"/>
    <x v="77"/>
    <s v="KESR/0031/82-83"/>
    <s v="MEGA MART PVT.LTD"/>
    <x v="42"/>
    <n v="-0.03"/>
    <n v="-1"/>
    <n v="282.08"/>
    <n v="-282.08"/>
    <n v="0"/>
    <n v="0"/>
    <n v="-36.669367999999999"/>
    <n v="-318.749368"/>
  </r>
  <r>
    <x v="16"/>
    <x v="6"/>
    <x v="2"/>
    <x v="0"/>
    <x v="77"/>
    <s v="KESR/0031/82-83"/>
    <s v="MEGA MART PVT.LTD"/>
    <x v="35"/>
    <n v="-0.08"/>
    <n v="-5"/>
    <n v="129.41999999999999"/>
    <n v="-647.1"/>
    <n v="0"/>
    <n v="0"/>
    <n v="-84.120632000000001"/>
    <n v="-731.22063200000002"/>
  </r>
  <r>
    <x v="3"/>
    <x v="6"/>
    <x v="2"/>
    <x v="0"/>
    <x v="78"/>
    <s v="KEPL/01481/82-83"/>
    <s v="MEGA MART PVT.LTD"/>
    <x v="46"/>
    <n v="11"/>
    <n v="220"/>
    <n v="155.97"/>
    <n v="34313.4"/>
    <n v="0"/>
    <n v="0"/>
    <n v="4460.7416030000004"/>
    <n v="38774.141602999996"/>
  </r>
  <r>
    <x v="16"/>
    <x v="6"/>
    <x v="2"/>
    <x v="0"/>
    <x v="78"/>
    <s v="KEPL/01481/82-83"/>
    <s v="MEGA MART PVT.LTD"/>
    <x v="42"/>
    <n v="10"/>
    <n v="300"/>
    <n v="282.08"/>
    <n v="84624"/>
    <n v="0"/>
    <n v="0"/>
    <n v="11001.119021"/>
    <n v="95625.119021000006"/>
  </r>
  <r>
    <x v="16"/>
    <x v="6"/>
    <x v="2"/>
    <x v="0"/>
    <x v="78"/>
    <s v="KEPL/01481/82-83"/>
    <s v="MEGA MART PVT.LTD"/>
    <x v="35"/>
    <n v="3"/>
    <n v="180"/>
    <n v="129.41999999999999"/>
    <n v="23295.599999999999"/>
    <n v="0"/>
    <n v="0"/>
    <n v="3028.4277310000002"/>
    <n v="26324.027730999998"/>
  </r>
  <r>
    <x v="8"/>
    <x v="6"/>
    <x v="2"/>
    <x v="0"/>
    <x v="78"/>
    <s v="KEPL/01481/82-83"/>
    <s v="MEGA MART PVT.LTD"/>
    <x v="33"/>
    <n v="1"/>
    <n v="40"/>
    <n v="66.37"/>
    <n v="2654.8"/>
    <n v="0"/>
    <n v="0"/>
    <n v="345.12396899999999"/>
    <n v="2999.9239689999999"/>
  </r>
  <r>
    <x v="3"/>
    <x v="6"/>
    <x v="2"/>
    <x v="0"/>
    <x v="78"/>
    <s v="KEPL/01481/82-83"/>
    <s v="MEGA MART PVT.LTD"/>
    <x v="55"/>
    <n v="9"/>
    <n v="180"/>
    <n v="155.97"/>
    <n v="28074.600000000002"/>
    <n v="0"/>
    <n v="0"/>
    <n v="3649.6976749999999"/>
    <n v="31724.297675000002"/>
  </r>
  <r>
    <x v="7"/>
    <x v="6"/>
    <x v="2"/>
    <x v="0"/>
    <x v="78"/>
    <s v="KEPL/01484/82-83"/>
    <s v="EMERALD TRADE LINK"/>
    <x v="27"/>
    <n v="20"/>
    <n v="1400"/>
    <n v="37.25"/>
    <n v="52150"/>
    <n v="-4010.3399999999997"/>
    <n v="0"/>
    <n v="6258.1600000000008"/>
    <n v="54397.82"/>
  </r>
  <r>
    <x v="0"/>
    <x v="6"/>
    <x v="2"/>
    <x v="0"/>
    <x v="78"/>
    <s v="KEPL/01485/82-83"/>
    <s v="NEW CHANDESHWARI SUPPLIERS"/>
    <x v="47"/>
    <n v="3"/>
    <n v="120"/>
    <n v="111.74"/>
    <n v="13408.8"/>
    <n v="-1031.1400000000001"/>
    <n v="0"/>
    <n v="1609.0946750000001"/>
    <n v="13986.754675"/>
  </r>
  <r>
    <x v="0"/>
    <x v="6"/>
    <x v="2"/>
    <x v="0"/>
    <x v="78"/>
    <s v="KEPL/01485/82-83"/>
    <s v="NEW CHANDESHWARI SUPPLIERS"/>
    <x v="57"/>
    <n v="1"/>
    <n v="40"/>
    <n v="111.74"/>
    <n v="4469.6000000000004"/>
    <n v="-343.71"/>
    <n v="0"/>
    <n v="536.36532499999998"/>
    <n v="4662.2553250000001"/>
  </r>
  <r>
    <x v="13"/>
    <x v="6"/>
    <x v="2"/>
    <x v="0"/>
    <x v="79"/>
    <s v="KEPL/01495/82-83"/>
    <s v="RAJU KIRANA PASAL"/>
    <x v="23"/>
    <n v="1"/>
    <n v="600"/>
    <n v="7.45"/>
    <n v="4470"/>
    <n v="-343.74"/>
    <n v="0"/>
    <n v="536.41551400000003"/>
    <n v="4662.6755139999996"/>
  </r>
  <r>
    <x v="8"/>
    <x v="6"/>
    <x v="2"/>
    <x v="0"/>
    <x v="79"/>
    <s v="KEPL/01495/82-83"/>
    <s v="RAJU KIRANA PASAL"/>
    <x v="34"/>
    <n v="2"/>
    <n v="80"/>
    <n v="74.489999999999995"/>
    <n v="5959.2"/>
    <n v="-458.26"/>
    <n v="0"/>
    <n v="715.12448599999993"/>
    <n v="6216.0644860000002"/>
  </r>
  <r>
    <x v="16"/>
    <x v="6"/>
    <x v="2"/>
    <x v="0"/>
    <x v="79"/>
    <s v="KEPL/01496/82-83"/>
    <s v="B G TRADING CONCERN"/>
    <x v="42"/>
    <n v="2"/>
    <n v="60"/>
    <n v="316.58999999999997"/>
    <n v="18995.399999999998"/>
    <n v="-1460.75"/>
    <n v="0"/>
    <n v="2279.5047679999998"/>
    <n v="19814.154768"/>
  </r>
  <r>
    <x v="19"/>
    <x v="6"/>
    <x v="2"/>
    <x v="0"/>
    <x v="79"/>
    <s v="KEPL/01496/82-83"/>
    <s v="B G TRADING CONCERN"/>
    <x v="51"/>
    <n v="5"/>
    <n v="250"/>
    <n v="89.39"/>
    <n v="22347.5"/>
    <n v="-1718.52"/>
    <n v="0"/>
    <n v="2681.7677160000003"/>
    <n v="23310.747716000002"/>
  </r>
  <r>
    <x v="0"/>
    <x v="6"/>
    <x v="2"/>
    <x v="0"/>
    <x v="79"/>
    <s v="KEPL/01496/82-83"/>
    <s v="B G TRADING CONCERN"/>
    <x v="47"/>
    <n v="5"/>
    <n v="200"/>
    <n v="111.74"/>
    <n v="22348"/>
    <n v="-1718.56"/>
    <n v="0"/>
    <n v="2681.8275159999998"/>
    <n v="23311.267516"/>
  </r>
  <r>
    <x v="1"/>
    <x v="6"/>
    <x v="2"/>
    <x v="0"/>
    <x v="79"/>
    <s v="KEPL/01497/82-83"/>
    <s v="MALIKA DISTRIBUTORS NEPAL PVT LTD."/>
    <x v="24"/>
    <n v="1"/>
    <n v="18"/>
    <n v="178.78"/>
    <n v="3218.0400000000004"/>
    <n v="-247.47"/>
    <n v="0"/>
    <n v="386.17500000000001"/>
    <n v="3356.7449999999999"/>
  </r>
  <r>
    <x v="1"/>
    <x v="6"/>
    <x v="2"/>
    <x v="0"/>
    <x v="79"/>
    <s v="KEPL/01497/82-83"/>
    <s v="MALIKA DISTRIBUTORS NEPAL PVT LTD."/>
    <x v="2"/>
    <n v="1"/>
    <n v="18"/>
    <n v="178.78"/>
    <n v="3218.0400000000004"/>
    <n v="-247.47"/>
    <n v="0"/>
    <n v="386.17500000000001"/>
    <n v="3356.7449999999999"/>
  </r>
  <r>
    <x v="3"/>
    <x v="6"/>
    <x v="2"/>
    <x v="0"/>
    <x v="80"/>
    <s v="KEPL/01504/82-83"/>
    <s v="EMERALD TRADE LINK"/>
    <x v="46"/>
    <n v="3"/>
    <n v="60"/>
    <n v="175.06"/>
    <n v="10503.6"/>
    <n v="-807.7299999999999"/>
    <n v="0"/>
    <n v="1260.46075"/>
    <n v="10956.330749999999"/>
  </r>
  <r>
    <x v="3"/>
    <x v="6"/>
    <x v="2"/>
    <x v="0"/>
    <x v="80"/>
    <s v="KEPL/01504/82-83"/>
    <s v="EMERALD TRADE LINK"/>
    <x v="55"/>
    <n v="3"/>
    <n v="60"/>
    <n v="175.05"/>
    <n v="10503"/>
    <n v="-807.68"/>
    <n v="0"/>
    <n v="1260.3892500000002"/>
    <n v="10955.70925"/>
  </r>
  <r>
    <x v="7"/>
    <x v="6"/>
    <x v="2"/>
    <x v="0"/>
    <x v="80"/>
    <s v="KEPL/01506/82-83"/>
    <s v="GORIN TRADING "/>
    <x v="12"/>
    <n v="5"/>
    <n v="650"/>
    <n v="37.25"/>
    <n v="24212.5"/>
    <n v="-1861.9399999999998"/>
    <n v="0"/>
    <n v="2905.5741459999999"/>
    <n v="25256.134146"/>
  </r>
  <r>
    <x v="8"/>
    <x v="6"/>
    <x v="2"/>
    <x v="0"/>
    <x v="80"/>
    <s v="KEPL/01506/82-83"/>
    <s v="GORIN TRADING "/>
    <x v="41"/>
    <n v="1"/>
    <n v="40"/>
    <n v="67.040000000000006"/>
    <n v="2681.6"/>
    <n v="-206.22"/>
    <n v="0"/>
    <n v="321.79954900000001"/>
    <n v="2797.179549"/>
  </r>
  <r>
    <x v="11"/>
    <x v="6"/>
    <x v="2"/>
    <x v="0"/>
    <x v="80"/>
    <s v="KEPL/01506/82-83"/>
    <s v="GORIN TRADING "/>
    <x v="37"/>
    <n v="1"/>
    <n v="40"/>
    <n v="81.94"/>
    <n v="3277.6"/>
    <n v="-252.05"/>
    <n v="0"/>
    <n v="393.32168200000001"/>
    <n v="3418.871682"/>
  </r>
  <r>
    <x v="8"/>
    <x v="6"/>
    <x v="2"/>
    <x v="0"/>
    <x v="80"/>
    <s v="KEPL/01506/82-83"/>
    <s v="GORIN TRADING "/>
    <x v="56"/>
    <n v="4"/>
    <n v="3200"/>
    <n v="7.45"/>
    <n v="23840"/>
    <n v="-1833.3"/>
    <n v="0"/>
    <n v="2860.8723260000002"/>
    <n v="24867.572326000001"/>
  </r>
  <r>
    <x v="10"/>
    <x v="6"/>
    <x v="2"/>
    <x v="0"/>
    <x v="80"/>
    <s v="KEPL/01506/82-83"/>
    <s v="GORIN TRADING "/>
    <x v="45"/>
    <n v="1"/>
    <n v="15"/>
    <n v="260.72000000000003"/>
    <n v="3910.8"/>
    <n v="-300.74"/>
    <n v="0"/>
    <n v="469.30801700000001"/>
    <n v="4079.3680169999998"/>
  </r>
  <r>
    <x v="1"/>
    <x v="6"/>
    <x v="2"/>
    <x v="0"/>
    <x v="80"/>
    <s v="KEPL/01506/82-83"/>
    <s v="GORIN TRADING "/>
    <x v="25"/>
    <n v="1"/>
    <n v="18"/>
    <n v="178.78"/>
    <n v="3218.0400000000004"/>
    <n v="-247.47"/>
    <n v="0"/>
    <n v="386.17427899999996"/>
    <n v="3356.744279"/>
  </r>
  <r>
    <x v="1"/>
    <x v="6"/>
    <x v="2"/>
    <x v="0"/>
    <x v="80"/>
    <s v="KEPL/01510/82-83"/>
    <s v="GORIN TRADING "/>
    <x v="2"/>
    <n v="1"/>
    <n v="18"/>
    <n v="178.78"/>
    <n v="3218.0400000000004"/>
    <n v="-247.47"/>
    <n v="0"/>
    <n v="386.17"/>
    <n v="3356.74"/>
  </r>
  <r>
    <x v="6"/>
    <x v="6"/>
    <x v="2"/>
    <x v="0"/>
    <x v="80"/>
    <s v="KEPL/01511/82-83"/>
    <s v="AAFNAI PASAL PVT.LTD"/>
    <x v="30"/>
    <n v="1"/>
    <n v="20"/>
    <n v="242.1"/>
    <n v="4841.9999999999991"/>
    <n v="-372.35"/>
    <n v="0"/>
    <n v="581.04999999999995"/>
    <n v="5050.7"/>
  </r>
  <r>
    <x v="17"/>
    <x v="6"/>
    <x v="2"/>
    <x v="0"/>
    <x v="81"/>
    <s v="KEPL/01521/82-83"/>
    <s v="BEERA BARJEE INTERNATIONAL PVT.LTD"/>
    <x v="39"/>
    <n v="1"/>
    <n v="20"/>
    <n v="249.55"/>
    <n v="4991"/>
    <n v="-383.81"/>
    <n v="0"/>
    <n v="598.93424100000004"/>
    <n v="5206.1242410000004"/>
  </r>
  <r>
    <x v="11"/>
    <x v="6"/>
    <x v="2"/>
    <x v="0"/>
    <x v="81"/>
    <s v="KEPL/01521/82-83"/>
    <s v="BEERA BARJEE INTERNATIONAL PVT.LTD"/>
    <x v="53"/>
    <n v="1"/>
    <n v="40"/>
    <n v="81.94"/>
    <n v="3277.6"/>
    <n v="-252.05"/>
    <n v="0"/>
    <n v="393.32119799999998"/>
    <n v="3418.8711979999998"/>
  </r>
  <r>
    <x v="19"/>
    <x v="6"/>
    <x v="2"/>
    <x v="0"/>
    <x v="81"/>
    <s v="KEPL/01521/82-83"/>
    <s v="BEERA BARJEE INTERNATIONAL PVT.LTD"/>
    <x v="51"/>
    <n v="3"/>
    <n v="150"/>
    <n v="89.39"/>
    <n v="13408.500000000002"/>
    <n v="-1031.1100000000001"/>
    <n v="0"/>
    <n v="1609.0594660000002"/>
    <n v="13986.449466"/>
  </r>
  <r>
    <x v="10"/>
    <x v="6"/>
    <x v="2"/>
    <x v="0"/>
    <x v="81"/>
    <s v="KEPL/01521/82-83"/>
    <s v="BEERA BARJEE INTERNATIONAL PVT.LTD"/>
    <x v="49"/>
    <n v="2"/>
    <n v="30"/>
    <n v="260.72000000000003"/>
    <n v="7821.6"/>
    <n v="-601.48"/>
    <n v="0"/>
    <n v="938.61487999999997"/>
    <n v="8158.73488"/>
  </r>
  <r>
    <x v="9"/>
    <x v="6"/>
    <x v="2"/>
    <x v="0"/>
    <x v="81"/>
    <s v="KEPL/01521/82-83"/>
    <s v="BEERA BARJEE INTERNATIONAL PVT.LTD"/>
    <x v="44"/>
    <n v="1"/>
    <n v="24"/>
    <n v="186.23"/>
    <n v="4469.5200000000004"/>
    <n v="-343.71"/>
    <n v="0"/>
    <n v="536.35488900000007"/>
    <n v="4662.1648889999997"/>
  </r>
  <r>
    <x v="11"/>
    <x v="6"/>
    <x v="2"/>
    <x v="0"/>
    <x v="81"/>
    <s v="KEPL/01521/82-83"/>
    <s v="BEERA BARJEE INTERNATIONAL PVT.LTD"/>
    <x v="36"/>
    <n v="1"/>
    <n v="40"/>
    <n v="81.94"/>
    <n v="3277.6"/>
    <n v="-252.05"/>
    <n v="0"/>
    <n v="393.32119799999998"/>
    <n v="3418.8711979999998"/>
  </r>
  <r>
    <x v="8"/>
    <x v="6"/>
    <x v="2"/>
    <x v="0"/>
    <x v="81"/>
    <s v="KEPL/01521/82-83"/>
    <s v="BEERA BARJEE INTERNATIONAL PVT.LTD"/>
    <x v="34"/>
    <n v="2"/>
    <n v="80"/>
    <n v="74.489999999999995"/>
    <n v="5959.2"/>
    <n v="-458.26"/>
    <n v="0"/>
    <n v="715.12165100000004"/>
    <n v="6216.061651"/>
  </r>
  <r>
    <x v="8"/>
    <x v="6"/>
    <x v="2"/>
    <x v="0"/>
    <x v="81"/>
    <s v="KEPL/01521/82-83"/>
    <s v="BEERA BARJEE INTERNATIONAL PVT.LTD"/>
    <x v="33"/>
    <n v="3"/>
    <n v="120"/>
    <n v="74.489999999999995"/>
    <n v="8938.8000000000011"/>
    <n v="-687.3900000000001"/>
    <n v="0"/>
    <n v="1072.6824770000001"/>
    <n v="9324.0924770000001"/>
  </r>
  <r>
    <x v="0"/>
    <x v="6"/>
    <x v="2"/>
    <x v="0"/>
    <x v="81"/>
    <s v="KEPL/01522/82-83"/>
    <s v="DINESH TRADING HOUSE"/>
    <x v="47"/>
    <n v="2"/>
    <n v="80"/>
    <n v="111.74"/>
    <n v="8939.2000000000007"/>
    <n v="-687.42"/>
    <n v="0"/>
    <n v="1072.7295320000001"/>
    <n v="9324.509532"/>
  </r>
  <r>
    <x v="16"/>
    <x v="6"/>
    <x v="2"/>
    <x v="0"/>
    <x v="81"/>
    <s v="KEPL/01522/82-83"/>
    <s v="DINESH TRADING HOUSE"/>
    <x v="35"/>
    <n v="1"/>
    <n v="60"/>
    <n v="145.26"/>
    <n v="8715.6"/>
    <n v="-670.23"/>
    <n v="0"/>
    <n v="1045.8962779999999"/>
    <n v="9091.2662779999991"/>
  </r>
  <r>
    <x v="8"/>
    <x v="6"/>
    <x v="2"/>
    <x v="0"/>
    <x v="81"/>
    <s v="KEPL/01522/82-83"/>
    <s v="DINESH TRADING HOUSE"/>
    <x v="13"/>
    <n v="1"/>
    <n v="24"/>
    <n v="141.54"/>
    <n v="3396.96"/>
    <n v="-261.23"/>
    <n v="0"/>
    <n v="407.64418999999998"/>
    <n v="3543.37419"/>
  </r>
  <r>
    <x v="3"/>
    <x v="6"/>
    <x v="2"/>
    <x v="0"/>
    <x v="81"/>
    <s v="KEPL/01523/82-83"/>
    <s v="MALIKA DISTRIBUTORS NEPAL PVT LTD."/>
    <x v="55"/>
    <n v="3"/>
    <n v="60"/>
    <n v="175.05"/>
    <n v="10503"/>
    <n v="-807.68"/>
    <n v="0"/>
    <n v="1260.390958"/>
    <n v="10955.710958"/>
  </r>
  <r>
    <x v="12"/>
    <x v="6"/>
    <x v="2"/>
    <x v="0"/>
    <x v="81"/>
    <s v="KEPL/01523/82-83"/>
    <s v="MALIKA DISTRIBUTORS NEPAL PVT LTD."/>
    <x v="60"/>
    <n v="1"/>
    <n v="1000"/>
    <n v="1.86"/>
    <n v="1860"/>
    <n v="-143.03"/>
    <n v="0"/>
    <n v="223.205986"/>
    <n v="1940.175986"/>
  </r>
  <r>
    <x v="10"/>
    <x v="6"/>
    <x v="2"/>
    <x v="0"/>
    <x v="81"/>
    <s v="KEPL/01523/82-83"/>
    <s v="MALIKA DISTRIBUTORS NEPAL PVT LTD."/>
    <x v="49"/>
    <n v="5"/>
    <n v="75"/>
    <n v="260.72000000000003"/>
    <n v="19554"/>
    <n v="-1503.6999999999998"/>
    <n v="0"/>
    <n v="2346.5378040000001"/>
    <n v="20396.837803999999"/>
  </r>
  <r>
    <x v="1"/>
    <x v="6"/>
    <x v="2"/>
    <x v="0"/>
    <x v="81"/>
    <s v="KEPL/01523/82-83"/>
    <s v="MALIKA DISTRIBUTORS NEPAL PVT LTD."/>
    <x v="26"/>
    <n v="1"/>
    <n v="18"/>
    <n v="178.78"/>
    <n v="3218.0400000000004"/>
    <n v="-247.47"/>
    <n v="0"/>
    <n v="386.173903"/>
    <n v="3356.743903"/>
  </r>
  <r>
    <x v="8"/>
    <x v="6"/>
    <x v="2"/>
    <x v="0"/>
    <x v="81"/>
    <s v="KEPL/01523/82-83"/>
    <s v="MALIKA DISTRIBUTORS NEPAL PVT LTD."/>
    <x v="34"/>
    <n v="1"/>
    <n v="40"/>
    <n v="74.489999999999995"/>
    <n v="2979.6"/>
    <n v="-229.13"/>
    <n v="0"/>
    <n v="357.56091799999996"/>
    <n v="3108.0309179999999"/>
  </r>
  <r>
    <x v="1"/>
    <x v="6"/>
    <x v="2"/>
    <x v="0"/>
    <x v="81"/>
    <s v="KEPL/01523/82-83"/>
    <s v="MALIKA DISTRIBUTORS NEPAL PVT LTD."/>
    <x v="24"/>
    <n v="1"/>
    <n v="18"/>
    <n v="178.78"/>
    <n v="3218.0400000000004"/>
    <n v="-247.47"/>
    <n v="0"/>
    <n v="386.173903"/>
    <n v="3356.743903"/>
  </r>
  <r>
    <x v="10"/>
    <x v="6"/>
    <x v="2"/>
    <x v="0"/>
    <x v="81"/>
    <s v="KEPL/01523/82-83"/>
    <s v="MALIKA DISTRIBUTORS NEPAL PVT LTD."/>
    <x v="45"/>
    <n v="5"/>
    <n v="75"/>
    <n v="260.72000000000003"/>
    <n v="19554"/>
    <n v="-1503.6999999999998"/>
    <n v="0"/>
    <n v="2346.5378040000001"/>
    <n v="20396.837803999999"/>
  </r>
  <r>
    <x v="1"/>
    <x v="6"/>
    <x v="2"/>
    <x v="0"/>
    <x v="81"/>
    <s v="KEPL/01523/82-83"/>
    <s v="MALIKA DISTRIBUTORS NEPAL PVT LTD."/>
    <x v="2"/>
    <n v="1"/>
    <n v="18"/>
    <n v="178.78"/>
    <n v="3218.0400000000004"/>
    <n v="-247.47"/>
    <n v="0"/>
    <n v="386.173903"/>
    <n v="3356.743903"/>
  </r>
  <r>
    <x v="8"/>
    <x v="6"/>
    <x v="2"/>
    <x v="0"/>
    <x v="81"/>
    <s v="KEPL/01523/82-83"/>
    <s v="MALIKA DISTRIBUTORS NEPAL PVT LTD."/>
    <x v="33"/>
    <n v="1"/>
    <n v="40"/>
    <n v="74.489999999999995"/>
    <n v="2979.6"/>
    <n v="-229.13"/>
    <n v="0"/>
    <n v="357.56091799999996"/>
    <n v="3108.0309179999999"/>
  </r>
  <r>
    <x v="1"/>
    <x v="6"/>
    <x v="2"/>
    <x v="0"/>
    <x v="81"/>
    <s v="KEPL/01523/82-83"/>
    <s v="MALIKA DISTRIBUTORS NEPAL PVT LTD."/>
    <x v="25"/>
    <n v="1"/>
    <n v="18"/>
    <n v="178.78"/>
    <n v="3218.0400000000004"/>
    <n v="-247.47"/>
    <n v="0"/>
    <n v="386.173903"/>
    <n v="3356.743903"/>
  </r>
  <r>
    <x v="1"/>
    <x v="6"/>
    <x v="2"/>
    <x v="0"/>
    <x v="81"/>
    <s v="KEPL/01524/82-83"/>
    <s v="NAWA ATITHI STORES"/>
    <x v="25"/>
    <n v="1"/>
    <n v="18"/>
    <n v="178.78"/>
    <n v="3218.0400000000004"/>
    <n v="-247.47"/>
    <n v="0"/>
    <n v="386.17441500000001"/>
    <n v="3356.7444150000001"/>
  </r>
  <r>
    <x v="8"/>
    <x v="6"/>
    <x v="2"/>
    <x v="0"/>
    <x v="81"/>
    <s v="KEPL/01524/82-83"/>
    <s v="NAWA ATITHI STORES"/>
    <x v="56"/>
    <n v="2"/>
    <n v="1600"/>
    <n v="7.46"/>
    <n v="11936"/>
    <n v="-917.88"/>
    <n v="0"/>
    <n v="1432.3567700000001"/>
    <n v="12450.476769999999"/>
  </r>
  <r>
    <x v="8"/>
    <x v="6"/>
    <x v="2"/>
    <x v="0"/>
    <x v="81"/>
    <s v="KEPL/01524/82-83"/>
    <s v="NAWA ATITHI STORES"/>
    <x v="33"/>
    <n v="2"/>
    <n v="80"/>
    <n v="74.489999999999995"/>
    <n v="5959.2"/>
    <n v="-458.26"/>
    <n v="0"/>
    <n v="715.12278400000002"/>
    <n v="6216.0627839999997"/>
  </r>
  <r>
    <x v="1"/>
    <x v="6"/>
    <x v="2"/>
    <x v="0"/>
    <x v="81"/>
    <s v="KEPL/01524/82-83"/>
    <s v="NAWA ATITHI STORES"/>
    <x v="2"/>
    <n v="1"/>
    <n v="18"/>
    <n v="178.78"/>
    <n v="3218.0400000000004"/>
    <n v="-247.47"/>
    <n v="0"/>
    <n v="386.17441500000001"/>
    <n v="3356.7444150000001"/>
  </r>
  <r>
    <x v="1"/>
    <x v="6"/>
    <x v="2"/>
    <x v="0"/>
    <x v="81"/>
    <s v="KEPL/01524/82-83"/>
    <s v="NAWA ATITHI STORES"/>
    <x v="26"/>
    <n v="1"/>
    <n v="18"/>
    <n v="178.78"/>
    <n v="3218.0400000000004"/>
    <n v="-247.47"/>
    <n v="0"/>
    <n v="386.17441500000001"/>
    <n v="3356.7444150000001"/>
  </r>
  <r>
    <x v="8"/>
    <x v="6"/>
    <x v="2"/>
    <x v="0"/>
    <x v="81"/>
    <s v="KEPL/01524/82-83"/>
    <s v="NAWA ATITHI STORES"/>
    <x v="34"/>
    <n v="2"/>
    <n v="80"/>
    <n v="74.489999999999995"/>
    <n v="5959.2"/>
    <n v="-458.26"/>
    <n v="0"/>
    <n v="715.12278400000002"/>
    <n v="6216.0627839999997"/>
  </r>
  <r>
    <x v="1"/>
    <x v="6"/>
    <x v="2"/>
    <x v="0"/>
    <x v="81"/>
    <s v="KEPL/01524/82-83"/>
    <s v="NAWA ATITHI STORES"/>
    <x v="24"/>
    <n v="1"/>
    <n v="18"/>
    <n v="178.78"/>
    <n v="3218.0400000000004"/>
    <n v="-247.47"/>
    <n v="0"/>
    <n v="386.17441500000001"/>
    <n v="3356.7444150000001"/>
  </r>
  <r>
    <x v="12"/>
    <x v="6"/>
    <x v="2"/>
    <x v="0"/>
    <x v="82"/>
    <s v="KEPL/01535/82-83"/>
    <s v="MALIKA DISTRIBUTORS NEPAL PVT LTD."/>
    <x v="60"/>
    <n v="2"/>
    <n v="2000"/>
    <n v="1.86"/>
    <n v="3720"/>
    <n v="-286.07"/>
    <n v="0"/>
    <n v="446.41"/>
    <n v="3880.34"/>
  </r>
  <r>
    <x v="7"/>
    <x v="6"/>
    <x v="2"/>
    <x v="0"/>
    <x v="83"/>
    <s v="KEPL/01542/82-83"/>
    <s v="ARUNIMA TRADERS"/>
    <x v="12"/>
    <n v="1"/>
    <n v="130"/>
    <n v="37.25"/>
    <n v="4842.5"/>
    <n v="-372.39"/>
    <n v="0"/>
    <n v="581.11406899999997"/>
    <n v="5051.2240689999999"/>
  </r>
  <r>
    <x v="7"/>
    <x v="6"/>
    <x v="2"/>
    <x v="0"/>
    <x v="83"/>
    <s v="KEPL/01542/82-83"/>
    <s v="ARUNIMA TRADERS"/>
    <x v="27"/>
    <n v="1"/>
    <n v="70"/>
    <n v="37.25"/>
    <n v="2607.5"/>
    <n v="-200.52"/>
    <n v="0"/>
    <n v="312.90727500000003"/>
    <n v="2719.887275"/>
  </r>
  <r>
    <x v="0"/>
    <x v="6"/>
    <x v="2"/>
    <x v="0"/>
    <x v="83"/>
    <s v="KEPL/01542/82-83"/>
    <s v="ARUNIMA TRADERS"/>
    <x v="47"/>
    <n v="2"/>
    <n v="80"/>
    <n v="111.74"/>
    <n v="8939.2000000000007"/>
    <n v="-687.42"/>
    <n v="0"/>
    <n v="1072.7309729999999"/>
    <n v="9324.5109730000004"/>
  </r>
  <r>
    <x v="16"/>
    <x v="6"/>
    <x v="2"/>
    <x v="0"/>
    <x v="83"/>
    <s v="KEPL/01542/82-83"/>
    <s v="ARUNIMA TRADERS"/>
    <x v="35"/>
    <n v="1"/>
    <n v="60"/>
    <n v="145.26"/>
    <n v="8715.6"/>
    <n v="-670.23"/>
    <n v="0"/>
    <n v="1045.8976829999999"/>
    <n v="9091.267683"/>
  </r>
  <r>
    <x v="20"/>
    <x v="6"/>
    <x v="2"/>
    <x v="0"/>
    <x v="83"/>
    <s v="KEPL/01544/82-83"/>
    <s v="SHUBHASHREE MARKETING"/>
    <x v="52"/>
    <n v="10"/>
    <n v="40"/>
    <n v="595.92999999999995"/>
    <n v="23837.200000000001"/>
    <n v="-1833.08"/>
    <n v="0"/>
    <n v="2860.536881"/>
    <n v="24864.656880999999"/>
  </r>
  <r>
    <x v="14"/>
    <x v="6"/>
    <x v="2"/>
    <x v="0"/>
    <x v="83"/>
    <s v="KEPL/01544/82-83"/>
    <s v="SHUBHASHREE MARKETING"/>
    <x v="31"/>
    <n v="2"/>
    <n v="120"/>
    <n v="111.74"/>
    <n v="13408.8"/>
    <n v="-1031.1400000000001"/>
    <n v="0"/>
    <n v="1609.0965209999999"/>
    <n v="13986.756520999999"/>
  </r>
  <r>
    <x v="10"/>
    <x v="6"/>
    <x v="2"/>
    <x v="0"/>
    <x v="83"/>
    <s v="KEPL/01544/82-83"/>
    <s v="SHUBHASHREE MARKETING"/>
    <x v="49"/>
    <n v="5"/>
    <n v="75"/>
    <n v="260.72000000000003"/>
    <n v="19554"/>
    <n v="-1503.6999999999998"/>
    <n v="0"/>
    <n v="2346.5400509999999"/>
    <n v="20396.840050999999"/>
  </r>
  <r>
    <x v="8"/>
    <x v="6"/>
    <x v="2"/>
    <x v="0"/>
    <x v="83"/>
    <s v="KEPL/01544/82-83"/>
    <s v="SHUBHASHREE MARKETING"/>
    <x v="13"/>
    <n v="3"/>
    <n v="72"/>
    <n v="141.54"/>
    <n v="10190.879999999999"/>
    <n v="-783.68"/>
    <n v="0"/>
    <n v="1222.9365480000001"/>
    <n v="10630.136548"/>
  </r>
  <r>
    <x v="11"/>
    <x v="6"/>
    <x v="2"/>
    <x v="0"/>
    <x v="83"/>
    <s v="KEPL/01550/82-83"/>
    <s v="MALIKA DISTRIBUTORS NEPAL PVT LTD."/>
    <x v="53"/>
    <n v="0.85"/>
    <n v="34"/>
    <n v="81.94"/>
    <n v="2785.9599999999996"/>
    <n v="-214.24"/>
    <n v="0"/>
    <n v="334.32350700000001"/>
    <n v="2906.0435069999999"/>
  </r>
  <r>
    <x v="7"/>
    <x v="6"/>
    <x v="2"/>
    <x v="0"/>
    <x v="83"/>
    <s v="KEPL/01550/82-83"/>
    <s v="MALIKA DISTRIBUTORS NEPAL PVT LTD."/>
    <x v="12"/>
    <n v="0.78"/>
    <n v="101"/>
    <n v="37.25"/>
    <n v="3762.25"/>
    <n v="-289.32"/>
    <n v="0"/>
    <n v="451.48077499999999"/>
    <n v="3924.4107749999998"/>
  </r>
  <r>
    <x v="2"/>
    <x v="6"/>
    <x v="2"/>
    <x v="0"/>
    <x v="83"/>
    <s v="KEPL/01550/82-83"/>
    <s v="MALIKA DISTRIBUTORS NEPAL PVT LTD."/>
    <x v="3"/>
    <n v="0.1"/>
    <n v="2"/>
    <n v="186.23"/>
    <n v="372.46"/>
    <n v="-28.64"/>
    <n v="0"/>
    <n v="44.696587999999998"/>
    <n v="388.51658800000001"/>
  </r>
  <r>
    <x v="8"/>
    <x v="6"/>
    <x v="2"/>
    <x v="0"/>
    <x v="83"/>
    <s v="KEPL/01550/82-83"/>
    <s v="MALIKA DISTRIBUTORS NEPAL PVT LTD."/>
    <x v="34"/>
    <n v="0.33"/>
    <n v="13"/>
    <n v="67.040000000000006"/>
    <n v="871.52"/>
    <n v="-67.02"/>
    <n v="0"/>
    <n v="104.58497100000001"/>
    <n v="909.084971"/>
  </r>
  <r>
    <x v="0"/>
    <x v="6"/>
    <x v="2"/>
    <x v="0"/>
    <x v="83"/>
    <s v="KEPL/01550/82-83"/>
    <s v="MALIKA DISTRIBUTORS NEPAL PVT LTD."/>
    <x v="57"/>
    <n v="0.3"/>
    <n v="12"/>
    <n v="111.74"/>
    <n v="1340.88"/>
    <n v="-103.11"/>
    <n v="0"/>
    <n v="160.910055"/>
    <n v="1398.680055"/>
  </r>
  <r>
    <x v="8"/>
    <x v="6"/>
    <x v="2"/>
    <x v="0"/>
    <x v="83"/>
    <s v="KEPL/01550/82-83"/>
    <s v="MALIKA DISTRIBUTORS NEPAL PVT LTD."/>
    <x v="41"/>
    <n v="0.08"/>
    <n v="3"/>
    <n v="67.040000000000006"/>
    <n v="201.12"/>
    <n v="-15.47"/>
    <n v="0"/>
    <n v="24.134492999999999"/>
    <n v="209.784493"/>
  </r>
  <r>
    <x v="17"/>
    <x v="6"/>
    <x v="2"/>
    <x v="0"/>
    <x v="83"/>
    <s v="KEPL/01550/82-83"/>
    <s v="MALIKA DISTRIBUTORS NEPAL PVT LTD."/>
    <x v="39"/>
    <n v="1.7"/>
    <n v="34"/>
    <n v="249.55"/>
    <n v="8484.6999999999989"/>
    <n v="-652.47"/>
    <n v="0"/>
    <n v="1018.1896180000001"/>
    <n v="8850.4196179999999"/>
  </r>
  <r>
    <x v="0"/>
    <x v="6"/>
    <x v="2"/>
    <x v="0"/>
    <x v="83"/>
    <s v="KEPL/01550/82-83"/>
    <s v="MALIKA DISTRIBUTORS NEPAL PVT LTD."/>
    <x v="47"/>
    <n v="1.1000000000000001"/>
    <n v="44"/>
    <n v="111.74"/>
    <n v="4916.5599999999995"/>
    <n v="-378.08"/>
    <n v="0"/>
    <n v="590.00223600000004"/>
    <n v="5128.4822359999998"/>
  </r>
  <r>
    <x v="3"/>
    <x v="6"/>
    <x v="2"/>
    <x v="0"/>
    <x v="83"/>
    <s v="KEPL/01550/82-83"/>
    <s v="MALIKA DISTRIBUTORS NEPAL PVT LTD."/>
    <x v="46"/>
    <n v="0.7"/>
    <n v="14"/>
    <n v="175.05"/>
    <n v="2450.7000000000003"/>
    <n v="-188.46"/>
    <n v="0"/>
    <n v="294.09111799999999"/>
    <n v="2556.3311180000001"/>
  </r>
  <r>
    <x v="10"/>
    <x v="6"/>
    <x v="2"/>
    <x v="0"/>
    <x v="83"/>
    <s v="KEPL/01550/82-83"/>
    <s v="MALIKA DISTRIBUTORS NEPAL PVT LTD."/>
    <x v="45"/>
    <n v="0.67"/>
    <n v="10"/>
    <n v="260.72000000000003"/>
    <n v="2607.1999999999998"/>
    <n v="-200.49"/>
    <n v="0"/>
    <n v="312.87221299999999"/>
    <n v="2719.5822130000001"/>
  </r>
  <r>
    <x v="16"/>
    <x v="6"/>
    <x v="2"/>
    <x v="0"/>
    <x v="83"/>
    <s v="KEPL/01550/82-83"/>
    <s v="MALIKA DISTRIBUTORS NEPAL PVT LTD."/>
    <x v="35"/>
    <n v="0.75"/>
    <n v="45"/>
    <n v="145.26"/>
    <n v="6536.7"/>
    <n v="-502.67"/>
    <n v="0"/>
    <n v="784.4236830000001"/>
    <n v="6818.4536829999997"/>
  </r>
  <r>
    <x v="3"/>
    <x v="6"/>
    <x v="2"/>
    <x v="0"/>
    <x v="83"/>
    <s v="KEPL/01550/82-83"/>
    <s v="MALIKA DISTRIBUTORS NEPAL PVT LTD."/>
    <x v="4"/>
    <n v="0.5"/>
    <n v="10"/>
    <n v="175.05"/>
    <n v="1750.4999999999998"/>
    <n v="-134.61000000000001"/>
    <n v="0"/>
    <n v="210.065642"/>
    <n v="1825.9556419999999"/>
  </r>
  <r>
    <x v="11"/>
    <x v="6"/>
    <x v="2"/>
    <x v="0"/>
    <x v="83"/>
    <s v="KEPL/01550/82-83"/>
    <s v="MALIKA DISTRIBUTORS NEPAL PVT LTD."/>
    <x v="37"/>
    <n v="0.85"/>
    <n v="34"/>
    <n v="81.94"/>
    <n v="2785.9599999999996"/>
    <n v="-214.24"/>
    <n v="0"/>
    <n v="334.32350700000001"/>
    <n v="2906.0435069999999"/>
  </r>
  <r>
    <x v="8"/>
    <x v="6"/>
    <x v="2"/>
    <x v="0"/>
    <x v="83"/>
    <s v="KEPL/01550/82-83"/>
    <s v="MALIKA DISTRIBUTORS NEPAL PVT LTD."/>
    <x v="56"/>
    <n v="0.64"/>
    <n v="510"/>
    <n v="7.45"/>
    <n v="3799.5"/>
    <n v="-292.18"/>
    <n v="0"/>
    <n v="455.95147400000002"/>
    <n v="3963.2714740000001"/>
  </r>
  <r>
    <x v="0"/>
    <x v="6"/>
    <x v="2"/>
    <x v="0"/>
    <x v="83"/>
    <s v="KEPL/01550/82-83"/>
    <s v="MALIKA DISTRIBUTORS NEPAL PVT LTD."/>
    <x v="58"/>
    <n v="0.45"/>
    <n v="18"/>
    <n v="111.74"/>
    <n v="2011.32"/>
    <n v="-154.66999999999999"/>
    <n v="0"/>
    <n v="241.36443299999999"/>
    <n v="2098.0144329999998"/>
  </r>
  <r>
    <x v="11"/>
    <x v="6"/>
    <x v="2"/>
    <x v="0"/>
    <x v="83"/>
    <s v="KEPL/01550/82-83"/>
    <s v="MALIKA DISTRIBUTORS NEPAL PVT LTD."/>
    <x v="36"/>
    <n v="0.23"/>
    <n v="9"/>
    <n v="81.94"/>
    <n v="737.46"/>
    <n v="-56.71"/>
    <n v="0"/>
    <n v="88.497475000000009"/>
    <n v="769.24747500000001"/>
  </r>
  <r>
    <x v="0"/>
    <x v="6"/>
    <x v="2"/>
    <x v="0"/>
    <x v="83"/>
    <s v="KEPL/01550/82-83"/>
    <s v="MALIKA DISTRIBUTORS NEPAL PVT LTD."/>
    <x v="58"/>
    <n v="0.23"/>
    <n v="9"/>
    <n v="175.05"/>
    <n v="1575.45"/>
    <n v="-121.15"/>
    <n v="0"/>
    <n v="189.05894799999999"/>
    <n v="1643.3589480000001"/>
  </r>
  <r>
    <x v="16"/>
    <x v="6"/>
    <x v="2"/>
    <x v="0"/>
    <x v="83"/>
    <s v="KEPL/01550/82-83"/>
    <s v="MALIKA DISTRIBUTORS NEPAL PVT LTD."/>
    <x v="42"/>
    <n v="1.7"/>
    <n v="51"/>
    <n v="316.58999999999997"/>
    <n v="16146.09"/>
    <n v="-1241.6300000000001"/>
    <n v="0"/>
    <n v="1937.5792630000001"/>
    <n v="16842.039262999999"/>
  </r>
  <r>
    <x v="3"/>
    <x v="6"/>
    <x v="2"/>
    <x v="0"/>
    <x v="83"/>
    <s v="KESR/0037/82-83"/>
    <s v="SAKSHAM ENTERPRISES"/>
    <x v="4"/>
    <n v="-0.5"/>
    <n v="-10"/>
    <n v="175.05"/>
    <n v="-1750.4999999999998"/>
    <n v="134.57"/>
    <n v="0"/>
    <n v="-210.07076700000002"/>
    <n v="-1826.000767"/>
  </r>
  <r>
    <x v="10"/>
    <x v="6"/>
    <x v="2"/>
    <x v="0"/>
    <x v="83"/>
    <s v="KESR/0037/82-83"/>
    <s v="SAKSHAM ENTERPRISES"/>
    <x v="45"/>
    <n v="-0.67"/>
    <n v="-10"/>
    <n v="260.72000000000003"/>
    <n v="-2607.1999999999998"/>
    <n v="200.5"/>
    <n v="0"/>
    <n v="-312.87080199999997"/>
    <n v="-2719.5708020000002"/>
  </r>
  <r>
    <x v="16"/>
    <x v="6"/>
    <x v="2"/>
    <x v="0"/>
    <x v="83"/>
    <s v="KESR/0037/82-83"/>
    <s v="SAKSHAM ENTERPRISES"/>
    <x v="35"/>
    <n v="-0.75"/>
    <n v="-45"/>
    <n v="145.26"/>
    <n v="-6536.7"/>
    <n v="502.76"/>
    <n v="0"/>
    <n v="-784.41170299999999"/>
    <n v="-6818.3517030000003"/>
  </r>
  <r>
    <x v="16"/>
    <x v="6"/>
    <x v="2"/>
    <x v="0"/>
    <x v="83"/>
    <s v="KESR/0037/82-83"/>
    <s v="SAKSHAM ENTERPRISES"/>
    <x v="42"/>
    <n v="-1.7"/>
    <n v="-51"/>
    <n v="316.58999999999997"/>
    <n v="-16146.09"/>
    <n v="1241.7400000000002"/>
    <n v="0"/>
    <n v="-1937.5642720000001"/>
    <n v="-16841.914272000002"/>
  </r>
  <r>
    <x v="8"/>
    <x v="6"/>
    <x v="2"/>
    <x v="0"/>
    <x v="83"/>
    <s v="KESR/0037/82-83"/>
    <s v="SAKSHAM ENTERPRISES"/>
    <x v="34"/>
    <n v="-0.33"/>
    <n v="-13"/>
    <n v="67.040000000000006"/>
    <n v="-871.52"/>
    <n v="66.989999999999995"/>
    <n v="0"/>
    <n v="-104.58883399999999"/>
    <n v="-909.11883399999999"/>
  </r>
  <r>
    <x v="17"/>
    <x v="6"/>
    <x v="2"/>
    <x v="0"/>
    <x v="83"/>
    <s v="KESR/0037/82-83"/>
    <s v="SAKSHAM ENTERPRISES"/>
    <x v="39"/>
    <n v="-1.7"/>
    <n v="-34"/>
    <n v="249.55"/>
    <n v="-8484.6999999999989"/>
    <n v="652.6099999999999"/>
    <n v="0"/>
    <n v="-1018.171055"/>
    <n v="-8850.2610550000009"/>
  </r>
  <r>
    <x v="0"/>
    <x v="6"/>
    <x v="2"/>
    <x v="0"/>
    <x v="83"/>
    <s v="KESR/0037/82-83"/>
    <s v="SAKSHAM ENTERPRISES"/>
    <x v="47"/>
    <n v="-1.1000000000000001"/>
    <n v="-44"/>
    <n v="111.74"/>
    <n v="-4916.5599999999995"/>
    <n v="378.21"/>
    <n v="0"/>
    <n v="-589.98512599999992"/>
    <n v="-5128.3351259999999"/>
  </r>
  <r>
    <x v="8"/>
    <x v="6"/>
    <x v="2"/>
    <x v="0"/>
    <x v="83"/>
    <s v="KESR/0037/82-83"/>
    <s v="SAKSHAM ENTERPRISES"/>
    <x v="56"/>
    <n v="-0.64"/>
    <n v="-510"/>
    <n v="7.45"/>
    <n v="-3799.5"/>
    <n v="292.58999999999997"/>
    <n v="0"/>
    <n v="-455.898011"/>
    <n v="-3962.8080110000001"/>
  </r>
  <r>
    <x v="11"/>
    <x v="6"/>
    <x v="2"/>
    <x v="0"/>
    <x v="83"/>
    <s v="KESR/0037/82-83"/>
    <s v="SAKSHAM ENTERPRISES"/>
    <x v="36"/>
    <n v="-0.23"/>
    <n v="-9"/>
    <n v="81.94"/>
    <n v="-737.46"/>
    <n v="56.71"/>
    <n v="0"/>
    <n v="-88.497444000000002"/>
    <n v="-769.24744399999997"/>
  </r>
  <r>
    <x v="7"/>
    <x v="6"/>
    <x v="2"/>
    <x v="0"/>
    <x v="83"/>
    <s v="KESR/0037/82-83"/>
    <s v="SAKSHAM ENTERPRISES"/>
    <x v="12"/>
    <n v="-0.78"/>
    <n v="-101"/>
    <n v="37.25"/>
    <n v="-3762.25"/>
    <n v="289.73"/>
    <n v="0"/>
    <n v="-451.42731399999997"/>
    <n v="-3923.947314"/>
  </r>
  <r>
    <x v="2"/>
    <x v="6"/>
    <x v="2"/>
    <x v="0"/>
    <x v="83"/>
    <s v="KESR/0037/82-83"/>
    <s v="SAKSHAM ENTERPRISES"/>
    <x v="3"/>
    <n v="-0.1"/>
    <n v="-2"/>
    <n v="186.23"/>
    <n v="-372.46"/>
    <n v="28.65"/>
    <n v="0"/>
    <n v="-44.695272000000003"/>
    <n v="-388.50527199999999"/>
  </r>
  <r>
    <x v="8"/>
    <x v="6"/>
    <x v="2"/>
    <x v="0"/>
    <x v="83"/>
    <s v="KESR/0037/82-83"/>
    <s v="SAKSHAM ENTERPRISES"/>
    <x v="41"/>
    <n v="-0.08"/>
    <n v="-3"/>
    <n v="67.040000000000006"/>
    <n v="-201.12"/>
    <n v="15.46"/>
    <n v="0"/>
    <n v="-24.135784999999998"/>
    <n v="-209.795785"/>
  </r>
  <r>
    <x v="0"/>
    <x v="6"/>
    <x v="2"/>
    <x v="0"/>
    <x v="83"/>
    <s v="KESR/0037/82-83"/>
    <s v="SAKSHAM ENTERPRISES"/>
    <x v="57"/>
    <n v="-0.3"/>
    <n v="-12"/>
    <n v="111.74"/>
    <n v="-1340.88"/>
    <n v="103.15"/>
    <n v="0"/>
    <n v="-160.904798"/>
    <n v="-1398.634798"/>
  </r>
  <r>
    <x v="0"/>
    <x v="6"/>
    <x v="2"/>
    <x v="0"/>
    <x v="83"/>
    <s v="KESR/0037/82-83"/>
    <s v="SAKSHAM ENTERPRISES"/>
    <x v="58"/>
    <n v="-0.23"/>
    <n v="-9"/>
    <n v="175.05"/>
    <n v="-1575.45"/>
    <n v="121.12"/>
    <n v="0"/>
    <n v="-189.06278"/>
    <n v="-1643.3927799999999"/>
  </r>
  <r>
    <x v="11"/>
    <x v="6"/>
    <x v="2"/>
    <x v="0"/>
    <x v="83"/>
    <s v="KESR/0037/82-83"/>
    <s v="SAKSHAM ENTERPRISES"/>
    <x v="53"/>
    <n v="-0.85"/>
    <n v="-34"/>
    <n v="81.94"/>
    <n v="-2785.9599999999996"/>
    <n v="214.23"/>
    <n v="0"/>
    <n v="-334.32468799999998"/>
    <n v="-2906.0546880000002"/>
  </r>
  <r>
    <x v="11"/>
    <x v="6"/>
    <x v="2"/>
    <x v="0"/>
    <x v="83"/>
    <s v="KESR/0037/82-83"/>
    <s v="SAKSHAM ENTERPRISES"/>
    <x v="37"/>
    <n v="-0.85"/>
    <n v="-34"/>
    <n v="81.94"/>
    <n v="-2785.9599999999996"/>
    <n v="214.23"/>
    <n v="0"/>
    <n v="-334.32468799999998"/>
    <n v="-2906.0546880000002"/>
  </r>
  <r>
    <x v="0"/>
    <x v="6"/>
    <x v="2"/>
    <x v="0"/>
    <x v="83"/>
    <s v="KESR/0037/82-83"/>
    <s v="SAKSHAM ENTERPRISES"/>
    <x v="58"/>
    <n v="-0.45"/>
    <n v="-18"/>
    <n v="111.74"/>
    <n v="-2011.32"/>
    <n v="154.72"/>
    <n v="0"/>
    <n v="-241.35784699999999"/>
    <n v="-2097.9578470000001"/>
  </r>
  <r>
    <x v="3"/>
    <x v="6"/>
    <x v="2"/>
    <x v="0"/>
    <x v="83"/>
    <s v="KESR/0037/82-83"/>
    <s v="SAKSHAM ENTERPRISES"/>
    <x v="46"/>
    <n v="-0.7"/>
    <n v="-14"/>
    <n v="175.05"/>
    <n v="-2450.7000000000003"/>
    <n v="188.4"/>
    <n v="0"/>
    <n v="-294.098814"/>
    <n v="-2556.3988140000001"/>
  </r>
  <r>
    <x v="8"/>
    <x v="6"/>
    <x v="2"/>
    <x v="0"/>
    <x v="84"/>
    <s v="KEPL/01556/82-83"/>
    <s v="MEGA MART PVT.LTD"/>
    <x v="33"/>
    <n v="7"/>
    <n v="280"/>
    <n v="66.37"/>
    <n v="18583.600000000002"/>
    <n v="0"/>
    <n v="0"/>
    <n v="2415.8689640000002"/>
    <n v="20999.468964"/>
  </r>
  <r>
    <x v="3"/>
    <x v="6"/>
    <x v="2"/>
    <x v="0"/>
    <x v="84"/>
    <s v="KEPL/01556/82-83"/>
    <s v="MEGA MART PVT.LTD"/>
    <x v="55"/>
    <n v="4.2"/>
    <n v="84"/>
    <n v="155.97"/>
    <n v="13101.48"/>
    <n v="0"/>
    <n v="0"/>
    <n v="1703.1930790000001"/>
    <n v="14804.673079"/>
  </r>
  <r>
    <x v="16"/>
    <x v="6"/>
    <x v="2"/>
    <x v="0"/>
    <x v="84"/>
    <s v="KEPL/01556/82-83"/>
    <s v="MEGA MART PVT.LTD"/>
    <x v="42"/>
    <n v="2"/>
    <n v="60"/>
    <n v="282.08"/>
    <n v="16924.8"/>
    <n v="0"/>
    <n v="0"/>
    <n v="2200.224878"/>
    <n v="19125.024878"/>
  </r>
  <r>
    <x v="3"/>
    <x v="6"/>
    <x v="2"/>
    <x v="0"/>
    <x v="84"/>
    <s v="KEPL/01556/82-83"/>
    <s v="MEGA MART PVT.LTD"/>
    <x v="46"/>
    <n v="4.2"/>
    <n v="84"/>
    <n v="155.97"/>
    <n v="13101.48"/>
    <n v="0"/>
    <n v="0"/>
    <n v="1703.1930790000001"/>
    <n v="14804.673079"/>
  </r>
  <r>
    <x v="9"/>
    <x v="6"/>
    <x v="2"/>
    <x v="0"/>
    <x v="84"/>
    <s v="KEPL/01557/82-83"/>
    <s v="SIMPEX SOLUTION PVT. LTD"/>
    <x v="44"/>
    <n v="0.21"/>
    <n v="5"/>
    <n v="176.99"/>
    <n v="884.95"/>
    <n v="0"/>
    <n v="0"/>
    <n v="115.04"/>
    <n v="999.99"/>
  </r>
  <r>
    <x v="6"/>
    <x v="6"/>
    <x v="2"/>
    <x v="0"/>
    <x v="85"/>
    <s v="KEPL/01561/82-83"/>
    <s v="BHAT BHATENI SUPERMARKET &amp; DEPARTMENTAL STORE PVT. LTD."/>
    <x v="30"/>
    <n v="3.65"/>
    <n v="73"/>
    <n v="212.83"/>
    <n v="15536.59"/>
    <n v="0"/>
    <n v="0"/>
    <n v="2019.7560659999999"/>
    <n v="17556.346065999998"/>
  </r>
  <r>
    <x v="19"/>
    <x v="6"/>
    <x v="2"/>
    <x v="0"/>
    <x v="85"/>
    <s v="KEPL/01561/82-83"/>
    <s v="BHAT BHATENI SUPERMARKET &amp; DEPARTMENTAL STORE PVT. LTD."/>
    <x v="61"/>
    <n v="0.32"/>
    <n v="16"/>
    <n v="72.040000000000006"/>
    <n v="1152.6400000000001"/>
    <n v="0"/>
    <n v="0"/>
    <n v="149.843153"/>
    <n v="1302.4831529999999"/>
  </r>
  <r>
    <x v="11"/>
    <x v="6"/>
    <x v="2"/>
    <x v="0"/>
    <x v="85"/>
    <s v="KEPL/01561/82-83"/>
    <s v="BHAT BHATENI SUPERMARKET &amp; DEPARTMENTAL STORE PVT. LTD."/>
    <x v="37"/>
    <n v="3.5"/>
    <n v="140"/>
    <n v="72.040000000000006"/>
    <n v="10085.6"/>
    <n v="0"/>
    <n v="0"/>
    <n v="1311.1275880000001"/>
    <n v="11396.727588"/>
  </r>
  <r>
    <x v="9"/>
    <x v="6"/>
    <x v="2"/>
    <x v="0"/>
    <x v="85"/>
    <s v="KEPL/01561/82-83"/>
    <s v="BHAT BHATENI SUPERMARKET &amp; DEPARTMENTAL STORE PVT. LTD."/>
    <x v="44"/>
    <n v="0.21"/>
    <n v="5"/>
    <n v="117.88"/>
    <n v="589.4"/>
    <n v="0"/>
    <n v="0"/>
    <n v="76.621976000000004"/>
    <n v="666.021976"/>
  </r>
  <r>
    <x v="8"/>
    <x v="6"/>
    <x v="2"/>
    <x v="0"/>
    <x v="85"/>
    <s v="KEPL/01561/82-83"/>
    <s v="BHAT BHATENI SUPERMARKET &amp; DEPARTMENTAL STORE PVT. LTD."/>
    <x v="41"/>
    <n v="0.08"/>
    <n v="3"/>
    <n v="65.489999999999995"/>
    <n v="196.47"/>
    <n v="0"/>
    <n v="0"/>
    <n v="25.541091999999999"/>
    <n v="222.01109199999999"/>
  </r>
  <r>
    <x v="6"/>
    <x v="6"/>
    <x v="2"/>
    <x v="0"/>
    <x v="85"/>
    <s v="KEPL/01561/82-83"/>
    <s v="BHAT BHATENI SUPERMARKET &amp; DEPARTMENTAL STORE PVT. LTD."/>
    <x v="11"/>
    <n v="0.75"/>
    <n v="15"/>
    <n v="163.72"/>
    <n v="2455.8000000000002"/>
    <n v="0"/>
    <n v="0"/>
    <n v="319.25390000000004"/>
    <n v="2775.0538999999999"/>
  </r>
  <r>
    <x v="3"/>
    <x v="6"/>
    <x v="2"/>
    <x v="0"/>
    <x v="85"/>
    <s v="KEPL/01561/82-83"/>
    <s v="BHAT BHATENI SUPERMARKET &amp; DEPARTMENTAL STORE PVT. LTD."/>
    <x v="4"/>
    <n v="2.15"/>
    <n v="43"/>
    <n v="150.62"/>
    <n v="6476.66"/>
    <n v="0"/>
    <n v="0"/>
    <n v="841.96553600000004"/>
    <n v="7318.6255359999996"/>
  </r>
  <r>
    <x v="8"/>
    <x v="6"/>
    <x v="2"/>
    <x v="0"/>
    <x v="85"/>
    <s v="KEPL/01561/82-83"/>
    <s v="BHAT BHATENI SUPERMARKET &amp; DEPARTMENTAL STORE PVT. LTD."/>
    <x v="13"/>
    <n v="1.17"/>
    <n v="28"/>
    <n v="124.42"/>
    <n v="3483.76"/>
    <n v="0"/>
    <n v="0"/>
    <n v="452.88865799999996"/>
    <n v="3936.6486580000001"/>
  </r>
  <r>
    <x v="6"/>
    <x v="6"/>
    <x v="2"/>
    <x v="0"/>
    <x v="85"/>
    <s v="KEPL/01561/82-83"/>
    <s v="BHAT BHATENI SUPERMARKET &amp; DEPARTMENTAL STORE PVT. LTD."/>
    <x v="17"/>
    <n v="0.45"/>
    <n v="9"/>
    <n v="163.72"/>
    <n v="1473.48"/>
    <n v="0"/>
    <n v="0"/>
    <n v="191.55233999999999"/>
    <n v="1665.03234"/>
  </r>
  <r>
    <x v="6"/>
    <x v="6"/>
    <x v="2"/>
    <x v="0"/>
    <x v="85"/>
    <s v="KEPL/01561/82-83"/>
    <s v="BHAT BHATENI SUPERMARKET &amp; DEPARTMENTAL STORE PVT. LTD."/>
    <x v="16"/>
    <n v="2.5499999999999998"/>
    <n v="51"/>
    <n v="163.72"/>
    <n v="8349.7200000000012"/>
    <n v="0"/>
    <n v="0"/>
    <n v="1085.4632589999999"/>
    <n v="9435.1832589999995"/>
  </r>
  <r>
    <x v="6"/>
    <x v="6"/>
    <x v="2"/>
    <x v="0"/>
    <x v="85"/>
    <s v="KEPL/01561/82-83"/>
    <s v="BHAT BHATENI SUPERMARKET &amp; DEPARTMENTAL STORE PVT. LTD."/>
    <x v="62"/>
    <n v="1.25"/>
    <n v="25"/>
    <n v="212.83"/>
    <n v="5320.75"/>
    <n v="0"/>
    <n v="0"/>
    <n v="691.69728300000008"/>
    <n v="6012.4472830000004"/>
  </r>
  <r>
    <x v="0"/>
    <x v="6"/>
    <x v="2"/>
    <x v="0"/>
    <x v="85"/>
    <s v="KEPL/01561/82-83"/>
    <s v="BHAT BHATENI SUPERMARKET &amp; DEPARTMENTAL STORE PVT. LTD."/>
    <x v="6"/>
    <n v="2.88"/>
    <n v="115"/>
    <n v="98.23"/>
    <n v="11296.449999999999"/>
    <n v="0"/>
    <n v="0"/>
    <n v="1468.538039"/>
    <n v="12764.988039"/>
  </r>
  <r>
    <x v="11"/>
    <x v="6"/>
    <x v="2"/>
    <x v="0"/>
    <x v="85"/>
    <s v="KEPL/01561/82-83"/>
    <s v="BHAT BHATENI SUPERMARKET &amp; DEPARTMENTAL STORE PVT. LTD."/>
    <x v="19"/>
    <n v="2.33"/>
    <n v="93"/>
    <n v="72.040000000000006"/>
    <n v="6699.7199999999993"/>
    <n v="0"/>
    <n v="0"/>
    <n v="870.96332600000005"/>
    <n v="7570.6833260000003"/>
  </r>
  <r>
    <x v="6"/>
    <x v="6"/>
    <x v="2"/>
    <x v="0"/>
    <x v="85"/>
    <s v="KEPL/01561/82-83"/>
    <s v="BHAT BHATENI SUPERMARKET &amp; DEPARTMENTAL STORE PVT. LTD."/>
    <x v="28"/>
    <n v="0.35"/>
    <n v="7"/>
    <n v="163.72"/>
    <n v="1146.04"/>
    <n v="0"/>
    <n v="0"/>
    <n v="148.985153"/>
    <n v="1295.025153"/>
  </r>
  <r>
    <x v="0"/>
    <x v="6"/>
    <x v="2"/>
    <x v="0"/>
    <x v="85"/>
    <s v="KEPL/01561/82-83"/>
    <s v="BHAT BHATENI SUPERMARKET &amp; DEPARTMENTAL STORE PVT. LTD."/>
    <x v="1"/>
    <n v="1.93"/>
    <n v="77"/>
    <n v="98.23"/>
    <n v="7563.71"/>
    <n v="0"/>
    <n v="0"/>
    <n v="983.28199100000006"/>
    <n v="8546.9919910000008"/>
  </r>
  <r>
    <x v="11"/>
    <x v="6"/>
    <x v="2"/>
    <x v="0"/>
    <x v="85"/>
    <s v="KEPL/01561/82-83"/>
    <s v="BHAT BHATENI SUPERMARKET &amp; DEPARTMENTAL STORE PVT. LTD."/>
    <x v="36"/>
    <n v="1.35"/>
    <n v="54"/>
    <n v="72.040000000000006"/>
    <n v="3890.16"/>
    <n v="0"/>
    <n v="0"/>
    <n v="505.720641"/>
    <n v="4395.8806409999997"/>
  </r>
  <r>
    <x v="0"/>
    <x v="6"/>
    <x v="2"/>
    <x v="0"/>
    <x v="85"/>
    <s v="KEPL/01564/82-83"/>
    <s v="DINESH TRADING HOUSE"/>
    <x v="47"/>
    <n v="3"/>
    <n v="120"/>
    <n v="111.74"/>
    <n v="13408.8"/>
    <n v="-1031.1400000000001"/>
    <n v="0"/>
    <n v="1609.096014"/>
    <n v="13986.756014000001"/>
  </r>
  <r>
    <x v="11"/>
    <x v="6"/>
    <x v="2"/>
    <x v="0"/>
    <x v="85"/>
    <s v="KEPL/01564/82-83"/>
    <s v="DINESH TRADING HOUSE"/>
    <x v="36"/>
    <n v="1"/>
    <n v="40"/>
    <n v="81.94"/>
    <n v="3277.6"/>
    <n v="-252.05"/>
    <n v="0"/>
    <n v="393.321552"/>
    <n v="3418.8715520000001"/>
  </r>
  <r>
    <x v="7"/>
    <x v="6"/>
    <x v="2"/>
    <x v="0"/>
    <x v="85"/>
    <s v="KEPL/01564/82-83"/>
    <s v="DINESH TRADING HOUSE"/>
    <x v="12"/>
    <n v="1"/>
    <n v="130"/>
    <n v="37.25"/>
    <n v="4842.5"/>
    <n v="-372.39"/>
    <n v="0"/>
    <n v="581.11437699999999"/>
    <n v="5051.2243769999995"/>
  </r>
  <r>
    <x v="16"/>
    <x v="6"/>
    <x v="2"/>
    <x v="0"/>
    <x v="85"/>
    <s v="KEPL/01564/82-83"/>
    <s v="DINESH TRADING HOUSE"/>
    <x v="42"/>
    <n v="1"/>
    <n v="30"/>
    <n v="316.58999999999997"/>
    <n v="9497.6999999999989"/>
    <n v="-730.36999999999989"/>
    <n v="0"/>
    <n v="1139.753052"/>
    <n v="9907.083052"/>
  </r>
  <r>
    <x v="7"/>
    <x v="6"/>
    <x v="2"/>
    <x v="0"/>
    <x v="85"/>
    <s v="KEPL/01564/82-83"/>
    <s v="DINESH TRADING HOUSE"/>
    <x v="27"/>
    <n v="10"/>
    <n v="700"/>
    <n v="37.25"/>
    <n v="26075"/>
    <n v="-2005.1699999999998"/>
    <n v="0"/>
    <n v="3129.0783160000001"/>
    <n v="27198.908316000001"/>
  </r>
  <r>
    <x v="13"/>
    <x v="6"/>
    <x v="2"/>
    <x v="0"/>
    <x v="85"/>
    <s v="KEPL/01564/82-83"/>
    <s v="DINESH TRADING HOUSE"/>
    <x v="50"/>
    <n v="1"/>
    <n v="240"/>
    <n v="14.9"/>
    <n v="3576"/>
    <n v="-274.99"/>
    <n v="0"/>
    <n v="429.13135700000004"/>
    <n v="3730.141357"/>
  </r>
  <r>
    <x v="19"/>
    <x v="6"/>
    <x v="2"/>
    <x v="0"/>
    <x v="85"/>
    <s v="KEPL/01564/82-83"/>
    <s v="DINESH TRADING HOUSE"/>
    <x v="51"/>
    <n v="1"/>
    <n v="50"/>
    <n v="89.39"/>
    <n v="4469.5"/>
    <n v="-343.7"/>
    <n v="0"/>
    <n v="536.35407099999998"/>
    <n v="4662.1540709999999"/>
  </r>
  <r>
    <x v="20"/>
    <x v="6"/>
    <x v="2"/>
    <x v="0"/>
    <x v="85"/>
    <s v="KEPL/01564/82-83"/>
    <s v="DINESH TRADING HOUSE"/>
    <x v="52"/>
    <n v="15"/>
    <n v="60"/>
    <n v="595.94000000000005"/>
    <n v="35756.400000000001"/>
    <n v="-2749.67"/>
    <n v="0"/>
    <n v="4290.87547"/>
    <n v="37297.605470000002"/>
  </r>
  <r>
    <x v="8"/>
    <x v="6"/>
    <x v="2"/>
    <x v="0"/>
    <x v="85"/>
    <s v="KEPL/01564/82-83"/>
    <s v="DINESH TRADING HOUSE"/>
    <x v="56"/>
    <n v="2"/>
    <n v="1600"/>
    <n v="7.46"/>
    <n v="11936"/>
    <n v="-917.88"/>
    <n v="0"/>
    <n v="1432.3557900000001"/>
    <n v="12450.47579"/>
  </r>
  <r>
    <x v="13"/>
    <x v="6"/>
    <x v="2"/>
    <x v="0"/>
    <x v="85"/>
    <s v="KEPL/01565/82-83"/>
    <s v="EMERALD TRADE LINK"/>
    <x v="21"/>
    <n v="1"/>
    <n v="240"/>
    <n v="14.9"/>
    <n v="3576"/>
    <n v="-274.99"/>
    <n v="0"/>
    <n v="429.13127800000001"/>
    <n v="3730.1412780000001"/>
  </r>
  <r>
    <x v="11"/>
    <x v="6"/>
    <x v="2"/>
    <x v="0"/>
    <x v="85"/>
    <s v="KEPL/01565/82-83"/>
    <s v="EMERALD TRADE LINK"/>
    <x v="36"/>
    <n v="1"/>
    <n v="40"/>
    <n v="81.94"/>
    <n v="3277.6"/>
    <n v="-252.05"/>
    <n v="0"/>
    <n v="393.32147999999995"/>
    <n v="3418.8714799999998"/>
  </r>
  <r>
    <x v="13"/>
    <x v="6"/>
    <x v="2"/>
    <x v="0"/>
    <x v="85"/>
    <s v="KEPL/01565/82-83"/>
    <s v="EMERALD TRADE LINK"/>
    <x v="50"/>
    <n v="1"/>
    <n v="240"/>
    <n v="14.9"/>
    <n v="3576"/>
    <n v="-274.99"/>
    <n v="0"/>
    <n v="429.13127800000001"/>
    <n v="3730.1412780000001"/>
  </r>
  <r>
    <x v="19"/>
    <x v="6"/>
    <x v="2"/>
    <x v="0"/>
    <x v="85"/>
    <s v="KEPL/01565/82-83"/>
    <s v="EMERALD TRADE LINK"/>
    <x v="51"/>
    <n v="2"/>
    <n v="100"/>
    <n v="89.39"/>
    <n v="8939"/>
    <n v="-687.41"/>
    <n v="0"/>
    <n v="1072.7066460000001"/>
    <n v="9324.2966460000007"/>
  </r>
  <r>
    <x v="11"/>
    <x v="6"/>
    <x v="2"/>
    <x v="0"/>
    <x v="85"/>
    <s v="KEPL/01565/82-83"/>
    <s v="EMERALD TRADE LINK"/>
    <x v="53"/>
    <n v="1"/>
    <n v="40"/>
    <n v="81.94"/>
    <n v="3277.6"/>
    <n v="-252.05"/>
    <n v="0"/>
    <n v="393.32147999999995"/>
    <n v="3418.8714799999998"/>
  </r>
  <r>
    <x v="8"/>
    <x v="6"/>
    <x v="2"/>
    <x v="0"/>
    <x v="85"/>
    <s v="KEPL/01565/82-83"/>
    <s v="EMERALD TRADE LINK"/>
    <x v="33"/>
    <n v="2"/>
    <n v="80"/>
    <n v="74.489999999999995"/>
    <n v="5959.2"/>
    <n v="-458.26"/>
    <n v="0"/>
    <n v="715.122164"/>
    <n v="6216.0621639999999"/>
  </r>
  <r>
    <x v="0"/>
    <x v="6"/>
    <x v="2"/>
    <x v="0"/>
    <x v="85"/>
    <s v="KEPL/01565/82-83"/>
    <s v="EMERALD TRADE LINK"/>
    <x v="47"/>
    <n v="1"/>
    <n v="40"/>
    <n v="111.74"/>
    <n v="4469.6000000000004"/>
    <n v="-343.71"/>
    <n v="0"/>
    <n v="536.36567300000002"/>
    <n v="4662.2556729999997"/>
  </r>
  <r>
    <x v="0"/>
    <x v="6"/>
    <x v="2"/>
    <x v="0"/>
    <x v="85"/>
    <s v="KEPL/01566/82-83"/>
    <s v="M AND P TRADE SUPPLIERS"/>
    <x v="47"/>
    <n v="5"/>
    <n v="200"/>
    <n v="111.74"/>
    <n v="22348"/>
    <n v="-1718.56"/>
    <n v="0"/>
    <n v="2681.8275870000002"/>
    <n v="23311.267586999998"/>
  </r>
  <r>
    <x v="16"/>
    <x v="6"/>
    <x v="2"/>
    <x v="0"/>
    <x v="85"/>
    <s v="KEPL/01566/82-83"/>
    <s v="M AND P TRADE SUPPLIERS"/>
    <x v="35"/>
    <n v="2"/>
    <n v="120"/>
    <n v="145.26"/>
    <n v="17431.2"/>
    <n v="-1340.46"/>
    <n v="0"/>
    <n v="2091.7965020000001"/>
    <n v="18182.536501999999"/>
  </r>
  <r>
    <x v="3"/>
    <x v="6"/>
    <x v="2"/>
    <x v="0"/>
    <x v="85"/>
    <s v="KEPL/01566/82-83"/>
    <s v="M AND P TRADE SUPPLIERS"/>
    <x v="46"/>
    <n v="2"/>
    <n v="40"/>
    <n v="175.05"/>
    <n v="7001.9999999999991"/>
    <n v="-538.45000000000005"/>
    <n v="0"/>
    <n v="840.26162099999999"/>
    <n v="7303.8116209999998"/>
  </r>
  <r>
    <x v="16"/>
    <x v="6"/>
    <x v="2"/>
    <x v="0"/>
    <x v="85"/>
    <s v="KEPL/01566/82-83"/>
    <s v="M AND P TRADE SUPPLIERS"/>
    <x v="42"/>
    <n v="2"/>
    <n v="60"/>
    <n v="316.58999999999997"/>
    <n v="18995.399999999998"/>
    <n v="-1460.75"/>
    <n v="0"/>
    <n v="2279.504829"/>
    <n v="19814.154828999999"/>
  </r>
  <r>
    <x v="8"/>
    <x v="6"/>
    <x v="2"/>
    <x v="0"/>
    <x v="85"/>
    <s v="KEPL/01566/82-83"/>
    <s v="M AND P TRADE SUPPLIERS"/>
    <x v="56"/>
    <n v="1"/>
    <n v="800"/>
    <n v="7.46"/>
    <n v="5968"/>
    <n v="-458.94"/>
    <n v="0"/>
    <n v="716.17790300000001"/>
    <n v="6225.2379030000002"/>
  </r>
  <r>
    <x v="11"/>
    <x v="6"/>
    <x v="2"/>
    <x v="0"/>
    <x v="85"/>
    <s v="KEPL/01566/82-83"/>
    <s v="M AND P TRADE SUPPLIERS"/>
    <x v="53"/>
    <n v="1"/>
    <n v="40"/>
    <n v="81.94"/>
    <n v="3277.6"/>
    <n v="-252.05"/>
    <n v="0"/>
    <n v="393.32155699999998"/>
    <n v="3418.8715569999999"/>
  </r>
  <r>
    <x v="12"/>
    <x v="6"/>
    <x v="2"/>
    <x v="0"/>
    <x v="85"/>
    <s v="KEPL/01567/82-83"/>
    <s v="DINESH TRADING HOUSE"/>
    <x v="60"/>
    <n v="1"/>
    <n v="1000"/>
    <n v="1.86"/>
    <n v="1860"/>
    <n v="-143.03"/>
    <n v="0"/>
    <n v="223.21"/>
    <n v="1940.18"/>
  </r>
  <r>
    <x v="12"/>
    <x v="6"/>
    <x v="2"/>
    <x v="0"/>
    <x v="85"/>
    <s v="KEPL/01568/82-83"/>
    <s v="EMERALD TRADE LINK"/>
    <x v="60"/>
    <n v="1"/>
    <n v="1000"/>
    <n v="1.86"/>
    <n v="1860"/>
    <n v="-143.03"/>
    <n v="0"/>
    <n v="223.21"/>
    <n v="1940.18"/>
  </r>
  <r>
    <x v="8"/>
    <x v="6"/>
    <x v="2"/>
    <x v="0"/>
    <x v="85"/>
    <s v="KEPL/01570/82-83"/>
    <s v="BEERA BARJEE INTERNATIONAL PVT.LTD"/>
    <x v="34"/>
    <n v="4"/>
    <n v="160"/>
    <n v="74.489999999999995"/>
    <n v="11918.4"/>
    <n v="-916.52"/>
    <n v="0"/>
    <n v="1430.2439180000001"/>
    <n v="12432.123917999999"/>
  </r>
  <r>
    <x v="16"/>
    <x v="6"/>
    <x v="2"/>
    <x v="0"/>
    <x v="85"/>
    <s v="KEPL/01570/82-83"/>
    <s v="BEERA BARJEE INTERNATIONAL PVT.LTD"/>
    <x v="35"/>
    <n v="1"/>
    <n v="60"/>
    <n v="145.26"/>
    <n v="8715.6"/>
    <n v="-670.23"/>
    <n v="0"/>
    <n v="1045.8977480000001"/>
    <n v="9091.2677480000002"/>
  </r>
  <r>
    <x v="8"/>
    <x v="6"/>
    <x v="2"/>
    <x v="0"/>
    <x v="85"/>
    <s v="KEPL/01570/82-83"/>
    <s v="BEERA BARJEE INTERNATIONAL PVT.LTD"/>
    <x v="13"/>
    <n v="1"/>
    <n v="24"/>
    <n v="141.54"/>
    <n v="3396.96"/>
    <n v="-261.23"/>
    <n v="0"/>
    <n v="407.64476300000001"/>
    <n v="3543.3747629999998"/>
  </r>
  <r>
    <x v="10"/>
    <x v="6"/>
    <x v="2"/>
    <x v="0"/>
    <x v="85"/>
    <s v="KEPL/01570/82-83"/>
    <s v="BEERA BARJEE INTERNATIONAL PVT.LTD"/>
    <x v="45"/>
    <n v="2"/>
    <n v="30"/>
    <n v="260.72000000000003"/>
    <n v="7821.6"/>
    <n v="-601.48"/>
    <n v="0"/>
    <n v="938.61528400000009"/>
    <n v="8158.7352840000003"/>
  </r>
  <r>
    <x v="3"/>
    <x v="6"/>
    <x v="2"/>
    <x v="0"/>
    <x v="85"/>
    <s v="KEPL/01570/82-83"/>
    <s v="BEERA BARJEE INTERNATIONAL PVT.LTD"/>
    <x v="46"/>
    <n v="2"/>
    <n v="40"/>
    <n v="175.06"/>
    <n v="7002.4"/>
    <n v="-538.48"/>
    <n v="0"/>
    <n v="840.30931700000008"/>
    <n v="7304.2293170000003"/>
  </r>
  <r>
    <x v="7"/>
    <x v="6"/>
    <x v="2"/>
    <x v="0"/>
    <x v="85"/>
    <s v="KEPL/01570/82-83"/>
    <s v="BEERA BARJEE INTERNATIONAL PVT.LTD"/>
    <x v="12"/>
    <n v="1"/>
    <n v="130"/>
    <n v="37.25"/>
    <n v="4842.5"/>
    <n v="-372.39"/>
    <n v="0"/>
    <n v="581.114104"/>
    <n v="5051.2241039999999"/>
  </r>
  <r>
    <x v="7"/>
    <x v="6"/>
    <x v="2"/>
    <x v="0"/>
    <x v="85"/>
    <s v="KEPL/01570/82-83"/>
    <s v="BEERA BARJEE INTERNATIONAL PVT.LTD"/>
    <x v="27"/>
    <n v="2"/>
    <n v="140"/>
    <n v="37.25"/>
    <n v="5215"/>
    <n v="-401.03"/>
    <n v="0"/>
    <n v="625.81588899999997"/>
    <n v="5439.7858889999998"/>
  </r>
  <r>
    <x v="8"/>
    <x v="6"/>
    <x v="2"/>
    <x v="0"/>
    <x v="85"/>
    <s v="KEPL/01570/82-83"/>
    <s v="BEERA BARJEE INTERNATIONAL PVT.LTD"/>
    <x v="33"/>
    <n v="2"/>
    <n v="80"/>
    <n v="74.489999999999995"/>
    <n v="5959.2"/>
    <n v="-458.26"/>
    <n v="0"/>
    <n v="715.12195900000006"/>
    <n v="6216.0619589999997"/>
  </r>
  <r>
    <x v="3"/>
    <x v="6"/>
    <x v="2"/>
    <x v="0"/>
    <x v="85"/>
    <s v="KEPL/01570/82-83"/>
    <s v="BEERA BARJEE INTERNATIONAL PVT.LTD"/>
    <x v="55"/>
    <n v="1"/>
    <n v="20"/>
    <n v="175.05"/>
    <n v="3500.9999999999995"/>
    <n v="-269.23"/>
    <n v="0"/>
    <n v="420.12995899999999"/>
    <n v="3651.8999589999999"/>
  </r>
  <r>
    <x v="9"/>
    <x v="6"/>
    <x v="2"/>
    <x v="0"/>
    <x v="85"/>
    <s v="KEPL/01570/82-83"/>
    <s v="BEERA BARJEE INTERNATIONAL PVT.LTD"/>
    <x v="38"/>
    <n v="1"/>
    <n v="24"/>
    <n v="186.22"/>
    <n v="4469.28"/>
    <n v="-343.69"/>
    <n v="0"/>
    <n v="536.32651899999996"/>
    <n v="4661.9165190000003"/>
  </r>
  <r>
    <x v="17"/>
    <x v="6"/>
    <x v="2"/>
    <x v="0"/>
    <x v="85"/>
    <s v="KEPL/01570/82-83"/>
    <s v="BEERA BARJEE INTERNATIONAL PVT.LTD"/>
    <x v="39"/>
    <n v="1"/>
    <n v="20"/>
    <n v="249.55"/>
    <n v="4991"/>
    <n v="-383.81"/>
    <n v="0"/>
    <n v="598.93449799999996"/>
    <n v="5206.1244980000001"/>
  </r>
  <r>
    <x v="11"/>
    <x v="6"/>
    <x v="2"/>
    <x v="0"/>
    <x v="85"/>
    <s v="KEPL/01570/82-83"/>
    <s v="BEERA BARJEE INTERNATIONAL PVT.LTD"/>
    <x v="36"/>
    <n v="1"/>
    <n v="40"/>
    <n v="81.94"/>
    <n v="3277.6"/>
    <n v="-252.05"/>
    <n v="0"/>
    <n v="393.32136800000001"/>
    <n v="3418.8713680000001"/>
  </r>
  <r>
    <x v="11"/>
    <x v="6"/>
    <x v="2"/>
    <x v="0"/>
    <x v="85"/>
    <s v="KEPL/01570/82-83"/>
    <s v="BEERA BARJEE INTERNATIONAL PVT.LTD"/>
    <x v="53"/>
    <n v="2"/>
    <n v="80"/>
    <n v="81.94"/>
    <n v="6555.2"/>
    <n v="-504.09"/>
    <n v="0"/>
    <n v="786.64403500000003"/>
    <n v="6837.7540349999999"/>
  </r>
  <r>
    <x v="0"/>
    <x v="6"/>
    <x v="2"/>
    <x v="0"/>
    <x v="85"/>
    <s v="KEPL/01570/82-83"/>
    <s v="BEERA BARJEE INTERNATIONAL PVT.LTD"/>
    <x v="47"/>
    <n v="1"/>
    <n v="40"/>
    <n v="111.74"/>
    <n v="4469.6000000000004"/>
    <n v="-343.71"/>
    <n v="0"/>
    <n v="536.36551899999995"/>
    <n v="4662.2555190000003"/>
  </r>
  <r>
    <x v="9"/>
    <x v="6"/>
    <x v="2"/>
    <x v="0"/>
    <x v="85"/>
    <s v="KEPL/01570/82-83"/>
    <s v="BEERA BARJEE INTERNATIONAL PVT.LTD"/>
    <x v="44"/>
    <n v="1"/>
    <n v="24"/>
    <n v="186.23"/>
    <n v="4469.5200000000004"/>
    <n v="-343.71"/>
    <n v="0"/>
    <n v="536.35511900000006"/>
    <n v="4662.1651190000002"/>
  </r>
  <r>
    <x v="6"/>
    <x v="6"/>
    <x v="2"/>
    <x v="0"/>
    <x v="85"/>
    <s v="KEPL/01571/82-83"/>
    <s v="BEERA BARJEE INTERNATIONAL PVT.LTD"/>
    <x v="29"/>
    <n v="1"/>
    <n v="20"/>
    <n v="204.85"/>
    <n v="4097"/>
    <n v="-315.06"/>
    <n v="0"/>
    <n v="491.65204599999998"/>
    <n v="4273.5920459999998"/>
  </r>
  <r>
    <x v="6"/>
    <x v="6"/>
    <x v="2"/>
    <x v="0"/>
    <x v="85"/>
    <s v="KEPL/01571/82-83"/>
    <s v="BEERA BARJEE INTERNATIONAL PVT.LTD"/>
    <x v="28"/>
    <n v="2"/>
    <n v="40"/>
    <n v="204.85"/>
    <n v="8194"/>
    <n v="-630.12"/>
    <n v="0"/>
    <n v="983.30409199999997"/>
    <n v="8547.1840919999995"/>
  </r>
  <r>
    <x v="6"/>
    <x v="6"/>
    <x v="2"/>
    <x v="0"/>
    <x v="85"/>
    <s v="KEPL/01571/82-83"/>
    <s v="BEERA BARJEE INTERNATIONAL PVT.LTD"/>
    <x v="59"/>
    <n v="1"/>
    <n v="20"/>
    <n v="204.85"/>
    <n v="4097"/>
    <n v="-315.06"/>
    <n v="0"/>
    <n v="491.65204599999998"/>
    <n v="4273.5920459999998"/>
  </r>
  <r>
    <x v="6"/>
    <x v="6"/>
    <x v="2"/>
    <x v="0"/>
    <x v="85"/>
    <s v="KEPL/01571/82-83"/>
    <s v="BEERA BARJEE INTERNATIONAL PVT.LTD"/>
    <x v="48"/>
    <n v="2"/>
    <n v="40"/>
    <n v="204.85"/>
    <n v="8194"/>
    <n v="-630.12"/>
    <n v="0"/>
    <n v="983.30409199999997"/>
    <n v="8547.1840919999995"/>
  </r>
  <r>
    <x v="13"/>
    <x v="6"/>
    <x v="2"/>
    <x v="0"/>
    <x v="85"/>
    <s v="KEPL/01571/82-83"/>
    <s v="BEERA BARJEE INTERNATIONAL PVT.LTD"/>
    <x v="21"/>
    <n v="1"/>
    <n v="240"/>
    <n v="14.9"/>
    <n v="3576"/>
    <n v="-274.99"/>
    <n v="0"/>
    <n v="429.13116500000001"/>
    <n v="3730.141165"/>
  </r>
  <r>
    <x v="19"/>
    <x v="6"/>
    <x v="2"/>
    <x v="0"/>
    <x v="85"/>
    <s v="KEPL/01571/82-83"/>
    <s v="BEERA BARJEE INTERNATIONAL PVT.LTD"/>
    <x v="51"/>
    <n v="5"/>
    <n v="250"/>
    <n v="89.39"/>
    <n v="22347.5"/>
    <n v="-1718.52"/>
    <n v="0"/>
    <n v="2681.7665590000001"/>
    <n v="23310.746558999999"/>
  </r>
  <r>
    <x v="19"/>
    <x v="6"/>
    <x v="2"/>
    <x v="0"/>
    <x v="85"/>
    <s v="KESR/0040/82-83"/>
    <s v="KRISHMA ENTERPRISES"/>
    <x v="51"/>
    <n v="-30"/>
    <n v="-1500"/>
    <n v="89.39"/>
    <n v="-134085"/>
    <n v="10311.14"/>
    <n v="0"/>
    <n v="-16090.601447999999"/>
    <n v="-139864.46144799999"/>
  </r>
  <r>
    <x v="9"/>
    <x v="6"/>
    <x v="2"/>
    <x v="0"/>
    <x v="85"/>
    <s v="KESR/0040/82-83"/>
    <s v="KRISHMA ENTERPRISES"/>
    <x v="22"/>
    <n v="-2"/>
    <n v="-48"/>
    <n v="204.85"/>
    <n v="-9832.8000000000011"/>
    <n v="756.14"/>
    <n v="0"/>
    <n v="-1179.965774"/>
    <n v="-10256.625774"/>
  </r>
  <r>
    <x v="1"/>
    <x v="6"/>
    <x v="2"/>
    <x v="0"/>
    <x v="85"/>
    <s v="KESR/0040/82-83"/>
    <s v="KRISHMA ENTERPRISES"/>
    <x v="24"/>
    <n v="-50"/>
    <n v="-900"/>
    <n v="178.78"/>
    <n v="-160902"/>
    <n v="12373.36"/>
    <n v="0"/>
    <n v="-19308.722778000003"/>
    <n v="-167837.36277800001"/>
  </r>
  <r>
    <x v="0"/>
    <x v="6"/>
    <x v="2"/>
    <x v="0"/>
    <x v="86"/>
    <s v="KEPL/01591/82-83"/>
    <s v="SIMPEX SOLUTION PVT. LTD"/>
    <x v="47"/>
    <n v="0.25"/>
    <n v="10"/>
    <n v="106.19"/>
    <n v="1061.9000000000001"/>
    <n v="0"/>
    <n v="0"/>
    <n v="138.05000000000001"/>
    <n v="1199.95"/>
  </r>
  <r>
    <x v="0"/>
    <x v="6"/>
    <x v="2"/>
    <x v="0"/>
    <x v="86"/>
    <s v="KEPL/01593/82-83"/>
    <s v="GORIN TRADING "/>
    <x v="47"/>
    <n v="2"/>
    <n v="80"/>
    <n v="111.74"/>
    <n v="8939.2000000000007"/>
    <n v="-687.42"/>
    <n v="0"/>
    <n v="1072.7313429999999"/>
    <n v="9324.5113430000001"/>
  </r>
  <r>
    <x v="20"/>
    <x v="6"/>
    <x v="2"/>
    <x v="0"/>
    <x v="86"/>
    <s v="KEPL/01593/82-83"/>
    <s v="GORIN TRADING "/>
    <x v="52"/>
    <n v="25"/>
    <n v="100"/>
    <n v="595.92999999999995"/>
    <n v="59593"/>
    <n v="-4582.7"/>
    <n v="0"/>
    <n v="7151.3386169999994"/>
    <n v="62161.638616999997"/>
  </r>
  <r>
    <x v="10"/>
    <x v="6"/>
    <x v="2"/>
    <x v="0"/>
    <x v="86"/>
    <s v="KEPL/01593/82-83"/>
    <s v="GORIN TRADING "/>
    <x v="45"/>
    <n v="2"/>
    <n v="30"/>
    <n v="260.72000000000003"/>
    <n v="7821.6"/>
    <n v="-601.48"/>
    <n v="0"/>
    <n v="938.61554999999998"/>
    <n v="8158.7355500000003"/>
  </r>
  <r>
    <x v="19"/>
    <x v="6"/>
    <x v="2"/>
    <x v="0"/>
    <x v="86"/>
    <s v="KEPL/01593/82-83"/>
    <s v="GORIN TRADING "/>
    <x v="51"/>
    <n v="10"/>
    <n v="500"/>
    <n v="89.39"/>
    <n v="44695"/>
    <n v="-3437.0499999999997"/>
    <n v="0"/>
    <n v="5363.5332130000006"/>
    <n v="46621.483213"/>
  </r>
  <r>
    <x v="13"/>
    <x v="6"/>
    <x v="2"/>
    <x v="0"/>
    <x v="86"/>
    <s v="KEPL/01593/82-83"/>
    <s v="GORIN TRADING "/>
    <x v="50"/>
    <n v="1"/>
    <n v="240"/>
    <n v="14.9"/>
    <n v="3576"/>
    <n v="-274.99"/>
    <n v="0"/>
    <n v="429.13127700000001"/>
    <n v="3730.1412770000002"/>
  </r>
  <r>
    <x v="3"/>
    <x v="6"/>
    <x v="2"/>
    <x v="0"/>
    <x v="86"/>
    <s v="KEPL/01594/82-83"/>
    <s v="MALIKA DISTRIBUTORS NEPAL PVT LTD."/>
    <x v="46"/>
    <n v="3"/>
    <n v="60"/>
    <n v="175.06"/>
    <n v="10503.6"/>
    <n v="-807.7299999999999"/>
    <n v="0"/>
    <n v="1260.46"/>
    <n v="10956.33"/>
  </r>
  <r>
    <x v="17"/>
    <x v="6"/>
    <x v="2"/>
    <x v="0"/>
    <x v="87"/>
    <s v="KEPL/01595/82-83"/>
    <s v="AAFNAI PASAL PVT.LTD"/>
    <x v="39"/>
    <n v="2"/>
    <n v="40"/>
    <n v="249.55"/>
    <n v="9982"/>
    <n v="-767.62"/>
    <n v="0"/>
    <n v="1197.8700000000001"/>
    <n v="10412.25"/>
  </r>
  <r>
    <x v="17"/>
    <x v="6"/>
    <x v="2"/>
    <x v="0"/>
    <x v="87"/>
    <s v="KEPL/01606/82-83"/>
    <s v="SHUBHASHREE MARKETING"/>
    <x v="39"/>
    <n v="15"/>
    <n v="300"/>
    <n v="249.55"/>
    <n v="74865"/>
    <n v="-5757.12"/>
    <n v="0"/>
    <n v="8984.02"/>
    <n v="78091.899999999994"/>
  </r>
  <r>
    <x v="3"/>
    <x v="6"/>
    <x v="2"/>
    <x v="0"/>
    <x v="88"/>
    <s v="KEPL/01619/82-83"/>
    <s v="MEGA MART PVT.LTD"/>
    <x v="55"/>
    <n v="3"/>
    <n v="60"/>
    <n v="155.97"/>
    <n v="9358.2000000000007"/>
    <n v="0"/>
    <n v="0"/>
    <n v="1216.566851"/>
    <n v="10574.766851"/>
  </r>
  <r>
    <x v="8"/>
    <x v="6"/>
    <x v="2"/>
    <x v="0"/>
    <x v="88"/>
    <s v="KEPL/01619/82-83"/>
    <s v="MEGA MART PVT.LTD"/>
    <x v="33"/>
    <n v="4"/>
    <n v="160"/>
    <n v="66.37"/>
    <n v="10619.2"/>
    <n v="0"/>
    <n v="0"/>
    <n v="1380.4969660000002"/>
    <n v="11999.696966"/>
  </r>
  <r>
    <x v="16"/>
    <x v="6"/>
    <x v="2"/>
    <x v="0"/>
    <x v="88"/>
    <s v="KEPL/01619/82-83"/>
    <s v="MEGA MART PVT.LTD"/>
    <x v="35"/>
    <n v="2"/>
    <n v="120"/>
    <n v="129.41999999999999"/>
    <n v="15530.4"/>
    <n v="0"/>
    <n v="0"/>
    <n v="2018.953413"/>
    <n v="17549.353413000001"/>
  </r>
  <r>
    <x v="16"/>
    <x v="6"/>
    <x v="2"/>
    <x v="0"/>
    <x v="88"/>
    <s v="KEPL/01619/82-83"/>
    <s v="MEGA MART PVT.LTD"/>
    <x v="42"/>
    <n v="1"/>
    <n v="30"/>
    <n v="282.08"/>
    <n v="8462.4"/>
    <n v="0"/>
    <n v="0"/>
    <n v="1100.11277"/>
    <n v="9562.5127699999994"/>
  </r>
  <r>
    <x v="7"/>
    <x v="6"/>
    <x v="2"/>
    <x v="0"/>
    <x v="88"/>
    <s v="KEPL/01621/82-83"/>
    <s v="BHAT BHATENI SUPERMARKET &amp; DEPARTMENTAL STORE PVT. LTD."/>
    <x v="12"/>
    <n v="0.12"/>
    <n v="15"/>
    <n v="29.47"/>
    <n v="442.05"/>
    <n v="0"/>
    <n v="0"/>
    <n v="57.466399000000003"/>
    <n v="499.51639899999998"/>
  </r>
  <r>
    <x v="6"/>
    <x v="6"/>
    <x v="2"/>
    <x v="0"/>
    <x v="88"/>
    <s v="KEPL/01621/82-83"/>
    <s v="BHAT BHATENI SUPERMARKET &amp; DEPARTMENTAL STORE PVT. LTD."/>
    <x v="62"/>
    <n v="0.25"/>
    <n v="5"/>
    <n v="212.83"/>
    <n v="1064.1500000000001"/>
    <n v="0"/>
    <n v="0"/>
    <n v="138.339257"/>
    <n v="1202.489257"/>
  </r>
  <r>
    <x v="6"/>
    <x v="6"/>
    <x v="2"/>
    <x v="0"/>
    <x v="88"/>
    <s v="KEPL/01621/82-83"/>
    <s v="BHAT BHATENI SUPERMARKET &amp; DEPARTMENTAL STORE PVT. LTD."/>
    <x v="28"/>
    <n v="0.05"/>
    <n v="1"/>
    <n v="163.72"/>
    <n v="163.72"/>
    <n v="0"/>
    <n v="0"/>
    <n v="21.283563000000001"/>
    <n v="185.00356300000001"/>
  </r>
  <r>
    <x v="8"/>
    <x v="6"/>
    <x v="2"/>
    <x v="0"/>
    <x v="88"/>
    <s v="KEPL/01621/82-83"/>
    <s v="BHAT BHATENI SUPERMARKET &amp; DEPARTMENTAL STORE PVT. LTD."/>
    <x v="13"/>
    <n v="0.54"/>
    <n v="13"/>
    <n v="124.42"/>
    <n v="1617.4599999999998"/>
    <n v="0"/>
    <n v="0"/>
    <n v="210.269431"/>
    <n v="1827.729431"/>
  </r>
  <r>
    <x v="6"/>
    <x v="6"/>
    <x v="2"/>
    <x v="0"/>
    <x v="88"/>
    <s v="KEPL/01621/82-83"/>
    <s v="BHAT BHATENI SUPERMARKET &amp; DEPARTMENTAL STORE PVT. LTD."/>
    <x v="16"/>
    <n v="0.15"/>
    <n v="3"/>
    <n v="163.72"/>
    <n v="491.16"/>
    <n v="0"/>
    <n v="0"/>
    <n v="63.850687999999998"/>
    <n v="555.01068799999996"/>
  </r>
  <r>
    <x v="6"/>
    <x v="6"/>
    <x v="2"/>
    <x v="0"/>
    <x v="88"/>
    <s v="KEPL/01621/82-83"/>
    <s v="BHAT BHATENI SUPERMARKET &amp; DEPARTMENTAL STORE PVT. LTD."/>
    <x v="30"/>
    <n v="0.45"/>
    <n v="9"/>
    <n v="212.83"/>
    <n v="1915.47"/>
    <n v="0"/>
    <n v="0"/>
    <n v="249.01066299999999"/>
    <n v="2164.4806629999998"/>
  </r>
  <r>
    <x v="4"/>
    <x v="6"/>
    <x v="2"/>
    <x v="0"/>
    <x v="89"/>
    <s v="KESR/0042/82-83"/>
    <s v="KRISHMA ENTERPRISES"/>
    <x v="5"/>
    <n v="-4.333333333333333"/>
    <n v="-780"/>
    <n v="18.62"/>
    <n v="-14523.6"/>
    <n v="1116.8599999999999"/>
    <n v="0"/>
    <n v="-1742.8759419999999"/>
    <n v="-15149.615942"/>
  </r>
  <r>
    <x v="13"/>
    <x v="6"/>
    <x v="2"/>
    <x v="0"/>
    <x v="89"/>
    <s v="KESR/0042/82-83"/>
    <s v="KRISHMA ENTERPRISES"/>
    <x v="23"/>
    <n v="-0.96"/>
    <n v="-573"/>
    <n v="7.45"/>
    <n v="-4268.8500000000004"/>
    <n v="328.27"/>
    <n v="0"/>
    <n v="-512.27532400000007"/>
    <n v="-4452.8553240000001"/>
  </r>
  <r>
    <x v="8"/>
    <x v="6"/>
    <x v="2"/>
    <x v="0"/>
    <x v="89"/>
    <s v="KESR/0042/82-83"/>
    <s v="KRISHMA ENTERPRISES"/>
    <x v="56"/>
    <n v="-1.71"/>
    <n v="-1368"/>
    <n v="7.45"/>
    <n v="-10191.6"/>
    <n v="783.7299999999999"/>
    <n v="0"/>
    <n v="-1223.022919"/>
    <n v="-10630.892919"/>
  </r>
  <r>
    <x v="15"/>
    <x v="6"/>
    <x v="2"/>
    <x v="0"/>
    <x v="89"/>
    <s v="KESR/0042/82-83"/>
    <s v="KRISHMA ENTERPRISES"/>
    <x v="32"/>
    <n v="-1.57"/>
    <n v="-94"/>
    <n v="111.74"/>
    <n v="-10503.560000000001"/>
    <n v="807.72"/>
    <n v="0"/>
    <n v="-1260.4590129999999"/>
    <n v="-10956.299013"/>
  </r>
  <r>
    <x v="18"/>
    <x v="6"/>
    <x v="2"/>
    <x v="0"/>
    <x v="89"/>
    <s v="KESR/0042/82-83"/>
    <s v="KRISHMA ENTERPRISES"/>
    <x v="43"/>
    <n v="-2"/>
    <n v="-120"/>
    <n v="111.74"/>
    <n v="-13408.8"/>
    <n v="1031.1400000000001"/>
    <n v="0"/>
    <n v="-1609.0955609999999"/>
    <n v="-13986.755561"/>
  </r>
  <r>
    <x v="14"/>
    <x v="6"/>
    <x v="2"/>
    <x v="0"/>
    <x v="89"/>
    <s v="KESR/0042/82-83"/>
    <s v="KRISHMA ENTERPRISES"/>
    <x v="31"/>
    <n v="-1.33"/>
    <n v="-80"/>
    <n v="111.74"/>
    <n v="-8939.2000000000007"/>
    <n v="687.42"/>
    <n v="0"/>
    <n v="-1072.731241"/>
    <n v="-9324.5112410000002"/>
  </r>
  <r>
    <x v="20"/>
    <x v="6"/>
    <x v="2"/>
    <x v="0"/>
    <x v="90"/>
    <s v="KEPL/01629/82-83"/>
    <s v="DINESH TRADING HOUSE"/>
    <x v="52"/>
    <n v="20"/>
    <n v="80"/>
    <n v="595.92999999999995"/>
    <n v="47674.400000000001"/>
    <n v="-3666.16"/>
    <n v="0"/>
    <n v="5721.0700000000006"/>
    <n v="49729.31"/>
  </r>
  <r>
    <x v="11"/>
    <x v="6"/>
    <x v="2"/>
    <x v="0"/>
    <x v="91"/>
    <s v="KEPL/01640/82-83"/>
    <s v="SAFAL MART PVT.LTD"/>
    <x v="36"/>
    <n v="1"/>
    <n v="40"/>
    <n v="81.94"/>
    <n v="3277.6"/>
    <n v="-163.88"/>
    <n v="-62.274250000000002"/>
    <n v="396.68818700000003"/>
    <n v="3448.1339370000001"/>
  </r>
  <r>
    <x v="9"/>
    <x v="6"/>
    <x v="2"/>
    <x v="0"/>
    <x v="91"/>
    <s v="KEPL/01640/82-83"/>
    <s v="SAFAL MART PVT.LTD"/>
    <x v="44"/>
    <n v="1"/>
    <n v="24"/>
    <n v="186.23"/>
    <n v="4469.5200000000004"/>
    <n v="-223.48"/>
    <n v="-84.920595000000006"/>
    <n v="540.94584900000007"/>
    <n v="4702.0652540000001"/>
  </r>
  <r>
    <x v="7"/>
    <x v="6"/>
    <x v="2"/>
    <x v="0"/>
    <x v="91"/>
    <s v="KEPL/01640/82-83"/>
    <s v="SAFAL MART PVT.LTD"/>
    <x v="12"/>
    <n v="1"/>
    <n v="130"/>
    <n v="37.25"/>
    <n v="4842.5"/>
    <n v="-242.13"/>
    <n v="-92.007177999999996"/>
    <n v="586.08752000000004"/>
    <n v="5094.4503420000001"/>
  </r>
  <r>
    <x v="3"/>
    <x v="6"/>
    <x v="2"/>
    <x v="0"/>
    <x v="91"/>
    <s v="KEPL/01640/82-83"/>
    <s v="SAFAL MART PVT.LTD"/>
    <x v="55"/>
    <n v="1"/>
    <n v="20"/>
    <n v="175.05"/>
    <n v="3500.9999999999995"/>
    <n v="-175.05"/>
    <n v="-66.518839"/>
    <n v="423.72630599999997"/>
    <n v="3683.157467"/>
  </r>
  <r>
    <x v="16"/>
    <x v="6"/>
    <x v="2"/>
    <x v="0"/>
    <x v="91"/>
    <s v="KEPL/01640/82-83"/>
    <s v="SAFAL MART PVT.LTD"/>
    <x v="35"/>
    <n v="1"/>
    <n v="60"/>
    <n v="145.26"/>
    <n v="8715.6"/>
    <n v="-435.78"/>
    <n v="-165.596"/>
    <n v="1054.8497560000001"/>
    <n v="9169.0737559999998"/>
  </r>
  <r>
    <x v="8"/>
    <x v="6"/>
    <x v="2"/>
    <x v="0"/>
    <x v="91"/>
    <s v="KEPL/01640/82-83"/>
    <s v="SAFAL MART PVT.LTD"/>
    <x v="33"/>
    <n v="1"/>
    <n v="40"/>
    <n v="74.489999999999995"/>
    <n v="2979.6"/>
    <n v="-148.97999999999999"/>
    <n v="-56.612263000000006"/>
    <n v="360.62122299999999"/>
    <n v="3134.62896"/>
  </r>
  <r>
    <x v="16"/>
    <x v="6"/>
    <x v="2"/>
    <x v="0"/>
    <x v="91"/>
    <s v="KEPL/01640/82-83"/>
    <s v="SAFAL MART PVT.LTD"/>
    <x v="42"/>
    <n v="1"/>
    <n v="30"/>
    <n v="316.58999999999997"/>
    <n v="9497.6999999999989"/>
    <n v="-474.89"/>
    <n v="-180.45576399999999"/>
    <n v="1149.506744"/>
    <n v="9991.8609799999995"/>
  </r>
  <r>
    <x v="8"/>
    <x v="6"/>
    <x v="2"/>
    <x v="0"/>
    <x v="91"/>
    <s v="KEPL/01640/82-83"/>
    <s v="SAFAL MART PVT.LTD"/>
    <x v="34"/>
    <n v="1"/>
    <n v="40"/>
    <n v="74.489999999999995"/>
    <n v="2979.6"/>
    <n v="-148.97999999999999"/>
    <n v="-56.612263000000006"/>
    <n v="360.62122299999999"/>
    <n v="3134.62896"/>
  </r>
  <r>
    <x v="1"/>
    <x v="6"/>
    <x v="2"/>
    <x v="0"/>
    <x v="91"/>
    <s v="KEPL/01640/82-83"/>
    <s v="SAFAL MART PVT.LTD"/>
    <x v="24"/>
    <n v="1"/>
    <n v="18"/>
    <n v="178.78"/>
    <n v="3218.0400000000004"/>
    <n v="-160.9"/>
    <n v="-61.142651999999998"/>
    <n v="389.47989000000001"/>
    <n v="3385.4772379999999"/>
  </r>
  <r>
    <x v="19"/>
    <x v="6"/>
    <x v="2"/>
    <x v="0"/>
    <x v="91"/>
    <s v="KEPL/01640/82-83"/>
    <s v="SAFAL MART PVT.LTD"/>
    <x v="51"/>
    <n v="1"/>
    <n v="50"/>
    <n v="89.39"/>
    <n v="4469.5"/>
    <n v="-223.48"/>
    <n v="-84.920195000000007"/>
    <n v="540.94330100000002"/>
    <n v="4702.0431060000001"/>
  </r>
  <r>
    <x v="16"/>
    <x v="6"/>
    <x v="2"/>
    <x v="0"/>
    <x v="91"/>
    <s v="KEPL/01641/82-83"/>
    <s v="MEGA MART PVT.LTD"/>
    <x v="42"/>
    <n v="1"/>
    <n v="30"/>
    <n v="282.08"/>
    <n v="8462.4"/>
    <n v="0"/>
    <n v="0"/>
    <n v="1100.1130430000001"/>
    <n v="9562.5130430000008"/>
  </r>
  <r>
    <x v="16"/>
    <x v="6"/>
    <x v="2"/>
    <x v="0"/>
    <x v="91"/>
    <s v="KEPL/01641/82-83"/>
    <s v="MEGA MART PVT.LTD"/>
    <x v="35"/>
    <n v="1"/>
    <n v="60"/>
    <n v="129.41999999999999"/>
    <n v="7765.2"/>
    <n v="0"/>
    <n v="0"/>
    <n v="1009.476957"/>
    <n v="8774.6769569999997"/>
  </r>
  <r>
    <x v="3"/>
    <x v="6"/>
    <x v="2"/>
    <x v="0"/>
    <x v="92"/>
    <s v="KEPL/01647/82-83"/>
    <s v="BEERA BARJEE INTERNATIONAL PVT.LTD"/>
    <x v="15"/>
    <n v="1"/>
    <n v="20"/>
    <n v="175.05"/>
    <n v="3500.9999999999995"/>
    <n v="-269.23"/>
    <n v="0"/>
    <n v="420.13007300000004"/>
    <n v="3651.9000729999998"/>
  </r>
  <r>
    <x v="9"/>
    <x v="6"/>
    <x v="2"/>
    <x v="0"/>
    <x v="92"/>
    <s v="KEPL/01647/82-83"/>
    <s v="BEERA BARJEE INTERNATIONAL PVT.LTD"/>
    <x v="38"/>
    <n v="1"/>
    <n v="24"/>
    <n v="186.22"/>
    <n v="4469.28"/>
    <n v="-343.69"/>
    <n v="0"/>
    <n v="536.32666500000005"/>
    <n v="4661.9166649999997"/>
  </r>
  <r>
    <x v="8"/>
    <x v="6"/>
    <x v="2"/>
    <x v="0"/>
    <x v="92"/>
    <s v="KEPL/01647/82-83"/>
    <s v="BEERA BARJEE INTERNATIONAL PVT.LTD"/>
    <x v="13"/>
    <n v="1"/>
    <n v="24"/>
    <n v="141.54"/>
    <n v="3396.96"/>
    <n v="-261.23"/>
    <n v="0"/>
    <n v="407.64487400000002"/>
    <n v="3543.3748740000001"/>
  </r>
  <r>
    <x v="6"/>
    <x v="6"/>
    <x v="2"/>
    <x v="0"/>
    <x v="92"/>
    <s v="KEPL/01647/82-83"/>
    <s v="BEERA BARJEE INTERNATIONAL PVT.LTD"/>
    <x v="29"/>
    <n v="1"/>
    <n v="20"/>
    <n v="204.85"/>
    <n v="4097"/>
    <n v="-315.06"/>
    <n v="0"/>
    <n v="491.65216799999996"/>
    <n v="4273.5921680000001"/>
  </r>
  <r>
    <x v="8"/>
    <x v="6"/>
    <x v="2"/>
    <x v="0"/>
    <x v="92"/>
    <s v="KEPL/01647/82-83"/>
    <s v="BEERA BARJEE INTERNATIONAL PVT.LTD"/>
    <x v="33"/>
    <n v="3"/>
    <n v="120"/>
    <n v="74.489999999999995"/>
    <n v="8938.8000000000011"/>
    <n v="-687.3900000000001"/>
    <n v="0"/>
    <n v="1072.683231"/>
    <n v="9324.0932310000007"/>
  </r>
  <r>
    <x v="3"/>
    <x v="6"/>
    <x v="2"/>
    <x v="0"/>
    <x v="92"/>
    <s v="KEPL/01647/82-83"/>
    <s v="BEERA BARJEE INTERNATIONAL PVT.LTD"/>
    <x v="55"/>
    <n v="1"/>
    <n v="20"/>
    <n v="175.05"/>
    <n v="3500.9999999999995"/>
    <n v="-269.23"/>
    <n v="0"/>
    <n v="420.13007300000004"/>
    <n v="3651.9000729999998"/>
  </r>
  <r>
    <x v="0"/>
    <x v="6"/>
    <x v="2"/>
    <x v="0"/>
    <x v="92"/>
    <s v="KEPL/01647/82-83"/>
    <s v="BEERA BARJEE INTERNATIONAL PVT.LTD"/>
    <x v="47"/>
    <n v="2"/>
    <n v="80"/>
    <n v="111.74"/>
    <n v="8939.2000000000007"/>
    <n v="-687.42"/>
    <n v="0"/>
    <n v="1072.731331"/>
    <n v="9324.5113309999997"/>
  </r>
  <r>
    <x v="0"/>
    <x v="6"/>
    <x v="2"/>
    <x v="0"/>
    <x v="92"/>
    <s v="KEPL/01647/82-83"/>
    <s v="BEERA BARJEE INTERNATIONAL PVT.LTD"/>
    <x v="0"/>
    <n v="1"/>
    <n v="40"/>
    <n v="111.74"/>
    <n v="4469.6000000000004"/>
    <n v="-343.71"/>
    <n v="0"/>
    <n v="536.36566500000004"/>
    <n v="4662.2556649999997"/>
  </r>
  <r>
    <x v="6"/>
    <x v="6"/>
    <x v="2"/>
    <x v="0"/>
    <x v="92"/>
    <s v="KEPL/01647/82-83"/>
    <s v="BEERA BARJEE INTERNATIONAL PVT.LTD"/>
    <x v="28"/>
    <n v="1"/>
    <n v="20"/>
    <n v="204.85"/>
    <n v="4097"/>
    <n v="-315.06"/>
    <n v="0"/>
    <n v="491.65216799999996"/>
    <n v="4273.5921680000001"/>
  </r>
  <r>
    <x v="8"/>
    <x v="6"/>
    <x v="2"/>
    <x v="0"/>
    <x v="92"/>
    <s v="KEPL/01647/82-83"/>
    <s v="BEERA BARJEE INTERNATIONAL PVT.LTD"/>
    <x v="34"/>
    <n v="2"/>
    <n v="80"/>
    <n v="74.489999999999995"/>
    <n v="5959.2"/>
    <n v="-458.26"/>
    <n v="0"/>
    <n v="715.12215399999991"/>
    <n v="6216.0621540000002"/>
  </r>
  <r>
    <x v="17"/>
    <x v="6"/>
    <x v="2"/>
    <x v="0"/>
    <x v="92"/>
    <s v="KEPL/01647/82-83"/>
    <s v="BEERA BARJEE INTERNATIONAL PVT.LTD"/>
    <x v="39"/>
    <n v="1"/>
    <n v="20"/>
    <n v="249.55"/>
    <n v="4991"/>
    <n v="-383.81"/>
    <n v="0"/>
    <n v="598.93466100000001"/>
    <n v="5206.1246609999998"/>
  </r>
  <r>
    <x v="6"/>
    <x v="6"/>
    <x v="2"/>
    <x v="0"/>
    <x v="92"/>
    <s v="KEPL/01647/82-83"/>
    <s v="BEERA BARJEE INTERNATIONAL PVT.LTD"/>
    <x v="59"/>
    <n v="1"/>
    <n v="20"/>
    <n v="204.85"/>
    <n v="4097"/>
    <n v="-315.06"/>
    <n v="0"/>
    <n v="491.65216799999996"/>
    <n v="4273.5921680000001"/>
  </r>
  <r>
    <x v="8"/>
    <x v="6"/>
    <x v="2"/>
    <x v="0"/>
    <x v="92"/>
    <s v="KEPL/01647/82-83"/>
    <s v="BEERA BARJEE INTERNATIONAL PVT.LTD"/>
    <x v="56"/>
    <n v="1"/>
    <n v="800"/>
    <n v="7.46"/>
    <n v="5968"/>
    <n v="-458.94"/>
    <n v="0"/>
    <n v="716.17775400000005"/>
    <n v="6225.2377539999998"/>
  </r>
  <r>
    <x v="10"/>
    <x v="6"/>
    <x v="2"/>
    <x v="0"/>
    <x v="92"/>
    <s v="KEPL/01647/82-83"/>
    <s v="BEERA BARJEE INTERNATIONAL PVT.LTD"/>
    <x v="45"/>
    <n v="1"/>
    <n v="15"/>
    <n v="260.72000000000003"/>
    <n v="3910.8"/>
    <n v="-300.74"/>
    <n v="0"/>
    <n v="469.30777"/>
    <n v="4079.3677699999998"/>
  </r>
  <r>
    <x v="11"/>
    <x v="6"/>
    <x v="2"/>
    <x v="0"/>
    <x v="92"/>
    <s v="KEPL/01647/82-83"/>
    <s v="BEERA BARJEE INTERNATIONAL PVT.LTD"/>
    <x v="53"/>
    <n v="1"/>
    <n v="40"/>
    <n v="81.94"/>
    <n v="3277.6"/>
    <n v="-252.05"/>
    <n v="0"/>
    <n v="393.32147499999996"/>
    <n v="3418.8714749999999"/>
  </r>
  <r>
    <x v="10"/>
    <x v="6"/>
    <x v="2"/>
    <x v="0"/>
    <x v="92"/>
    <s v="KEPL/01647/82-83"/>
    <s v="BEERA BARJEE INTERNATIONAL PVT.LTD"/>
    <x v="49"/>
    <n v="1"/>
    <n v="15"/>
    <n v="260.72000000000003"/>
    <n v="3910.8"/>
    <n v="-300.74"/>
    <n v="0"/>
    <n v="469.30777"/>
    <n v="4079.3677699999998"/>
  </r>
  <r>
    <x v="14"/>
    <x v="6"/>
    <x v="2"/>
    <x v="0"/>
    <x v="92"/>
    <s v="KEPL/01650/82-83"/>
    <s v="SHUBHASHREE MARKETING"/>
    <x v="31"/>
    <n v="1"/>
    <n v="60"/>
    <n v="111.74"/>
    <n v="6704.4"/>
    <n v="-515.57000000000005"/>
    <n v="0"/>
    <n v="804.5474999999999"/>
    <n v="6993.3774999999996"/>
  </r>
  <r>
    <x v="15"/>
    <x v="6"/>
    <x v="2"/>
    <x v="0"/>
    <x v="92"/>
    <s v="KEPL/01650/82-83"/>
    <s v="SHUBHASHREE MARKETING"/>
    <x v="32"/>
    <n v="3"/>
    <n v="180"/>
    <n v="111.74"/>
    <n v="20113.2"/>
    <n v="-1546.71"/>
    <n v="0"/>
    <n v="2413.6425000000004"/>
    <n v="20980.1325"/>
  </r>
  <r>
    <x v="8"/>
    <x v="6"/>
    <x v="2"/>
    <x v="0"/>
    <x v="92"/>
    <s v="KEPL/01651/82-83"/>
    <s v="R.P DISTRIBUTOR TRADE CENTER"/>
    <x v="34"/>
    <n v="1"/>
    <n v="40"/>
    <n v="74.489999999999995"/>
    <n v="2979.6"/>
    <n v="-229.13"/>
    <n v="0"/>
    <n v="357.560945"/>
    <n v="3108.030945"/>
  </r>
  <r>
    <x v="3"/>
    <x v="6"/>
    <x v="2"/>
    <x v="0"/>
    <x v="92"/>
    <s v="KEPL/01651/82-83"/>
    <s v="R.P DISTRIBUTOR TRADE CENTER"/>
    <x v="55"/>
    <n v="1"/>
    <n v="20"/>
    <n v="175.05"/>
    <n v="3500.9999999999995"/>
    <n v="-269.23"/>
    <n v="0"/>
    <n v="420.12991800000003"/>
    <n v="3651.8999180000001"/>
  </r>
  <r>
    <x v="10"/>
    <x v="6"/>
    <x v="2"/>
    <x v="0"/>
    <x v="92"/>
    <s v="KEPL/01651/82-83"/>
    <s v="R.P DISTRIBUTOR TRADE CENTER"/>
    <x v="45"/>
    <n v="1"/>
    <n v="15"/>
    <n v="260.72000000000003"/>
    <n v="3910.8"/>
    <n v="-300.74"/>
    <n v="0"/>
    <n v="469.30759699999999"/>
    <n v="4079.3675969999999"/>
  </r>
  <r>
    <x v="7"/>
    <x v="6"/>
    <x v="2"/>
    <x v="0"/>
    <x v="92"/>
    <s v="KEPL/01651/82-83"/>
    <s v="R.P DISTRIBUTOR TRADE CENTER"/>
    <x v="12"/>
    <n v="1"/>
    <n v="130"/>
    <n v="37.25"/>
    <n v="4842.5"/>
    <n v="-372.39"/>
    <n v="0"/>
    <n v="581.11404900000002"/>
    <n v="5051.2240490000004"/>
  </r>
  <r>
    <x v="8"/>
    <x v="6"/>
    <x v="2"/>
    <x v="0"/>
    <x v="92"/>
    <s v="KEPL/01651/82-83"/>
    <s v="R.P DISTRIBUTOR TRADE CENTER"/>
    <x v="33"/>
    <n v="1"/>
    <n v="40"/>
    <n v="74.489999999999995"/>
    <n v="2979.6"/>
    <n v="-229.13"/>
    <n v="0"/>
    <n v="357.560945"/>
    <n v="3108.030945"/>
  </r>
  <r>
    <x v="7"/>
    <x v="6"/>
    <x v="2"/>
    <x v="0"/>
    <x v="92"/>
    <s v="KEPL/01651/82-83"/>
    <s v="R.P DISTRIBUTOR TRADE CENTER"/>
    <x v="27"/>
    <n v="10"/>
    <n v="700"/>
    <n v="37.25"/>
    <n v="26075"/>
    <n v="-2005.1699999999998"/>
    <n v="0"/>
    <n v="3129.0765460000002"/>
    <n v="27198.906545999998"/>
  </r>
  <r>
    <x v="1"/>
    <x v="6"/>
    <x v="2"/>
    <x v="0"/>
    <x v="92"/>
    <s v="KEPL/01652/82-83"/>
    <s v="KRISHMA ENTERPRISES"/>
    <x v="26"/>
    <n v="10"/>
    <n v="180"/>
    <n v="178.78"/>
    <n v="32180.400000000001"/>
    <n v="-2474.6699999999996"/>
    <n v="0"/>
    <n v="3861.746384"/>
    <n v="33567.476384000001"/>
  </r>
  <r>
    <x v="3"/>
    <x v="6"/>
    <x v="2"/>
    <x v="0"/>
    <x v="92"/>
    <s v="KEPL/01652/82-83"/>
    <s v="KRISHMA ENTERPRISES"/>
    <x v="55"/>
    <n v="5"/>
    <n v="100"/>
    <n v="175.05"/>
    <n v="17505"/>
    <n v="-1346.1299999999999"/>
    <n v="0"/>
    <n v="2100.6539069999999"/>
    <n v="18259.523906999999"/>
  </r>
  <r>
    <x v="6"/>
    <x v="6"/>
    <x v="2"/>
    <x v="0"/>
    <x v="92"/>
    <s v="KEPL/01652/82-83"/>
    <s v="KRISHMA ENTERPRISES"/>
    <x v="48"/>
    <n v="3"/>
    <n v="60"/>
    <n v="204.85"/>
    <n v="12291"/>
    <n v="-945.18"/>
    <n v="0"/>
    <n v="1474.9571669999998"/>
    <n v="12820.777167"/>
  </r>
  <r>
    <x v="1"/>
    <x v="6"/>
    <x v="2"/>
    <x v="0"/>
    <x v="92"/>
    <s v="KEPL/01652/82-83"/>
    <s v="KRISHMA ENTERPRISES"/>
    <x v="24"/>
    <n v="5"/>
    <n v="90"/>
    <n v="178.78"/>
    <n v="16090.2"/>
    <n v="-1237.3400000000001"/>
    <n v="0"/>
    <n v="1930.8725420000001"/>
    <n v="16783.732542000002"/>
  </r>
  <r>
    <x v="10"/>
    <x v="6"/>
    <x v="2"/>
    <x v="0"/>
    <x v="93"/>
    <s v="KEPL/01662/82-83"/>
    <s v="EMERALD TRADE LINK"/>
    <x v="49"/>
    <n v="2"/>
    <n v="30"/>
    <n v="260.72000000000003"/>
    <n v="7821.6"/>
    <n v="-601.48"/>
    <n v="0"/>
    <n v="938.61588399999994"/>
    <n v="8158.7358839999997"/>
  </r>
  <r>
    <x v="10"/>
    <x v="6"/>
    <x v="2"/>
    <x v="0"/>
    <x v="93"/>
    <s v="KEPL/01662/82-83"/>
    <s v="EMERALD TRADE LINK"/>
    <x v="45"/>
    <n v="2"/>
    <n v="30"/>
    <n v="260.72000000000003"/>
    <n v="7821.6"/>
    <n v="-601.48"/>
    <n v="0"/>
    <n v="938.61588399999994"/>
    <n v="8158.7358839999997"/>
  </r>
  <r>
    <x v="20"/>
    <x v="6"/>
    <x v="2"/>
    <x v="0"/>
    <x v="93"/>
    <s v="KEPL/01662/82-83"/>
    <s v="EMERALD TRADE LINK"/>
    <x v="52"/>
    <n v="5"/>
    <n v="20"/>
    <n v="595.92999999999995"/>
    <n v="11918.6"/>
    <n v="-916.54"/>
    <n v="0"/>
    <n v="1430.2682319999999"/>
    <n v="12432.328232"/>
  </r>
  <r>
    <x v="8"/>
    <x v="6"/>
    <x v="2"/>
    <x v="0"/>
    <x v="93"/>
    <s v="KEPL/01663/82-83"/>
    <s v="AASHI TRADERS"/>
    <x v="33"/>
    <n v="3"/>
    <n v="120"/>
    <n v="74.489999999999995"/>
    <n v="8938.8000000000011"/>
    <n v="-687.3900000000001"/>
    <n v="0"/>
    <n v="1072.683565"/>
    <n v="9324.0935649999992"/>
  </r>
  <r>
    <x v="11"/>
    <x v="6"/>
    <x v="2"/>
    <x v="0"/>
    <x v="93"/>
    <s v="KEPL/01663/82-83"/>
    <s v="AASHI TRADERS"/>
    <x v="53"/>
    <n v="5"/>
    <n v="200"/>
    <n v="81.94"/>
    <n v="16388"/>
    <n v="-1260.24"/>
    <n v="0"/>
    <n v="1966.6092860000001"/>
    <n v="17094.369286000001"/>
  </r>
  <r>
    <x v="8"/>
    <x v="6"/>
    <x v="2"/>
    <x v="0"/>
    <x v="93"/>
    <s v="KEPL/01663/82-83"/>
    <s v="AASHI TRADERS"/>
    <x v="34"/>
    <n v="3"/>
    <n v="120"/>
    <n v="74.489999999999995"/>
    <n v="8938.8000000000011"/>
    <n v="-687.3900000000001"/>
    <n v="0"/>
    <n v="1072.683565"/>
    <n v="9324.0935649999992"/>
  </r>
  <r>
    <x v="15"/>
    <x v="6"/>
    <x v="2"/>
    <x v="0"/>
    <x v="93"/>
    <s v="KEPL/01663/82-83"/>
    <s v="AASHI TRADERS"/>
    <x v="32"/>
    <n v="3"/>
    <n v="180"/>
    <n v="111.74"/>
    <n v="20113.2"/>
    <n v="-1546.71"/>
    <n v="0"/>
    <n v="2413.6442959999999"/>
    <n v="20980.134296"/>
  </r>
  <r>
    <x v="16"/>
    <x v="6"/>
    <x v="2"/>
    <x v="0"/>
    <x v="93"/>
    <s v="KEPL/01663/82-83"/>
    <s v="AASHI TRADERS"/>
    <x v="42"/>
    <n v="4"/>
    <n v="120"/>
    <n v="316.58999999999997"/>
    <n v="37990.799999999996"/>
    <n v="-2921.4900000000002"/>
    <n v="0"/>
    <n v="4559.011426"/>
    <n v="39628.321426000002"/>
  </r>
  <r>
    <x v="0"/>
    <x v="6"/>
    <x v="2"/>
    <x v="0"/>
    <x v="93"/>
    <s v="KEPL/01663/82-83"/>
    <s v="AASHI TRADERS"/>
    <x v="47"/>
    <n v="2"/>
    <n v="80"/>
    <n v="111.74"/>
    <n v="8939.2000000000007"/>
    <n v="-687.42"/>
    <n v="0"/>
    <n v="1072.731665"/>
    <n v="9324.511665"/>
  </r>
  <r>
    <x v="18"/>
    <x v="6"/>
    <x v="2"/>
    <x v="0"/>
    <x v="93"/>
    <s v="KEPL/01663/82-83"/>
    <s v="AASHI TRADERS"/>
    <x v="43"/>
    <n v="2"/>
    <n v="120"/>
    <n v="111.74"/>
    <n v="13408.8"/>
    <n v="-1031.1400000000001"/>
    <n v="0"/>
    <n v="1609.0961969999998"/>
    <n v="13986.756197000001"/>
  </r>
  <r>
    <x v="1"/>
    <x v="6"/>
    <x v="2"/>
    <x v="0"/>
    <x v="93"/>
    <s v="KEPL/01664/82-83"/>
    <s v="KRISHMA ENTERPRISES"/>
    <x v="26"/>
    <n v="15"/>
    <n v="270"/>
    <n v="178.78"/>
    <n v="48270.6"/>
    <n v="-3712.0099999999998"/>
    <n v="0"/>
    <n v="5792.6175000000003"/>
    <n v="50351.207499999997"/>
  </r>
  <r>
    <x v="1"/>
    <x v="6"/>
    <x v="2"/>
    <x v="0"/>
    <x v="93"/>
    <s v="KEPL/01664/82-83"/>
    <s v="KRISHMA ENTERPRISES"/>
    <x v="2"/>
    <n v="5"/>
    <n v="90"/>
    <n v="178.78"/>
    <n v="16090.2"/>
    <n v="-1237.3400000000001"/>
    <n v="0"/>
    <n v="1930.872067"/>
    <n v="16783.732067000001"/>
  </r>
  <r>
    <x v="1"/>
    <x v="6"/>
    <x v="2"/>
    <x v="0"/>
    <x v="93"/>
    <s v="KEPL/01664/82-83"/>
    <s v="KRISHMA ENTERPRISES"/>
    <x v="24"/>
    <n v="40"/>
    <n v="720"/>
    <n v="178.78"/>
    <n v="128721.60000000001"/>
    <n v="-9898.6899999999987"/>
    <n v="0"/>
    <n v="15446.980432999999"/>
    <n v="134269.89043299999"/>
  </r>
  <r>
    <x v="16"/>
    <x v="6"/>
    <x v="2"/>
    <x v="0"/>
    <x v="93"/>
    <s v="KEPL/01665/82-83"/>
    <s v="MEGA MART PVT.LTD"/>
    <x v="35"/>
    <n v="1"/>
    <n v="60"/>
    <n v="129.41999999999999"/>
    <n v="7765.2"/>
    <n v="0"/>
    <n v="0"/>
    <n v="1009.475597"/>
    <n v="8774.6755969999995"/>
  </r>
  <r>
    <x v="3"/>
    <x v="6"/>
    <x v="2"/>
    <x v="0"/>
    <x v="93"/>
    <s v="KEPL/01665/82-83"/>
    <s v="MEGA MART PVT.LTD"/>
    <x v="55"/>
    <n v="3"/>
    <n v="60"/>
    <n v="155.97"/>
    <n v="9358.2000000000007"/>
    <n v="0"/>
    <n v="0"/>
    <n v="1216.5655140000001"/>
    <n v="10574.765514000001"/>
  </r>
  <r>
    <x v="3"/>
    <x v="6"/>
    <x v="2"/>
    <x v="0"/>
    <x v="93"/>
    <s v="KEPL/01665/82-83"/>
    <s v="MEGA MART PVT.LTD"/>
    <x v="46"/>
    <n v="8.4"/>
    <n v="168"/>
    <n v="155.97"/>
    <n v="26202.959999999999"/>
    <n v="0"/>
    <n v="0"/>
    <n v="3406.3834400000001"/>
    <n v="29609.343440000001"/>
  </r>
  <r>
    <x v="8"/>
    <x v="6"/>
    <x v="2"/>
    <x v="0"/>
    <x v="93"/>
    <s v="KEPL/01665/82-83"/>
    <s v="MEGA MART PVT.LTD"/>
    <x v="33"/>
    <n v="4"/>
    <n v="160"/>
    <n v="66.37"/>
    <n v="10619.2"/>
    <n v="0"/>
    <n v="0"/>
    <n v="1380.495449"/>
    <n v="11999.695449000001"/>
  </r>
  <r>
    <x v="8"/>
    <x v="6"/>
    <x v="2"/>
    <x v="0"/>
    <x v="93"/>
    <s v="KEPL/01667/82-83"/>
    <s v="DINESH TRADING HOUSE"/>
    <x v="34"/>
    <n v="1"/>
    <n v="40"/>
    <n v="74.489999999999995"/>
    <n v="2979.6"/>
    <n v="-229.13"/>
    <n v="0"/>
    <n v="357.561035"/>
    <n v="3108.031035"/>
  </r>
  <r>
    <x v="10"/>
    <x v="6"/>
    <x v="2"/>
    <x v="0"/>
    <x v="93"/>
    <s v="KEPL/01667/82-83"/>
    <s v="DINESH TRADING HOUSE"/>
    <x v="49"/>
    <n v="1"/>
    <n v="15"/>
    <n v="260.72000000000003"/>
    <n v="3910.8"/>
    <n v="-300.74"/>
    <n v="0"/>
    <n v="469.30771399999998"/>
    <n v="4079.367714"/>
  </r>
  <r>
    <x v="13"/>
    <x v="6"/>
    <x v="2"/>
    <x v="0"/>
    <x v="93"/>
    <s v="KEPL/01667/82-83"/>
    <s v="DINESH TRADING HOUSE"/>
    <x v="50"/>
    <n v="1"/>
    <n v="240"/>
    <n v="14.9"/>
    <n v="3576"/>
    <n v="-274.99"/>
    <n v="0"/>
    <n v="429.13122199999998"/>
    <n v="3730.1412220000002"/>
  </r>
  <r>
    <x v="16"/>
    <x v="6"/>
    <x v="2"/>
    <x v="0"/>
    <x v="93"/>
    <s v="KEPL/01667/82-83"/>
    <s v="DINESH TRADING HOUSE"/>
    <x v="42"/>
    <n v="2"/>
    <n v="60"/>
    <n v="316.58999999999997"/>
    <n v="18995.399999999998"/>
    <n v="-1460.75"/>
    <n v="0"/>
    <n v="2279.5040839999997"/>
    <n v="19814.154084000002"/>
  </r>
  <r>
    <x v="0"/>
    <x v="6"/>
    <x v="2"/>
    <x v="0"/>
    <x v="93"/>
    <s v="KEPL/01667/82-83"/>
    <s v="DINESH TRADING HOUSE"/>
    <x v="47"/>
    <n v="3"/>
    <n v="120"/>
    <n v="111.74"/>
    <n v="13408.8"/>
    <n v="-1031.1400000000001"/>
    <n v="0"/>
    <n v="1609.0955060000001"/>
    <n v="13986.755506"/>
  </r>
  <r>
    <x v="19"/>
    <x v="6"/>
    <x v="2"/>
    <x v="0"/>
    <x v="93"/>
    <s v="KEPL/01667/82-83"/>
    <s v="DINESH TRADING HOUSE"/>
    <x v="51"/>
    <n v="5"/>
    <n v="250"/>
    <n v="89.39"/>
    <n v="22347.5"/>
    <n v="-1718.52"/>
    <n v="0"/>
    <n v="2681.7669100000003"/>
    <n v="23310.746910000002"/>
  </r>
  <r>
    <x v="1"/>
    <x v="6"/>
    <x v="2"/>
    <x v="0"/>
    <x v="93"/>
    <s v="KEPL/01667/82-83"/>
    <s v="DINESH TRADING HOUSE"/>
    <x v="24"/>
    <n v="1"/>
    <n v="18"/>
    <n v="178.78"/>
    <n v="3218.0400000000004"/>
    <n v="-247.47"/>
    <n v="0"/>
    <n v="386.17402900000002"/>
    <n v="3356.744029"/>
  </r>
  <r>
    <x v="8"/>
    <x v="6"/>
    <x v="2"/>
    <x v="0"/>
    <x v="93"/>
    <s v="KEPL/01667/82-83"/>
    <s v="DINESH TRADING HOUSE"/>
    <x v="33"/>
    <n v="4"/>
    <n v="160"/>
    <n v="74.489999999999995"/>
    <n v="11918.4"/>
    <n v="-916.52"/>
    <n v="0"/>
    <n v="1430.2441389999999"/>
    <n v="12432.124139"/>
  </r>
  <r>
    <x v="10"/>
    <x v="6"/>
    <x v="2"/>
    <x v="0"/>
    <x v="93"/>
    <s v="KEPL/01667/82-83"/>
    <s v="DINESH TRADING HOUSE"/>
    <x v="45"/>
    <n v="1"/>
    <n v="15"/>
    <n v="260.72000000000003"/>
    <n v="3910.8"/>
    <n v="-300.74"/>
    <n v="0"/>
    <n v="469.30771399999998"/>
    <n v="4079.367714"/>
  </r>
  <r>
    <x v="1"/>
    <x v="6"/>
    <x v="2"/>
    <x v="0"/>
    <x v="93"/>
    <s v="KEPL/01667/82-83"/>
    <s v="DINESH TRADING HOUSE"/>
    <x v="2"/>
    <n v="1"/>
    <n v="18"/>
    <n v="178.78"/>
    <n v="3218.0400000000004"/>
    <n v="-247.47"/>
    <n v="0"/>
    <n v="386.17402900000002"/>
    <n v="3356.744029"/>
  </r>
  <r>
    <x v="17"/>
    <x v="6"/>
    <x v="2"/>
    <x v="0"/>
    <x v="93"/>
    <s v="KEPL/01667/82-83"/>
    <s v="DINESH TRADING HOUSE"/>
    <x v="39"/>
    <n v="2"/>
    <n v="40"/>
    <n v="249.55"/>
    <n v="9982"/>
    <n v="-767.62"/>
    <n v="0"/>
    <n v="1197.869181"/>
    <n v="10412.249180999999"/>
  </r>
  <r>
    <x v="20"/>
    <x v="6"/>
    <x v="2"/>
    <x v="0"/>
    <x v="93"/>
    <s v="KEPL/01667/82-83"/>
    <s v="DINESH TRADING HOUSE"/>
    <x v="52"/>
    <n v="10"/>
    <n v="40"/>
    <n v="595.92999999999995"/>
    <n v="23837.200000000001"/>
    <n v="-1833.08"/>
    <n v="0"/>
    <n v="2860.535077"/>
    <n v="24864.655076999999"/>
  </r>
  <r>
    <x v="1"/>
    <x v="6"/>
    <x v="2"/>
    <x v="0"/>
    <x v="93"/>
    <s v="KEPL/01667/82-83"/>
    <s v="DINESH TRADING HOUSE"/>
    <x v="26"/>
    <n v="2"/>
    <n v="36"/>
    <n v="178.78"/>
    <n v="6436.0800000000008"/>
    <n v="-494.93"/>
    <n v="0"/>
    <n v="772.34935900000005"/>
    <n v="6713.4993590000004"/>
  </r>
  <r>
    <x v="19"/>
    <x v="6"/>
    <x v="2"/>
    <x v="0"/>
    <x v="93"/>
    <s v="KEPL/01669/82-83"/>
    <s v="NILLONS L&amp;D"/>
    <x v="51"/>
    <n v="0.04"/>
    <n v="2"/>
    <n v="89.39"/>
    <n v="178.78"/>
    <n v="-13.75"/>
    <n v="0"/>
    <n v="21.45261"/>
    <n v="186.48260999999999"/>
  </r>
  <r>
    <x v="3"/>
    <x v="6"/>
    <x v="2"/>
    <x v="0"/>
    <x v="93"/>
    <s v="KEPL/01669/82-83"/>
    <s v="NILLONS L&amp;D"/>
    <x v="46"/>
    <n v="0.05"/>
    <n v="1"/>
    <n v="175.05"/>
    <n v="175.05"/>
    <n v="-13.46"/>
    <n v="0"/>
    <n v="21.005437000000001"/>
    <n v="182.595437"/>
  </r>
  <r>
    <x v="13"/>
    <x v="6"/>
    <x v="2"/>
    <x v="0"/>
    <x v="93"/>
    <s v="KEPL/01669/82-83"/>
    <s v="NILLONS L&amp;D"/>
    <x v="23"/>
    <n v="0.01"/>
    <n v="5"/>
    <n v="7.45"/>
    <n v="37.25"/>
    <n v="-2.86"/>
    <n v="0"/>
    <n v="4.4704309999999996"/>
    <n v="38.860430999999998"/>
  </r>
  <r>
    <x v="9"/>
    <x v="6"/>
    <x v="2"/>
    <x v="0"/>
    <x v="93"/>
    <s v="KEPL/01669/82-83"/>
    <s v="NILLONS L&amp;D"/>
    <x v="22"/>
    <n v="0.04"/>
    <n v="1"/>
    <n v="204.85"/>
    <n v="204.85"/>
    <n v="-15.75"/>
    <n v="0"/>
    <n v="24.581522"/>
    <n v="213.681522"/>
  </r>
  <r>
    <x v="7"/>
    <x v="6"/>
    <x v="2"/>
    <x v="0"/>
    <x v="94"/>
    <s v="KEPL/01670/82-83"/>
    <s v="SALEWAYS CASH AND CARRY PVT LTD "/>
    <x v="27"/>
    <n v="25"/>
    <n v="1750"/>
    <n v="34.51"/>
    <n v="60392.5"/>
    <n v="0"/>
    <n v="0"/>
    <n v="7851.0248879999999"/>
    <n v="68243.524888"/>
  </r>
  <r>
    <x v="6"/>
    <x v="6"/>
    <x v="2"/>
    <x v="0"/>
    <x v="94"/>
    <s v="KEPL/01670/82-83"/>
    <s v="SALEWAYS CASH AND CARRY PVT LTD "/>
    <x v="28"/>
    <n v="20"/>
    <n v="400"/>
    <n v="189.82"/>
    <n v="75928"/>
    <n v="0"/>
    <n v="0"/>
    <n v="9870.639858999999"/>
    <n v="85798.639859000003"/>
  </r>
  <r>
    <x v="7"/>
    <x v="6"/>
    <x v="2"/>
    <x v="0"/>
    <x v="94"/>
    <s v="KEPL/01670/82-83"/>
    <s v="SALEWAYS CASH AND CARRY PVT LTD "/>
    <x v="12"/>
    <n v="20"/>
    <n v="2600"/>
    <n v="34.51"/>
    <n v="89726"/>
    <n v="0"/>
    <n v="0"/>
    <n v="11664.379833000001"/>
    <n v="101390.379833"/>
  </r>
  <r>
    <x v="6"/>
    <x v="6"/>
    <x v="2"/>
    <x v="0"/>
    <x v="94"/>
    <s v="KEPL/01670/82-83"/>
    <s v="SALEWAYS CASH AND CARRY PVT LTD "/>
    <x v="29"/>
    <n v="20"/>
    <n v="400"/>
    <n v="189.82"/>
    <n v="75928"/>
    <n v="0"/>
    <n v="0"/>
    <n v="9870.639858999999"/>
    <n v="85798.639859000003"/>
  </r>
  <r>
    <x v="11"/>
    <x v="6"/>
    <x v="2"/>
    <x v="0"/>
    <x v="94"/>
    <s v="KEPL/01670/82-83"/>
    <s v="SALEWAYS CASH AND CARRY PVT LTD "/>
    <x v="36"/>
    <n v="15"/>
    <n v="600"/>
    <n v="75.930000000000007"/>
    <n v="45558"/>
    <n v="0"/>
    <n v="0"/>
    <n v="5922.5399150000003"/>
    <n v="51480.539915000001"/>
  </r>
  <r>
    <x v="1"/>
    <x v="6"/>
    <x v="2"/>
    <x v="0"/>
    <x v="94"/>
    <s v="KEPL/01670/82-83"/>
    <s v="SALEWAYS CASH AND CARRY PVT LTD "/>
    <x v="24"/>
    <n v="5"/>
    <n v="90"/>
    <n v="165.66"/>
    <n v="14909.4"/>
    <n v="0"/>
    <n v="0"/>
    <n v="1938.2219719999998"/>
    <n v="16847.621972000001"/>
  </r>
  <r>
    <x v="20"/>
    <x v="6"/>
    <x v="2"/>
    <x v="0"/>
    <x v="94"/>
    <s v="KEPL/01670/82-83"/>
    <s v="SALEWAYS CASH AND CARRY PVT LTD "/>
    <x v="52"/>
    <n v="20"/>
    <n v="80"/>
    <n v="552.21"/>
    <n v="44176.799999999996"/>
    <n v="0"/>
    <n v="0"/>
    <n v="5742.9839179999999"/>
    <n v="49919.783918000001"/>
  </r>
  <r>
    <x v="17"/>
    <x v="6"/>
    <x v="2"/>
    <x v="0"/>
    <x v="94"/>
    <s v="KEPL/01670/82-83"/>
    <s v="SALEWAYS CASH AND CARRY PVT LTD "/>
    <x v="39"/>
    <n v="15"/>
    <n v="300"/>
    <n v="231.24"/>
    <n v="69372"/>
    <n v="0"/>
    <n v="0"/>
    <n v="9018.3598710000006"/>
    <n v="78390.359870999993"/>
  </r>
  <r>
    <x v="14"/>
    <x v="6"/>
    <x v="2"/>
    <x v="0"/>
    <x v="94"/>
    <s v="KEPL/01670/82-83"/>
    <s v="SALEWAYS CASH AND CARRY PVT LTD "/>
    <x v="31"/>
    <n v="10"/>
    <n v="600"/>
    <n v="103.54"/>
    <n v="62124"/>
    <n v="0"/>
    <n v="0"/>
    <n v="8076.1198850000001"/>
    <n v="70200.119884999993"/>
  </r>
  <r>
    <x v="15"/>
    <x v="6"/>
    <x v="2"/>
    <x v="0"/>
    <x v="94"/>
    <s v="KEPL/01671/82-83"/>
    <s v="SALEWAYS CASH AND CARRY PVT LTD "/>
    <x v="32"/>
    <n v="10"/>
    <n v="600"/>
    <n v="103.54"/>
    <n v="62124"/>
    <n v="0"/>
    <n v="0"/>
    <n v="8076.1199169999991"/>
    <n v="70200.119917000004"/>
  </r>
  <r>
    <x v="16"/>
    <x v="6"/>
    <x v="2"/>
    <x v="0"/>
    <x v="94"/>
    <s v="KEPL/01671/82-83"/>
    <s v="SALEWAYS CASH AND CARRY PVT LTD "/>
    <x v="42"/>
    <n v="10"/>
    <n v="300"/>
    <n v="293.36"/>
    <n v="88008"/>
    <n v="0"/>
    <n v="0"/>
    <n v="11441.039882000001"/>
    <n v="99449.039881999997"/>
  </r>
  <r>
    <x v="18"/>
    <x v="6"/>
    <x v="2"/>
    <x v="0"/>
    <x v="94"/>
    <s v="KEPL/01671/82-83"/>
    <s v="SALEWAYS CASH AND CARRY PVT LTD "/>
    <x v="43"/>
    <n v="10"/>
    <n v="600"/>
    <n v="103.54"/>
    <n v="62124"/>
    <n v="0"/>
    <n v="0"/>
    <n v="8076.1199169999991"/>
    <n v="70200.119917000004"/>
  </r>
  <r>
    <x v="9"/>
    <x v="6"/>
    <x v="2"/>
    <x v="0"/>
    <x v="94"/>
    <s v="KEPL/01671/82-83"/>
    <s v="SALEWAYS CASH AND CARRY PVT LTD "/>
    <x v="44"/>
    <n v="25"/>
    <n v="600"/>
    <n v="172.57"/>
    <n v="103542"/>
    <n v="0"/>
    <n v="0"/>
    <n v="13460.459860999999"/>
    <n v="117002.459861"/>
  </r>
  <r>
    <x v="10"/>
    <x v="6"/>
    <x v="2"/>
    <x v="0"/>
    <x v="94"/>
    <s v="KEPL/01671/82-83"/>
    <s v="SALEWAYS CASH AND CARRY PVT LTD "/>
    <x v="49"/>
    <n v="15"/>
    <n v="225"/>
    <n v="241.59"/>
    <n v="54357.749999999993"/>
    <n v="0"/>
    <n v="0"/>
    <n v="7066.5074270000005"/>
    <n v="61424.257426999997"/>
  </r>
  <r>
    <x v="8"/>
    <x v="6"/>
    <x v="2"/>
    <x v="0"/>
    <x v="94"/>
    <s v="KEPL/01671/82-83"/>
    <s v="SALEWAYS CASH AND CARRY PVT LTD "/>
    <x v="34"/>
    <n v="5"/>
    <n v="200"/>
    <n v="69.03"/>
    <n v="13806"/>
    <n v="0"/>
    <n v="0"/>
    <n v="1794.7799809999999"/>
    <n v="15600.779981"/>
  </r>
  <r>
    <x v="0"/>
    <x v="6"/>
    <x v="2"/>
    <x v="0"/>
    <x v="94"/>
    <s v="KEPL/01671/82-83"/>
    <s v="SALEWAYS CASH AND CARRY PVT LTD "/>
    <x v="58"/>
    <n v="5"/>
    <n v="200"/>
    <n v="103.54"/>
    <n v="20708"/>
    <n v="0"/>
    <n v="0"/>
    <n v="2692.039972"/>
    <n v="23400.039971999999"/>
  </r>
  <r>
    <x v="16"/>
    <x v="6"/>
    <x v="2"/>
    <x v="0"/>
    <x v="94"/>
    <s v="KEPL/01671/82-83"/>
    <s v="SALEWAYS CASH AND CARRY PVT LTD "/>
    <x v="35"/>
    <n v="10"/>
    <n v="600"/>
    <n v="134.6"/>
    <n v="80760"/>
    <n v="0"/>
    <n v="0"/>
    <n v="10498.799892000001"/>
    <n v="91258.799891999995"/>
  </r>
  <r>
    <x v="0"/>
    <x v="6"/>
    <x v="2"/>
    <x v="0"/>
    <x v="94"/>
    <s v="KEPL/01671/82-83"/>
    <s v="SALEWAYS CASH AND CARRY PVT LTD "/>
    <x v="47"/>
    <n v="10"/>
    <n v="400"/>
    <n v="103.54"/>
    <n v="41416"/>
    <n v="0"/>
    <n v="0"/>
    <n v="5384.0799440000001"/>
    <n v="46800.079943999997"/>
  </r>
  <r>
    <x v="11"/>
    <x v="6"/>
    <x v="2"/>
    <x v="0"/>
    <x v="94"/>
    <s v="KEPL/01671/82-83"/>
    <s v="SALEWAYS CASH AND CARRY PVT LTD "/>
    <x v="53"/>
    <n v="20"/>
    <n v="800"/>
    <n v="75.930000000000007"/>
    <n v="60744"/>
    <n v="0"/>
    <n v="0"/>
    <n v="7896.7199190000001"/>
    <n v="68640.719918999996"/>
  </r>
  <r>
    <x v="8"/>
    <x v="6"/>
    <x v="2"/>
    <x v="0"/>
    <x v="94"/>
    <s v="KEPL/01671/82-83"/>
    <s v="SALEWAYS CASH AND CARRY PVT LTD "/>
    <x v="33"/>
    <n v="15"/>
    <n v="600"/>
    <n v="69.03"/>
    <n v="41418"/>
    <n v="0"/>
    <n v="0"/>
    <n v="5384.3399439999994"/>
    <n v="46802.339943999999"/>
  </r>
  <r>
    <x v="10"/>
    <x v="6"/>
    <x v="2"/>
    <x v="0"/>
    <x v="94"/>
    <s v="KEPL/01671/82-83"/>
    <s v="SALEWAYS CASH AND CARRY PVT LTD "/>
    <x v="45"/>
    <n v="15"/>
    <n v="225"/>
    <n v="241.59"/>
    <n v="54357.749999999993"/>
    <n v="0"/>
    <n v="0"/>
    <n v="7066.5074270000005"/>
    <n v="61424.257426999997"/>
  </r>
  <r>
    <x v="9"/>
    <x v="6"/>
    <x v="2"/>
    <x v="0"/>
    <x v="94"/>
    <s v="KEPL/01671/82-83"/>
    <s v="SALEWAYS CASH AND CARRY PVT LTD "/>
    <x v="38"/>
    <n v="15"/>
    <n v="360"/>
    <n v="172.57"/>
    <n v="62125.2"/>
    <n v="0"/>
    <n v="0"/>
    <n v="8076.2759169999999"/>
    <n v="70201.475917000003"/>
  </r>
  <r>
    <x v="11"/>
    <x v="6"/>
    <x v="2"/>
    <x v="0"/>
    <x v="94"/>
    <s v="KEPL/01676/82-83"/>
    <s v="EMERALD TRADE LINK"/>
    <x v="36"/>
    <n v="1"/>
    <n v="40"/>
    <n v="81.94"/>
    <n v="3277.6"/>
    <n v="-252.05"/>
    <n v="0"/>
    <n v="393.32165399999997"/>
    <n v="3418.871654"/>
  </r>
  <r>
    <x v="13"/>
    <x v="6"/>
    <x v="2"/>
    <x v="0"/>
    <x v="94"/>
    <s v="KEPL/01676/82-83"/>
    <s v="EMERALD TRADE LINK"/>
    <x v="21"/>
    <n v="1"/>
    <n v="240"/>
    <n v="14.9"/>
    <n v="3576"/>
    <n v="-274.99"/>
    <n v="0"/>
    <n v="429.13146800000004"/>
    <n v="3730.1414679999998"/>
  </r>
  <r>
    <x v="13"/>
    <x v="6"/>
    <x v="2"/>
    <x v="0"/>
    <x v="94"/>
    <s v="KEPL/01676/82-83"/>
    <s v="EMERALD TRADE LINK"/>
    <x v="40"/>
    <n v="1"/>
    <n v="600"/>
    <n v="7.46"/>
    <n v="4476"/>
    <n v="-344.2"/>
    <n v="0"/>
    <n v="537.13420999999994"/>
    <n v="4668.9342100000003"/>
  </r>
  <r>
    <x v="13"/>
    <x v="6"/>
    <x v="2"/>
    <x v="0"/>
    <x v="94"/>
    <s v="KEPL/01676/82-83"/>
    <s v="EMERALD TRADE LINK"/>
    <x v="50"/>
    <n v="1"/>
    <n v="239"/>
    <n v="14.9"/>
    <n v="3561.1"/>
    <n v="-273.85000000000002"/>
    <n v="0"/>
    <n v="427.34266700000001"/>
    <n v="3714.5926669999999"/>
  </r>
  <r>
    <x v="3"/>
    <x v="6"/>
    <x v="2"/>
    <x v="0"/>
    <x v="94"/>
    <s v="KEPL/01680/82-83"/>
    <s v="WELSON TRADE &amp; RASAN MART"/>
    <x v="55"/>
    <n v="1"/>
    <n v="20"/>
    <n v="175.05"/>
    <n v="3500.9999999999995"/>
    <n v="-269.23"/>
    <n v="0"/>
    <n v="420.12975899999998"/>
    <n v="3651.8997589999999"/>
  </r>
  <r>
    <x v="6"/>
    <x v="6"/>
    <x v="2"/>
    <x v="0"/>
    <x v="94"/>
    <s v="KEPL/01680/82-83"/>
    <s v="WELSON TRADE &amp; RASAN MART"/>
    <x v="29"/>
    <n v="1"/>
    <n v="20"/>
    <n v="204.85"/>
    <n v="4097"/>
    <n v="-315.06"/>
    <n v="0"/>
    <n v="491.65180100000003"/>
    <n v="4273.5918009999996"/>
  </r>
  <r>
    <x v="8"/>
    <x v="6"/>
    <x v="2"/>
    <x v="0"/>
    <x v="94"/>
    <s v="KEPL/01680/82-83"/>
    <s v="WELSON TRADE &amp; RASAN MART"/>
    <x v="33"/>
    <n v="1"/>
    <n v="40"/>
    <n v="74.489999999999995"/>
    <n v="2979.6"/>
    <n v="-229.13"/>
    <n v="0"/>
    <n v="357.56081"/>
    <n v="3108.0308100000002"/>
  </r>
  <r>
    <x v="6"/>
    <x v="6"/>
    <x v="2"/>
    <x v="0"/>
    <x v="94"/>
    <s v="KEPL/01680/82-83"/>
    <s v="WELSON TRADE &amp; RASAN MART"/>
    <x v="28"/>
    <n v="1"/>
    <n v="20"/>
    <n v="204.85"/>
    <n v="4097"/>
    <n v="-315.06"/>
    <n v="0"/>
    <n v="491.65180100000003"/>
    <n v="4273.5918009999996"/>
  </r>
  <r>
    <x v="0"/>
    <x v="6"/>
    <x v="2"/>
    <x v="0"/>
    <x v="94"/>
    <s v="KEPL/01680/82-83"/>
    <s v="WELSON TRADE &amp; RASAN MART"/>
    <x v="47"/>
    <n v="3"/>
    <n v="120"/>
    <n v="111.74"/>
    <n v="13408.8"/>
    <n v="-1031.1400000000001"/>
    <n v="0"/>
    <n v="1609.0944930000001"/>
    <n v="13986.754493"/>
  </r>
  <r>
    <x v="8"/>
    <x v="6"/>
    <x v="2"/>
    <x v="0"/>
    <x v="94"/>
    <s v="KEPL/01680/82-83"/>
    <s v="WELSON TRADE &amp; RASAN MART"/>
    <x v="34"/>
    <n v="1"/>
    <n v="40"/>
    <n v="74.489999999999995"/>
    <n v="2979.6"/>
    <n v="-229.13"/>
    <n v="0"/>
    <n v="357.56081"/>
    <n v="3108.0308100000002"/>
  </r>
  <r>
    <x v="0"/>
    <x v="6"/>
    <x v="2"/>
    <x v="0"/>
    <x v="94"/>
    <s v="KEPL/01680/82-83"/>
    <s v="WELSON TRADE &amp; RASAN MART"/>
    <x v="58"/>
    <n v="2"/>
    <n v="80"/>
    <n v="111.74"/>
    <n v="8939.2000000000007"/>
    <n v="-687.42"/>
    <n v="0"/>
    <n v="1072.730528"/>
    <n v="9324.5105280000007"/>
  </r>
  <r>
    <x v="20"/>
    <x v="6"/>
    <x v="2"/>
    <x v="0"/>
    <x v="94"/>
    <s v="KEPL/01681/82-83"/>
    <s v="EMERALD TRADE LINK"/>
    <x v="52"/>
    <n v="5"/>
    <n v="20"/>
    <n v="595.92999999999995"/>
    <n v="11918.6"/>
    <n v="-916.54"/>
    <n v="0"/>
    <n v="1430.27"/>
    <n v="12432.33"/>
  </r>
  <r>
    <x v="11"/>
    <x v="6"/>
    <x v="2"/>
    <x v="0"/>
    <x v="94"/>
    <s v="KEPL/01682/82-83"/>
    <s v="SHUBHASHREE MARKETING"/>
    <x v="36"/>
    <n v="2"/>
    <n v="80"/>
    <n v="81.94"/>
    <n v="6555.2"/>
    <n v="-504.09"/>
    <n v="0"/>
    <n v="786.64487100000008"/>
    <n v="6837.7548710000001"/>
  </r>
  <r>
    <x v="15"/>
    <x v="6"/>
    <x v="2"/>
    <x v="0"/>
    <x v="94"/>
    <s v="KEPL/01682/82-83"/>
    <s v="SHUBHASHREE MARKETING"/>
    <x v="32"/>
    <n v="2"/>
    <n v="120"/>
    <n v="111.74"/>
    <n v="13408.8"/>
    <n v="-1031.1400000000001"/>
    <n v="0"/>
    <n v="1609.0969689999999"/>
    <n v="13986.756969"/>
  </r>
  <r>
    <x v="19"/>
    <x v="6"/>
    <x v="2"/>
    <x v="0"/>
    <x v="94"/>
    <s v="KEPL/01682/82-83"/>
    <s v="SHUBHASHREE MARKETING"/>
    <x v="51"/>
    <n v="5"/>
    <n v="250"/>
    <n v="89.39"/>
    <n v="22347.5"/>
    <n v="-1718.52"/>
    <n v="0"/>
    <n v="2681.7693480000003"/>
    <n v="23310.749348000001"/>
  </r>
  <r>
    <x v="13"/>
    <x v="6"/>
    <x v="2"/>
    <x v="0"/>
    <x v="94"/>
    <s v="KEPL/01682/82-83"/>
    <s v="SHUBHASHREE MARKETING"/>
    <x v="40"/>
    <n v="1"/>
    <n v="600"/>
    <n v="7.46"/>
    <n v="4476"/>
    <n v="-344.2"/>
    <n v="0"/>
    <n v="537.13438999999994"/>
    <n v="4668.9343900000003"/>
  </r>
  <r>
    <x v="13"/>
    <x v="6"/>
    <x v="2"/>
    <x v="0"/>
    <x v="94"/>
    <s v="KEPL/01682/82-83"/>
    <s v="SHUBHASHREE MARKETING"/>
    <x v="21"/>
    <n v="2"/>
    <n v="479"/>
    <n v="14.9"/>
    <n v="7137.1"/>
    <n v="-548.84"/>
    <n v="0"/>
    <n v="856.474422"/>
    <n v="7444.7344220000004"/>
  </r>
  <r>
    <x v="1"/>
    <x v="6"/>
    <x v="2"/>
    <x v="0"/>
    <x v="94"/>
    <s v="KEPL/01683/82-83"/>
    <s v="NAWA ATITHI STORES"/>
    <x v="24"/>
    <n v="1"/>
    <n v="18"/>
    <n v="178.78"/>
    <n v="3218.0400000000004"/>
    <n v="-247.47"/>
    <n v="0"/>
    <n v="386.17392799999999"/>
    <n v="3356.7439279999999"/>
  </r>
  <r>
    <x v="11"/>
    <x v="6"/>
    <x v="2"/>
    <x v="0"/>
    <x v="94"/>
    <s v="KEPL/01683/82-83"/>
    <s v="NAWA ATITHI STORES"/>
    <x v="36"/>
    <n v="2"/>
    <n v="80"/>
    <n v="81.94"/>
    <n v="6555.2"/>
    <n v="-504.09"/>
    <n v="0"/>
    <n v="786.64395100000002"/>
    <n v="6837.7539509999997"/>
  </r>
  <r>
    <x v="8"/>
    <x v="6"/>
    <x v="2"/>
    <x v="0"/>
    <x v="94"/>
    <s v="KEPL/01683/82-83"/>
    <s v="NAWA ATITHI STORES"/>
    <x v="56"/>
    <n v="2"/>
    <n v="1600"/>
    <n v="7.45"/>
    <n v="11927.98"/>
    <n v="-917.26"/>
    <n v="0"/>
    <n v="1431.3929639999999"/>
    <n v="12442.112964"/>
  </r>
  <r>
    <x v="1"/>
    <x v="6"/>
    <x v="2"/>
    <x v="0"/>
    <x v="94"/>
    <s v="KEPL/01683/82-83"/>
    <s v="NAWA ATITHI STORES"/>
    <x v="26"/>
    <n v="2"/>
    <n v="36"/>
    <n v="178.78"/>
    <n v="6436.0800000000008"/>
    <n v="-494.93"/>
    <n v="0"/>
    <n v="772.34915699999999"/>
    <n v="6713.4991570000002"/>
  </r>
  <r>
    <x v="17"/>
    <x v="6"/>
    <x v="2"/>
    <x v="0"/>
    <x v="94"/>
    <s v="KEPL/01710/82-83"/>
    <s v="KRISHMA ENTERPRISES"/>
    <x v="39"/>
    <n v="5"/>
    <n v="100"/>
    <n v="249.55"/>
    <n v="24955"/>
    <n v="-1919.04"/>
    <n v="0"/>
    <n v="2994.6745599999999"/>
    <n v="26030.634559999999"/>
  </r>
  <r>
    <x v="7"/>
    <x v="6"/>
    <x v="2"/>
    <x v="0"/>
    <x v="94"/>
    <s v="KEPL/01710/82-83"/>
    <s v="KRISHMA ENTERPRISES"/>
    <x v="27"/>
    <n v="50"/>
    <n v="3500"/>
    <n v="37.25"/>
    <n v="130375"/>
    <n v="-10025.84"/>
    <n v="0"/>
    <n v="15645.389546"/>
    <n v="135994.54954599999"/>
  </r>
  <r>
    <x v="10"/>
    <x v="6"/>
    <x v="2"/>
    <x v="0"/>
    <x v="94"/>
    <s v="KEPL/01710/82-83"/>
    <s v="KRISHMA ENTERPRISES"/>
    <x v="45"/>
    <n v="5"/>
    <n v="75"/>
    <n v="260.72000000000003"/>
    <n v="19554"/>
    <n v="-1503.6999999999998"/>
    <n v="0"/>
    <n v="2346.5388120000002"/>
    <n v="20396.838812000002"/>
  </r>
  <r>
    <x v="10"/>
    <x v="6"/>
    <x v="2"/>
    <x v="0"/>
    <x v="94"/>
    <s v="KEPL/01710/82-83"/>
    <s v="KRISHMA ENTERPRISES"/>
    <x v="49"/>
    <n v="5"/>
    <n v="75"/>
    <n v="260.72000000000003"/>
    <n v="19554"/>
    <n v="-1503.6999999999998"/>
    <n v="0"/>
    <n v="2346.5388120000002"/>
    <n v="20396.838812000002"/>
  </r>
  <r>
    <x v="3"/>
    <x v="6"/>
    <x v="2"/>
    <x v="0"/>
    <x v="94"/>
    <s v="KEPL/01710/82-83"/>
    <s v="KRISHMA ENTERPRISES"/>
    <x v="46"/>
    <n v="3"/>
    <n v="60"/>
    <n v="175.05"/>
    <n v="10503"/>
    <n v="-807.68"/>
    <n v="0"/>
    <n v="1260.3914990000001"/>
    <n v="10955.711498999999"/>
  </r>
  <r>
    <x v="0"/>
    <x v="6"/>
    <x v="2"/>
    <x v="0"/>
    <x v="94"/>
    <s v="KEPL/01710/82-83"/>
    <s v="KRISHMA ENTERPRISES"/>
    <x v="47"/>
    <n v="5"/>
    <n v="200"/>
    <n v="111.74"/>
    <n v="22348"/>
    <n v="-1718.56"/>
    <n v="0"/>
    <n v="2681.8269850000001"/>
    <n v="23311.266984999998"/>
  </r>
  <r>
    <x v="3"/>
    <x v="6"/>
    <x v="2"/>
    <x v="0"/>
    <x v="94"/>
    <s v="KEPL/01710/82-83"/>
    <s v="KRISHMA ENTERPRISES"/>
    <x v="55"/>
    <n v="5"/>
    <n v="100"/>
    <n v="175.05"/>
    <n v="17505"/>
    <n v="-1346.1299999999999"/>
    <n v="0"/>
    <n v="2100.652932"/>
    <n v="18259.522932"/>
  </r>
  <r>
    <x v="20"/>
    <x v="6"/>
    <x v="2"/>
    <x v="0"/>
    <x v="94"/>
    <s v="KEPL/01710/82-83"/>
    <s v="KRISHMA ENTERPRISES"/>
    <x v="52"/>
    <n v="50"/>
    <n v="200"/>
    <n v="595.92999999999995"/>
    <n v="119186"/>
    <n v="-9165.4"/>
    <n v="0"/>
    <n v="14302.676853999999"/>
    <n v="124323.276854"/>
  </r>
  <r>
    <x v="20"/>
    <x v="6"/>
    <x v="2"/>
    <x v="0"/>
    <x v="94"/>
    <s v="KEPL/01717/82-83"/>
    <s v="B AND B SUPPLIERS-LEKHNATH"/>
    <x v="52"/>
    <n v="3"/>
    <n v="12"/>
    <n v="595.92999999999995"/>
    <n v="7151.16"/>
    <n v="-549.91999999999996"/>
    <n v="0"/>
    <n v="858.16147099999989"/>
    <n v="7459.4014710000001"/>
  </r>
  <r>
    <x v="10"/>
    <x v="6"/>
    <x v="2"/>
    <x v="0"/>
    <x v="94"/>
    <s v="KEPL/01717/82-83"/>
    <s v="B AND B SUPPLIERS-LEKHNATH"/>
    <x v="45"/>
    <n v="2"/>
    <n v="30"/>
    <n v="260.72000000000003"/>
    <n v="7821.6"/>
    <n v="-601.48"/>
    <n v="0"/>
    <n v="938.61589700000002"/>
    <n v="8158.7358969999996"/>
  </r>
  <r>
    <x v="7"/>
    <x v="6"/>
    <x v="2"/>
    <x v="0"/>
    <x v="94"/>
    <s v="KEPL/01717/82-83"/>
    <s v="B AND B SUPPLIERS-LEKHNATH"/>
    <x v="27"/>
    <n v="3"/>
    <n v="210"/>
    <n v="37.25"/>
    <n v="7822.5"/>
    <n v="-601.55000000000007"/>
    <n v="0"/>
    <n v="938.72379699999999"/>
    <n v="8159.6737970000004"/>
  </r>
  <r>
    <x v="7"/>
    <x v="6"/>
    <x v="2"/>
    <x v="0"/>
    <x v="94"/>
    <s v="KEPL/01717/82-83"/>
    <s v="B AND B SUPPLIERS-LEKHNATH"/>
    <x v="12"/>
    <n v="1"/>
    <n v="130"/>
    <n v="37.25"/>
    <n v="4842.5"/>
    <n v="-372.39"/>
    <n v="0"/>
    <n v="581.11448399999995"/>
    <n v="5051.2244840000003"/>
  </r>
  <r>
    <x v="8"/>
    <x v="6"/>
    <x v="2"/>
    <x v="0"/>
    <x v="94"/>
    <s v="KEPL/01717/82-83"/>
    <s v="B AND B SUPPLIERS-LEKHNATH"/>
    <x v="33"/>
    <n v="3"/>
    <n v="120"/>
    <n v="74.489999999999995"/>
    <n v="8938.8000000000011"/>
    <n v="-687.3900000000001"/>
    <n v="0"/>
    <n v="1072.6836390000001"/>
    <n v="9324.0936390000006"/>
  </r>
  <r>
    <x v="11"/>
    <x v="6"/>
    <x v="2"/>
    <x v="0"/>
    <x v="94"/>
    <s v="KEPL/01717/82-83"/>
    <s v="B AND B SUPPLIERS-LEKHNATH"/>
    <x v="36"/>
    <n v="2"/>
    <n v="80"/>
    <n v="81.94"/>
    <n v="6555.2"/>
    <n v="-504.09"/>
    <n v="0"/>
    <n v="786.6445490000001"/>
    <n v="6837.7545490000002"/>
  </r>
  <r>
    <x v="9"/>
    <x v="6"/>
    <x v="2"/>
    <x v="0"/>
    <x v="94"/>
    <s v="KEPL/01717/82-83"/>
    <s v="B AND B SUPPLIERS-LEKHNATH"/>
    <x v="44"/>
    <n v="2"/>
    <n v="48"/>
    <n v="186.23"/>
    <n v="8939.0400000000009"/>
    <n v="-687.41"/>
    <n v="0"/>
    <n v="1072.712239"/>
    <n v="9324.3422389999996"/>
  </r>
  <r>
    <x v="8"/>
    <x v="6"/>
    <x v="2"/>
    <x v="0"/>
    <x v="94"/>
    <s v="KEPL/01717/82-83"/>
    <s v="B AND B SUPPLIERS-LEKHNATH"/>
    <x v="56"/>
    <n v="1"/>
    <n v="800"/>
    <n v="7.46"/>
    <n v="5968"/>
    <n v="-458.94"/>
    <n v="0"/>
    <n v="716.17802700000004"/>
    <n v="6225.2380270000003"/>
  </r>
  <r>
    <x v="10"/>
    <x v="6"/>
    <x v="2"/>
    <x v="0"/>
    <x v="94"/>
    <s v="KEPL/01717/82-83"/>
    <s v="B AND B SUPPLIERS-LEKHNATH"/>
    <x v="49"/>
    <n v="2"/>
    <n v="30"/>
    <n v="260.72000000000003"/>
    <n v="7821.6"/>
    <n v="-601.48"/>
    <n v="0"/>
    <n v="938.61589700000002"/>
    <n v="8158.7358969999996"/>
  </r>
  <r>
    <x v="18"/>
    <x v="7"/>
    <x v="3"/>
    <x v="0"/>
    <x v="95"/>
    <s v="KEPL/01775/82-83"/>
    <s v="SHREE BHOLEY SHANKAR KIRANA STORE"/>
    <x v="43"/>
    <n v="1"/>
    <n v="60"/>
    <n v="111.74"/>
    <n v="6704.4"/>
    <n v="-515.57000000000005"/>
    <n v="0"/>
    <n v="804.55000000000007"/>
    <n v="6993.38"/>
  </r>
  <r>
    <x v="15"/>
    <x v="7"/>
    <x v="3"/>
    <x v="0"/>
    <x v="95"/>
    <s v="KEPL/01775/82-83"/>
    <s v="SHREE BHOLEY SHANKAR KIRANA STORE"/>
    <x v="32"/>
    <n v="1"/>
    <n v="60"/>
    <n v="111.74"/>
    <n v="6704.4"/>
    <n v="-515.57000000000005"/>
    <n v="0"/>
    <n v="804.55000000000007"/>
    <n v="6993.38"/>
  </r>
  <r>
    <x v="6"/>
    <x v="7"/>
    <x v="3"/>
    <x v="0"/>
    <x v="96"/>
    <s v="KEPL/01781/82-83"/>
    <s v="SIMPEX SOLUTION PVT. LTD"/>
    <x v="28"/>
    <n v="0.25"/>
    <n v="5"/>
    <n v="194.69"/>
    <n v="973.44999999999993"/>
    <n v="0"/>
    <n v="0"/>
    <n v="126.54921400000001"/>
    <n v="1099.9992139999999"/>
  </r>
  <r>
    <x v="16"/>
    <x v="7"/>
    <x v="3"/>
    <x v="0"/>
    <x v="96"/>
    <s v="KEPL/01781/82-83"/>
    <s v="SIMPEX SOLUTION PVT. LTD"/>
    <x v="35"/>
    <n v="0.08"/>
    <n v="5"/>
    <n v="138.05000000000001"/>
    <n v="690.24999999999989"/>
    <n v="0"/>
    <n v="0"/>
    <n v="89.733006000000003"/>
    <n v="779.98300600000005"/>
  </r>
  <r>
    <x v="0"/>
    <x v="7"/>
    <x v="3"/>
    <x v="0"/>
    <x v="96"/>
    <s v="KEPL/01781/82-83"/>
    <s v="SIMPEX SOLUTION PVT. LTD"/>
    <x v="47"/>
    <n v="0.25"/>
    <n v="10"/>
    <n v="106.19"/>
    <n v="1061.9000000000001"/>
    <n v="0"/>
    <n v="0"/>
    <n v="138.04777899999999"/>
    <n v="1199.9477790000001"/>
  </r>
  <r>
    <x v="0"/>
    <x v="7"/>
    <x v="3"/>
    <x v="0"/>
    <x v="96"/>
    <s v="KEPL/01782/82-83"/>
    <s v="B AND B SUPPLIERS-LEKHNATH"/>
    <x v="57"/>
    <n v="1.83"/>
    <n v="73"/>
    <n v="103.15"/>
    <n v="7529.95"/>
    <n v="0"/>
    <n v="0"/>
    <n v="978.89401199999998"/>
    <n v="8508.8440119999996"/>
  </r>
  <r>
    <x v="0"/>
    <x v="7"/>
    <x v="3"/>
    <x v="0"/>
    <x v="96"/>
    <s v="KEPL/01782/82-83"/>
    <s v="B AND B SUPPLIERS-LEKHNATH"/>
    <x v="47"/>
    <n v="3.85"/>
    <n v="154"/>
    <n v="103.15"/>
    <n v="15885.1"/>
    <n v="0"/>
    <n v="0"/>
    <n v="2065.0640790000002"/>
    <n v="17950.164078999998"/>
  </r>
  <r>
    <x v="10"/>
    <x v="7"/>
    <x v="3"/>
    <x v="0"/>
    <x v="96"/>
    <s v="KEPL/01782/82-83"/>
    <s v="B AND B SUPPLIERS-LEKHNATH"/>
    <x v="49"/>
    <n v="0.73"/>
    <n v="11"/>
    <n v="240.67"/>
    <n v="2647.37"/>
    <n v="0"/>
    <n v="0"/>
    <n v="344.15827999999999"/>
    <n v="2991.52828"/>
  </r>
  <r>
    <x v="16"/>
    <x v="7"/>
    <x v="3"/>
    <x v="0"/>
    <x v="96"/>
    <s v="KEPL/01782/82-83"/>
    <s v="B AND B SUPPLIERS-LEKHNATH"/>
    <x v="35"/>
    <n v="0.55000000000000004"/>
    <n v="33"/>
    <n v="134.08000000000001"/>
    <n v="4424.6400000000003"/>
    <n v="0"/>
    <n v="0"/>
    <n v="575.20350099999996"/>
    <n v="4999.8435010000003"/>
  </r>
  <r>
    <x v="10"/>
    <x v="7"/>
    <x v="3"/>
    <x v="0"/>
    <x v="96"/>
    <s v="KEPL/01782/82-83"/>
    <s v="B AND B SUPPLIERS-LEKHNATH"/>
    <x v="45"/>
    <n v="0.87"/>
    <n v="13"/>
    <n v="240.67"/>
    <n v="3128.71"/>
    <n v="0"/>
    <n v="0"/>
    <n v="406.73251299999998"/>
    <n v="3535.442513"/>
  </r>
  <r>
    <x v="11"/>
    <x v="7"/>
    <x v="3"/>
    <x v="0"/>
    <x v="96"/>
    <s v="KEPL/01782/82-83"/>
    <s v="B AND B SUPPLIERS-LEKHNATH"/>
    <x v="53"/>
    <n v="0.68"/>
    <n v="27"/>
    <n v="75.64"/>
    <n v="2042.28"/>
    <n v="0"/>
    <n v="0"/>
    <n v="265.49653899999998"/>
    <n v="2307.776539"/>
  </r>
  <r>
    <x v="0"/>
    <x v="7"/>
    <x v="3"/>
    <x v="0"/>
    <x v="96"/>
    <s v="KEPL/01782/82-83"/>
    <s v="B AND B SUPPLIERS-LEKHNATH"/>
    <x v="58"/>
    <n v="1.93"/>
    <n v="77"/>
    <n v="103.15"/>
    <n v="7942.55"/>
    <n v="0"/>
    <n v="0"/>
    <n v="1032.5320400000001"/>
    <n v="8975.0820399999993"/>
  </r>
  <r>
    <x v="7"/>
    <x v="7"/>
    <x v="3"/>
    <x v="0"/>
    <x v="96"/>
    <s v="KEPL/01782/82-83"/>
    <s v="B AND B SUPPLIERS-LEKHNATH"/>
    <x v="12"/>
    <n v="0.78"/>
    <n v="102"/>
    <n v="34.380000000000003"/>
    <n v="3506.7599999999998"/>
    <n v="0"/>
    <n v="0"/>
    <n v="455.87903799999998"/>
    <n v="3962.6390379999998"/>
  </r>
  <r>
    <x v="0"/>
    <x v="7"/>
    <x v="3"/>
    <x v="0"/>
    <x v="96"/>
    <s v="KESR/0043/82-83"/>
    <s v="P and B Traders"/>
    <x v="58"/>
    <n v="-1.93"/>
    <n v="-77"/>
    <n v="103.15"/>
    <n v="-7942.55"/>
    <n v="0"/>
    <n v="0"/>
    <n v="-1032.5320400000001"/>
    <n v="-8975.0820399999993"/>
  </r>
  <r>
    <x v="11"/>
    <x v="7"/>
    <x v="3"/>
    <x v="0"/>
    <x v="96"/>
    <s v="KESR/0043/82-83"/>
    <s v="P and B Traders"/>
    <x v="53"/>
    <n v="-0.68"/>
    <n v="-27"/>
    <n v="75.64"/>
    <n v="-2042.28"/>
    <n v="0"/>
    <n v="0"/>
    <n v="-265.49653899999998"/>
    <n v="-2307.776539"/>
  </r>
  <r>
    <x v="7"/>
    <x v="7"/>
    <x v="3"/>
    <x v="0"/>
    <x v="96"/>
    <s v="KESR/0043/82-83"/>
    <s v="P and B Traders"/>
    <x v="12"/>
    <n v="-0.78"/>
    <n v="-102"/>
    <n v="34.380000000000003"/>
    <n v="-3506.7599999999998"/>
    <n v="0"/>
    <n v="0"/>
    <n v="-455.87903799999998"/>
    <n v="-3962.6390379999998"/>
  </r>
  <r>
    <x v="16"/>
    <x v="7"/>
    <x v="3"/>
    <x v="0"/>
    <x v="96"/>
    <s v="KESR/0043/82-83"/>
    <s v="P and B Traders"/>
    <x v="35"/>
    <n v="-0.55000000000000004"/>
    <n v="-33"/>
    <n v="134.08000000000001"/>
    <n v="-4424.6400000000003"/>
    <n v="0"/>
    <n v="0"/>
    <n v="-575.20350099999996"/>
    <n v="-4999.8435010000003"/>
  </r>
  <r>
    <x v="0"/>
    <x v="7"/>
    <x v="3"/>
    <x v="0"/>
    <x v="96"/>
    <s v="KESR/0043/82-83"/>
    <s v="P and B Traders"/>
    <x v="57"/>
    <n v="-1.83"/>
    <n v="-73"/>
    <n v="103.15"/>
    <n v="-7529.95"/>
    <n v="0"/>
    <n v="0"/>
    <n v="-978.89401199999998"/>
    <n v="-8508.8440119999996"/>
  </r>
  <r>
    <x v="10"/>
    <x v="7"/>
    <x v="3"/>
    <x v="0"/>
    <x v="96"/>
    <s v="KESR/0043/82-83"/>
    <s v="P and B Traders"/>
    <x v="45"/>
    <n v="-0.87"/>
    <n v="-13"/>
    <n v="240.67"/>
    <n v="-3128.71"/>
    <n v="0"/>
    <n v="0"/>
    <n v="-406.73251299999998"/>
    <n v="-3535.442513"/>
  </r>
  <r>
    <x v="0"/>
    <x v="7"/>
    <x v="3"/>
    <x v="0"/>
    <x v="96"/>
    <s v="KESR/0043/82-83"/>
    <s v="P and B Traders"/>
    <x v="47"/>
    <n v="-3.85"/>
    <n v="-154"/>
    <n v="103.15"/>
    <n v="-15885.1"/>
    <n v="0"/>
    <n v="0"/>
    <n v="-2065.0640790000002"/>
    <n v="-17950.164078999998"/>
  </r>
  <r>
    <x v="10"/>
    <x v="7"/>
    <x v="3"/>
    <x v="0"/>
    <x v="96"/>
    <s v="KESR/0043/82-83"/>
    <s v="P and B Traders"/>
    <x v="49"/>
    <n v="-0.73"/>
    <n v="-11"/>
    <n v="240.67"/>
    <n v="-2647.37"/>
    <n v="0"/>
    <n v="0"/>
    <n v="-344.15827999999999"/>
    <n v="-2991.52828"/>
  </r>
  <r>
    <x v="6"/>
    <x v="7"/>
    <x v="3"/>
    <x v="0"/>
    <x v="97"/>
    <s v="KEPL/01785/82-83"/>
    <s v="UMALAXMI TRADERS"/>
    <x v="28"/>
    <n v="2"/>
    <n v="40"/>
    <n v="204.85"/>
    <n v="8194"/>
    <n v="-630.12"/>
    <n v="0"/>
    <n v="983.30436399999996"/>
    <n v="8547.1843640000006"/>
  </r>
  <r>
    <x v="11"/>
    <x v="7"/>
    <x v="3"/>
    <x v="0"/>
    <x v="97"/>
    <s v="KEPL/01785/82-83"/>
    <s v="UMALAXMI TRADERS"/>
    <x v="36"/>
    <n v="1"/>
    <n v="40"/>
    <n v="81.94"/>
    <n v="3277.6"/>
    <n v="-252.05"/>
    <n v="0"/>
    <n v="393.32148599999999"/>
    <n v="3418.871486"/>
  </r>
  <r>
    <x v="6"/>
    <x v="7"/>
    <x v="3"/>
    <x v="0"/>
    <x v="97"/>
    <s v="KEPL/01785/82-83"/>
    <s v="UMALAXMI TRADERS"/>
    <x v="29"/>
    <n v="2"/>
    <n v="40"/>
    <n v="204.85"/>
    <n v="8194"/>
    <n v="-630.12"/>
    <n v="0"/>
    <n v="983.30436399999996"/>
    <n v="8547.1843640000006"/>
  </r>
  <r>
    <x v="8"/>
    <x v="7"/>
    <x v="3"/>
    <x v="0"/>
    <x v="97"/>
    <s v="KEPL/01785/82-83"/>
    <s v="UMALAXMI TRADERS"/>
    <x v="33"/>
    <n v="2"/>
    <n v="80"/>
    <n v="74.489999999999995"/>
    <n v="5959.2"/>
    <n v="-458.26"/>
    <n v="0"/>
    <n v="715.12217399999997"/>
    <n v="6216.0621739999997"/>
  </r>
  <r>
    <x v="7"/>
    <x v="7"/>
    <x v="3"/>
    <x v="0"/>
    <x v="97"/>
    <s v="KEPL/01785/82-83"/>
    <s v="UMALAXMI TRADERS"/>
    <x v="12"/>
    <n v="2"/>
    <n v="260"/>
    <n v="37.25"/>
    <n v="9685"/>
    <n v="-744.78"/>
    <n v="0"/>
    <n v="1162.2285569999999"/>
    <n v="10102.448557"/>
  </r>
  <r>
    <x v="1"/>
    <x v="7"/>
    <x v="3"/>
    <x v="0"/>
    <x v="97"/>
    <s v="KEPL/01785/82-83"/>
    <s v="UMALAXMI TRADERS"/>
    <x v="26"/>
    <n v="1"/>
    <n v="18"/>
    <n v="178.78"/>
    <n v="3218.0400000000004"/>
    <n v="-247.47"/>
    <n v="0"/>
    <n v="386.17408599999999"/>
    <n v="3356.7440860000002"/>
  </r>
  <r>
    <x v="17"/>
    <x v="7"/>
    <x v="3"/>
    <x v="0"/>
    <x v="97"/>
    <s v="KEPL/01785/82-83"/>
    <s v="UMALAXMI TRADERS"/>
    <x v="39"/>
    <n v="1"/>
    <n v="20"/>
    <n v="249.55"/>
    <n v="4991"/>
    <n v="-383.81"/>
    <n v="0"/>
    <n v="598.93467800000008"/>
    <n v="5206.1246780000001"/>
  </r>
  <r>
    <x v="14"/>
    <x v="7"/>
    <x v="3"/>
    <x v="0"/>
    <x v="97"/>
    <s v="KEPL/01785/82-83"/>
    <s v="UMALAXMI TRADERS"/>
    <x v="31"/>
    <n v="1"/>
    <n v="60"/>
    <n v="111.74"/>
    <n v="6704.4"/>
    <n v="-515.57000000000005"/>
    <n v="0"/>
    <n v="804.54786999999999"/>
    <n v="6993.3778700000003"/>
  </r>
  <r>
    <x v="9"/>
    <x v="7"/>
    <x v="3"/>
    <x v="0"/>
    <x v="97"/>
    <s v="KEPL/01785/82-83"/>
    <s v="UMALAXMI TRADERS"/>
    <x v="44"/>
    <n v="1"/>
    <n v="24"/>
    <n v="186.23"/>
    <n v="4469.5200000000004"/>
    <n v="-343.71"/>
    <n v="0"/>
    <n v="536.35527999999999"/>
    <n v="4662.1652800000002"/>
  </r>
  <r>
    <x v="20"/>
    <x v="7"/>
    <x v="3"/>
    <x v="0"/>
    <x v="97"/>
    <s v="KEPL/01785/82-83"/>
    <s v="UMALAXMI TRADERS"/>
    <x v="52"/>
    <n v="2"/>
    <n v="8"/>
    <n v="595.94000000000005"/>
    <n v="4767.5200000000004"/>
    <n v="-366.62"/>
    <n v="0"/>
    <n v="572.11697900000001"/>
    <n v="4973.016979"/>
  </r>
  <r>
    <x v="1"/>
    <x v="7"/>
    <x v="3"/>
    <x v="0"/>
    <x v="97"/>
    <s v="KEPL/01785/82-83"/>
    <s v="UMALAXMI TRADERS"/>
    <x v="24"/>
    <n v="1"/>
    <n v="18"/>
    <n v="178.78"/>
    <n v="3218.0400000000004"/>
    <n v="-247.47"/>
    <n v="0"/>
    <n v="386.17408599999999"/>
    <n v="3356.7440860000002"/>
  </r>
  <r>
    <x v="7"/>
    <x v="7"/>
    <x v="3"/>
    <x v="0"/>
    <x v="97"/>
    <s v="KEPL/01785/82-83"/>
    <s v="UMALAXMI TRADERS"/>
    <x v="27"/>
    <n v="2"/>
    <n v="140"/>
    <n v="37.25"/>
    <n v="5215"/>
    <n v="-401.03"/>
    <n v="0"/>
    <n v="625.81607700000006"/>
    <n v="5439.7860769999998"/>
  </r>
  <r>
    <x v="8"/>
    <x v="7"/>
    <x v="3"/>
    <x v="0"/>
    <x v="97"/>
    <s v="KEPL/01786/82-83"/>
    <s v="UMALAXMI TRADERS"/>
    <x v="56"/>
    <n v="1"/>
    <n v="800"/>
    <n v="7.45"/>
    <n v="5962.34"/>
    <n v="-458.5"/>
    <n v="0"/>
    <n v="715.49905000000001"/>
    <n v="6219.3390499999996"/>
  </r>
  <r>
    <x v="0"/>
    <x v="7"/>
    <x v="3"/>
    <x v="0"/>
    <x v="97"/>
    <s v="KEPL/01786/82-83"/>
    <s v="UMALAXMI TRADERS"/>
    <x v="47"/>
    <n v="2"/>
    <n v="80"/>
    <n v="111.74"/>
    <n v="8939.2000000000007"/>
    <n v="-687.42"/>
    <n v="0"/>
    <n v="1072.731174"/>
    <n v="9324.5111739999993"/>
  </r>
  <r>
    <x v="10"/>
    <x v="7"/>
    <x v="3"/>
    <x v="0"/>
    <x v="97"/>
    <s v="KEPL/01786/82-83"/>
    <s v="UMALAXMI TRADERS"/>
    <x v="49"/>
    <n v="1"/>
    <n v="15"/>
    <n v="260.72000000000003"/>
    <n v="3910.8"/>
    <n v="-300.74"/>
    <n v="0"/>
    <n v="469.30770099999995"/>
    <n v="4079.3677010000001"/>
  </r>
  <r>
    <x v="15"/>
    <x v="7"/>
    <x v="3"/>
    <x v="0"/>
    <x v="97"/>
    <s v="KEPL/01786/82-83"/>
    <s v="UMALAXMI TRADERS"/>
    <x v="32"/>
    <n v="1"/>
    <n v="60"/>
    <n v="111.74"/>
    <n v="6704.4"/>
    <n v="-515.57000000000005"/>
    <n v="0"/>
    <n v="804.547731"/>
    <n v="6993.3777309999996"/>
  </r>
  <r>
    <x v="10"/>
    <x v="7"/>
    <x v="3"/>
    <x v="0"/>
    <x v="97"/>
    <s v="KEPL/01786/82-83"/>
    <s v="UMALAXMI TRADERS"/>
    <x v="45"/>
    <n v="1"/>
    <n v="15"/>
    <n v="260.72000000000003"/>
    <n v="3910.8"/>
    <n v="-300.74"/>
    <n v="0"/>
    <n v="469.30770099999995"/>
    <n v="4079.3677010000001"/>
  </r>
  <r>
    <x v="9"/>
    <x v="7"/>
    <x v="3"/>
    <x v="0"/>
    <x v="97"/>
    <s v="KEPL/01786/82-83"/>
    <s v="UMALAXMI TRADERS"/>
    <x v="38"/>
    <n v="1"/>
    <n v="24"/>
    <n v="186.23"/>
    <n v="4469.5200000000004"/>
    <n v="-343.71"/>
    <n v="0"/>
    <n v="536.355187"/>
    <n v="4662.1651869999996"/>
  </r>
  <r>
    <x v="16"/>
    <x v="7"/>
    <x v="3"/>
    <x v="0"/>
    <x v="97"/>
    <s v="KEPL/01786/82-83"/>
    <s v="UMALAXMI TRADERS"/>
    <x v="35"/>
    <n v="1"/>
    <n v="60"/>
    <n v="145.26"/>
    <n v="8715.6"/>
    <n v="-670.23"/>
    <n v="0"/>
    <n v="1045.89788"/>
    <n v="9091.2678799999994"/>
  </r>
  <r>
    <x v="3"/>
    <x v="7"/>
    <x v="3"/>
    <x v="0"/>
    <x v="97"/>
    <s v="KEPL/01786/82-83"/>
    <s v="UMALAXMI TRADERS"/>
    <x v="46"/>
    <n v="1"/>
    <n v="20"/>
    <n v="175.05"/>
    <n v="3500.9999999999995"/>
    <n v="-269.23"/>
    <n v="0"/>
    <n v="420.13001200000002"/>
    <n v="3651.9000120000001"/>
  </r>
  <r>
    <x v="0"/>
    <x v="7"/>
    <x v="3"/>
    <x v="0"/>
    <x v="97"/>
    <s v="KEPL/01786/82-83"/>
    <s v="UMALAXMI TRADERS"/>
    <x v="58"/>
    <n v="1"/>
    <n v="40"/>
    <n v="111.74"/>
    <n v="4469.6000000000004"/>
    <n v="-343.71"/>
    <n v="0"/>
    <n v="536.365587"/>
    <n v="4662.2555869999997"/>
  </r>
  <r>
    <x v="13"/>
    <x v="7"/>
    <x v="3"/>
    <x v="0"/>
    <x v="97"/>
    <s v="KEPL/01786/82-83"/>
    <s v="UMALAXMI TRADERS"/>
    <x v="40"/>
    <n v="1"/>
    <n v="600"/>
    <n v="7.46"/>
    <n v="4476"/>
    <n v="-344.2"/>
    <n v="0"/>
    <n v="537.13388699999996"/>
    <n v="4668.9338870000001"/>
  </r>
  <r>
    <x v="3"/>
    <x v="7"/>
    <x v="3"/>
    <x v="0"/>
    <x v="97"/>
    <s v="KEPL/01786/82-83"/>
    <s v="UMALAXMI TRADERS"/>
    <x v="55"/>
    <n v="1"/>
    <n v="20"/>
    <n v="175.05"/>
    <n v="3500.9999999999995"/>
    <n v="-269.23"/>
    <n v="0"/>
    <n v="420.13001200000002"/>
    <n v="3651.9000120000001"/>
  </r>
  <r>
    <x v="16"/>
    <x v="7"/>
    <x v="3"/>
    <x v="0"/>
    <x v="97"/>
    <s v="KEPL/01786/82-83"/>
    <s v="UMALAXMI TRADERS"/>
    <x v="42"/>
    <n v="1"/>
    <n v="30"/>
    <n v="316.58999999999997"/>
    <n v="9497.6999999999989"/>
    <n v="-730.36999999999989"/>
    <n v="0"/>
    <n v="1139.7526600000001"/>
    <n v="9907.08266"/>
  </r>
  <r>
    <x v="11"/>
    <x v="7"/>
    <x v="3"/>
    <x v="0"/>
    <x v="97"/>
    <s v="KEPL/01786/82-83"/>
    <s v="UMALAXMI TRADERS"/>
    <x v="53"/>
    <n v="1"/>
    <n v="40"/>
    <n v="81.94"/>
    <n v="3277.6"/>
    <n v="-252.05"/>
    <n v="0"/>
    <n v="393.32141700000005"/>
    <n v="3418.8714169999998"/>
  </r>
  <r>
    <x v="8"/>
    <x v="7"/>
    <x v="3"/>
    <x v="0"/>
    <x v="97"/>
    <s v="KEPL/01787/82-83"/>
    <s v="MEGA MART PVT.LTD"/>
    <x v="33"/>
    <n v="5"/>
    <n v="200"/>
    <n v="66.37"/>
    <n v="13274"/>
    <n v="0"/>
    <n v="0"/>
    <n v="1725.62"/>
    <n v="14999.62"/>
  </r>
  <r>
    <x v="16"/>
    <x v="7"/>
    <x v="3"/>
    <x v="0"/>
    <x v="98"/>
    <s v="KEPL/01796/82-83"/>
    <s v="MEGA MART PVT.LTD"/>
    <x v="35"/>
    <n v="1"/>
    <n v="60"/>
    <n v="129.41999999999999"/>
    <n v="7765.2"/>
    <n v="0"/>
    <n v="0"/>
    <n v="1009.48"/>
    <n v="8774.68"/>
  </r>
  <r>
    <x v="14"/>
    <x v="7"/>
    <x v="3"/>
    <x v="0"/>
    <x v="98"/>
    <s v="KEPL/01798/82-83"/>
    <s v="SHUBHASHREE MARKETING"/>
    <x v="31"/>
    <n v="3"/>
    <n v="180"/>
    <n v="111.74"/>
    <n v="20113.2"/>
    <n v="-1546.71"/>
    <n v="0"/>
    <n v="2413.6450000000004"/>
    <n v="20980.134999999998"/>
  </r>
  <r>
    <x v="15"/>
    <x v="7"/>
    <x v="3"/>
    <x v="0"/>
    <x v="98"/>
    <s v="KEPL/01798/82-83"/>
    <s v="SHUBHASHREE MARKETING"/>
    <x v="32"/>
    <n v="3"/>
    <n v="180"/>
    <n v="111.74"/>
    <n v="20113.2"/>
    <n v="-1546.71"/>
    <n v="0"/>
    <n v="2413.6450000000004"/>
    <n v="20980.134999999998"/>
  </r>
  <r>
    <x v="8"/>
    <x v="7"/>
    <x v="3"/>
    <x v="0"/>
    <x v="98"/>
    <s v="KEPL/01799/82-83"/>
    <s v="EMERALD TRADE LINK"/>
    <x v="33"/>
    <n v="3"/>
    <n v="120"/>
    <n v="74.489999999999995"/>
    <n v="8938.8000000000011"/>
    <n v="-687.3900000000001"/>
    <n v="0"/>
    <n v="1072.68"/>
    <n v="9324.09"/>
  </r>
  <r>
    <x v="20"/>
    <x v="7"/>
    <x v="3"/>
    <x v="0"/>
    <x v="98"/>
    <s v="KEPL/01800/82-83"/>
    <s v="ABIRAL SUPPLIERS AND TRADERS"/>
    <x v="52"/>
    <n v="20"/>
    <n v="80"/>
    <n v="595.94000000000005"/>
    <n v="47675.199999999997"/>
    <n v="-3666.2200000000003"/>
    <n v="0"/>
    <n v="5721.17"/>
    <n v="49730.15"/>
  </r>
  <r>
    <x v="7"/>
    <x v="7"/>
    <x v="3"/>
    <x v="0"/>
    <x v="98"/>
    <s v="KEPL/01801/82-83"/>
    <s v="BEERA BARJEE INTERNATIONAL PVT.LTD"/>
    <x v="27"/>
    <n v="2"/>
    <n v="140"/>
    <n v="37.25"/>
    <n v="5215"/>
    <n v="-401.03"/>
    <n v="0"/>
    <n v="625.81644699999993"/>
    <n v="5439.7864470000004"/>
  </r>
  <r>
    <x v="11"/>
    <x v="7"/>
    <x v="3"/>
    <x v="0"/>
    <x v="98"/>
    <s v="KEPL/01801/82-83"/>
    <s v="BEERA BARJEE INTERNATIONAL PVT.LTD"/>
    <x v="36"/>
    <n v="1"/>
    <n v="40"/>
    <n v="81.94"/>
    <n v="3277.6"/>
    <n v="-252.05"/>
    <n v="0"/>
    <n v="393.32171799999998"/>
    <n v="3418.8717179999999"/>
  </r>
  <r>
    <x v="7"/>
    <x v="7"/>
    <x v="3"/>
    <x v="0"/>
    <x v="98"/>
    <s v="KEPL/01801/82-83"/>
    <s v="BEERA BARJEE INTERNATIONAL PVT.LTD"/>
    <x v="12"/>
    <n v="1"/>
    <n v="130"/>
    <n v="37.25"/>
    <n v="4842.5"/>
    <n v="-372.39"/>
    <n v="0"/>
    <n v="581.11462300000005"/>
    <n v="5051.2246230000001"/>
  </r>
  <r>
    <x v="16"/>
    <x v="7"/>
    <x v="3"/>
    <x v="0"/>
    <x v="98"/>
    <s v="KEPL/01801/82-83"/>
    <s v="BEERA BARJEE INTERNATIONAL PVT.LTD"/>
    <x v="35"/>
    <n v="1"/>
    <n v="60"/>
    <n v="145.26"/>
    <n v="8715.6"/>
    <n v="-670.23"/>
    <n v="0"/>
    <n v="1045.8986809999999"/>
    <n v="9091.2686809999996"/>
  </r>
  <r>
    <x v="3"/>
    <x v="7"/>
    <x v="3"/>
    <x v="0"/>
    <x v="98"/>
    <s v="KEPL/01801/82-83"/>
    <s v="BEERA BARJEE INTERNATIONAL PVT.LTD"/>
    <x v="55"/>
    <n v="1"/>
    <n v="20"/>
    <n v="175.05"/>
    <n v="3500.9999999999995"/>
    <n v="-269.23"/>
    <n v="0"/>
    <n v="420.13033300000001"/>
    <n v="3651.900333"/>
  </r>
  <r>
    <x v="8"/>
    <x v="7"/>
    <x v="3"/>
    <x v="0"/>
    <x v="98"/>
    <s v="KEPL/01801/82-83"/>
    <s v="BEERA BARJEE INTERNATIONAL PVT.LTD"/>
    <x v="56"/>
    <n v="1"/>
    <n v="800"/>
    <n v="7.46"/>
    <n v="5968"/>
    <n v="-458.94"/>
    <n v="0"/>
    <n v="716.17819800000007"/>
    <n v="6225.238198"/>
  </r>
  <r>
    <x v="16"/>
    <x v="7"/>
    <x v="3"/>
    <x v="0"/>
    <x v="99"/>
    <s v="KEPL/01808/82-83"/>
    <s v="MEGA MART PVT.LTD"/>
    <x v="35"/>
    <n v="1"/>
    <n v="60"/>
    <n v="129.41999999999999"/>
    <n v="7765.2"/>
    <n v="0"/>
    <n v="0"/>
    <n v="1009.475155"/>
    <n v="8774.6751550000008"/>
  </r>
  <r>
    <x v="8"/>
    <x v="7"/>
    <x v="3"/>
    <x v="0"/>
    <x v="99"/>
    <s v="KEPL/01808/82-83"/>
    <s v="MEGA MART PVT.LTD"/>
    <x v="33"/>
    <n v="4"/>
    <n v="160"/>
    <n v="66.37"/>
    <n v="10619.2"/>
    <n v="0"/>
    <n v="0"/>
    <n v="1380.4948449999999"/>
    <n v="11999.694845"/>
  </r>
  <r>
    <x v="3"/>
    <x v="7"/>
    <x v="3"/>
    <x v="0"/>
    <x v="99"/>
    <s v="KESR/0045/82-83"/>
    <s v="NEW YASHISH TRADERS"/>
    <x v="54"/>
    <n v="-0.1"/>
    <n v="-2"/>
    <n v="175.05"/>
    <n v="-350.1"/>
    <n v="26.92"/>
    <n v="0"/>
    <n v="-42.016155000000005"/>
    <n v="-365.19615499999998"/>
  </r>
  <r>
    <x v="11"/>
    <x v="7"/>
    <x v="3"/>
    <x v="0"/>
    <x v="99"/>
    <s v="KESR/0045/82-83"/>
    <s v="NEW YASHISH TRADERS"/>
    <x v="36"/>
    <n v="-0.03"/>
    <n v="-1"/>
    <n v="81.94"/>
    <n v="-81.94"/>
    <n v="6.3"/>
    <n v="0"/>
    <n v="-9.8338450000000002"/>
    <n v="-85.473844999999997"/>
  </r>
  <r>
    <x v="3"/>
    <x v="7"/>
    <x v="3"/>
    <x v="0"/>
    <x v="99"/>
    <s v="KESR/0046/82-83"/>
    <s v="NEW YASHISH TRADERS"/>
    <x v="55"/>
    <n v="-1"/>
    <n v="-20"/>
    <n v="175.05"/>
    <n v="-3500.9999999999995"/>
    <n v="269.23"/>
    <n v="0"/>
    <n v="-420.13014799999996"/>
    <n v="-3651.9001480000002"/>
  </r>
  <r>
    <x v="6"/>
    <x v="7"/>
    <x v="3"/>
    <x v="0"/>
    <x v="99"/>
    <s v="KESR/0046/82-83"/>
    <s v="NEW YASHISH TRADERS"/>
    <x v="28"/>
    <n v="-6.85"/>
    <n v="-137"/>
    <n v="204.85"/>
    <n v="-28064.45"/>
    <n v="2158.16"/>
    <n v="0"/>
    <n v="-3367.818084"/>
    <n v="-29274.108084"/>
  </r>
  <r>
    <x v="7"/>
    <x v="7"/>
    <x v="3"/>
    <x v="0"/>
    <x v="99"/>
    <s v="KESR/0046/82-83"/>
    <s v="NEW YASHISH TRADERS"/>
    <x v="27"/>
    <n v="-9.44"/>
    <n v="-661"/>
    <n v="32.78"/>
    <n v="-21667.58"/>
    <n v="1666.24"/>
    <n v="0"/>
    <n v="-2600.1744960000001"/>
    <n v="-22601.514496"/>
  </r>
  <r>
    <x v="7"/>
    <x v="7"/>
    <x v="3"/>
    <x v="0"/>
    <x v="99"/>
    <s v="KESR/0046/82-83"/>
    <s v="NEW YASHISH TRADERS"/>
    <x v="27"/>
    <n v="-1.54"/>
    <n v="-108"/>
    <n v="32.78"/>
    <n v="-3540.24"/>
    <n v="272.24"/>
    <n v="0"/>
    <n v="-424.84004800000002"/>
    <n v="-3692.840048"/>
  </r>
  <r>
    <x v="17"/>
    <x v="7"/>
    <x v="3"/>
    <x v="0"/>
    <x v="99"/>
    <s v="KESR/0046/82-83"/>
    <s v="NEW YASHISH TRADERS"/>
    <x v="39"/>
    <n v="-1"/>
    <n v="-20"/>
    <n v="249.55"/>
    <n v="-4991"/>
    <n v="383.81"/>
    <n v="0"/>
    <n v="-598.93476800000008"/>
    <n v="-5206.1247679999997"/>
  </r>
  <r>
    <x v="6"/>
    <x v="7"/>
    <x v="3"/>
    <x v="0"/>
    <x v="99"/>
    <s v="KESR/0046/82-83"/>
    <s v="NEW YASHISH TRADERS"/>
    <x v="29"/>
    <n v="-1"/>
    <n v="-20"/>
    <n v="204.85"/>
    <n v="-4097"/>
    <n v="315.06"/>
    <n v="0"/>
    <n v="-491.65225600000002"/>
    <n v="-4273.5922559999999"/>
  </r>
  <r>
    <x v="0"/>
    <x v="7"/>
    <x v="3"/>
    <x v="0"/>
    <x v="99"/>
    <s v="KESR/0046/82-83"/>
    <s v="NEW YASHISH TRADERS"/>
    <x v="47"/>
    <n v="-0.28000000000000003"/>
    <n v="-11"/>
    <n v="111.74"/>
    <n v="-1229.1399999999999"/>
    <n v="94.52"/>
    <n v="0"/>
    <n v="-147.50061700000001"/>
    <n v="-1282.120617"/>
  </r>
  <r>
    <x v="13"/>
    <x v="7"/>
    <x v="3"/>
    <x v="0"/>
    <x v="99"/>
    <s v="KESR/0046/82-83"/>
    <s v="NEW YASHISH TRADERS"/>
    <x v="40"/>
    <n v="-1"/>
    <n v="-600"/>
    <n v="7.45"/>
    <n v="-4470"/>
    <n v="343.74"/>
    <n v="0"/>
    <n v="-536.413861"/>
    <n v="-4662.6738610000002"/>
  </r>
  <r>
    <x v="0"/>
    <x v="7"/>
    <x v="3"/>
    <x v="0"/>
    <x v="99"/>
    <s v="KESR/0046/82-83"/>
    <s v="NEW YASHISH TRADERS"/>
    <x v="58"/>
    <n v="-0.35"/>
    <n v="-14"/>
    <n v="111.51"/>
    <n v="-1561.19"/>
    <n v="120.3"/>
    <n v="0"/>
    <n v="-187.315721"/>
    <n v="-1628.205721"/>
  </r>
  <r>
    <x v="13"/>
    <x v="7"/>
    <x v="3"/>
    <x v="0"/>
    <x v="99"/>
    <s v="KESR/0047/82-83"/>
    <s v="NEW YASHISH TRADERS"/>
    <x v="23"/>
    <n v="-0.8"/>
    <n v="-480"/>
    <n v="7.45"/>
    <n v="-3576.0299999999997"/>
    <n v="274.95999999999998"/>
    <n v="0"/>
    <n v="-429.13962099999998"/>
    <n v="-3730.209621"/>
  </r>
  <r>
    <x v="6"/>
    <x v="7"/>
    <x v="3"/>
    <x v="0"/>
    <x v="99"/>
    <s v="KESR/0047/82-83"/>
    <s v="NEW YASHISH TRADERS"/>
    <x v="59"/>
    <n v="-0.7"/>
    <n v="-14"/>
    <n v="204.85"/>
    <n v="-2867.9"/>
    <n v="220.54"/>
    <n v="0"/>
    <n v="-344.157218"/>
    <n v="-2991.517218"/>
  </r>
  <r>
    <x v="10"/>
    <x v="7"/>
    <x v="3"/>
    <x v="0"/>
    <x v="99"/>
    <s v="KESR/0047/82-83"/>
    <s v="NEW YASHISH TRADERS"/>
    <x v="45"/>
    <n v="-3.2"/>
    <n v="-48"/>
    <n v="260.72000000000003"/>
    <n v="-12514.56"/>
    <n v="962.36999999999989"/>
    <n v="0"/>
    <n v="-1501.7865220000001"/>
    <n v="-13053.976522000001"/>
  </r>
  <r>
    <x v="10"/>
    <x v="7"/>
    <x v="3"/>
    <x v="0"/>
    <x v="99"/>
    <s v="KESR/0047/82-83"/>
    <s v="NEW YASHISH TRADERS"/>
    <x v="49"/>
    <n v="-3.07"/>
    <n v="-46"/>
    <n v="260.72000000000003"/>
    <n v="-11993.119999999999"/>
    <n v="922.2700000000001"/>
    <n v="0"/>
    <n v="-1439.2122460000001"/>
    <n v="-12510.062246"/>
  </r>
  <r>
    <x v="3"/>
    <x v="7"/>
    <x v="3"/>
    <x v="0"/>
    <x v="99"/>
    <s v="KESR/0047/82-83"/>
    <s v="NEW YASHISH TRADERS"/>
    <x v="46"/>
    <n v="-3.85"/>
    <n v="-77"/>
    <n v="175.05"/>
    <n v="-13478.849999999999"/>
    <n v="1036.55"/>
    <n v="0"/>
    <n v="-1617.5009620000001"/>
    <n v="-14059.800961999999"/>
  </r>
  <r>
    <x v="11"/>
    <x v="7"/>
    <x v="3"/>
    <x v="0"/>
    <x v="99"/>
    <s v="KESR/0047/82-83"/>
    <s v="NEW YASHISH TRADERS"/>
    <x v="37"/>
    <n v="-1"/>
    <n v="-40"/>
    <n v="81.94"/>
    <n v="-3277.6"/>
    <n v="252.05"/>
    <n v="0"/>
    <n v="-393.321977"/>
    <n v="-3418.8719769999998"/>
  </r>
  <r>
    <x v="16"/>
    <x v="7"/>
    <x v="3"/>
    <x v="0"/>
    <x v="99"/>
    <s v="KESR/0047/82-83"/>
    <s v="NEW YASHISH TRADERS"/>
    <x v="35"/>
    <n v="-1"/>
    <n v="-60"/>
    <n v="145.26"/>
    <n v="-8715.6"/>
    <n v="670.22"/>
    <n v="0"/>
    <n v="-1045.9006689999999"/>
    <n v="-9091.2806689999998"/>
  </r>
  <r>
    <x v="8"/>
    <x v="7"/>
    <x v="3"/>
    <x v="0"/>
    <x v="99"/>
    <s v="KESR/0047/82-83"/>
    <s v="NEW YASHISH TRADERS"/>
    <x v="34"/>
    <n v="-2"/>
    <n v="-80"/>
    <n v="67.040000000000006"/>
    <n v="-5363.2"/>
    <n v="412.44"/>
    <n v="0"/>
    <n v="-643.59958099999994"/>
    <n v="-5594.3595809999997"/>
  </r>
  <r>
    <x v="8"/>
    <x v="7"/>
    <x v="3"/>
    <x v="0"/>
    <x v="99"/>
    <s v="KESR/0047/82-83"/>
    <s v="NEW YASHISH TRADERS"/>
    <x v="33"/>
    <n v="-1"/>
    <n v="-40"/>
    <n v="67.040000000000006"/>
    <n v="-2681.6"/>
    <n v="206.22"/>
    <n v="0"/>
    <n v="-321.79979000000003"/>
    <n v="-2797.1797900000001"/>
  </r>
  <r>
    <x v="15"/>
    <x v="7"/>
    <x v="3"/>
    <x v="0"/>
    <x v="99"/>
    <s v="KESR/0047/82-83"/>
    <s v="NEW YASHISH TRADERS"/>
    <x v="32"/>
    <n v="-1"/>
    <n v="-60"/>
    <n v="111.74"/>
    <n v="-6704.4"/>
    <n v="515.54999999999995"/>
    <n v="0"/>
    <n v="-804.55147600000009"/>
    <n v="-6993.401476"/>
  </r>
  <r>
    <x v="8"/>
    <x v="7"/>
    <x v="3"/>
    <x v="0"/>
    <x v="99"/>
    <s v="KESR/0047/82-83"/>
    <s v="NEW YASHISH TRADERS"/>
    <x v="41"/>
    <n v="-1"/>
    <n v="-40"/>
    <n v="67.040000000000006"/>
    <n v="-2681.6"/>
    <n v="206.22"/>
    <n v="0"/>
    <n v="-321.79979000000003"/>
    <n v="-2797.1797900000001"/>
  </r>
  <r>
    <x v="12"/>
    <x v="7"/>
    <x v="3"/>
    <x v="0"/>
    <x v="99"/>
    <s v="KESR/0047/82-83"/>
    <s v="NEW YASHISH TRADERS"/>
    <x v="60"/>
    <n v="-1"/>
    <n v="-1000"/>
    <n v="1.86"/>
    <n v="-1860.2"/>
    <n v="143.21"/>
    <n v="0"/>
    <n v="-223.20897099999999"/>
    <n v="-1940.198971"/>
  </r>
  <r>
    <x v="18"/>
    <x v="7"/>
    <x v="3"/>
    <x v="0"/>
    <x v="99"/>
    <s v="KESR/0047/82-83"/>
    <s v="NEW YASHISH TRADERS"/>
    <x v="43"/>
    <n v="-1"/>
    <n v="-60"/>
    <n v="111.77"/>
    <n v="-6706.3600000000006"/>
    <n v="515.82000000000005"/>
    <n v="0"/>
    <n v="-804.77117599999997"/>
    <n v="-6995.3111760000002"/>
  </r>
  <r>
    <x v="1"/>
    <x v="7"/>
    <x v="3"/>
    <x v="0"/>
    <x v="100"/>
    <s v="KEPL/01810/82-83"/>
    <s v="GORIN TRADING "/>
    <x v="25"/>
    <n v="1"/>
    <n v="18"/>
    <n v="178.78"/>
    <n v="3218.0400000000004"/>
    <n v="-247.47"/>
    <n v="0"/>
    <n v="386.17410000000001"/>
    <n v="3356.7440999999999"/>
  </r>
  <r>
    <x v="0"/>
    <x v="7"/>
    <x v="3"/>
    <x v="0"/>
    <x v="100"/>
    <s v="KEPL/01810/82-83"/>
    <s v="GORIN TRADING "/>
    <x v="47"/>
    <n v="1"/>
    <n v="40"/>
    <n v="111.74"/>
    <n v="4469.6000000000004"/>
    <n v="-343.71"/>
    <n v="0"/>
    <n v="536.36569999999995"/>
    <n v="4662.2556999999997"/>
  </r>
  <r>
    <x v="1"/>
    <x v="7"/>
    <x v="3"/>
    <x v="0"/>
    <x v="100"/>
    <s v="KEPL/01810/82-83"/>
    <s v="GORIN TRADING "/>
    <x v="26"/>
    <n v="1"/>
    <n v="18"/>
    <n v="178.78"/>
    <n v="3218.0400000000004"/>
    <n v="-247.47"/>
    <n v="0"/>
    <n v="386.17410000000001"/>
    <n v="3356.7440999999999"/>
  </r>
  <r>
    <x v="11"/>
    <x v="7"/>
    <x v="3"/>
    <x v="0"/>
    <x v="100"/>
    <s v="KEPL/01810/82-83"/>
    <s v="GORIN TRADING "/>
    <x v="36"/>
    <n v="2"/>
    <n v="80"/>
    <n v="81.94"/>
    <n v="6555.2"/>
    <n v="-504.09"/>
    <n v="0"/>
    <n v="786.64429999999993"/>
    <n v="6837.7542999999996"/>
  </r>
  <r>
    <x v="18"/>
    <x v="7"/>
    <x v="3"/>
    <x v="0"/>
    <x v="100"/>
    <s v="KEPL/01810/82-83"/>
    <s v="GORIN TRADING "/>
    <x v="43"/>
    <n v="1"/>
    <n v="60"/>
    <n v="111.74"/>
    <n v="6704.4"/>
    <n v="-515.57000000000005"/>
    <n v="0"/>
    <n v="804.54790000000003"/>
    <n v="6993.3779000000004"/>
  </r>
  <r>
    <x v="1"/>
    <x v="7"/>
    <x v="3"/>
    <x v="0"/>
    <x v="100"/>
    <s v="KEPL/01810/82-83"/>
    <s v="GORIN TRADING "/>
    <x v="24"/>
    <n v="1"/>
    <n v="18"/>
    <n v="178.78"/>
    <n v="3218.0400000000004"/>
    <n v="-247.47"/>
    <n v="0"/>
    <n v="386.17410000000001"/>
    <n v="3356.7440999999999"/>
  </r>
  <r>
    <x v="0"/>
    <x v="7"/>
    <x v="3"/>
    <x v="0"/>
    <x v="100"/>
    <s v="KEPL/01810/82-83"/>
    <s v="GORIN TRADING "/>
    <x v="58"/>
    <n v="1"/>
    <n v="40"/>
    <n v="111.74"/>
    <n v="4469.6000000000004"/>
    <n v="-343.71"/>
    <n v="0"/>
    <n v="536.36569999999995"/>
    <n v="4662.2556999999997"/>
  </r>
  <r>
    <x v="1"/>
    <x v="7"/>
    <x v="3"/>
    <x v="0"/>
    <x v="100"/>
    <s v="KEPL/01810/82-83"/>
    <s v="GORIN TRADING "/>
    <x v="2"/>
    <n v="1"/>
    <n v="18"/>
    <n v="178.78"/>
    <n v="3218.0400000000004"/>
    <n v="-247.47"/>
    <n v="0"/>
    <n v="386.17410000000001"/>
    <n v="3356.7440999999999"/>
  </r>
  <r>
    <x v="7"/>
    <x v="7"/>
    <x v="3"/>
    <x v="0"/>
    <x v="101"/>
    <s v="KEPL/01812/82-83"/>
    <s v="BHAT BHATENI SUPERMARKET &amp; DEPARTMENTAL STORE PVT. LTD."/>
    <x v="27"/>
    <n v="2"/>
    <n v="140"/>
    <n v="32.74"/>
    <n v="4583.6000000000004"/>
    <n v="0"/>
    <n v="-458.35986700000001"/>
    <n v="536.28107799999998"/>
    <n v="4661.5212110000002"/>
  </r>
  <r>
    <x v="7"/>
    <x v="7"/>
    <x v="3"/>
    <x v="0"/>
    <x v="101"/>
    <s v="KEPL/01812/82-83"/>
    <s v="BHAT BHATENI SUPERMARKET &amp; DEPARTMENTAL STORE PVT. LTD."/>
    <x v="12"/>
    <n v="1"/>
    <n v="130"/>
    <n v="32.74"/>
    <n v="4256.2"/>
    <n v="0"/>
    <n v="-425.61987599999998"/>
    <n v="497.97528599999998"/>
    <n v="4328.5554099999999"/>
  </r>
  <r>
    <x v="16"/>
    <x v="7"/>
    <x v="3"/>
    <x v="0"/>
    <x v="101"/>
    <s v="KEPL/01812/82-83"/>
    <s v="BHAT BHATENI SUPERMARKET &amp; DEPARTMENTAL STORE PVT. LTD."/>
    <x v="35"/>
    <n v="1"/>
    <n v="60"/>
    <n v="127.7"/>
    <n v="7662.0000000000009"/>
    <n v="0"/>
    <n v="-766.19977800000004"/>
    <n v="896.45379500000001"/>
    <n v="7792.2540170000002"/>
  </r>
  <r>
    <x v="10"/>
    <x v="7"/>
    <x v="3"/>
    <x v="0"/>
    <x v="101"/>
    <s v="KEPL/01812/82-83"/>
    <s v="BHAT BHATENI SUPERMARKET &amp; DEPARTMENTAL STORE PVT. LTD."/>
    <x v="49"/>
    <n v="2"/>
    <n v="30"/>
    <n v="229.2"/>
    <n v="6876"/>
    <n v="0"/>
    <n v="-687.59980000000007"/>
    <n v="804.49181599999997"/>
    <n v="6992.8920159999998"/>
  </r>
  <r>
    <x v="6"/>
    <x v="7"/>
    <x v="3"/>
    <x v="0"/>
    <x v="101"/>
    <s v="KEPL/01812/82-83"/>
    <s v="BHAT BHATENI SUPERMARKET &amp; DEPARTMENTAL STORE PVT. LTD."/>
    <x v="29"/>
    <n v="2"/>
    <n v="40"/>
    <n v="180.09"/>
    <n v="7203.5999999999995"/>
    <n v="0"/>
    <n v="-720.35979099999997"/>
    <n v="842.82100799999989"/>
    <n v="7326.0612170000004"/>
  </r>
  <r>
    <x v="10"/>
    <x v="7"/>
    <x v="3"/>
    <x v="0"/>
    <x v="101"/>
    <s v="KEPL/01812/82-83"/>
    <s v="BHAT BHATENI SUPERMARKET &amp; DEPARTMENTAL STORE PVT. LTD."/>
    <x v="45"/>
    <n v="2"/>
    <n v="30"/>
    <n v="229.2"/>
    <n v="6876"/>
    <n v="0"/>
    <n v="-687.59980000000007"/>
    <n v="804.49181599999997"/>
    <n v="6992.8920159999998"/>
  </r>
  <r>
    <x v="3"/>
    <x v="7"/>
    <x v="3"/>
    <x v="0"/>
    <x v="101"/>
    <s v="KEPL/01812/82-83"/>
    <s v="BHAT BHATENI SUPERMARKET &amp; DEPARTMENTAL STORE PVT. LTD."/>
    <x v="55"/>
    <n v="2"/>
    <n v="40"/>
    <n v="153.88999999999999"/>
    <n v="6155.5999999999995"/>
    <n v="0"/>
    <n v="-615.55982100000006"/>
    <n v="720.20503599999995"/>
    <n v="6260.2452149999999"/>
  </r>
  <r>
    <x v="11"/>
    <x v="7"/>
    <x v="3"/>
    <x v="0"/>
    <x v="101"/>
    <s v="KEPL/01812/82-83"/>
    <s v="BHAT BHATENI SUPERMARKET &amp; DEPARTMENTAL STORE PVT. LTD."/>
    <x v="36"/>
    <n v="3"/>
    <n v="120"/>
    <n v="72.040000000000006"/>
    <n v="8644.7999999999993"/>
    <n v="0"/>
    <n v="-864.47974900000008"/>
    <n v="1011.441369"/>
    <n v="8791.7616199999993"/>
  </r>
  <r>
    <x v="16"/>
    <x v="7"/>
    <x v="3"/>
    <x v="0"/>
    <x v="101"/>
    <s v="KEPL/01812/82-83"/>
    <s v="BHAT BHATENI SUPERMARKET &amp; DEPARTMENTAL STORE PVT. LTD."/>
    <x v="42"/>
    <n v="1"/>
    <n v="30"/>
    <n v="278.32"/>
    <n v="8349.6"/>
    <n v="0"/>
    <n v="-834.95975799999997"/>
    <n v="976.90297700000008"/>
    <n v="8491.5432189999992"/>
  </r>
  <r>
    <x v="14"/>
    <x v="7"/>
    <x v="3"/>
    <x v="0"/>
    <x v="101"/>
    <s v="KEPL/01812/82-83"/>
    <s v="BHAT BHATENI SUPERMARKET &amp; DEPARTMENTAL STORE PVT. LTD."/>
    <x v="31"/>
    <n v="2"/>
    <n v="120"/>
    <n v="98.23"/>
    <n v="11787.6"/>
    <n v="0"/>
    <n v="-1178.7596579999999"/>
    <n v="1379.1488850000001"/>
    <n v="11987.989227"/>
  </r>
  <r>
    <x v="6"/>
    <x v="7"/>
    <x v="3"/>
    <x v="0"/>
    <x v="101"/>
    <s v="KEPL/01812/82-83"/>
    <s v="BHAT BHATENI SUPERMARKET &amp; DEPARTMENTAL STORE PVT. LTD."/>
    <x v="28"/>
    <n v="3"/>
    <n v="60"/>
    <n v="180.09"/>
    <n v="10805.4"/>
    <n v="0"/>
    <n v="-1080.5396860000001"/>
    <n v="1264.231511"/>
    <n v="10989.091825"/>
  </r>
  <r>
    <x v="15"/>
    <x v="7"/>
    <x v="3"/>
    <x v="0"/>
    <x v="101"/>
    <s v="KEPL/01812/82-83"/>
    <s v="BHAT BHATENI SUPERMARKET &amp; DEPARTMENTAL STORE PVT. LTD."/>
    <x v="32"/>
    <n v="2"/>
    <n v="120"/>
    <n v="98.23"/>
    <n v="11787.6"/>
    <n v="0"/>
    <n v="-1178.7596579999999"/>
    <n v="1379.1488850000001"/>
    <n v="11987.989227"/>
  </r>
  <r>
    <x v="18"/>
    <x v="7"/>
    <x v="3"/>
    <x v="0"/>
    <x v="101"/>
    <s v="KEPL/01812/82-83"/>
    <s v="BHAT BHATENI SUPERMARKET &amp; DEPARTMENTAL STORE PVT. LTD."/>
    <x v="43"/>
    <n v="2"/>
    <n v="120"/>
    <n v="98.23"/>
    <n v="11787.6"/>
    <n v="0"/>
    <n v="-1178.7596579999999"/>
    <n v="1379.1488850000001"/>
    <n v="11987.989227"/>
  </r>
  <r>
    <x v="8"/>
    <x v="7"/>
    <x v="3"/>
    <x v="0"/>
    <x v="101"/>
    <s v="KEPL/01812/82-83"/>
    <s v="BHAT BHATENI SUPERMARKET &amp; DEPARTMENTAL STORE PVT. LTD."/>
    <x v="33"/>
    <n v="4"/>
    <n v="160"/>
    <n v="65.489999999999995"/>
    <n v="10478.4"/>
    <n v="0"/>
    <n v="-1047.839696"/>
    <n v="1225.97252"/>
    <n v="10656.532824"/>
  </r>
  <r>
    <x v="9"/>
    <x v="7"/>
    <x v="3"/>
    <x v="0"/>
    <x v="101"/>
    <s v="KEPL/01812/82-83"/>
    <s v="BHAT BHATENI SUPERMARKET &amp; DEPARTMENTAL STORE PVT. LTD."/>
    <x v="44"/>
    <n v="3"/>
    <n v="72"/>
    <n v="163.72"/>
    <n v="11787.84"/>
    <n v="0"/>
    <n v="-1178.7836580000001"/>
    <n v="1379.1769649999999"/>
    <n v="11988.233307"/>
  </r>
  <r>
    <x v="17"/>
    <x v="7"/>
    <x v="3"/>
    <x v="0"/>
    <x v="101"/>
    <s v="KEPL/01812/82-83"/>
    <s v="BHAT BHATENI SUPERMARKET &amp; DEPARTMENTAL STORE PVT. LTD."/>
    <x v="39"/>
    <n v="2"/>
    <n v="40"/>
    <n v="219.38"/>
    <n v="8775.2000000000007"/>
    <n v="0"/>
    <n v="-877.51974500000006"/>
    <n v="1026.6981660000001"/>
    <n v="8924.3784209999994"/>
  </r>
  <r>
    <x v="16"/>
    <x v="7"/>
    <x v="3"/>
    <x v="0"/>
    <x v="101"/>
    <s v="KEPL/01813/82-83"/>
    <s v="BHAT BHATENI SUPERMARKET &amp; DEPARTMENTAL STORE PVT. LTD."/>
    <x v="35"/>
    <n v="1"/>
    <n v="60"/>
    <n v="127.7"/>
    <n v="7662.0000000000009"/>
    <n v="0"/>
    <n v="-766.2002930000001"/>
    <n v="896.45400600000005"/>
    <n v="7792.2537130000001"/>
  </r>
  <r>
    <x v="10"/>
    <x v="7"/>
    <x v="3"/>
    <x v="0"/>
    <x v="101"/>
    <s v="KEPL/01813/82-83"/>
    <s v="BHAT BHATENI SUPERMARKET &amp; DEPARTMENTAL STORE PVT. LTD."/>
    <x v="49"/>
    <n v="2"/>
    <n v="30"/>
    <n v="229.2"/>
    <n v="6876"/>
    <n v="0"/>
    <n v="-687.60026300000004"/>
    <n v="804.49200500000006"/>
    <n v="6992.8917419999998"/>
  </r>
  <r>
    <x v="6"/>
    <x v="7"/>
    <x v="3"/>
    <x v="0"/>
    <x v="101"/>
    <s v="KEPL/01813/82-83"/>
    <s v="BHAT BHATENI SUPERMARKET &amp; DEPARTMENTAL STORE PVT. LTD."/>
    <x v="28"/>
    <n v="2"/>
    <n v="40"/>
    <n v="180.09"/>
    <n v="7203.5999999999995"/>
    <n v="0"/>
    <n v="-720.360276"/>
    <n v="842.82120600000007"/>
    <n v="7326.0609299999996"/>
  </r>
  <r>
    <x v="8"/>
    <x v="7"/>
    <x v="3"/>
    <x v="0"/>
    <x v="101"/>
    <s v="KEPL/01813/82-83"/>
    <s v="BHAT BHATENI SUPERMARKET &amp; DEPARTMENTAL STORE PVT. LTD."/>
    <x v="33"/>
    <n v="2"/>
    <n v="80"/>
    <n v="65.489999999999995"/>
    <n v="5239.2"/>
    <n v="0"/>
    <n v="-523.92020100000002"/>
    <n v="612.98640399999999"/>
    <n v="5328.2662030000001"/>
  </r>
  <r>
    <x v="15"/>
    <x v="7"/>
    <x v="3"/>
    <x v="0"/>
    <x v="101"/>
    <s v="KEPL/01813/82-83"/>
    <s v="BHAT BHATENI SUPERMARKET &amp; DEPARTMENTAL STORE PVT. LTD."/>
    <x v="32"/>
    <n v="1"/>
    <n v="60"/>
    <n v="98.23"/>
    <n v="5893.8"/>
    <n v="0"/>
    <n v="-589.38022599999999"/>
    <n v="689.57460500000002"/>
    <n v="5993.9943789999998"/>
  </r>
  <r>
    <x v="18"/>
    <x v="7"/>
    <x v="3"/>
    <x v="0"/>
    <x v="101"/>
    <s v="KEPL/01813/82-83"/>
    <s v="BHAT BHATENI SUPERMARKET &amp; DEPARTMENTAL STORE PVT. LTD."/>
    <x v="43"/>
    <n v="1"/>
    <n v="60"/>
    <n v="98.23"/>
    <n v="5893.8"/>
    <n v="0"/>
    <n v="-589.38022599999999"/>
    <n v="689.57460500000002"/>
    <n v="5993.9943789999998"/>
  </r>
  <r>
    <x v="9"/>
    <x v="7"/>
    <x v="3"/>
    <x v="0"/>
    <x v="101"/>
    <s v="KEPL/01813/82-83"/>
    <s v="BHAT BHATENI SUPERMARKET &amp; DEPARTMENTAL STORE PVT. LTD."/>
    <x v="44"/>
    <n v="2"/>
    <n v="48"/>
    <n v="163.72"/>
    <n v="7858.56"/>
    <n v="0"/>
    <n v="-785.85630100000003"/>
    <n v="919.45152599999994"/>
    <n v="7992.1552250000004"/>
  </r>
  <r>
    <x v="10"/>
    <x v="7"/>
    <x v="3"/>
    <x v="0"/>
    <x v="101"/>
    <s v="KEPL/01813/82-83"/>
    <s v="BHAT BHATENI SUPERMARKET &amp; DEPARTMENTAL STORE PVT. LTD."/>
    <x v="45"/>
    <n v="2"/>
    <n v="30"/>
    <n v="229.2"/>
    <n v="6876"/>
    <n v="0"/>
    <n v="-687.60026300000004"/>
    <n v="804.49200500000006"/>
    <n v="6992.8917419999998"/>
  </r>
  <r>
    <x v="6"/>
    <x v="7"/>
    <x v="3"/>
    <x v="0"/>
    <x v="101"/>
    <s v="KEPL/01813/82-83"/>
    <s v="BHAT BHATENI SUPERMARKET &amp; DEPARTMENTAL STORE PVT. LTD."/>
    <x v="29"/>
    <n v="2"/>
    <n v="40"/>
    <n v="180.09"/>
    <n v="7203.5999999999995"/>
    <n v="0"/>
    <n v="-720.360276"/>
    <n v="842.82120600000007"/>
    <n v="7326.0609299999996"/>
  </r>
  <r>
    <x v="3"/>
    <x v="7"/>
    <x v="3"/>
    <x v="0"/>
    <x v="101"/>
    <s v="KEPL/01813/82-83"/>
    <s v="BHAT BHATENI SUPERMARKET &amp; DEPARTMENTAL STORE PVT. LTD."/>
    <x v="55"/>
    <n v="2"/>
    <n v="40"/>
    <n v="153.88999999999999"/>
    <n v="6155.5999999999995"/>
    <n v="0"/>
    <n v="-615.56023599999992"/>
    <n v="720.20520499999998"/>
    <n v="6260.2449690000003"/>
  </r>
  <r>
    <x v="11"/>
    <x v="7"/>
    <x v="3"/>
    <x v="0"/>
    <x v="101"/>
    <s v="KEPL/01813/82-83"/>
    <s v="BHAT BHATENI SUPERMARKET &amp; DEPARTMENTAL STORE PVT. LTD."/>
    <x v="36"/>
    <n v="2"/>
    <n v="80"/>
    <n v="72.040000000000006"/>
    <n v="5763.2"/>
    <n v="0"/>
    <n v="-576.32022100000006"/>
    <n v="674.29440399999999"/>
    <n v="5861.1741830000001"/>
  </r>
  <r>
    <x v="16"/>
    <x v="7"/>
    <x v="3"/>
    <x v="0"/>
    <x v="101"/>
    <s v="KEPL/01813/82-83"/>
    <s v="BHAT BHATENI SUPERMARKET &amp; DEPARTMENTAL STORE PVT. LTD."/>
    <x v="42"/>
    <n v="1"/>
    <n v="30"/>
    <n v="278.32"/>
    <n v="8349.6"/>
    <n v="0"/>
    <n v="-834.96032000000002"/>
    <n v="976.90320599999995"/>
    <n v="8491.5428859999993"/>
  </r>
  <r>
    <x v="17"/>
    <x v="7"/>
    <x v="3"/>
    <x v="0"/>
    <x v="101"/>
    <s v="KEPL/01813/82-83"/>
    <s v="BHAT BHATENI SUPERMARKET &amp; DEPARTMENTAL STORE PVT. LTD."/>
    <x v="39"/>
    <n v="2"/>
    <n v="40"/>
    <n v="219.38"/>
    <n v="8775.2000000000007"/>
    <n v="0"/>
    <n v="-877.52033599999993"/>
    <n v="1026.6984070000001"/>
    <n v="8924.3780709999992"/>
  </r>
  <r>
    <x v="14"/>
    <x v="7"/>
    <x v="3"/>
    <x v="0"/>
    <x v="101"/>
    <s v="KEPL/01813/82-83"/>
    <s v="BHAT BHATENI SUPERMARKET &amp; DEPARTMENTAL STORE PVT. LTD."/>
    <x v="31"/>
    <n v="1"/>
    <n v="60"/>
    <n v="98.23"/>
    <n v="5893.8"/>
    <n v="0"/>
    <n v="-589.38022599999999"/>
    <n v="689.57460500000002"/>
    <n v="5993.9943789999998"/>
  </r>
  <r>
    <x v="7"/>
    <x v="7"/>
    <x v="3"/>
    <x v="0"/>
    <x v="101"/>
    <s v="KEPL/01813/82-83"/>
    <s v="BHAT BHATENI SUPERMARKET &amp; DEPARTMENTAL STORE PVT. LTD."/>
    <x v="27"/>
    <n v="2"/>
    <n v="140"/>
    <n v="32.74"/>
    <n v="4583.6000000000004"/>
    <n v="0"/>
    <n v="-458.36017500000003"/>
    <n v="536.281204"/>
    <n v="4661.5210290000005"/>
  </r>
  <r>
    <x v="7"/>
    <x v="7"/>
    <x v="3"/>
    <x v="0"/>
    <x v="101"/>
    <s v="KEPL/01813/82-83"/>
    <s v="BHAT BHATENI SUPERMARKET &amp; DEPARTMENTAL STORE PVT. LTD."/>
    <x v="12"/>
    <n v="1"/>
    <n v="130"/>
    <n v="32.74"/>
    <n v="4256.2"/>
    <n v="0"/>
    <n v="-425.62016299999999"/>
    <n v="497.97540300000003"/>
    <n v="4328.5552399999997"/>
  </r>
  <r>
    <x v="20"/>
    <x v="7"/>
    <x v="3"/>
    <x v="0"/>
    <x v="102"/>
    <s v="KEPL/01815/82-83"/>
    <s v="SHUBHASHREE MARKETING"/>
    <x v="52"/>
    <n v="15"/>
    <n v="60"/>
    <n v="595.92999999999995"/>
    <n v="35755.799999999996"/>
    <n v="-2749.62"/>
    <n v="0"/>
    <n v="4290.8051649999998"/>
    <n v="37296.985164999998"/>
  </r>
  <r>
    <x v="6"/>
    <x v="7"/>
    <x v="3"/>
    <x v="0"/>
    <x v="102"/>
    <s v="KEPL/01815/82-83"/>
    <s v="SHUBHASHREE MARKETING"/>
    <x v="28"/>
    <n v="2"/>
    <n v="40"/>
    <n v="204.85"/>
    <n v="8194"/>
    <n v="-630.12"/>
    <n v="0"/>
    <n v="983.30480399999999"/>
    <n v="8547.1848040000004"/>
  </r>
  <r>
    <x v="8"/>
    <x v="7"/>
    <x v="3"/>
    <x v="0"/>
    <x v="102"/>
    <s v="KEPL/01815/82-83"/>
    <s v="SHUBHASHREE MARKETING"/>
    <x v="34"/>
    <n v="2"/>
    <n v="80"/>
    <n v="67.040000000000006"/>
    <n v="5363.2"/>
    <n v="-412.43"/>
    <n v="0"/>
    <n v="643.60036500000001"/>
    <n v="5594.3703649999998"/>
  </r>
  <r>
    <x v="10"/>
    <x v="7"/>
    <x v="3"/>
    <x v="0"/>
    <x v="102"/>
    <s v="KEPL/01815/82-83"/>
    <s v="SHUBHASHREE MARKETING"/>
    <x v="49"/>
    <n v="6"/>
    <n v="90"/>
    <n v="260.72000000000003"/>
    <n v="23464.799999999999"/>
    <n v="-1804.44"/>
    <n v="0"/>
    <n v="2815.8479579999998"/>
    <n v="24476.207957999999"/>
  </r>
  <r>
    <x v="8"/>
    <x v="7"/>
    <x v="3"/>
    <x v="0"/>
    <x v="102"/>
    <s v="KEPL/01815/82-83"/>
    <s v="SHUBHASHREE MARKETING"/>
    <x v="56"/>
    <n v="2"/>
    <n v="1600"/>
    <n v="7.46"/>
    <n v="11936"/>
    <n v="-917.88"/>
    <n v="0"/>
    <n v="1432.3561890000001"/>
    <n v="12450.476189000001"/>
  </r>
  <r>
    <x v="10"/>
    <x v="7"/>
    <x v="3"/>
    <x v="0"/>
    <x v="102"/>
    <s v="KEPL/01815/82-83"/>
    <s v="SHUBHASHREE MARKETING"/>
    <x v="45"/>
    <n v="2"/>
    <n v="30"/>
    <n v="260.72000000000003"/>
    <n v="7821.6"/>
    <n v="-601.48"/>
    <n v="0"/>
    <n v="938.61598600000002"/>
    <n v="8158.7359859999997"/>
  </r>
  <r>
    <x v="8"/>
    <x v="7"/>
    <x v="3"/>
    <x v="0"/>
    <x v="102"/>
    <s v="KEPL/01815/82-83"/>
    <s v="SHUBHASHREE MARKETING"/>
    <x v="41"/>
    <n v="1"/>
    <n v="40"/>
    <n v="67.040000000000006"/>
    <n v="2681.6"/>
    <n v="-206.22"/>
    <n v="0"/>
    <n v="321.799532"/>
    <n v="2797.1795320000001"/>
  </r>
  <r>
    <x v="16"/>
    <x v="7"/>
    <x v="3"/>
    <x v="0"/>
    <x v="102"/>
    <s v="KEPL/01816/82-83"/>
    <s v="MEGA MART PVT.LTD"/>
    <x v="35"/>
    <n v="1"/>
    <n v="60"/>
    <n v="129.41999999999999"/>
    <n v="7765.2"/>
    <n v="0"/>
    <n v="0"/>
    <n v="1009.48"/>
    <n v="8774.68"/>
  </r>
  <r>
    <x v="5"/>
    <x v="7"/>
    <x v="3"/>
    <x v="0"/>
    <x v="102"/>
    <s v="KESR/0050/82-83"/>
    <s v="CHHATRA DEV GENERAL SUPPLIERS"/>
    <x v="8"/>
    <n v="-4"/>
    <n v="-168"/>
    <n v="74.489999999999995"/>
    <n v="-12514.32"/>
    <n v="962.35"/>
    <n v="0"/>
    <n v="-1501.7559140000001"/>
    <n v="-13053.725914000001"/>
  </r>
  <r>
    <x v="5"/>
    <x v="7"/>
    <x v="3"/>
    <x v="0"/>
    <x v="102"/>
    <s v="KESR/0050/82-83"/>
    <s v="CHHATRA DEV GENERAL SUPPLIERS"/>
    <x v="7"/>
    <n v="-9"/>
    <n v="-378"/>
    <n v="74.489999999999995"/>
    <n v="-28157.22"/>
    <n v="2165.29"/>
    <n v="0"/>
    <n v="-3378.9504820000002"/>
    <n v="-29370.880482"/>
  </r>
  <r>
    <x v="5"/>
    <x v="7"/>
    <x v="3"/>
    <x v="0"/>
    <x v="102"/>
    <s v="KESR/0050/82-83"/>
    <s v="CHHATRA DEV GENERAL SUPPLIERS"/>
    <x v="10"/>
    <n v="-4"/>
    <n v="-168"/>
    <n v="74.489999999999995"/>
    <n v="-12514.32"/>
    <n v="962.35"/>
    <n v="0"/>
    <n v="-1501.7559140000001"/>
    <n v="-13053.725914000001"/>
  </r>
  <r>
    <x v="7"/>
    <x v="7"/>
    <x v="3"/>
    <x v="0"/>
    <x v="102"/>
    <s v="KESR/0050/82-83"/>
    <s v="CHHATRA DEV GENERAL SUPPLIERS"/>
    <x v="12"/>
    <n v="-3"/>
    <n v="-390"/>
    <n v="37.25"/>
    <n v="-14527.499999999998"/>
    <n v="1117.1600000000001"/>
    <n v="0"/>
    <n v="-1743.3439840000001"/>
    <n v="-15153.683983999999"/>
  </r>
  <r>
    <x v="18"/>
    <x v="7"/>
    <x v="3"/>
    <x v="0"/>
    <x v="102"/>
    <s v="KESR/0050/82-83"/>
    <s v="CHHATRA DEV GENERAL SUPPLIERS"/>
    <x v="43"/>
    <n v="-1"/>
    <n v="-60"/>
    <n v="111.74"/>
    <n v="-6704.4"/>
    <n v="515.57000000000005"/>
    <n v="0"/>
    <n v="-804.54780000000005"/>
    <n v="-6993.3778000000002"/>
  </r>
  <r>
    <x v="15"/>
    <x v="7"/>
    <x v="3"/>
    <x v="0"/>
    <x v="102"/>
    <s v="KESR/0050/82-83"/>
    <s v="CHHATRA DEV GENERAL SUPPLIERS"/>
    <x v="32"/>
    <n v="-1"/>
    <n v="-60"/>
    <n v="111.74"/>
    <n v="-6704.4"/>
    <n v="515.57000000000005"/>
    <n v="0"/>
    <n v="-804.54780000000005"/>
    <n v="-6993.3778000000002"/>
  </r>
  <r>
    <x v="1"/>
    <x v="7"/>
    <x v="3"/>
    <x v="0"/>
    <x v="102"/>
    <s v="KESR/0050/82-83"/>
    <s v="CHHATRA DEV GENERAL SUPPLIERS"/>
    <x v="26"/>
    <n v="-1"/>
    <n v="-18"/>
    <n v="178.78"/>
    <n v="-3218.0400000000004"/>
    <n v="247.47"/>
    <n v="0"/>
    <n v="-386.17405199999996"/>
    <n v="-3356.744052"/>
  </r>
  <r>
    <x v="1"/>
    <x v="7"/>
    <x v="3"/>
    <x v="0"/>
    <x v="102"/>
    <s v="KESR/0050/82-83"/>
    <s v="CHHATRA DEV GENERAL SUPPLIERS"/>
    <x v="24"/>
    <n v="-1"/>
    <n v="-18"/>
    <n v="178.78"/>
    <n v="-3218.0400000000004"/>
    <n v="247.47"/>
    <n v="0"/>
    <n v="-386.17405199999996"/>
    <n v="-3356.744052"/>
  </r>
  <r>
    <x v="1"/>
    <x v="7"/>
    <x v="3"/>
    <x v="0"/>
    <x v="103"/>
    <s v="KEPL/01845/82-83"/>
    <s v="SIMPEX SOLUTION PVT. LTD"/>
    <x v="26"/>
    <n v="0.28000000000000003"/>
    <n v="5"/>
    <n v="169.91"/>
    <n v="849.55000000000007"/>
    <n v="0"/>
    <n v="0"/>
    <n v="110.44116999999999"/>
    <n v="959.99117000000001"/>
  </r>
  <r>
    <x v="0"/>
    <x v="7"/>
    <x v="3"/>
    <x v="0"/>
    <x v="103"/>
    <s v="KEPL/01845/82-83"/>
    <s v="SIMPEX SOLUTION PVT. LTD"/>
    <x v="47"/>
    <n v="0.13"/>
    <n v="5"/>
    <n v="106.19"/>
    <n v="530.95000000000005"/>
    <n v="0"/>
    <n v="0"/>
    <n v="69.023294000000007"/>
    <n v="599.97329400000001"/>
  </r>
  <r>
    <x v="17"/>
    <x v="7"/>
    <x v="3"/>
    <x v="0"/>
    <x v="103"/>
    <s v="KEPL/01845/82-83"/>
    <s v="SIMPEX SOLUTION PVT. LTD"/>
    <x v="39"/>
    <n v="0.25"/>
    <n v="5"/>
    <n v="237.17"/>
    <n v="1185.8499999999999"/>
    <n v="0"/>
    <n v="0"/>
    <n v="154.16004000000001"/>
    <n v="1340.0100399999999"/>
  </r>
  <r>
    <x v="8"/>
    <x v="7"/>
    <x v="3"/>
    <x v="0"/>
    <x v="103"/>
    <s v="KEPL/01845/82-83"/>
    <s v="SIMPEX SOLUTION PVT. LTD"/>
    <x v="13"/>
    <n v="0.42"/>
    <n v="10"/>
    <n v="134.51"/>
    <n v="1345.1000000000001"/>
    <n v="0"/>
    <n v="0"/>
    <n v="174.86247800000001"/>
    <n v="1519.9624779999999"/>
  </r>
  <r>
    <x v="11"/>
    <x v="7"/>
    <x v="3"/>
    <x v="0"/>
    <x v="103"/>
    <s v="KEPL/01845/82-83"/>
    <s v="SIMPEX SOLUTION PVT. LTD"/>
    <x v="37"/>
    <n v="0.13"/>
    <n v="5"/>
    <n v="77.88"/>
    <n v="389.4"/>
    <n v="0"/>
    <n v="0"/>
    <n v="50.621848999999997"/>
    <n v="440.02184899999997"/>
  </r>
  <r>
    <x v="1"/>
    <x v="7"/>
    <x v="3"/>
    <x v="0"/>
    <x v="103"/>
    <s v="KEPL/01845/82-83"/>
    <s v="SIMPEX SOLUTION PVT. LTD"/>
    <x v="24"/>
    <n v="0.28000000000000003"/>
    <n v="5"/>
    <n v="169.91"/>
    <n v="849.55000000000007"/>
    <n v="0"/>
    <n v="0"/>
    <n v="110.44116999999999"/>
    <n v="959.99117000000001"/>
  </r>
  <r>
    <x v="11"/>
    <x v="7"/>
    <x v="3"/>
    <x v="0"/>
    <x v="103"/>
    <s v="KESR/0054/82-83"/>
    <s v="ABIRAL SUPPLIERS AND TRADERS"/>
    <x v="53"/>
    <n v="-0.15"/>
    <n v="-6"/>
    <n v="81.94"/>
    <n v="-491.65"/>
    <n v="37.81"/>
    <n v="0"/>
    <n v="-58.998779999999996"/>
    <n v="-512.83878000000004"/>
  </r>
  <r>
    <x v="11"/>
    <x v="7"/>
    <x v="3"/>
    <x v="0"/>
    <x v="103"/>
    <s v="KESR/0054/82-83"/>
    <s v="ABIRAL SUPPLIERS AND TRADERS"/>
    <x v="37"/>
    <n v="-0.85"/>
    <n v="-34"/>
    <n v="81.94"/>
    <n v="-2785.9599999999996"/>
    <n v="214.24"/>
    <n v="0"/>
    <n v="-334.32121999999998"/>
    <n v="-2906.0412200000001"/>
  </r>
  <r>
    <x v="20"/>
    <x v="7"/>
    <x v="3"/>
    <x v="0"/>
    <x v="104"/>
    <s v="KEPL/01851/82-83"/>
    <s v="NEW CHANDESHWARI SUPPLIERS"/>
    <x v="52"/>
    <n v="50"/>
    <n v="200"/>
    <n v="595.92999999999995"/>
    <n v="119186"/>
    <n v="-9165.4"/>
    <n v="0"/>
    <n v="14302.68"/>
    <n v="124323.28"/>
  </r>
  <r>
    <x v="5"/>
    <x v="7"/>
    <x v="3"/>
    <x v="0"/>
    <x v="105"/>
    <s v="KEPL/01859/82-83"/>
    <s v="GORIN TRADING "/>
    <x v="7"/>
    <n v="9"/>
    <n v="378"/>
    <n v="74.489999999999995"/>
    <n v="28157.22"/>
    <n v="-2165.29"/>
    <n v="0"/>
    <n v="3378.949259"/>
    <n v="29370.879259000001"/>
  </r>
  <r>
    <x v="5"/>
    <x v="7"/>
    <x v="3"/>
    <x v="0"/>
    <x v="105"/>
    <s v="KEPL/01859/82-83"/>
    <s v="GORIN TRADING "/>
    <x v="8"/>
    <n v="4"/>
    <n v="168"/>
    <n v="74.489999999999995"/>
    <n v="12514.32"/>
    <n v="-962.35"/>
    <n v="0"/>
    <n v="1501.755371"/>
    <n v="13053.725371"/>
  </r>
  <r>
    <x v="5"/>
    <x v="7"/>
    <x v="3"/>
    <x v="0"/>
    <x v="105"/>
    <s v="KEPL/01859/82-83"/>
    <s v="GORIN TRADING "/>
    <x v="10"/>
    <n v="4"/>
    <n v="168"/>
    <n v="74.489999999999995"/>
    <n v="12514.32"/>
    <n v="-962.35"/>
    <n v="0"/>
    <n v="1501.755371"/>
    <n v="13053.725371"/>
  </r>
  <r>
    <x v="3"/>
    <x v="7"/>
    <x v="3"/>
    <x v="0"/>
    <x v="106"/>
    <s v="KEPL/01865/82-83"/>
    <s v="MEGA MART PVT.LTD"/>
    <x v="55"/>
    <n v="9"/>
    <n v="180"/>
    <n v="155.97"/>
    <n v="28074.600000000002"/>
    <n v="0"/>
    <n v="0"/>
    <n v="3649.699721"/>
    <n v="31724.299720999999"/>
  </r>
  <r>
    <x v="16"/>
    <x v="7"/>
    <x v="3"/>
    <x v="0"/>
    <x v="106"/>
    <s v="KEPL/01865/82-83"/>
    <s v="MEGA MART PVT.LTD"/>
    <x v="35"/>
    <n v="1"/>
    <n v="60"/>
    <n v="129.41999999999999"/>
    <n v="7765.2"/>
    <n v="0"/>
    <n v="0"/>
    <n v="1009.476476"/>
    <n v="8774.6764760000005"/>
  </r>
  <r>
    <x v="16"/>
    <x v="7"/>
    <x v="3"/>
    <x v="0"/>
    <x v="106"/>
    <s v="KEPL/01865/82-83"/>
    <s v="MEGA MART PVT.LTD"/>
    <x v="42"/>
    <n v="2"/>
    <n v="60"/>
    <n v="282.08"/>
    <n v="16924.8"/>
    <n v="0"/>
    <n v="0"/>
    <n v="2200.225038"/>
    <n v="19125.025038"/>
  </r>
  <r>
    <x v="3"/>
    <x v="7"/>
    <x v="3"/>
    <x v="0"/>
    <x v="106"/>
    <s v="KEPL/01865/82-83"/>
    <s v="MEGA MART PVT.LTD"/>
    <x v="46"/>
    <n v="4"/>
    <n v="80"/>
    <n v="155.97"/>
    <n v="12477.599999999999"/>
    <n v="0"/>
    <n v="0"/>
    <n v="1622.088765"/>
    <n v="14099.688765000001"/>
  </r>
  <r>
    <x v="17"/>
    <x v="7"/>
    <x v="3"/>
    <x v="0"/>
    <x v="106"/>
    <s v="KEPL/01870/82-83"/>
    <s v="SHUBHASHREE MARKETING"/>
    <x v="39"/>
    <n v="15"/>
    <n v="300"/>
    <n v="249.55"/>
    <n v="74865"/>
    <n v="-5757.12"/>
    <n v="0"/>
    <n v="8984.0226940000011"/>
    <n v="78091.902694000004"/>
  </r>
  <r>
    <x v="7"/>
    <x v="7"/>
    <x v="3"/>
    <x v="0"/>
    <x v="106"/>
    <s v="KEPL/01870/82-83"/>
    <s v="SHUBHASHREE MARKETING"/>
    <x v="27"/>
    <n v="10"/>
    <n v="700"/>
    <n v="37.25"/>
    <n v="26075"/>
    <n v="-2005.1699999999998"/>
    <n v="0"/>
    <n v="3129.0773060000001"/>
    <n v="27198.907306000001"/>
  </r>
  <r>
    <x v="16"/>
    <x v="7"/>
    <x v="3"/>
    <x v="0"/>
    <x v="106"/>
    <s v="KEPL/01871/82-83"/>
    <s v="DINESH TRADING HOUSE"/>
    <x v="42"/>
    <n v="3"/>
    <n v="90"/>
    <n v="316.58999999999997"/>
    <n v="28493.1"/>
    <n v="-2191.12"/>
    <n v="0"/>
    <n v="3419.2569940000003"/>
    <n v="29721.236993999999"/>
  </r>
  <r>
    <x v="20"/>
    <x v="7"/>
    <x v="3"/>
    <x v="0"/>
    <x v="106"/>
    <s v="KEPL/01871/82-83"/>
    <s v="DINESH TRADING HOUSE"/>
    <x v="52"/>
    <n v="15"/>
    <n v="60"/>
    <n v="595.92999999999995"/>
    <n v="35755.799999999996"/>
    <n v="-2749.62"/>
    <n v="0"/>
    <n v="4290.8028899999999"/>
    <n v="37296.982889999999"/>
  </r>
  <r>
    <x v="3"/>
    <x v="7"/>
    <x v="3"/>
    <x v="0"/>
    <x v="106"/>
    <s v="KEPL/01871/82-83"/>
    <s v="DINESH TRADING HOUSE"/>
    <x v="46"/>
    <n v="1"/>
    <n v="20"/>
    <n v="175.05"/>
    <n v="3500.9999999999995"/>
    <n v="-269.23"/>
    <n v="0"/>
    <n v="420.13004999999998"/>
    <n v="3651.9000500000002"/>
  </r>
  <r>
    <x v="0"/>
    <x v="7"/>
    <x v="3"/>
    <x v="0"/>
    <x v="106"/>
    <s v="KEPL/01871/82-83"/>
    <s v="DINESH TRADING HOUSE"/>
    <x v="47"/>
    <n v="3"/>
    <n v="120"/>
    <n v="111.74"/>
    <n v="13408.8"/>
    <n v="-1031.1400000000001"/>
    <n v="0"/>
    <n v="1609.095609"/>
    <n v="13986.755609"/>
  </r>
  <r>
    <x v="7"/>
    <x v="7"/>
    <x v="3"/>
    <x v="0"/>
    <x v="106"/>
    <s v="KEPL/01871/82-83"/>
    <s v="DINESH TRADING HOUSE"/>
    <x v="27"/>
    <n v="12"/>
    <n v="840"/>
    <n v="37.25"/>
    <n v="31290"/>
    <n v="-2406.2000000000003"/>
    <n v="0"/>
    <n v="3754.8935539999998"/>
    <n v="32638.693554000001"/>
  </r>
  <r>
    <x v="16"/>
    <x v="7"/>
    <x v="3"/>
    <x v="0"/>
    <x v="106"/>
    <s v="KEPL/01871/82-83"/>
    <s v="DINESH TRADING HOUSE"/>
    <x v="35"/>
    <n v="2"/>
    <n v="120"/>
    <n v="145.26"/>
    <n v="17431.2"/>
    <n v="-1340.46"/>
    <n v="0"/>
    <n v="2091.7959519999999"/>
    <n v="18182.535951999998"/>
  </r>
  <r>
    <x v="8"/>
    <x v="7"/>
    <x v="3"/>
    <x v="0"/>
    <x v="106"/>
    <s v="KEPL/01871/82-83"/>
    <s v="DINESH TRADING HOUSE"/>
    <x v="56"/>
    <n v="6"/>
    <n v="4800"/>
    <n v="7.46"/>
    <n v="35808"/>
    <n v="-2753.64"/>
    <n v="0"/>
    <n v="4297.0662899999998"/>
    <n v="37351.426290000003"/>
  </r>
  <r>
    <x v="8"/>
    <x v="7"/>
    <x v="3"/>
    <x v="0"/>
    <x v="106"/>
    <s v="KEPL/01871/82-83"/>
    <s v="DINESH TRADING HOUSE"/>
    <x v="33"/>
    <n v="3"/>
    <n v="120"/>
    <n v="74.489999999999995"/>
    <n v="8938.8000000000011"/>
    <n v="-687.3900000000001"/>
    <n v="0"/>
    <n v="1072.6831730000001"/>
    <n v="9324.0931729999993"/>
  </r>
  <r>
    <x v="10"/>
    <x v="7"/>
    <x v="3"/>
    <x v="0"/>
    <x v="106"/>
    <s v="KEPL/01871/82-83"/>
    <s v="DINESH TRADING HOUSE"/>
    <x v="49"/>
    <n v="2"/>
    <n v="30"/>
    <n v="260.72000000000003"/>
    <n v="7821.6"/>
    <n v="-601.48"/>
    <n v="0"/>
    <n v="938.61548900000003"/>
    <n v="8158.7354889999997"/>
  </r>
  <r>
    <x v="8"/>
    <x v="7"/>
    <x v="3"/>
    <x v="0"/>
    <x v="107"/>
    <s v="KEPL/01874/82-83"/>
    <s v="MEGA MART PVT.LTD"/>
    <x v="33"/>
    <n v="7"/>
    <n v="280"/>
    <n v="66.37"/>
    <n v="18583.600000000002"/>
    <n v="0"/>
    <n v="0"/>
    <n v="2415.87"/>
    <n v="20999.47"/>
  </r>
  <r>
    <x v="7"/>
    <x v="7"/>
    <x v="3"/>
    <x v="0"/>
    <x v="107"/>
    <s v="KEPL/01876/82-83"/>
    <s v="GORIN TRADING "/>
    <x v="27"/>
    <n v="2"/>
    <n v="140"/>
    <n v="37.25"/>
    <n v="5215"/>
    <n v="-401.03"/>
    <n v="0"/>
    <n v="625.82000000000005"/>
    <n v="5439.79"/>
  </r>
  <r>
    <x v="16"/>
    <x v="7"/>
    <x v="3"/>
    <x v="0"/>
    <x v="108"/>
    <s v="KEPL/01900/82-83"/>
    <s v="SHREE BHOLEY SHANKAR KIRANA STORE"/>
    <x v="42"/>
    <n v="3"/>
    <n v="90"/>
    <n v="316.58999999999997"/>
    <n v="28493.1"/>
    <n v="-2191.12"/>
    <n v="0"/>
    <n v="3419.26"/>
    <n v="29721.24"/>
  </r>
  <r>
    <x v="1"/>
    <x v="7"/>
    <x v="3"/>
    <x v="0"/>
    <x v="109"/>
    <s v="KEPL/01913/82-83"/>
    <s v=" THE RED DOOR BAKERS PVT.LTD"/>
    <x v="24"/>
    <n v="35"/>
    <n v="630"/>
    <n v="178.78"/>
    <n v="112631.40000000001"/>
    <n v="-8661.35"/>
    <n v="0"/>
    <n v="13516.11"/>
    <n v="117486.16"/>
  </r>
  <r>
    <x v="7"/>
    <x v="7"/>
    <x v="3"/>
    <x v="0"/>
    <x v="109"/>
    <s v="KEPL/01942/82-83"/>
    <s v="BHAT BHATENI SUPERMARKET &amp; DEPARTMENTAL STORE PVT. LTD."/>
    <x v="12"/>
    <n v="15"/>
    <n v="1950"/>
    <n v="32.74"/>
    <n v="63843"/>
    <n v="0"/>
    <n v="0"/>
    <n v="8299.59"/>
    <n v="72142.59"/>
  </r>
  <r>
    <x v="8"/>
    <x v="7"/>
    <x v="3"/>
    <x v="0"/>
    <x v="109"/>
    <s v="KEPL/01942/82-83"/>
    <s v="BHAT BHATENI SUPERMARKET &amp; DEPARTMENTAL STORE PVT. LTD."/>
    <x v="33"/>
    <n v="10"/>
    <n v="400"/>
    <n v="65.489999999999995"/>
    <n v="26196"/>
    <n v="0"/>
    <n v="0"/>
    <n v="3405.4799999999996"/>
    <n v="29601.48"/>
  </r>
  <r>
    <x v="17"/>
    <x v="7"/>
    <x v="3"/>
    <x v="0"/>
    <x v="109"/>
    <s v="KEPL/01942/82-83"/>
    <s v="BHAT BHATENI SUPERMARKET &amp; DEPARTMENTAL STORE PVT. LTD."/>
    <x v="39"/>
    <n v="10"/>
    <n v="200"/>
    <n v="219.38"/>
    <n v="43876"/>
    <n v="0"/>
    <n v="0"/>
    <n v="5703.88"/>
    <n v="49579.88"/>
  </r>
  <r>
    <x v="8"/>
    <x v="7"/>
    <x v="3"/>
    <x v="0"/>
    <x v="109"/>
    <s v="KEPL/01942/82-83"/>
    <s v="BHAT BHATENI SUPERMARKET &amp; DEPARTMENTAL STORE PVT. LTD."/>
    <x v="41"/>
    <n v="10"/>
    <n v="400"/>
    <n v="65.489999999999995"/>
    <n v="26196"/>
    <n v="0"/>
    <n v="0"/>
    <n v="3405.4799999999996"/>
    <n v="29601.48"/>
  </r>
  <r>
    <x v="0"/>
    <x v="7"/>
    <x v="3"/>
    <x v="0"/>
    <x v="109"/>
    <s v="KEPL/01942/82-83"/>
    <s v="BHAT BHATENI SUPERMARKET &amp; DEPARTMENTAL STORE PVT. LTD."/>
    <x v="57"/>
    <n v="10"/>
    <n v="400"/>
    <n v="98.23"/>
    <n v="39292"/>
    <n v="0"/>
    <n v="0"/>
    <n v="5107.96"/>
    <n v="44399.96"/>
  </r>
  <r>
    <x v="2"/>
    <x v="7"/>
    <x v="3"/>
    <x v="0"/>
    <x v="109"/>
    <s v="KEPL/01942/82-83"/>
    <s v="BHAT BHATENI SUPERMARKET &amp; DEPARTMENTAL STORE PVT. LTD."/>
    <x v="3"/>
    <n v="15"/>
    <n v="300"/>
    <n v="163.72"/>
    <n v="49116"/>
    <n v="0"/>
    <n v="0"/>
    <n v="6385.08"/>
    <n v="55501.08"/>
  </r>
  <r>
    <x v="19"/>
    <x v="7"/>
    <x v="3"/>
    <x v="0"/>
    <x v="109"/>
    <s v="KEPL/01942/82-83"/>
    <s v="BHAT BHATENI SUPERMARKET &amp; DEPARTMENTAL STORE PVT. LTD."/>
    <x v="51"/>
    <n v="10"/>
    <n v="500"/>
    <n v="78.58"/>
    <n v="39290"/>
    <n v="0"/>
    <n v="0"/>
    <n v="5107.7"/>
    <n v="44397.7"/>
  </r>
  <r>
    <x v="6"/>
    <x v="7"/>
    <x v="3"/>
    <x v="0"/>
    <x v="109"/>
    <s v="KEPL/01942/82-83"/>
    <s v="BHAT BHATENI SUPERMARKET &amp; DEPARTMENTAL STORE PVT. LTD."/>
    <x v="29"/>
    <n v="10"/>
    <n v="200"/>
    <n v="180.09"/>
    <n v="36018"/>
    <n v="0"/>
    <n v="0"/>
    <n v="4682.34"/>
    <n v="40700.339999999997"/>
  </r>
  <r>
    <x v="6"/>
    <x v="7"/>
    <x v="3"/>
    <x v="0"/>
    <x v="109"/>
    <s v="KEPL/01942/82-83"/>
    <s v="BHAT BHATENI SUPERMARKET &amp; DEPARTMENTAL STORE PVT. LTD."/>
    <x v="28"/>
    <n v="10"/>
    <n v="200"/>
    <n v="180.09"/>
    <n v="36018"/>
    <n v="0"/>
    <n v="0"/>
    <n v="4682.34"/>
    <n v="40700.339999999997"/>
  </r>
  <r>
    <x v="8"/>
    <x v="7"/>
    <x v="3"/>
    <x v="0"/>
    <x v="109"/>
    <s v="KEPL/01942/82-83"/>
    <s v="BHAT BHATENI SUPERMARKET &amp; DEPARTMENTAL STORE PVT. LTD."/>
    <x v="34"/>
    <n v="10"/>
    <n v="400"/>
    <n v="65.489999999999995"/>
    <n v="26196"/>
    <n v="0"/>
    <n v="0"/>
    <n v="3405.4799999999996"/>
    <n v="29601.48"/>
  </r>
  <r>
    <x v="7"/>
    <x v="7"/>
    <x v="3"/>
    <x v="0"/>
    <x v="109"/>
    <s v="KEPL/01942/82-83"/>
    <s v="BHAT BHATENI SUPERMARKET &amp; DEPARTMENTAL STORE PVT. LTD."/>
    <x v="27"/>
    <n v="10"/>
    <n v="700"/>
    <n v="32.74"/>
    <n v="22918"/>
    <n v="0"/>
    <n v="0"/>
    <n v="2979.34"/>
    <n v="25897.34"/>
  </r>
  <r>
    <x v="6"/>
    <x v="7"/>
    <x v="3"/>
    <x v="0"/>
    <x v="109"/>
    <s v="KEPL/01942/82-83"/>
    <s v="BHAT BHATENI SUPERMARKET &amp; DEPARTMENTAL STORE PVT. LTD."/>
    <x v="59"/>
    <n v="10"/>
    <n v="200"/>
    <n v="180.09"/>
    <n v="36018"/>
    <n v="0"/>
    <n v="0"/>
    <n v="4682.34"/>
    <n v="40700.339999999997"/>
  </r>
  <r>
    <x v="6"/>
    <x v="7"/>
    <x v="3"/>
    <x v="0"/>
    <x v="109"/>
    <s v="KEPL/01942/82-83"/>
    <s v="BHAT BHATENI SUPERMARKET &amp; DEPARTMENTAL STORE PVT. LTD."/>
    <x v="30"/>
    <n v="10"/>
    <n v="200"/>
    <n v="212.83"/>
    <n v="42566"/>
    <n v="0"/>
    <n v="0"/>
    <n v="5533.58"/>
    <n v="48099.58"/>
  </r>
  <r>
    <x v="6"/>
    <x v="7"/>
    <x v="3"/>
    <x v="0"/>
    <x v="109"/>
    <s v="KEPL/01942/82-83"/>
    <s v="BHAT BHATENI SUPERMARKET &amp; DEPARTMENTAL STORE PVT. LTD."/>
    <x v="48"/>
    <n v="10"/>
    <n v="200"/>
    <n v="180.09"/>
    <n v="36018"/>
    <n v="0"/>
    <n v="0"/>
    <n v="4682.34"/>
    <n v="40700.339999999997"/>
  </r>
  <r>
    <x v="13"/>
    <x v="7"/>
    <x v="3"/>
    <x v="0"/>
    <x v="109"/>
    <s v="KEPL/01943/82-83"/>
    <s v="NEW HORIZON DISTRIBUTORS"/>
    <x v="40"/>
    <n v="1"/>
    <n v="600"/>
    <n v="7.46"/>
    <n v="4476"/>
    <n v="-344.2"/>
    <n v="0"/>
    <n v="537.13403000000005"/>
    <n v="4668.9340300000003"/>
  </r>
  <r>
    <x v="0"/>
    <x v="7"/>
    <x v="3"/>
    <x v="0"/>
    <x v="109"/>
    <s v="KEPL/01943/82-83"/>
    <s v="NEW HORIZON DISTRIBUTORS"/>
    <x v="57"/>
    <n v="3"/>
    <n v="120"/>
    <n v="111.74"/>
    <n v="13408.8"/>
    <n v="-1031.1400000000001"/>
    <n v="0"/>
    <n v="1609.0958909999999"/>
    <n v="13986.755891000001"/>
  </r>
  <r>
    <x v="7"/>
    <x v="7"/>
    <x v="3"/>
    <x v="0"/>
    <x v="109"/>
    <s v="KEPL/01943/82-83"/>
    <s v="NEW HORIZON DISTRIBUTORS"/>
    <x v="27"/>
    <n v="10"/>
    <n v="700"/>
    <n v="37.25"/>
    <n v="26075"/>
    <n v="-2005.1699999999998"/>
    <n v="0"/>
    <n v="3129.0780760000002"/>
    <n v="27198.908076"/>
  </r>
  <r>
    <x v="6"/>
    <x v="7"/>
    <x v="3"/>
    <x v="0"/>
    <x v="109"/>
    <s v="KEPL/01943/82-83"/>
    <s v="NEW HORIZON DISTRIBUTORS"/>
    <x v="30"/>
    <n v="2"/>
    <n v="40"/>
    <n v="242.1"/>
    <n v="9683.9999999999982"/>
    <n v="-744.7"/>
    <n v="0"/>
    <n v="1162.1090650000001"/>
    <n v="10101.409065"/>
  </r>
  <r>
    <x v="8"/>
    <x v="7"/>
    <x v="3"/>
    <x v="0"/>
    <x v="109"/>
    <s v="KEPL/01943/82-83"/>
    <s v="NEW HORIZON DISTRIBUTORS"/>
    <x v="41"/>
    <n v="2"/>
    <n v="80"/>
    <n v="74.5"/>
    <n v="5960"/>
    <n v="-458.32"/>
    <n v="0"/>
    <n v="715.21843999999999"/>
    <n v="6216.8984399999999"/>
  </r>
  <r>
    <x v="8"/>
    <x v="7"/>
    <x v="3"/>
    <x v="0"/>
    <x v="109"/>
    <s v="KEPL/01943/82-83"/>
    <s v="NEW HORIZON DISTRIBUTORS"/>
    <x v="56"/>
    <n v="1"/>
    <n v="800"/>
    <n v="7.46"/>
    <n v="5968"/>
    <n v="-458.94"/>
    <n v="0"/>
    <n v="716.17784000000006"/>
    <n v="6225.2378399999998"/>
  </r>
  <r>
    <x v="8"/>
    <x v="7"/>
    <x v="3"/>
    <x v="0"/>
    <x v="109"/>
    <s v="KEPL/01943/82-83"/>
    <s v="NEW HORIZON DISTRIBUTORS"/>
    <x v="34"/>
    <n v="2"/>
    <n v="80"/>
    <n v="74.5"/>
    <n v="5959.7"/>
    <n v="-458.3"/>
    <n v="0"/>
    <n v="715.18204000000003"/>
    <n v="6216.5820400000002"/>
  </r>
  <r>
    <x v="8"/>
    <x v="7"/>
    <x v="3"/>
    <x v="0"/>
    <x v="109"/>
    <s v="KEPL/01943/82-83"/>
    <s v="NEW HORIZON DISTRIBUTORS"/>
    <x v="33"/>
    <n v="2"/>
    <n v="80"/>
    <n v="74.489999999999995"/>
    <n v="5959.2"/>
    <n v="-458.26"/>
    <n v="0"/>
    <n v="715.12224000000003"/>
    <n v="6216.0622400000002"/>
  </r>
  <r>
    <x v="6"/>
    <x v="7"/>
    <x v="3"/>
    <x v="0"/>
    <x v="109"/>
    <s v="KEPL/01943/82-83"/>
    <s v="NEW HORIZON DISTRIBUTORS"/>
    <x v="48"/>
    <n v="5"/>
    <n v="100"/>
    <n v="204.85"/>
    <n v="20485"/>
    <n v="-1575.3"/>
    <n v="0"/>
    <n v="2458.2611379999998"/>
    <n v="21367.961137999999"/>
  </r>
  <r>
    <x v="7"/>
    <x v="7"/>
    <x v="3"/>
    <x v="0"/>
    <x v="109"/>
    <s v="KEPL/01943/82-83"/>
    <s v="NEW HORIZON DISTRIBUTORS"/>
    <x v="12"/>
    <n v="5"/>
    <n v="650"/>
    <n v="37.25"/>
    <n v="24212.5"/>
    <n v="-1861.9399999999998"/>
    <n v="0"/>
    <n v="2905.572964"/>
    <n v="25256.132964"/>
  </r>
  <r>
    <x v="16"/>
    <x v="7"/>
    <x v="3"/>
    <x v="0"/>
    <x v="109"/>
    <s v="KEPL/01943/82-83"/>
    <s v="NEW HORIZON DISTRIBUTORS"/>
    <x v="35"/>
    <n v="2"/>
    <n v="120"/>
    <n v="145.26"/>
    <n v="17431.2"/>
    <n v="-1340.46"/>
    <n v="0"/>
    <n v="2091.7963180000002"/>
    <n v="18182.536317999999"/>
  </r>
  <r>
    <x v="0"/>
    <x v="7"/>
    <x v="3"/>
    <x v="0"/>
    <x v="109"/>
    <s v="KEPL/01943/82-83"/>
    <s v="NEW HORIZON DISTRIBUTORS"/>
    <x v="47"/>
    <n v="1"/>
    <n v="40"/>
    <n v="111.74"/>
    <n v="4469.6000000000004"/>
    <n v="-343.71"/>
    <n v="0"/>
    <n v="536.36572999999999"/>
    <n v="4662.2557299999999"/>
  </r>
  <r>
    <x v="2"/>
    <x v="7"/>
    <x v="3"/>
    <x v="0"/>
    <x v="109"/>
    <s v="KEPL/01943/82-83"/>
    <s v="NEW HORIZON DISTRIBUTORS"/>
    <x v="3"/>
    <n v="5"/>
    <n v="100"/>
    <n v="186.22"/>
    <n v="18622"/>
    <n v="-1432.03"/>
    <n v="0"/>
    <n v="2234.696226"/>
    <n v="19424.666226000001"/>
  </r>
  <r>
    <x v="8"/>
    <x v="7"/>
    <x v="3"/>
    <x v="0"/>
    <x v="109"/>
    <s v="KEPL/01944/82-83"/>
    <s v="UMALAXMI TRADERS"/>
    <x v="56"/>
    <n v="1"/>
    <n v="800"/>
    <n v="7.46"/>
    <n v="5968"/>
    <n v="-458.94"/>
    <n v="0"/>
    <n v="716.17707800000005"/>
    <n v="6225.2370780000001"/>
  </r>
  <r>
    <x v="19"/>
    <x v="7"/>
    <x v="3"/>
    <x v="0"/>
    <x v="109"/>
    <s v="KEPL/01944/82-83"/>
    <s v="UMALAXMI TRADERS"/>
    <x v="51"/>
    <n v="3"/>
    <n v="150"/>
    <n v="89.39"/>
    <n v="13408.500000000002"/>
    <n v="-1031.1100000000001"/>
    <n v="0"/>
    <n v="1609.0590769999999"/>
    <n v="13986.449076999999"/>
  </r>
  <r>
    <x v="2"/>
    <x v="7"/>
    <x v="3"/>
    <x v="0"/>
    <x v="109"/>
    <s v="KEPL/01944/82-83"/>
    <s v="UMALAXMI TRADERS"/>
    <x v="3"/>
    <n v="5"/>
    <n v="100"/>
    <n v="186.22"/>
    <n v="18622"/>
    <n v="-1432.03"/>
    <n v="0"/>
    <n v="2234.6938460000001"/>
    <n v="19424.663845999999"/>
  </r>
  <r>
    <x v="2"/>
    <x v="7"/>
    <x v="3"/>
    <x v="0"/>
    <x v="109"/>
    <s v="KEPL/01945/82-83"/>
    <s v="AASHI TRADERS"/>
    <x v="3"/>
    <n v="25"/>
    <n v="500"/>
    <n v="186.22"/>
    <n v="93110"/>
    <n v="-7160.16"/>
    <n v="0"/>
    <n v="11173.476736000001"/>
    <n v="97123.316735999993"/>
  </r>
  <r>
    <x v="6"/>
    <x v="7"/>
    <x v="3"/>
    <x v="0"/>
    <x v="109"/>
    <s v="KEPL/01945/82-83"/>
    <s v="AASHI TRADERS"/>
    <x v="59"/>
    <n v="2"/>
    <n v="40"/>
    <n v="204.85"/>
    <n v="8194"/>
    <n v="-630.12"/>
    <n v="0"/>
    <n v="983.30418299999997"/>
    <n v="8547.1841829999994"/>
  </r>
  <r>
    <x v="8"/>
    <x v="7"/>
    <x v="3"/>
    <x v="0"/>
    <x v="109"/>
    <s v="KEPL/01945/82-83"/>
    <s v="AASHI TRADERS"/>
    <x v="34"/>
    <n v="3"/>
    <n v="120"/>
    <n v="74.5"/>
    <n v="8940"/>
    <n v="-687.4899999999999"/>
    <n v="0"/>
    <n v="1072.826063"/>
    <n v="9325.3360630000006"/>
  </r>
  <r>
    <x v="19"/>
    <x v="7"/>
    <x v="3"/>
    <x v="0"/>
    <x v="109"/>
    <s v="KEPL/01945/82-83"/>
    <s v="AASHI TRADERS"/>
    <x v="51"/>
    <n v="3"/>
    <n v="150"/>
    <n v="89.39"/>
    <n v="13408.500000000002"/>
    <n v="-1031.1100000000001"/>
    <n v="0"/>
    <n v="1609.0603449999999"/>
    <n v="13986.450344999999"/>
  </r>
  <r>
    <x v="0"/>
    <x v="7"/>
    <x v="3"/>
    <x v="0"/>
    <x v="109"/>
    <s v="KEPL/01945/82-83"/>
    <s v="AASHI TRADERS"/>
    <x v="47"/>
    <n v="3"/>
    <n v="120"/>
    <n v="111.74"/>
    <n v="13408.8"/>
    <n v="-1031.1400000000001"/>
    <n v="0"/>
    <n v="1609.0954450000002"/>
    <n v="13986.755445000001"/>
  </r>
  <r>
    <x v="6"/>
    <x v="7"/>
    <x v="3"/>
    <x v="0"/>
    <x v="109"/>
    <s v="KEPL/01945/82-83"/>
    <s v="AASHI TRADERS"/>
    <x v="48"/>
    <n v="2"/>
    <n v="40"/>
    <n v="204.85"/>
    <n v="8194"/>
    <n v="-630.12"/>
    <n v="0"/>
    <n v="983.30418299999997"/>
    <n v="8547.1841829999994"/>
  </r>
  <r>
    <x v="6"/>
    <x v="7"/>
    <x v="3"/>
    <x v="0"/>
    <x v="109"/>
    <s v="KEPL/01945/82-83"/>
    <s v="AASHI TRADERS"/>
    <x v="29"/>
    <n v="3"/>
    <n v="60"/>
    <n v="204.85"/>
    <n v="12291"/>
    <n v="-945.18"/>
    <n v="0"/>
    <n v="1474.9562750000002"/>
    <n v="12820.776275"/>
  </r>
  <r>
    <x v="8"/>
    <x v="7"/>
    <x v="3"/>
    <x v="0"/>
    <x v="109"/>
    <s v="KEPL/01945/82-83"/>
    <s v="AASHI TRADERS"/>
    <x v="33"/>
    <n v="3"/>
    <n v="120"/>
    <n v="74.489999999999995"/>
    <n v="8938.8000000000011"/>
    <n v="-687.3900000000001"/>
    <n v="0"/>
    <n v="1072.6830629999999"/>
    <n v="9324.0930630000003"/>
  </r>
  <r>
    <x v="8"/>
    <x v="7"/>
    <x v="3"/>
    <x v="0"/>
    <x v="109"/>
    <s v="KEPL/01945/82-83"/>
    <s v="AASHI TRADERS"/>
    <x v="56"/>
    <n v="1"/>
    <n v="800"/>
    <n v="7.46"/>
    <n v="5968"/>
    <n v="-458.94"/>
    <n v="0"/>
    <n v="716.17764199999999"/>
    <n v="6225.2376420000001"/>
  </r>
  <r>
    <x v="8"/>
    <x v="7"/>
    <x v="3"/>
    <x v="0"/>
    <x v="109"/>
    <s v="KEPL/01945/82-83"/>
    <s v="AASHI TRADERS"/>
    <x v="41"/>
    <n v="3"/>
    <n v="120"/>
    <n v="74.5"/>
    <n v="8940"/>
    <n v="-687.4899999999999"/>
    <n v="0"/>
    <n v="1072.826063"/>
    <n v="9325.3360630000006"/>
  </r>
  <r>
    <x v="15"/>
    <x v="7"/>
    <x v="3"/>
    <x v="0"/>
    <x v="109"/>
    <s v="KEPL/01946/82-83"/>
    <s v="BHAT BHATENI SUPERMARKET &amp; DEPARTMENTAL STORE PVT. LTD."/>
    <x v="32"/>
    <n v="5"/>
    <n v="300"/>
    <n v="98.23"/>
    <n v="29469"/>
    <n v="0"/>
    <n v="0"/>
    <n v="3830.9696440000002"/>
    <n v="33299.969643999997"/>
  </r>
  <r>
    <x v="18"/>
    <x v="7"/>
    <x v="3"/>
    <x v="0"/>
    <x v="109"/>
    <s v="KEPL/01946/82-83"/>
    <s v="BHAT BHATENI SUPERMARKET &amp; DEPARTMENTAL STORE PVT. LTD."/>
    <x v="43"/>
    <n v="5"/>
    <n v="300"/>
    <n v="98.23"/>
    <n v="29469"/>
    <n v="0"/>
    <n v="0"/>
    <n v="3830.9696440000002"/>
    <n v="33299.969643999997"/>
  </r>
  <r>
    <x v="16"/>
    <x v="7"/>
    <x v="3"/>
    <x v="0"/>
    <x v="109"/>
    <s v="KEPL/01946/82-83"/>
    <s v="BHAT BHATENI SUPERMARKET &amp; DEPARTMENTAL STORE PVT. LTD."/>
    <x v="35"/>
    <n v="10"/>
    <n v="600"/>
    <n v="127.7"/>
    <n v="76620"/>
    <n v="0"/>
    <n v="0"/>
    <n v="9960.5990729999994"/>
    <n v="86580.599073000005"/>
  </r>
  <r>
    <x v="10"/>
    <x v="7"/>
    <x v="3"/>
    <x v="0"/>
    <x v="109"/>
    <s v="KEPL/01946/82-83"/>
    <s v="BHAT BHATENI SUPERMARKET &amp; DEPARTMENTAL STORE PVT. LTD."/>
    <x v="45"/>
    <n v="10"/>
    <n v="150"/>
    <n v="229.2"/>
    <n v="34380"/>
    <n v="0"/>
    <n v="0"/>
    <n v="4469.3995839999998"/>
    <n v="38849.399583999999"/>
  </r>
  <r>
    <x v="11"/>
    <x v="7"/>
    <x v="3"/>
    <x v="0"/>
    <x v="109"/>
    <s v="KEPL/01946/82-83"/>
    <s v="BHAT BHATENI SUPERMARKET &amp; DEPARTMENTAL STORE PVT. LTD."/>
    <x v="53"/>
    <n v="10"/>
    <n v="400"/>
    <n v="72.040000000000006"/>
    <n v="28816"/>
    <n v="0"/>
    <n v="0"/>
    <n v="3746.079651"/>
    <n v="32562.079651"/>
  </r>
  <r>
    <x v="9"/>
    <x v="7"/>
    <x v="3"/>
    <x v="0"/>
    <x v="109"/>
    <s v="KEPL/01946/82-83"/>
    <s v="BHAT BHATENI SUPERMARKET &amp; DEPARTMENTAL STORE PVT. LTD."/>
    <x v="44"/>
    <n v="10"/>
    <n v="240"/>
    <n v="163.72"/>
    <n v="39292.800000000003"/>
    <n v="0"/>
    <n v="0"/>
    <n v="5108.0635250000005"/>
    <n v="44400.863525000001"/>
  </r>
  <r>
    <x v="11"/>
    <x v="7"/>
    <x v="3"/>
    <x v="0"/>
    <x v="109"/>
    <s v="KEPL/01946/82-83"/>
    <s v="BHAT BHATENI SUPERMARKET &amp; DEPARTMENTAL STORE PVT. LTD."/>
    <x v="36"/>
    <n v="10"/>
    <n v="400"/>
    <n v="72.040000000000006"/>
    <n v="28816"/>
    <n v="0"/>
    <n v="0"/>
    <n v="3746.079651"/>
    <n v="32562.079651"/>
  </r>
  <r>
    <x v="14"/>
    <x v="7"/>
    <x v="3"/>
    <x v="0"/>
    <x v="109"/>
    <s v="KEPL/01946/82-83"/>
    <s v="BHAT BHATENI SUPERMARKET &amp; DEPARTMENTAL STORE PVT. LTD."/>
    <x v="31"/>
    <n v="5"/>
    <n v="300"/>
    <n v="98.23"/>
    <n v="29469"/>
    <n v="0"/>
    <n v="0"/>
    <n v="3830.9696440000002"/>
    <n v="33299.969643999997"/>
  </r>
  <r>
    <x v="10"/>
    <x v="7"/>
    <x v="3"/>
    <x v="0"/>
    <x v="109"/>
    <s v="KEPL/01946/82-83"/>
    <s v="BHAT BHATENI SUPERMARKET &amp; DEPARTMENTAL STORE PVT. LTD."/>
    <x v="49"/>
    <n v="10"/>
    <n v="150"/>
    <n v="229.2"/>
    <n v="34380"/>
    <n v="0"/>
    <n v="0"/>
    <n v="4469.3995839999998"/>
    <n v="38849.399583999999"/>
  </r>
  <r>
    <x v="0"/>
    <x v="7"/>
    <x v="3"/>
    <x v="0"/>
    <x v="109"/>
    <s v="KEPL/01947/82-83"/>
    <s v="R.P DISTRIBUTOR TRADE CENTER"/>
    <x v="47"/>
    <n v="5"/>
    <n v="200"/>
    <n v="111.74"/>
    <n v="22348"/>
    <n v="-1718.56"/>
    <n v="0"/>
    <n v="2681.8271600000003"/>
    <n v="23311.267159999999"/>
  </r>
  <r>
    <x v="2"/>
    <x v="7"/>
    <x v="3"/>
    <x v="0"/>
    <x v="109"/>
    <s v="KEPL/01947/82-83"/>
    <s v="R.P DISTRIBUTOR TRADE CENTER"/>
    <x v="3"/>
    <n v="3"/>
    <n v="60"/>
    <n v="186.22"/>
    <n v="11173.199999999999"/>
    <n v="-859.22"/>
    <n v="0"/>
    <n v="1340.8173800000002"/>
    <n v="11654.79738"/>
  </r>
  <r>
    <x v="7"/>
    <x v="7"/>
    <x v="3"/>
    <x v="0"/>
    <x v="109"/>
    <s v="KEPL/01947/82-83"/>
    <s v="R.P DISTRIBUTOR TRADE CENTER"/>
    <x v="27"/>
    <n v="20"/>
    <n v="1400"/>
    <n v="37.25"/>
    <n v="52150"/>
    <n v="-4010.3399999999997"/>
    <n v="0"/>
    <n v="6258.1557060000005"/>
    <n v="54397.815706000001"/>
  </r>
  <r>
    <x v="10"/>
    <x v="7"/>
    <x v="3"/>
    <x v="0"/>
    <x v="109"/>
    <s v="KEPL/01947/82-83"/>
    <s v="R.P DISTRIBUTOR TRADE CENTER"/>
    <x v="45"/>
    <n v="10"/>
    <n v="150"/>
    <n v="260.72000000000003"/>
    <n v="39108"/>
    <n v="-3007.4100000000003"/>
    <n v="0"/>
    <n v="4693.0766300000005"/>
    <n v="40793.66663"/>
  </r>
  <r>
    <x v="3"/>
    <x v="7"/>
    <x v="3"/>
    <x v="0"/>
    <x v="109"/>
    <s v="KEPL/01947/82-83"/>
    <s v="R.P DISTRIBUTOR TRADE CENTER"/>
    <x v="55"/>
    <n v="4"/>
    <n v="80"/>
    <n v="175.05"/>
    <n v="14003.999999999998"/>
    <n v="-1076.9100000000001"/>
    <n v="0"/>
    <n v="1680.521675"/>
    <n v="14607.611675"/>
  </r>
  <r>
    <x v="8"/>
    <x v="7"/>
    <x v="3"/>
    <x v="0"/>
    <x v="109"/>
    <s v="KEPL/01947/82-83"/>
    <s v="R.P DISTRIBUTOR TRADE CENTER"/>
    <x v="41"/>
    <n v="1"/>
    <n v="40"/>
    <n v="74.5"/>
    <n v="2980"/>
    <n v="-229.16"/>
    <n v="0"/>
    <n v="357.609195"/>
    <n v="3108.4491950000001"/>
  </r>
  <r>
    <x v="10"/>
    <x v="7"/>
    <x v="3"/>
    <x v="0"/>
    <x v="109"/>
    <s v="KEPL/01947/82-83"/>
    <s v="R.P DISTRIBUTOR TRADE CENTER"/>
    <x v="49"/>
    <n v="10"/>
    <n v="150"/>
    <n v="260.72000000000003"/>
    <n v="39108"/>
    <n v="-3007.4100000000003"/>
    <n v="0"/>
    <n v="4693.0766300000005"/>
    <n v="40793.66663"/>
  </r>
  <r>
    <x v="0"/>
    <x v="7"/>
    <x v="3"/>
    <x v="0"/>
    <x v="109"/>
    <s v="KEPL/01947/82-83"/>
    <s v="R.P DISTRIBUTOR TRADE CENTER"/>
    <x v="57"/>
    <n v="5"/>
    <n v="200"/>
    <n v="111.74"/>
    <n v="22348"/>
    <n v="-1718.56"/>
    <n v="0"/>
    <n v="2681.8271600000003"/>
    <n v="23311.267159999999"/>
  </r>
  <r>
    <x v="8"/>
    <x v="7"/>
    <x v="3"/>
    <x v="0"/>
    <x v="109"/>
    <s v="KEPL/01947/82-83"/>
    <s v="R.P DISTRIBUTOR TRADE CENTER"/>
    <x v="56"/>
    <n v="1"/>
    <n v="800"/>
    <n v="7.46"/>
    <n v="5968"/>
    <n v="-458.94"/>
    <n v="0"/>
    <n v="716.17778899999996"/>
    <n v="6225.2377889999998"/>
  </r>
  <r>
    <x v="19"/>
    <x v="7"/>
    <x v="3"/>
    <x v="0"/>
    <x v="109"/>
    <s v="KEPL/01947/82-83"/>
    <s v="R.P DISTRIBUTOR TRADE CENTER"/>
    <x v="51"/>
    <n v="3"/>
    <n v="150"/>
    <n v="89.39"/>
    <n v="13408.500000000002"/>
    <n v="-1031.1100000000001"/>
    <n v="0"/>
    <n v="1609.0606760000001"/>
    <n v="13986.450676"/>
  </r>
  <r>
    <x v="2"/>
    <x v="7"/>
    <x v="3"/>
    <x v="0"/>
    <x v="109"/>
    <s v="KEPL/01948/82-83"/>
    <s v="EMERALD TRADE LINK"/>
    <x v="3"/>
    <n v="3"/>
    <n v="60"/>
    <n v="186.22"/>
    <n v="11173.199999999999"/>
    <n v="-859.22"/>
    <n v="0"/>
    <n v="1340.8176000000001"/>
    <n v="11654.7976"/>
  </r>
  <r>
    <x v="8"/>
    <x v="7"/>
    <x v="3"/>
    <x v="0"/>
    <x v="109"/>
    <s v="KEPL/01948/82-83"/>
    <s v="EMERALD TRADE LINK"/>
    <x v="41"/>
    <n v="1"/>
    <n v="40"/>
    <n v="74.5"/>
    <n v="2980"/>
    <n v="-229.16"/>
    <n v="0"/>
    <n v="357.60925299999997"/>
    <n v="3108.4492530000002"/>
  </r>
  <r>
    <x v="11"/>
    <x v="7"/>
    <x v="3"/>
    <x v="0"/>
    <x v="109"/>
    <s v="KEPL/01948/82-83"/>
    <s v="EMERALD TRADE LINK"/>
    <x v="53"/>
    <n v="2"/>
    <n v="80"/>
    <n v="81.94"/>
    <n v="6555.2"/>
    <n v="-504.09"/>
    <n v="0"/>
    <n v="786.64441700000009"/>
    <n v="6837.7544170000001"/>
  </r>
  <r>
    <x v="8"/>
    <x v="7"/>
    <x v="3"/>
    <x v="0"/>
    <x v="109"/>
    <s v="KEPL/01948/82-83"/>
    <s v="EMERALD TRADE LINK"/>
    <x v="34"/>
    <n v="1"/>
    <n v="40"/>
    <n v="74.5"/>
    <n v="2980"/>
    <n v="-229.16"/>
    <n v="0"/>
    <n v="357.60925299999997"/>
    <n v="3108.4492530000002"/>
  </r>
  <r>
    <x v="8"/>
    <x v="7"/>
    <x v="3"/>
    <x v="0"/>
    <x v="109"/>
    <s v="KEPL/01948/82-83"/>
    <s v="EMERALD TRADE LINK"/>
    <x v="56"/>
    <n v="1"/>
    <n v="800"/>
    <n v="7.46"/>
    <n v="5968"/>
    <n v="-458.94"/>
    <n v="0"/>
    <n v="716.177907"/>
    <n v="6225.2379069999997"/>
  </r>
  <r>
    <x v="20"/>
    <x v="7"/>
    <x v="3"/>
    <x v="0"/>
    <x v="109"/>
    <s v="KEPL/01948/82-83"/>
    <s v="EMERALD TRADE LINK"/>
    <x v="52"/>
    <n v="5"/>
    <n v="20"/>
    <n v="595.94000000000005"/>
    <n v="11918.8"/>
    <n v="-916.56"/>
    <n v="0"/>
    <n v="1430.2914130000001"/>
    <n v="12432.531413000001"/>
  </r>
  <r>
    <x v="6"/>
    <x v="7"/>
    <x v="3"/>
    <x v="0"/>
    <x v="109"/>
    <s v="KEPL/01948/82-83"/>
    <s v="EMERALD TRADE LINK"/>
    <x v="30"/>
    <n v="1"/>
    <n v="20"/>
    <n v="242.1"/>
    <n v="4841.9999999999991"/>
    <n v="-372.35"/>
    <n v="0"/>
    <n v="581.05458699999997"/>
    <n v="5050.7045870000002"/>
  </r>
  <r>
    <x v="11"/>
    <x v="7"/>
    <x v="3"/>
    <x v="0"/>
    <x v="109"/>
    <s v="KEPL/01948/82-83"/>
    <s v="EMERALD TRADE LINK"/>
    <x v="36"/>
    <n v="2"/>
    <n v="80"/>
    <n v="81.94"/>
    <n v="6555.2"/>
    <n v="-504.09"/>
    <n v="0"/>
    <n v="786.64441700000009"/>
    <n v="6837.7544170000001"/>
  </r>
  <r>
    <x v="8"/>
    <x v="7"/>
    <x v="3"/>
    <x v="0"/>
    <x v="109"/>
    <s v="KEPL/01948/82-83"/>
    <s v="EMERALD TRADE LINK"/>
    <x v="33"/>
    <n v="1"/>
    <n v="40"/>
    <n v="74.489999999999995"/>
    <n v="2979.6"/>
    <n v="-229.13"/>
    <n v="0"/>
    <n v="357.56115299999999"/>
    <n v="3108.0311529999999"/>
  </r>
  <r>
    <x v="6"/>
    <x v="7"/>
    <x v="3"/>
    <x v="0"/>
    <x v="109"/>
    <s v="KEPL/01949/82-83"/>
    <s v="AAFNAI PASAL PVT.LTD"/>
    <x v="30"/>
    <n v="20"/>
    <n v="400"/>
    <n v="242.1"/>
    <n v="96840"/>
    <n v="-7447"/>
    <n v="0"/>
    <n v="11621.09"/>
    <n v="101014.09"/>
  </r>
  <r>
    <x v="6"/>
    <x v="7"/>
    <x v="3"/>
    <x v="0"/>
    <x v="109"/>
    <s v="KEPL/01950/82-83"/>
    <s v="SHUBHASHREE MARKETING"/>
    <x v="28"/>
    <n v="2"/>
    <n v="40"/>
    <n v="204.85"/>
    <n v="8194"/>
    <n v="-630.12"/>
    <n v="0"/>
    <n v="983.30450800000006"/>
    <n v="8547.1845080000003"/>
  </r>
  <r>
    <x v="10"/>
    <x v="7"/>
    <x v="3"/>
    <x v="0"/>
    <x v="109"/>
    <s v="KEPL/01950/82-83"/>
    <s v="SHUBHASHREE MARKETING"/>
    <x v="49"/>
    <n v="5"/>
    <n v="75"/>
    <n v="260.72000000000003"/>
    <n v="19554"/>
    <n v="-1503.6999999999998"/>
    <n v="0"/>
    <n v="2346.5392569999999"/>
    <n v="20396.839257"/>
  </r>
  <r>
    <x v="8"/>
    <x v="7"/>
    <x v="3"/>
    <x v="0"/>
    <x v="109"/>
    <s v="KEPL/01950/82-83"/>
    <s v="SHUBHASHREE MARKETING"/>
    <x v="56"/>
    <n v="1"/>
    <n v="800"/>
    <n v="7.46"/>
    <n v="5968"/>
    <n v="-458.94"/>
    <n v="0"/>
    <n v="716.17787800000008"/>
    <n v="6225.2378779999999"/>
  </r>
  <r>
    <x v="6"/>
    <x v="7"/>
    <x v="3"/>
    <x v="0"/>
    <x v="109"/>
    <s v="KEPL/01950/82-83"/>
    <s v="SHUBHASHREE MARKETING"/>
    <x v="59"/>
    <n v="1"/>
    <n v="20"/>
    <n v="204.85"/>
    <n v="4097"/>
    <n v="-315.06"/>
    <n v="0"/>
    <n v="491.65225400000003"/>
    <n v="4273.5922540000001"/>
  </r>
  <r>
    <x v="6"/>
    <x v="7"/>
    <x v="3"/>
    <x v="0"/>
    <x v="109"/>
    <s v="KEPL/01950/82-83"/>
    <s v="SHUBHASHREE MARKETING"/>
    <x v="48"/>
    <n v="2"/>
    <n v="40"/>
    <n v="204.85"/>
    <n v="8194"/>
    <n v="-630.12"/>
    <n v="0"/>
    <n v="983.30450800000006"/>
    <n v="8547.1845080000003"/>
  </r>
  <r>
    <x v="20"/>
    <x v="7"/>
    <x v="3"/>
    <x v="0"/>
    <x v="109"/>
    <s v="KEPL/01950/82-83"/>
    <s v="SHUBHASHREE MARKETING"/>
    <x v="52"/>
    <n v="25"/>
    <n v="100"/>
    <n v="595.94000000000005"/>
    <n v="59594"/>
    <n v="-4582.78"/>
    <n v="0"/>
    <n v="7151.4593829999994"/>
    <n v="62162.679383000002"/>
  </r>
  <r>
    <x v="8"/>
    <x v="7"/>
    <x v="3"/>
    <x v="0"/>
    <x v="109"/>
    <s v="KEPL/01950/82-83"/>
    <s v="SHUBHASHREE MARKETING"/>
    <x v="33"/>
    <n v="4"/>
    <n v="160"/>
    <n v="74.489999999999995"/>
    <n v="11918.4"/>
    <n v="-916.52"/>
    <n v="0"/>
    <n v="1430.244557"/>
    <n v="12432.124556999999"/>
  </r>
  <r>
    <x v="6"/>
    <x v="7"/>
    <x v="3"/>
    <x v="0"/>
    <x v="109"/>
    <s v="KEPL/01950/82-83"/>
    <s v="SHUBHASHREE MARKETING"/>
    <x v="30"/>
    <n v="3"/>
    <n v="60"/>
    <n v="242.1"/>
    <n v="14526"/>
    <n v="-1117.05"/>
    <n v="0"/>
    <n v="1743.163691"/>
    <n v="15152.113691"/>
  </r>
  <r>
    <x v="15"/>
    <x v="7"/>
    <x v="3"/>
    <x v="0"/>
    <x v="109"/>
    <s v="KEPL/01950/82-83"/>
    <s v="SHUBHASHREE MARKETING"/>
    <x v="32"/>
    <n v="3"/>
    <n v="180"/>
    <n v="111.74"/>
    <n v="20113.2"/>
    <n v="-1546.71"/>
    <n v="0"/>
    <n v="2413.6439639999999"/>
    <n v="20980.133964000001"/>
  </r>
  <r>
    <x v="9"/>
    <x v="7"/>
    <x v="3"/>
    <x v="0"/>
    <x v="109"/>
    <s v="KEPL/01953/82-83"/>
    <s v="JENISH STORE"/>
    <x v="44"/>
    <n v="1"/>
    <n v="24"/>
    <n v="186.23"/>
    <n v="4469.5200000000004"/>
    <n v="-343.71"/>
    <n v="0"/>
    <n v="536.35528099999999"/>
    <n v="4662.1652809999996"/>
  </r>
  <r>
    <x v="11"/>
    <x v="7"/>
    <x v="3"/>
    <x v="0"/>
    <x v="109"/>
    <s v="KEPL/01953/82-83"/>
    <s v="JENISH STORE"/>
    <x v="53"/>
    <n v="1"/>
    <n v="40"/>
    <n v="81.94"/>
    <n v="3277.6"/>
    <n v="-252.05"/>
    <n v="0"/>
    <n v="393.32148599999999"/>
    <n v="3418.871486"/>
  </r>
  <r>
    <x v="11"/>
    <x v="7"/>
    <x v="3"/>
    <x v="0"/>
    <x v="109"/>
    <s v="KEPL/01953/82-83"/>
    <s v="JENISH STORE"/>
    <x v="36"/>
    <n v="1"/>
    <n v="40"/>
    <n v="81.94"/>
    <n v="3277.6"/>
    <n v="-252.05"/>
    <n v="0"/>
    <n v="393.32148599999999"/>
    <n v="3418.871486"/>
  </r>
  <r>
    <x v="2"/>
    <x v="7"/>
    <x v="3"/>
    <x v="0"/>
    <x v="109"/>
    <s v="KEPL/01953/82-83"/>
    <s v="JENISH STORE"/>
    <x v="3"/>
    <n v="3"/>
    <n v="60"/>
    <n v="186.22"/>
    <n v="11173.199999999999"/>
    <n v="-859.22"/>
    <n v="0"/>
    <n v="1340.8173510000001"/>
    <n v="11654.797350999999"/>
  </r>
  <r>
    <x v="16"/>
    <x v="7"/>
    <x v="3"/>
    <x v="0"/>
    <x v="109"/>
    <s v="KEPL/01953/82-83"/>
    <s v="JENISH STORE"/>
    <x v="35"/>
    <n v="2"/>
    <n v="120"/>
    <n v="145.26"/>
    <n v="17431.2"/>
    <n v="-1340.46"/>
    <n v="0"/>
    <n v="2091.796124"/>
    <n v="18182.536123999998"/>
  </r>
  <r>
    <x v="8"/>
    <x v="7"/>
    <x v="3"/>
    <x v="0"/>
    <x v="109"/>
    <s v="KEPL/01953/82-83"/>
    <s v="JENISH STORE"/>
    <x v="56"/>
    <n v="2"/>
    <n v="1600"/>
    <n v="7.46"/>
    <n v="11936"/>
    <n v="-917.88"/>
    <n v="0"/>
    <n v="1432.355548"/>
    <n v="12450.475548"/>
  </r>
  <r>
    <x v="6"/>
    <x v="7"/>
    <x v="3"/>
    <x v="0"/>
    <x v="109"/>
    <s v="KEPL/01953/82-83"/>
    <s v="JENISH STORE"/>
    <x v="29"/>
    <n v="1"/>
    <n v="20"/>
    <n v="204.85"/>
    <n v="4097"/>
    <n v="-315.06"/>
    <n v="0"/>
    <n v="491.65218199999998"/>
    <n v="4273.5921820000003"/>
  </r>
  <r>
    <x v="0"/>
    <x v="7"/>
    <x v="3"/>
    <x v="0"/>
    <x v="109"/>
    <s v="KEPL/01953/82-83"/>
    <s v="JENISH STORE"/>
    <x v="57"/>
    <n v="2"/>
    <n v="80"/>
    <n v="111.74"/>
    <n v="8939.2000000000007"/>
    <n v="-687.42"/>
    <n v="0"/>
    <n v="1072.7313610000001"/>
    <n v="9324.5113610000008"/>
  </r>
  <r>
    <x v="6"/>
    <x v="7"/>
    <x v="3"/>
    <x v="0"/>
    <x v="109"/>
    <s v="KEPL/01953/82-83"/>
    <s v="JENISH STORE"/>
    <x v="28"/>
    <n v="1"/>
    <n v="20"/>
    <n v="204.85"/>
    <n v="4097"/>
    <n v="-315.06"/>
    <n v="0"/>
    <n v="491.65218199999998"/>
    <n v="4273.5921820000003"/>
  </r>
  <r>
    <x v="8"/>
    <x v="7"/>
    <x v="3"/>
    <x v="0"/>
    <x v="109"/>
    <s v="KEPL/01953/82-83"/>
    <s v="JENISH STORE"/>
    <x v="33"/>
    <n v="2"/>
    <n v="80"/>
    <n v="74.489999999999995"/>
    <n v="5959.2"/>
    <n v="-458.26"/>
    <n v="0"/>
    <n v="715.12217399999997"/>
    <n v="6216.0621739999997"/>
  </r>
  <r>
    <x v="8"/>
    <x v="7"/>
    <x v="3"/>
    <x v="0"/>
    <x v="109"/>
    <s v="KEPL/01953/82-83"/>
    <s v="JENISH STORE"/>
    <x v="34"/>
    <n v="2"/>
    <n v="80"/>
    <n v="74.5"/>
    <n v="5960"/>
    <n v="-458.32"/>
    <n v="0"/>
    <n v="715.21837399999993"/>
    <n v="6216.8983740000003"/>
  </r>
  <r>
    <x v="11"/>
    <x v="7"/>
    <x v="3"/>
    <x v="0"/>
    <x v="109"/>
    <s v="KEPL/01953/82-83"/>
    <s v="JENISH STORE"/>
    <x v="37"/>
    <n v="1"/>
    <n v="40"/>
    <n v="81.94"/>
    <n v="3277.6"/>
    <n v="-252.05"/>
    <n v="0"/>
    <n v="393.32148599999999"/>
    <n v="3418.871486"/>
  </r>
  <r>
    <x v="8"/>
    <x v="7"/>
    <x v="3"/>
    <x v="0"/>
    <x v="109"/>
    <s v="KEPL/01953/82-83"/>
    <s v="JENISH STORE"/>
    <x v="41"/>
    <n v="2"/>
    <n v="80"/>
    <n v="74.5"/>
    <n v="5960"/>
    <n v="-458.32"/>
    <n v="0"/>
    <n v="715.21837399999993"/>
    <n v="6216.8983740000003"/>
  </r>
  <r>
    <x v="7"/>
    <x v="7"/>
    <x v="3"/>
    <x v="0"/>
    <x v="109"/>
    <s v="KEPL/01953/82-83"/>
    <s v="JENISH STORE"/>
    <x v="27"/>
    <n v="5"/>
    <n v="350"/>
    <n v="37.25"/>
    <n v="13037.5"/>
    <n v="-1002.58"/>
    <n v="0"/>
    <n v="1564.5395429999999"/>
    <n v="13599.459543000001"/>
  </r>
  <r>
    <x v="20"/>
    <x v="7"/>
    <x v="3"/>
    <x v="0"/>
    <x v="109"/>
    <s v="KEPL/01953/82-83"/>
    <s v="JENISH STORE"/>
    <x v="52"/>
    <n v="1"/>
    <n v="4"/>
    <n v="595.94000000000005"/>
    <n v="2383.7600000000002"/>
    <n v="-183.31"/>
    <n v="0"/>
    <n v="286.05849000000001"/>
    <n v="2486.5084900000002"/>
  </r>
  <r>
    <x v="7"/>
    <x v="7"/>
    <x v="3"/>
    <x v="0"/>
    <x v="109"/>
    <s v="KEPL/01953/82-83"/>
    <s v="JENISH STORE"/>
    <x v="12"/>
    <n v="2"/>
    <n v="260"/>
    <n v="37.25"/>
    <n v="9685"/>
    <n v="-744.78"/>
    <n v="0"/>
    <n v="1162.228558"/>
    <n v="10102.448558"/>
  </r>
  <r>
    <x v="0"/>
    <x v="7"/>
    <x v="3"/>
    <x v="0"/>
    <x v="109"/>
    <s v="KEPL/01954/82-83"/>
    <s v="DINESH TRADING HOUSE"/>
    <x v="57"/>
    <n v="1"/>
    <n v="40"/>
    <n v="111.74"/>
    <n v="4469.6000000000004"/>
    <n v="-343.71"/>
    <n v="0"/>
    <n v="536.36582299999998"/>
    <n v="4662.2558230000004"/>
  </r>
  <r>
    <x v="6"/>
    <x v="7"/>
    <x v="3"/>
    <x v="0"/>
    <x v="109"/>
    <s v="KEPL/01954/82-83"/>
    <s v="DINESH TRADING HOUSE"/>
    <x v="30"/>
    <n v="1"/>
    <n v="20"/>
    <n v="242.1"/>
    <n v="4841.9999999999991"/>
    <n v="-372.35"/>
    <n v="0"/>
    <n v="581.05463300000008"/>
    <n v="5050.7046330000003"/>
  </r>
  <r>
    <x v="8"/>
    <x v="7"/>
    <x v="3"/>
    <x v="0"/>
    <x v="109"/>
    <s v="KEPL/01954/82-83"/>
    <s v="DINESH TRADING HOUSE"/>
    <x v="41"/>
    <n v="2"/>
    <n v="80"/>
    <n v="74.5"/>
    <n v="5960"/>
    <n v="-458.32"/>
    <n v="0"/>
    <n v="715.21856400000001"/>
    <n v="6216.8985640000001"/>
  </r>
  <r>
    <x v="8"/>
    <x v="7"/>
    <x v="3"/>
    <x v="0"/>
    <x v="109"/>
    <s v="KEPL/01954/82-83"/>
    <s v="DINESH TRADING HOUSE"/>
    <x v="33"/>
    <n v="1"/>
    <n v="40"/>
    <n v="74.489999999999995"/>
    <n v="2979.6"/>
    <n v="-229.13"/>
    <n v="0"/>
    <n v="357.56118200000003"/>
    <n v="3108.0311820000002"/>
  </r>
  <r>
    <x v="19"/>
    <x v="7"/>
    <x v="3"/>
    <x v="0"/>
    <x v="109"/>
    <s v="KEPL/01954/82-83"/>
    <s v="DINESH TRADING HOUSE"/>
    <x v="51"/>
    <n v="5"/>
    <n v="250"/>
    <n v="89.39"/>
    <n v="22347.5"/>
    <n v="-1718.52"/>
    <n v="0"/>
    <n v="2681.7680130000003"/>
    <n v="23310.748013"/>
  </r>
  <r>
    <x v="8"/>
    <x v="7"/>
    <x v="3"/>
    <x v="0"/>
    <x v="109"/>
    <s v="KEPL/01954/82-83"/>
    <s v="DINESH TRADING HOUSE"/>
    <x v="34"/>
    <n v="2"/>
    <n v="80"/>
    <n v="74.5"/>
    <n v="5960"/>
    <n v="-458.32"/>
    <n v="0"/>
    <n v="715.21856400000001"/>
    <n v="6216.8985640000001"/>
  </r>
  <r>
    <x v="2"/>
    <x v="7"/>
    <x v="3"/>
    <x v="0"/>
    <x v="109"/>
    <s v="KEPL/01954/82-83"/>
    <s v="DINESH TRADING HOUSE"/>
    <x v="3"/>
    <n v="10"/>
    <n v="200"/>
    <n v="186.22"/>
    <n v="37244"/>
    <n v="-2864.06"/>
    <n v="0"/>
    <n v="4469.3932219999997"/>
    <n v="38849.333222000001"/>
  </r>
  <r>
    <x v="2"/>
    <x v="7"/>
    <x v="3"/>
    <x v="0"/>
    <x v="109"/>
    <s v="KEPL/01955/82-83"/>
    <s v="ABIRAL SUPPLIERS AND TRADERS"/>
    <x v="3"/>
    <n v="10"/>
    <n v="200"/>
    <n v="186.22"/>
    <n v="37244"/>
    <n v="-2864.06"/>
    <n v="0"/>
    <n v="4469.3912769999997"/>
    <n v="38849.331276999997"/>
  </r>
  <r>
    <x v="20"/>
    <x v="7"/>
    <x v="3"/>
    <x v="0"/>
    <x v="109"/>
    <s v="KEPL/01955/82-83"/>
    <s v="ABIRAL SUPPLIERS AND TRADERS"/>
    <x v="52"/>
    <n v="10"/>
    <n v="40"/>
    <n v="595.94000000000005"/>
    <n v="23837.599999999999"/>
    <n v="-1833.1100000000001"/>
    <n v="0"/>
    <n v="2860.5831090000001"/>
    <n v="24865.073109000001"/>
  </r>
  <r>
    <x v="7"/>
    <x v="7"/>
    <x v="3"/>
    <x v="0"/>
    <x v="109"/>
    <s v="KEPL/01955/82-83"/>
    <s v="ABIRAL SUPPLIERS AND TRADERS"/>
    <x v="27"/>
    <n v="10"/>
    <n v="700"/>
    <n v="37.25"/>
    <n v="26075"/>
    <n v="-2005.1699999999998"/>
    <n v="0"/>
    <n v="3129.0772540000003"/>
    <n v="27198.907254000002"/>
  </r>
  <r>
    <x v="7"/>
    <x v="7"/>
    <x v="3"/>
    <x v="0"/>
    <x v="109"/>
    <s v="KEPL/01955/82-83"/>
    <s v="ABIRAL SUPPLIERS AND TRADERS"/>
    <x v="12"/>
    <n v="2"/>
    <n v="260"/>
    <n v="37.25"/>
    <n v="9685"/>
    <n v="-744.78"/>
    <n v="0"/>
    <n v="1162.2283600000001"/>
    <n v="10102.44836"/>
  </r>
  <r>
    <x v="10"/>
    <x v="7"/>
    <x v="3"/>
    <x v="0"/>
    <x v="109"/>
    <s v="KEPL/01956/82-83"/>
    <s v="NEW MATA RANI SUPPLIERS"/>
    <x v="49"/>
    <n v="2"/>
    <n v="30"/>
    <n v="260.72000000000003"/>
    <n v="7821.6"/>
    <n v="-601.48"/>
    <n v="0"/>
    <n v="938.61604399999999"/>
    <n v="8158.7360440000002"/>
  </r>
  <r>
    <x v="7"/>
    <x v="7"/>
    <x v="3"/>
    <x v="0"/>
    <x v="109"/>
    <s v="KEPL/01956/82-83"/>
    <s v="NEW MATA RANI SUPPLIERS"/>
    <x v="27"/>
    <n v="5"/>
    <n v="350"/>
    <n v="37.25"/>
    <n v="13037.5"/>
    <n v="-1002.58"/>
    <n v="0"/>
    <n v="1564.5403409999999"/>
    <n v="13599.460341"/>
  </r>
  <r>
    <x v="6"/>
    <x v="7"/>
    <x v="3"/>
    <x v="0"/>
    <x v="109"/>
    <s v="KEPL/01956/82-83"/>
    <s v="NEW MATA RANI SUPPLIERS"/>
    <x v="48"/>
    <n v="2"/>
    <n v="40"/>
    <n v="204.85"/>
    <n v="8194"/>
    <n v="-630.12"/>
    <n v="0"/>
    <n v="983.30486599999995"/>
    <n v="8547.1848659999996"/>
  </r>
  <r>
    <x v="2"/>
    <x v="7"/>
    <x v="3"/>
    <x v="0"/>
    <x v="109"/>
    <s v="KEPL/01956/82-83"/>
    <s v="NEW MATA RANI SUPPLIERS"/>
    <x v="3"/>
    <n v="5"/>
    <n v="100"/>
    <n v="186.22"/>
    <n v="18622"/>
    <n v="-1432.03"/>
    <n v="0"/>
    <n v="2234.6971579999999"/>
    <n v="19424.667158"/>
  </r>
  <r>
    <x v="16"/>
    <x v="7"/>
    <x v="3"/>
    <x v="0"/>
    <x v="109"/>
    <s v="KEPL/01956/82-83"/>
    <s v="NEW MATA RANI SUPPLIERS"/>
    <x v="42"/>
    <n v="2"/>
    <n v="60"/>
    <n v="316.58999999999997"/>
    <n v="18995.399999999998"/>
    <n v="-1460.75"/>
    <n v="0"/>
    <n v="2279.5055789999997"/>
    <n v="19814.155578999998"/>
  </r>
  <r>
    <x v="11"/>
    <x v="7"/>
    <x v="3"/>
    <x v="0"/>
    <x v="109"/>
    <s v="KEPL/01956/82-83"/>
    <s v="NEW MATA RANI SUPPLIERS"/>
    <x v="36"/>
    <n v="1"/>
    <n v="40"/>
    <n v="81.94"/>
    <n v="3277.6"/>
    <n v="-252.05"/>
    <n v="0"/>
    <n v="393.321686"/>
    <n v="3418.871686"/>
  </r>
  <r>
    <x v="6"/>
    <x v="7"/>
    <x v="3"/>
    <x v="0"/>
    <x v="109"/>
    <s v="KEPL/01956/82-83"/>
    <s v="NEW MATA RANI SUPPLIERS"/>
    <x v="30"/>
    <n v="3"/>
    <n v="60"/>
    <n v="242.1"/>
    <n v="14526"/>
    <n v="-1117.05"/>
    <n v="0"/>
    <n v="1743.164325"/>
    <n v="15152.114325"/>
  </r>
  <r>
    <x v="6"/>
    <x v="7"/>
    <x v="3"/>
    <x v="0"/>
    <x v="109"/>
    <s v="KEPL/01957/82-83"/>
    <s v="NAWA ATITHI STORES"/>
    <x v="28"/>
    <n v="2"/>
    <n v="40"/>
    <n v="204.85"/>
    <n v="8194"/>
    <n v="-630.12"/>
    <n v="0"/>
    <n v="983.304303"/>
    <n v="8547.184303"/>
  </r>
  <r>
    <x v="8"/>
    <x v="7"/>
    <x v="3"/>
    <x v="0"/>
    <x v="109"/>
    <s v="KEPL/01957/82-83"/>
    <s v="NAWA ATITHI STORES"/>
    <x v="34"/>
    <n v="2"/>
    <n v="80"/>
    <n v="74.5"/>
    <n v="5960"/>
    <n v="-458.32"/>
    <n v="0"/>
    <n v="715.21833000000004"/>
    <n v="6216.89833"/>
  </r>
  <r>
    <x v="19"/>
    <x v="7"/>
    <x v="3"/>
    <x v="0"/>
    <x v="109"/>
    <s v="KEPL/01957/82-83"/>
    <s v="NAWA ATITHI STORES"/>
    <x v="51"/>
    <n v="2"/>
    <n v="100"/>
    <n v="89.39"/>
    <n v="8939"/>
    <n v="-687.41"/>
    <n v="0"/>
    <n v="1072.7065950000001"/>
    <n v="9324.2965949999998"/>
  </r>
  <r>
    <x v="8"/>
    <x v="7"/>
    <x v="3"/>
    <x v="0"/>
    <x v="109"/>
    <s v="KEPL/01957/82-83"/>
    <s v="NAWA ATITHI STORES"/>
    <x v="41"/>
    <n v="2"/>
    <n v="80"/>
    <n v="74.5"/>
    <n v="5960"/>
    <n v="-458.32"/>
    <n v="0"/>
    <n v="715.21833000000004"/>
    <n v="6216.89833"/>
  </r>
  <r>
    <x v="17"/>
    <x v="7"/>
    <x v="3"/>
    <x v="0"/>
    <x v="109"/>
    <s v="KEPL/01957/82-83"/>
    <s v="NAWA ATITHI STORES"/>
    <x v="39"/>
    <n v="3"/>
    <n v="60"/>
    <n v="249.55"/>
    <n v="14973"/>
    <n v="-1151.42"/>
    <n v="0"/>
    <n v="1796.8052229999998"/>
    <n v="15618.385222999999"/>
  </r>
  <r>
    <x v="8"/>
    <x v="7"/>
    <x v="3"/>
    <x v="0"/>
    <x v="109"/>
    <s v="KEPL/01957/82-83"/>
    <s v="NAWA ATITHI STORES"/>
    <x v="56"/>
    <n v="2"/>
    <n v="1600"/>
    <n v="7.46"/>
    <n v="11936"/>
    <n v="-917.88"/>
    <n v="0"/>
    <n v="1432.3554590000001"/>
    <n v="12450.475458999999"/>
  </r>
  <r>
    <x v="2"/>
    <x v="7"/>
    <x v="3"/>
    <x v="0"/>
    <x v="109"/>
    <s v="KEPL/01957/82-83"/>
    <s v="NAWA ATITHI STORES"/>
    <x v="3"/>
    <n v="10"/>
    <n v="200"/>
    <n v="186.22"/>
    <n v="37244"/>
    <n v="-2864.06"/>
    <n v="0"/>
    <n v="4469.3917599999995"/>
    <n v="38849.331760000001"/>
  </r>
  <r>
    <x v="2"/>
    <x v="7"/>
    <x v="3"/>
    <x v="0"/>
    <x v="109"/>
    <s v="KEPL/01958/82-83"/>
    <s v="GORIN TRADING "/>
    <x v="3"/>
    <n v="5"/>
    <n v="100"/>
    <n v="186.22"/>
    <n v="18622"/>
    <n v="-1432.03"/>
    <n v="0"/>
    <n v="2234.695698"/>
    <n v="19424.665698000001"/>
  </r>
  <r>
    <x v="0"/>
    <x v="7"/>
    <x v="3"/>
    <x v="0"/>
    <x v="109"/>
    <s v="KEPL/01958/82-83"/>
    <s v="GORIN TRADING "/>
    <x v="57"/>
    <n v="3"/>
    <n v="120"/>
    <n v="111.74"/>
    <n v="13408.8"/>
    <n v="-1031.1400000000001"/>
    <n v="0"/>
    <n v="1609.095511"/>
    <n v="13986.755510999999"/>
  </r>
  <r>
    <x v="6"/>
    <x v="7"/>
    <x v="3"/>
    <x v="0"/>
    <x v="109"/>
    <s v="KEPL/01958/82-83"/>
    <s v="GORIN TRADING "/>
    <x v="30"/>
    <n v="2"/>
    <n v="40"/>
    <n v="242.1"/>
    <n v="9683.9999999999982"/>
    <n v="-744.7"/>
    <n v="0"/>
    <n v="1162.1087909999999"/>
    <n v="10101.408791"/>
  </r>
  <r>
    <x v="0"/>
    <x v="7"/>
    <x v="3"/>
    <x v="0"/>
    <x v="109"/>
    <s v="KEPL/01959/82-83"/>
    <s v="MALIKA DISTRIBUTORS NEPAL PVT LTD."/>
    <x v="57"/>
    <n v="1"/>
    <n v="40"/>
    <n v="111.74"/>
    <n v="4469.6000000000004"/>
    <n v="-343.71"/>
    <n v="0"/>
    <n v="536.36609799999997"/>
    <n v="4662.2560979999998"/>
  </r>
  <r>
    <x v="8"/>
    <x v="7"/>
    <x v="3"/>
    <x v="0"/>
    <x v="109"/>
    <s v="KEPL/01959/82-83"/>
    <s v="MALIKA DISTRIBUTORS NEPAL PVT LTD."/>
    <x v="34"/>
    <n v="1"/>
    <n v="40"/>
    <n v="74.5"/>
    <n v="2980"/>
    <n v="-229.16"/>
    <n v="0"/>
    <n v="357.609466"/>
    <n v="3108.449466"/>
  </r>
  <r>
    <x v="7"/>
    <x v="7"/>
    <x v="3"/>
    <x v="0"/>
    <x v="109"/>
    <s v="KEPL/01959/82-83"/>
    <s v="MALIKA DISTRIBUTORS NEPAL PVT LTD."/>
    <x v="27"/>
    <n v="5"/>
    <n v="350"/>
    <n v="37.25"/>
    <n v="13037.5"/>
    <n v="-1002.58"/>
    <n v="0"/>
    <n v="1564.5407620000001"/>
    <n v="13599.460762000001"/>
  </r>
  <r>
    <x v="8"/>
    <x v="7"/>
    <x v="3"/>
    <x v="0"/>
    <x v="109"/>
    <s v="KEPL/01959/82-83"/>
    <s v="MALIKA DISTRIBUTORS NEPAL PVT LTD."/>
    <x v="41"/>
    <n v="1"/>
    <n v="40"/>
    <n v="74.5"/>
    <n v="2980"/>
    <n v="-229.16"/>
    <n v="0"/>
    <n v="357.609466"/>
    <n v="3108.449466"/>
  </r>
  <r>
    <x v="2"/>
    <x v="7"/>
    <x v="3"/>
    <x v="0"/>
    <x v="109"/>
    <s v="KEPL/01959/82-83"/>
    <s v="MALIKA DISTRIBUTORS NEPAL PVT LTD."/>
    <x v="3"/>
    <n v="3"/>
    <n v="60"/>
    <n v="186.22"/>
    <n v="11173.199999999999"/>
    <n v="-859.22"/>
    <n v="0"/>
    <n v="1340.8183959999999"/>
    <n v="11654.798396"/>
  </r>
  <r>
    <x v="10"/>
    <x v="7"/>
    <x v="3"/>
    <x v="0"/>
    <x v="109"/>
    <s v="KEPL/01959/82-83"/>
    <s v="MALIKA DISTRIBUTORS NEPAL PVT LTD."/>
    <x v="49"/>
    <n v="2"/>
    <n v="30"/>
    <n v="260.72000000000003"/>
    <n v="7821.6"/>
    <n v="-601.48"/>
    <n v="0"/>
    <n v="938.61629700000003"/>
    <n v="8158.7362970000004"/>
  </r>
  <r>
    <x v="8"/>
    <x v="7"/>
    <x v="3"/>
    <x v="0"/>
    <x v="109"/>
    <s v="KEPL/01959/82-83"/>
    <s v="MALIKA DISTRIBUTORS NEPAL PVT LTD."/>
    <x v="33"/>
    <n v="1"/>
    <n v="40"/>
    <n v="74.489999999999995"/>
    <n v="2979.6"/>
    <n v="-229.13"/>
    <n v="0"/>
    <n v="357.56136599999996"/>
    <n v="3108.0313660000002"/>
  </r>
  <r>
    <x v="10"/>
    <x v="7"/>
    <x v="3"/>
    <x v="0"/>
    <x v="109"/>
    <s v="KEPL/01959/82-83"/>
    <s v="MALIKA DISTRIBUTORS NEPAL PVT LTD."/>
    <x v="45"/>
    <n v="1"/>
    <n v="15"/>
    <n v="260.72000000000003"/>
    <n v="3910.8"/>
    <n v="-300.74"/>
    <n v="0"/>
    <n v="469.30814899999996"/>
    <n v="4079.3681489999999"/>
  </r>
  <r>
    <x v="20"/>
    <x v="7"/>
    <x v="3"/>
    <x v="0"/>
    <x v="109"/>
    <s v="KEPL/01960/82-83"/>
    <s v="M AND P TRADE SUPPLIERS"/>
    <x v="52"/>
    <n v="2"/>
    <n v="8"/>
    <n v="595.94000000000005"/>
    <n v="4767.5200000000004"/>
    <n v="-366.62"/>
    <n v="0"/>
    <n v="572.11705800000004"/>
    <n v="4973.0170580000004"/>
  </r>
  <r>
    <x v="6"/>
    <x v="7"/>
    <x v="3"/>
    <x v="0"/>
    <x v="109"/>
    <s v="KEPL/01960/82-83"/>
    <s v="M AND P TRADE SUPPLIERS"/>
    <x v="29"/>
    <n v="1"/>
    <n v="20"/>
    <n v="204.85"/>
    <n v="4097"/>
    <n v="-315.06"/>
    <n v="0"/>
    <n v="491.65225000000004"/>
    <n v="4273.5922499999997"/>
  </r>
  <r>
    <x v="2"/>
    <x v="7"/>
    <x v="3"/>
    <x v="0"/>
    <x v="109"/>
    <s v="KEPL/01960/82-83"/>
    <s v="M AND P TRADE SUPPLIERS"/>
    <x v="3"/>
    <n v="5"/>
    <n v="100"/>
    <n v="186.22"/>
    <n v="18622"/>
    <n v="-1432.03"/>
    <n v="0"/>
    <n v="2234.696328"/>
    <n v="19424.666327999999"/>
  </r>
  <r>
    <x v="6"/>
    <x v="7"/>
    <x v="3"/>
    <x v="0"/>
    <x v="109"/>
    <s v="KEPL/01960/82-83"/>
    <s v="M AND P TRADE SUPPLIERS"/>
    <x v="48"/>
    <n v="1"/>
    <n v="20"/>
    <n v="204.85"/>
    <n v="4097"/>
    <n v="-315.06"/>
    <n v="0"/>
    <n v="491.65225000000004"/>
    <n v="4273.5922499999997"/>
  </r>
  <r>
    <x v="6"/>
    <x v="7"/>
    <x v="3"/>
    <x v="0"/>
    <x v="109"/>
    <s v="KEPL/01960/82-83"/>
    <s v="M AND P TRADE SUPPLIERS"/>
    <x v="28"/>
    <n v="1"/>
    <n v="20"/>
    <n v="204.85"/>
    <n v="4097"/>
    <n v="-315.06"/>
    <n v="0"/>
    <n v="491.65225000000004"/>
    <n v="4273.5922499999997"/>
  </r>
  <r>
    <x v="10"/>
    <x v="7"/>
    <x v="3"/>
    <x v="0"/>
    <x v="109"/>
    <s v="KEPL/01960/82-83"/>
    <s v="M AND P TRADE SUPPLIERS"/>
    <x v="45"/>
    <n v="2"/>
    <n v="30"/>
    <n v="260.72000000000003"/>
    <n v="7821.6"/>
    <n v="-601.48"/>
    <n v="0"/>
    <n v="938.61569599999996"/>
    <n v="8158.7356959999997"/>
  </r>
  <r>
    <x v="10"/>
    <x v="7"/>
    <x v="3"/>
    <x v="0"/>
    <x v="109"/>
    <s v="KEPL/01960/82-83"/>
    <s v="M AND P TRADE SUPPLIERS"/>
    <x v="49"/>
    <n v="2"/>
    <n v="30"/>
    <n v="260.72000000000003"/>
    <n v="7821.6"/>
    <n v="-601.48"/>
    <n v="0"/>
    <n v="938.61569599999996"/>
    <n v="8158.7356959999997"/>
  </r>
  <r>
    <x v="8"/>
    <x v="7"/>
    <x v="3"/>
    <x v="0"/>
    <x v="109"/>
    <s v="KEPL/01960/82-83"/>
    <s v="M AND P TRADE SUPPLIERS"/>
    <x v="34"/>
    <n v="1"/>
    <n v="40"/>
    <n v="74.5"/>
    <n v="2980"/>
    <n v="-229.16"/>
    <n v="0"/>
    <n v="357.60923600000001"/>
    <n v="3108.4492359999999"/>
  </r>
  <r>
    <x v="8"/>
    <x v="7"/>
    <x v="3"/>
    <x v="0"/>
    <x v="109"/>
    <s v="KEPL/01960/82-83"/>
    <s v="M AND P TRADE SUPPLIERS"/>
    <x v="41"/>
    <n v="1"/>
    <n v="40"/>
    <n v="74.5"/>
    <n v="2980"/>
    <n v="-229.16"/>
    <n v="0"/>
    <n v="357.60923600000001"/>
    <n v="3108.4492359999999"/>
  </r>
  <r>
    <x v="6"/>
    <x v="8"/>
    <x v="3"/>
    <x v="0"/>
    <x v="110"/>
    <s v="KEPL/01983/82-83"/>
    <s v="SIMPEX SOLUTION PVT. LTD"/>
    <x v="48"/>
    <n v="0.15"/>
    <n v="3"/>
    <n v="194.69"/>
    <n v="584.07000000000005"/>
    <n v="0"/>
    <n v="0"/>
    <n v="75.92880199999999"/>
    <n v="659.99880199999996"/>
  </r>
  <r>
    <x v="0"/>
    <x v="8"/>
    <x v="3"/>
    <x v="0"/>
    <x v="110"/>
    <s v="KEPL/01983/82-83"/>
    <s v="SIMPEX SOLUTION PVT. LTD"/>
    <x v="57"/>
    <n v="0.15"/>
    <n v="6"/>
    <n v="106.19"/>
    <n v="637.14"/>
    <n v="0"/>
    <n v="0"/>
    <n v="82.827875000000006"/>
    <n v="719.96787500000005"/>
  </r>
  <r>
    <x v="1"/>
    <x v="8"/>
    <x v="3"/>
    <x v="0"/>
    <x v="110"/>
    <s v="KEPL/01983/82-83"/>
    <s v="SIMPEX SOLUTION PVT. LTD"/>
    <x v="24"/>
    <n v="0.11"/>
    <n v="2"/>
    <n v="169.81"/>
    <n v="339.62"/>
    <n v="0"/>
    <n v="0"/>
    <n v="44.150427000000008"/>
    <n v="383.77042699999998"/>
  </r>
  <r>
    <x v="1"/>
    <x v="8"/>
    <x v="3"/>
    <x v="0"/>
    <x v="110"/>
    <s v="KEPL/01983/82-83"/>
    <s v="SIMPEX SOLUTION PVT. LTD"/>
    <x v="26"/>
    <n v="0.11"/>
    <n v="2"/>
    <n v="169.81"/>
    <n v="339.62"/>
    <n v="0"/>
    <n v="0"/>
    <n v="44.150427000000008"/>
    <n v="383.77042699999998"/>
  </r>
  <r>
    <x v="8"/>
    <x v="8"/>
    <x v="3"/>
    <x v="0"/>
    <x v="110"/>
    <s v="KEPL/01983/82-83"/>
    <s v="SIMPEX SOLUTION PVT. LTD"/>
    <x v="41"/>
    <n v="0.08"/>
    <n v="3"/>
    <n v="70.8"/>
    <n v="212.4"/>
    <n v="0"/>
    <n v="0"/>
    <n v="27.611892000000001"/>
    <n v="240.01189199999999"/>
  </r>
  <r>
    <x v="2"/>
    <x v="8"/>
    <x v="3"/>
    <x v="0"/>
    <x v="110"/>
    <s v="KEPL/01983/82-83"/>
    <s v="SIMPEX SOLUTION PVT. LTD"/>
    <x v="3"/>
    <n v="0.15"/>
    <n v="3"/>
    <n v="176.99"/>
    <n v="530.97"/>
    <n v="0"/>
    <n v="0"/>
    <n v="69.025829000000002"/>
    <n v="599.99582899999996"/>
  </r>
  <r>
    <x v="6"/>
    <x v="8"/>
    <x v="3"/>
    <x v="0"/>
    <x v="110"/>
    <s v="KEPL/01983/82-83"/>
    <s v="SIMPEX SOLUTION PVT. LTD"/>
    <x v="30"/>
    <n v="0.15"/>
    <n v="3"/>
    <n v="230.09"/>
    <n v="690.2700000000001"/>
    <n v="0"/>
    <n v="0"/>
    <n v="89.734747999999996"/>
    <n v="780.00474799999995"/>
  </r>
  <r>
    <x v="0"/>
    <x v="8"/>
    <x v="3"/>
    <x v="0"/>
    <x v="110"/>
    <s v="KESR/0062/82-83"/>
    <s v="SIMPEX SOLUTION PVT. LTD"/>
    <x v="47"/>
    <n v="-0.13"/>
    <n v="-5"/>
    <n v="106.19"/>
    <n v="-530.95000000000005"/>
    <n v="0"/>
    <n v="0"/>
    <n v="-69.022989999999993"/>
    <n v="-599.97298999999998"/>
  </r>
  <r>
    <x v="1"/>
    <x v="8"/>
    <x v="3"/>
    <x v="0"/>
    <x v="110"/>
    <s v="KESR/0062/82-83"/>
    <s v="SIMPEX SOLUTION PVT. LTD"/>
    <x v="24"/>
    <n v="-0.28000000000000003"/>
    <n v="-5"/>
    <n v="169.91"/>
    <n v="-849.55000000000007"/>
    <n v="0"/>
    <n v="0"/>
    <n v="-110.440684"/>
    <n v="-959.99068399999999"/>
  </r>
  <r>
    <x v="1"/>
    <x v="8"/>
    <x v="3"/>
    <x v="0"/>
    <x v="110"/>
    <s v="KESR/0062/82-83"/>
    <s v="SIMPEX SOLUTION PVT. LTD"/>
    <x v="26"/>
    <n v="-0.28000000000000003"/>
    <n v="-5"/>
    <n v="169.91"/>
    <n v="-849.55000000000007"/>
    <n v="0"/>
    <n v="0"/>
    <n v="-110.440684"/>
    <n v="-959.99068399999999"/>
  </r>
  <r>
    <x v="11"/>
    <x v="8"/>
    <x v="3"/>
    <x v="0"/>
    <x v="110"/>
    <s v="KESR/0062/82-83"/>
    <s v="SIMPEX SOLUTION PVT. LTD"/>
    <x v="37"/>
    <n v="-0.13"/>
    <n v="-5"/>
    <n v="77.88"/>
    <n v="-389.4"/>
    <n v="0"/>
    <n v="0"/>
    <n v="-50.621625999999999"/>
    <n v="-440.02162600000003"/>
  </r>
  <r>
    <x v="16"/>
    <x v="8"/>
    <x v="3"/>
    <x v="0"/>
    <x v="111"/>
    <s v="KEPL/01987/82-83"/>
    <s v="MEGA MART PVT.LTD"/>
    <x v="42"/>
    <n v="1"/>
    <n v="30"/>
    <n v="282.08"/>
    <n v="8462.4"/>
    <n v="0"/>
    <n v="0"/>
    <n v="1100.113059"/>
    <n v="9562.5130590000008"/>
  </r>
  <r>
    <x v="8"/>
    <x v="8"/>
    <x v="3"/>
    <x v="0"/>
    <x v="111"/>
    <s v="KEPL/01987/82-83"/>
    <s v="MEGA MART PVT.LTD"/>
    <x v="33"/>
    <n v="3"/>
    <n v="120"/>
    <n v="66.37"/>
    <n v="7964.4000000000005"/>
    <n v="0"/>
    <n v="0"/>
    <n v="1035.3729969999999"/>
    <n v="8999.772997"/>
  </r>
  <r>
    <x v="16"/>
    <x v="8"/>
    <x v="3"/>
    <x v="0"/>
    <x v="111"/>
    <s v="KEPL/01987/82-83"/>
    <s v="MEGA MART PVT.LTD"/>
    <x v="35"/>
    <n v="2"/>
    <n v="120"/>
    <n v="129.41999999999999"/>
    <n v="15530.4"/>
    <n v="0"/>
    <n v="0"/>
    <n v="2018.9539439999999"/>
    <n v="17549.353943999999"/>
  </r>
  <r>
    <x v="11"/>
    <x v="8"/>
    <x v="3"/>
    <x v="0"/>
    <x v="111"/>
    <s v="KEPL/01988/82-83"/>
    <s v="KRISHMA ENTERPRISES"/>
    <x v="53"/>
    <n v="0.38"/>
    <n v="15"/>
    <n v="81.94"/>
    <n v="1229.1000000000001"/>
    <n v="-94.52"/>
    <n v="0"/>
    <n v="147.49552700000001"/>
    <n v="1282.075527"/>
  </r>
  <r>
    <x v="20"/>
    <x v="8"/>
    <x v="3"/>
    <x v="0"/>
    <x v="111"/>
    <s v="KEPL/01988/82-83"/>
    <s v="KRISHMA ENTERPRISES"/>
    <x v="52"/>
    <n v="3.75"/>
    <n v="15"/>
    <n v="595.92999999999995"/>
    <n v="8938.9499999999989"/>
    <n v="-687.41"/>
    <n v="0"/>
    <n v="1072.7011219999999"/>
    <n v="9324.2411219999995"/>
  </r>
  <r>
    <x v="16"/>
    <x v="8"/>
    <x v="3"/>
    <x v="0"/>
    <x v="111"/>
    <s v="KEPL/01988/82-83"/>
    <s v="KRISHMA ENTERPRISES"/>
    <x v="35"/>
    <n v="1"/>
    <n v="60"/>
    <n v="145.26"/>
    <n v="8715.6"/>
    <n v="-670.23"/>
    <n v="0"/>
    <n v="1045.898999"/>
    <n v="9091.2689989999999"/>
  </r>
  <r>
    <x v="11"/>
    <x v="8"/>
    <x v="3"/>
    <x v="0"/>
    <x v="111"/>
    <s v="KEPL/01988/82-83"/>
    <s v="KRISHMA ENTERPRISES"/>
    <x v="37"/>
    <n v="0.55000000000000004"/>
    <n v="22"/>
    <n v="81.94"/>
    <n v="1802.68"/>
    <n v="-138.63"/>
    <n v="0"/>
    <n v="216.326686"/>
    <n v="1880.3766860000001"/>
  </r>
  <r>
    <x v="9"/>
    <x v="8"/>
    <x v="3"/>
    <x v="0"/>
    <x v="111"/>
    <s v="KEPL/01988/82-83"/>
    <s v="KRISHMA ENTERPRISES"/>
    <x v="22"/>
    <n v="0.71"/>
    <n v="17"/>
    <n v="204.85"/>
    <n v="3482.4500000000003"/>
    <n v="-267.8"/>
    <n v="0"/>
    <n v="417.90485900000004"/>
    <n v="3632.5548589999999"/>
  </r>
  <r>
    <x v="11"/>
    <x v="8"/>
    <x v="3"/>
    <x v="0"/>
    <x v="111"/>
    <s v="KEPL/01988/82-83"/>
    <s v="KRISHMA ENTERPRISES"/>
    <x v="36"/>
    <n v="0.85"/>
    <n v="34"/>
    <n v="81.94"/>
    <n v="2785.9599999999996"/>
    <n v="-214.24"/>
    <n v="0"/>
    <n v="334.32388700000001"/>
    <n v="2906.0438869999998"/>
  </r>
  <r>
    <x v="8"/>
    <x v="8"/>
    <x v="3"/>
    <x v="0"/>
    <x v="111"/>
    <s v="KEPL/01988/82-83"/>
    <s v="KRISHMA ENTERPRISES"/>
    <x v="13"/>
    <n v="0.92"/>
    <n v="22"/>
    <n v="141.53"/>
    <n v="3113.6600000000003"/>
    <n v="-239.44"/>
    <n v="0"/>
    <n v="373.64892100000003"/>
    <n v="3247.8689209999998"/>
  </r>
  <r>
    <x v="20"/>
    <x v="8"/>
    <x v="3"/>
    <x v="0"/>
    <x v="111"/>
    <s v="KESR/0066/82-83"/>
    <s v="DURGA LAXMI AND SONS"/>
    <x v="52"/>
    <n v="-3.75"/>
    <n v="-15"/>
    <n v="595.92999999999995"/>
    <n v="-8938.9499999999989"/>
    <n v="317.57"/>
    <n v="0"/>
    <n v="-1120.7792810000001"/>
    <n v="-9742.1592810000002"/>
  </r>
  <r>
    <x v="16"/>
    <x v="8"/>
    <x v="3"/>
    <x v="0"/>
    <x v="111"/>
    <s v="KESR/0066/82-83"/>
    <s v="DURGA LAXMI AND SONS"/>
    <x v="35"/>
    <n v="-1"/>
    <n v="-60"/>
    <n v="145.26"/>
    <n v="-8715.6"/>
    <n v="317.57"/>
    <n v="0"/>
    <n v="-1091.7437850000001"/>
    <n v="-9489.7737849999994"/>
  </r>
  <r>
    <x v="11"/>
    <x v="8"/>
    <x v="3"/>
    <x v="0"/>
    <x v="111"/>
    <s v="KESR/0066/82-83"/>
    <s v="DURGA LAXMI AND SONS"/>
    <x v="53"/>
    <n v="-0.38"/>
    <n v="-15"/>
    <n v="81.94"/>
    <n v="-1229.1000000000001"/>
    <n v="317.57"/>
    <n v="0"/>
    <n v="-118.49888700000001"/>
    <n v="-1030.0288869999999"/>
  </r>
  <r>
    <x v="11"/>
    <x v="8"/>
    <x v="3"/>
    <x v="0"/>
    <x v="111"/>
    <s v="KESR/0066/82-83"/>
    <s v="DURGA LAXMI AND SONS"/>
    <x v="37"/>
    <n v="-0.55000000000000004"/>
    <n v="-22"/>
    <n v="81.94"/>
    <n v="-1802.68"/>
    <n v="317.57"/>
    <n v="0"/>
    <n v="-193.06428"/>
    <n v="-1678.17428"/>
  </r>
  <r>
    <x v="11"/>
    <x v="8"/>
    <x v="3"/>
    <x v="0"/>
    <x v="111"/>
    <s v="KESR/0066/82-83"/>
    <s v="DURGA LAXMI AND SONS"/>
    <x v="36"/>
    <n v="-0.85"/>
    <n v="-34"/>
    <n v="81.94"/>
    <n v="-2785.9599999999996"/>
    <n v="317.57"/>
    <n v="0"/>
    <n v="-320.89066600000001"/>
    <n v="-2789.2806660000001"/>
  </r>
  <r>
    <x v="9"/>
    <x v="8"/>
    <x v="3"/>
    <x v="0"/>
    <x v="111"/>
    <s v="KESR/0066/82-83"/>
    <s v="DURGA LAXMI AND SONS"/>
    <x v="22"/>
    <n v="-0.71"/>
    <n v="-17"/>
    <n v="204.85"/>
    <n v="-3482.4500000000003"/>
    <n v="317.57"/>
    <n v="0"/>
    <n v="-411.43435599999998"/>
    <n v="-3576.3143559999999"/>
  </r>
  <r>
    <x v="8"/>
    <x v="8"/>
    <x v="3"/>
    <x v="0"/>
    <x v="111"/>
    <s v="KESR/0066/82-83"/>
    <s v="DURGA LAXMI AND SONS"/>
    <x v="13"/>
    <n v="-0.92"/>
    <n v="-22"/>
    <n v="141.53"/>
    <n v="-3113.6600000000003"/>
    <n v="317.57"/>
    <n v="0"/>
    <n v="-363.49166200000002"/>
    <n v="-3159.5816620000001"/>
  </r>
  <r>
    <x v="8"/>
    <x v="8"/>
    <x v="3"/>
    <x v="0"/>
    <x v="111"/>
    <s v="KESR/0066/82-83"/>
    <s v="DURGA LAXMI AND SONS"/>
    <x v="56"/>
    <n v="-0.78"/>
    <n v="-620"/>
    <n v="7.45"/>
    <n v="-4619"/>
    <n v="317.57"/>
    <n v="0"/>
    <n v="-559.18584099999998"/>
    <n v="-4860.6158409999998"/>
  </r>
  <r>
    <x v="13"/>
    <x v="8"/>
    <x v="3"/>
    <x v="0"/>
    <x v="111"/>
    <s v="KESR/0066/82-83"/>
    <s v="DURGA LAXMI AND SONS"/>
    <x v="40"/>
    <n v="-0.8"/>
    <n v="-480"/>
    <n v="7.45"/>
    <n v="-3576"/>
    <n v="317.57"/>
    <n v="0"/>
    <n v="-423.59585500000003"/>
    <n v="-3682.0258549999999"/>
  </r>
  <r>
    <x v="8"/>
    <x v="8"/>
    <x v="3"/>
    <x v="0"/>
    <x v="111"/>
    <s v="KESR/0066/82-83"/>
    <s v="DURGA LAXMI AND SONS"/>
    <x v="56"/>
    <n v="-0.08"/>
    <n v="-60"/>
    <n v="7.45"/>
    <n v="-447"/>
    <n v="317.57"/>
    <n v="0"/>
    <n v="-16.825897999999999"/>
    <n v="-146.255898"/>
  </r>
  <r>
    <x v="7"/>
    <x v="8"/>
    <x v="3"/>
    <x v="0"/>
    <x v="111"/>
    <s v="KESR/0066/82-83"/>
    <s v="DURGA LAXMI AND SONS"/>
    <x v="12"/>
    <n v="-1.74"/>
    <n v="-226"/>
    <n v="37.25"/>
    <n v="-8418.5"/>
    <n v="317.58"/>
    <n v="0"/>
    <n v="-1053.1194890000002"/>
    <n v="-9154.0394890000007"/>
  </r>
  <r>
    <x v="9"/>
    <x v="8"/>
    <x v="3"/>
    <x v="0"/>
    <x v="112"/>
    <s v="KEPL/01996/82-83"/>
    <s v="BIJAYA TRADERS"/>
    <x v="44"/>
    <n v="10"/>
    <n v="240"/>
    <n v="186.23"/>
    <n v="44695.199999999997"/>
    <n v="-3437.06"/>
    <n v="0"/>
    <n v="5363.561479"/>
    <n v="46621.701479000003"/>
  </r>
  <r>
    <x v="10"/>
    <x v="8"/>
    <x v="3"/>
    <x v="0"/>
    <x v="112"/>
    <s v="KEPL/01996/82-83"/>
    <s v="BIJAYA TRADERS"/>
    <x v="45"/>
    <n v="3"/>
    <n v="45"/>
    <n v="260.72000000000003"/>
    <n v="11732.4"/>
    <n v="-902.22"/>
    <n v="0"/>
    <n v="1407.9242610000001"/>
    <n v="12238.104261"/>
  </r>
  <r>
    <x v="10"/>
    <x v="8"/>
    <x v="3"/>
    <x v="0"/>
    <x v="112"/>
    <s v="KEPL/01996/82-83"/>
    <s v="BIJAYA TRADERS"/>
    <x v="49"/>
    <n v="3"/>
    <n v="45"/>
    <n v="260.72000000000003"/>
    <n v="11732.4"/>
    <n v="-902.22"/>
    <n v="0"/>
    <n v="1407.9242610000001"/>
    <n v="12238.104261"/>
  </r>
  <r>
    <x v="7"/>
    <x v="8"/>
    <x v="3"/>
    <x v="0"/>
    <x v="112"/>
    <s v="KEPL/01997/82-83"/>
    <s v="SHUBHASHREE MARKETING"/>
    <x v="27"/>
    <n v="10"/>
    <n v="700"/>
    <n v="37.25"/>
    <n v="26075"/>
    <n v="-2005.1699999999998"/>
    <n v="0"/>
    <n v="3129.0800000000004"/>
    <n v="27198.91"/>
  </r>
  <r>
    <x v="20"/>
    <x v="8"/>
    <x v="3"/>
    <x v="0"/>
    <x v="112"/>
    <s v="KEPL/01998/82-83"/>
    <s v="GORIN TRADING "/>
    <x v="52"/>
    <n v="20"/>
    <n v="80"/>
    <n v="595.92999999999995"/>
    <n v="47674.400000000001"/>
    <n v="-3666.16"/>
    <n v="0"/>
    <n v="5721.0700000000006"/>
    <n v="49729.31"/>
  </r>
  <r>
    <x v="16"/>
    <x v="8"/>
    <x v="3"/>
    <x v="0"/>
    <x v="113"/>
    <s v="KEPL/02003/82-83"/>
    <s v="MEGA MART PVT.LTD"/>
    <x v="42"/>
    <n v="1"/>
    <n v="30"/>
    <n v="282.08"/>
    <n v="8462.4"/>
    <n v="0"/>
    <n v="0"/>
    <n v="1100.1100000000001"/>
    <n v="9562.51"/>
  </r>
  <r>
    <x v="1"/>
    <x v="8"/>
    <x v="3"/>
    <x v="0"/>
    <x v="114"/>
    <s v="KEPL/02025/82-83"/>
    <s v="NAMERU TRADE LINK PVT.LTD"/>
    <x v="24"/>
    <n v="30"/>
    <n v="540"/>
    <n v="178.78"/>
    <n v="96541.2"/>
    <n v="-7424.0199999999995"/>
    <n v="0"/>
    <n v="11585.23"/>
    <n v="100702.41"/>
  </r>
  <r>
    <x v="7"/>
    <x v="8"/>
    <x v="3"/>
    <x v="0"/>
    <x v="115"/>
    <s v="KEPL/02027/82-83"/>
    <s v="SHREE BHOLEY SHANKAR KIRANA STORE"/>
    <x v="27"/>
    <n v="10"/>
    <n v="700"/>
    <n v="37.25"/>
    <n v="26075"/>
    <n v="-2005.1699999999998"/>
    <n v="0"/>
    <n v="3129.0786450000001"/>
    <n v="27198.908645"/>
  </r>
  <r>
    <x v="0"/>
    <x v="8"/>
    <x v="3"/>
    <x v="0"/>
    <x v="115"/>
    <s v="KEPL/02027/82-83"/>
    <s v="SHREE BHOLEY SHANKAR KIRANA STORE"/>
    <x v="58"/>
    <n v="20"/>
    <n v="800"/>
    <n v="111.74"/>
    <n v="89392"/>
    <n v="-6874.24"/>
    <n v="0"/>
    <n v="10727.311355"/>
    <n v="93245.071354999993"/>
  </r>
  <r>
    <x v="8"/>
    <x v="8"/>
    <x v="3"/>
    <x v="0"/>
    <x v="115"/>
    <s v="KEPL/02029/82-83"/>
    <s v="MEGA MART PVT.LTD"/>
    <x v="33"/>
    <n v="4"/>
    <n v="160"/>
    <n v="66.37"/>
    <n v="10619.2"/>
    <n v="0"/>
    <n v="0"/>
    <n v="1380.4956999999999"/>
    <n v="11999.6957"/>
  </r>
  <r>
    <x v="8"/>
    <x v="8"/>
    <x v="3"/>
    <x v="0"/>
    <x v="115"/>
    <s v="KEPL/02029/82-83"/>
    <s v="MEGA MART PVT.LTD"/>
    <x v="13"/>
    <n v="22"/>
    <n v="528"/>
    <n v="126.11"/>
    <n v="66586.080000000002"/>
    <n v="0"/>
    <n v="0"/>
    <n v="8656.1885190000012"/>
    <n v="75242.268519000005"/>
  </r>
  <r>
    <x v="16"/>
    <x v="8"/>
    <x v="3"/>
    <x v="0"/>
    <x v="115"/>
    <s v="KEPL/02029/82-83"/>
    <s v="MEGA MART PVT.LTD"/>
    <x v="35"/>
    <n v="1"/>
    <n v="60"/>
    <n v="129.41999999999999"/>
    <n v="7765.2"/>
    <n v="0"/>
    <n v="0"/>
    <n v="1009.4757810000001"/>
    <n v="8774.6757809999999"/>
  </r>
  <r>
    <x v="9"/>
    <x v="8"/>
    <x v="3"/>
    <x v="0"/>
    <x v="115"/>
    <s v="KEPL/02031/82-83"/>
    <s v="SHUBHASHREE MARKETING"/>
    <x v="22"/>
    <n v="3"/>
    <n v="72"/>
    <n v="204.85"/>
    <n v="14749.199999999999"/>
    <n v="-1134.21"/>
    <n v="0"/>
    <n v="1769.9465299999999"/>
    <n v="15384.936530000001"/>
  </r>
  <r>
    <x v="3"/>
    <x v="8"/>
    <x v="3"/>
    <x v="0"/>
    <x v="115"/>
    <s v="KEPL/02031/82-83"/>
    <s v="SHUBHASHREE MARKETING"/>
    <x v="4"/>
    <n v="2"/>
    <n v="40"/>
    <n v="175.05"/>
    <n v="7001.9999999999991"/>
    <n v="-538.45000000000005"/>
    <n v="0"/>
    <n v="840.26047000000005"/>
    <n v="7303.8104700000004"/>
  </r>
  <r>
    <x v="8"/>
    <x v="8"/>
    <x v="3"/>
    <x v="0"/>
    <x v="115"/>
    <s v="KEPL/02031/82-83"/>
    <s v="SHUBHASHREE MARKETING"/>
    <x v="13"/>
    <n v="3"/>
    <n v="72"/>
    <n v="141.53"/>
    <n v="10190.280000000001"/>
    <n v="-783.63000000000011"/>
    <n v="0"/>
    <n v="1222.8630010000002"/>
    <n v="10629.513000999999"/>
  </r>
  <r>
    <x v="20"/>
    <x v="8"/>
    <x v="3"/>
    <x v="0"/>
    <x v="115"/>
    <s v="KEPL/02039/82-83"/>
    <s v="EMERALD TRADE LINK"/>
    <x v="52"/>
    <n v="20"/>
    <n v="80"/>
    <n v="595.92999999999995"/>
    <n v="47674.400000000001"/>
    <n v="-3666.16"/>
    <n v="0"/>
    <n v="5721.0700000000006"/>
    <n v="49729.31"/>
  </r>
  <r>
    <x v="10"/>
    <x v="8"/>
    <x v="3"/>
    <x v="0"/>
    <x v="115"/>
    <s v="KEPL/02040/82-83"/>
    <s v="GORIN TRADING "/>
    <x v="49"/>
    <n v="3"/>
    <n v="45"/>
    <n v="260.72000000000003"/>
    <n v="11732.4"/>
    <n v="-902.22"/>
    <n v="0"/>
    <n v="1407.922276"/>
    <n v="12238.102276"/>
  </r>
  <r>
    <x v="9"/>
    <x v="8"/>
    <x v="3"/>
    <x v="0"/>
    <x v="115"/>
    <s v="KEPL/02040/82-83"/>
    <s v="GORIN TRADING "/>
    <x v="22"/>
    <n v="2"/>
    <n v="48"/>
    <n v="204.85"/>
    <n v="9832.8000000000011"/>
    <n v="-756.14"/>
    <n v="0"/>
    <n v="1179.964858"/>
    <n v="10256.624857999999"/>
  </r>
  <r>
    <x v="7"/>
    <x v="8"/>
    <x v="3"/>
    <x v="0"/>
    <x v="115"/>
    <s v="KEPL/02040/82-83"/>
    <s v="GORIN TRADING "/>
    <x v="27"/>
    <n v="5"/>
    <n v="350"/>
    <n v="37.25"/>
    <n v="13037.5"/>
    <n v="-1002.58"/>
    <n v="0"/>
    <n v="1564.5383509999999"/>
    <n v="13599.458350999999"/>
  </r>
  <r>
    <x v="0"/>
    <x v="8"/>
    <x v="3"/>
    <x v="0"/>
    <x v="115"/>
    <s v="KEPL/02040/82-83"/>
    <s v="GORIN TRADING "/>
    <x v="58"/>
    <n v="3"/>
    <n v="120"/>
    <n v="111.74"/>
    <n v="13408.8"/>
    <n v="-1031.1400000000001"/>
    <n v="0"/>
    <n v="1609.0945150000002"/>
    <n v="13986.754515000001"/>
  </r>
  <r>
    <x v="10"/>
    <x v="8"/>
    <x v="3"/>
    <x v="0"/>
    <x v="115"/>
    <s v="KEPL/02041/82-83"/>
    <s v="KRISHMA ENTERPRISES"/>
    <x v="49"/>
    <n v="5"/>
    <n v="75"/>
    <n v="260.72000000000003"/>
    <n v="19554"/>
    <n v="-1503.6999999999998"/>
    <n v="0"/>
    <n v="2346.5389880000002"/>
    <n v="20396.838988"/>
  </r>
  <r>
    <x v="10"/>
    <x v="8"/>
    <x v="3"/>
    <x v="0"/>
    <x v="115"/>
    <s v="KEPL/02041/82-83"/>
    <s v="KRISHMA ENTERPRISES"/>
    <x v="45"/>
    <n v="5"/>
    <n v="75"/>
    <n v="260.72000000000003"/>
    <n v="19554"/>
    <n v="-1503.6999999999998"/>
    <n v="0"/>
    <n v="2346.5389880000002"/>
    <n v="20396.838988"/>
  </r>
  <r>
    <x v="9"/>
    <x v="8"/>
    <x v="3"/>
    <x v="0"/>
    <x v="115"/>
    <s v="KEPL/02041/82-83"/>
    <s v="KRISHMA ENTERPRISES"/>
    <x v="22"/>
    <n v="5"/>
    <n v="120"/>
    <n v="204.85"/>
    <n v="24582"/>
    <n v="-1890.36"/>
    <n v="0"/>
    <n v="2949.913184"/>
    <n v="25641.553184"/>
  </r>
  <r>
    <x v="8"/>
    <x v="8"/>
    <x v="3"/>
    <x v="0"/>
    <x v="115"/>
    <s v="KEPL/02041/82-83"/>
    <s v="KRISHMA ENTERPRISES"/>
    <x v="41"/>
    <n v="10"/>
    <n v="400"/>
    <n v="74.5"/>
    <n v="29799.999999999996"/>
    <n v="-2291.62"/>
    <n v="0"/>
    <n v="3576.0893809999998"/>
    <n v="31084.469380999999"/>
  </r>
  <r>
    <x v="16"/>
    <x v="8"/>
    <x v="3"/>
    <x v="0"/>
    <x v="115"/>
    <s v="KEPL/02041/82-83"/>
    <s v="KRISHMA ENTERPRISES"/>
    <x v="42"/>
    <n v="20"/>
    <n v="600"/>
    <n v="316.58999999999997"/>
    <n v="189954"/>
    <n v="-14607.46"/>
    <n v="0"/>
    <n v="22795.050079000001"/>
    <n v="198141.59007899999"/>
  </r>
  <r>
    <x v="8"/>
    <x v="8"/>
    <x v="3"/>
    <x v="0"/>
    <x v="115"/>
    <s v="KEPL/02041/82-83"/>
    <s v="KRISHMA ENTERPRISES"/>
    <x v="34"/>
    <n v="10"/>
    <n v="400"/>
    <n v="74.5"/>
    <n v="29799.999999999996"/>
    <n v="-2291.62"/>
    <n v="0"/>
    <n v="3576.0893809999998"/>
    <n v="31084.469380999999"/>
  </r>
  <r>
    <x v="2"/>
    <x v="8"/>
    <x v="3"/>
    <x v="0"/>
    <x v="115"/>
    <s v="KESR/0067/82-83"/>
    <s v="MITHASH TRADE CONCERN PVT LTD"/>
    <x v="3"/>
    <n v="-0.1"/>
    <n v="-2"/>
    <n v="186.23"/>
    <n v="-372.46"/>
    <n v="58.57"/>
    <n v="0"/>
    <n v="-40.804940999999992"/>
    <n v="-354.69494099999997"/>
  </r>
  <r>
    <x v="3"/>
    <x v="8"/>
    <x v="3"/>
    <x v="0"/>
    <x v="115"/>
    <s v="KESR/0067/82-83"/>
    <s v="MITHASH TRADE CONCERN PVT LTD"/>
    <x v="4"/>
    <n v="-0.7"/>
    <n v="-14"/>
    <n v="175.05"/>
    <n v="-2450.7000000000003"/>
    <n v="58.57"/>
    <n v="0"/>
    <n v="-310.97111599999999"/>
    <n v="-2703.1011159999998"/>
  </r>
  <r>
    <x v="0"/>
    <x v="8"/>
    <x v="3"/>
    <x v="0"/>
    <x v="115"/>
    <s v="KESR/0067/82-83"/>
    <s v="MITHASH TRADE CONCERN PVT LTD"/>
    <x v="6"/>
    <n v="-0.03"/>
    <n v="-1"/>
    <n v="111.74"/>
    <n v="-111.74"/>
    <n v="58.57"/>
    <n v="0"/>
    <n v="-6.9119710000000003"/>
    <n v="-60.081971000000003"/>
  </r>
  <r>
    <x v="0"/>
    <x v="8"/>
    <x v="3"/>
    <x v="0"/>
    <x v="115"/>
    <s v="KESR/0067/82-83"/>
    <s v="MITHASH TRADE CONCERN PVT LTD"/>
    <x v="0"/>
    <n v="-0.03"/>
    <n v="-1"/>
    <n v="111.74"/>
    <n v="-111.74"/>
    <n v="58.57"/>
    <n v="0"/>
    <n v="-6.9119710000000003"/>
    <n v="-60.081971000000003"/>
  </r>
  <r>
    <x v="4"/>
    <x v="8"/>
    <x v="3"/>
    <x v="0"/>
    <x v="115"/>
    <s v="KESR/0068/82-83"/>
    <s v="MITHASH TRADE CONCERN PVT LTD"/>
    <x v="5"/>
    <n v="-0.03"/>
    <n v="-180"/>
    <n v="18.62"/>
    <n v="-3351.6"/>
    <n v="342.33"/>
    <n v="0"/>
    <n v="-391.204725"/>
    <n v="-3400.474725"/>
  </r>
  <r>
    <x v="3"/>
    <x v="8"/>
    <x v="3"/>
    <x v="0"/>
    <x v="115"/>
    <s v="KESR/0068/82-83"/>
    <s v="MITHASH TRADE CONCERN PVT LTD"/>
    <x v="4"/>
    <n v="-3.3"/>
    <n v="-66"/>
    <n v="175.05"/>
    <n v="-11553.3"/>
    <n v="342.33"/>
    <n v="0"/>
    <n v="-1457.4247019999998"/>
    <n v="-12668.394702"/>
  </r>
  <r>
    <x v="6"/>
    <x v="8"/>
    <x v="3"/>
    <x v="0"/>
    <x v="115"/>
    <s v="KESR/0068/82-83"/>
    <s v="MITHASH TRADE CONCERN PVT LTD"/>
    <x v="11"/>
    <n v="-0.4"/>
    <n v="-8"/>
    <n v="204.85"/>
    <n v="-1638.8"/>
    <n v="342.33"/>
    <n v="0"/>
    <n v="-168.54093799999998"/>
    <n v="-1465.0109379999999"/>
  </r>
  <r>
    <x v="5"/>
    <x v="8"/>
    <x v="3"/>
    <x v="0"/>
    <x v="115"/>
    <s v="KESR/0068/82-83"/>
    <s v="MITHASH TRADE CONCERN PVT LTD"/>
    <x v="7"/>
    <n v="-1.83"/>
    <n v="-77"/>
    <n v="74.489999999999995"/>
    <n v="-5735.73"/>
    <n v="342.33"/>
    <n v="0"/>
    <n v="-701.14132700000005"/>
    <n v="-6094.5413269999999"/>
  </r>
  <r>
    <x v="5"/>
    <x v="8"/>
    <x v="3"/>
    <x v="0"/>
    <x v="115"/>
    <s v="KESR/0068/82-83"/>
    <s v="MITHASH TRADE CONCERN PVT LTD"/>
    <x v="10"/>
    <n v="-1.83"/>
    <n v="-77"/>
    <n v="74.489999999999995"/>
    <n v="-5735.73"/>
    <n v="342.33"/>
    <n v="0"/>
    <n v="-701.14132700000005"/>
    <n v="-6094.5413269999999"/>
  </r>
  <r>
    <x v="5"/>
    <x v="8"/>
    <x v="3"/>
    <x v="0"/>
    <x v="115"/>
    <s v="KESR/0068/82-83"/>
    <s v="MITHASH TRADE CONCERN PVT LTD"/>
    <x v="8"/>
    <n v="-1.83"/>
    <n v="-77"/>
    <n v="74.489999999999995"/>
    <n v="-5735.73"/>
    <n v="342.33"/>
    <n v="0"/>
    <n v="-701.14132700000005"/>
    <n v="-6094.5413269999999"/>
  </r>
  <r>
    <x v="0"/>
    <x v="8"/>
    <x v="3"/>
    <x v="0"/>
    <x v="115"/>
    <s v="KESR/0068/82-83"/>
    <s v="MITHASH TRADE CONCERN PVT LTD"/>
    <x v="1"/>
    <n v="-0.38"/>
    <n v="-15"/>
    <n v="111.74"/>
    <n v="-1676.1"/>
    <n v="342.33"/>
    <n v="0"/>
    <n v="-173.38993400000001"/>
    <n v="-1507.159934"/>
  </r>
  <r>
    <x v="2"/>
    <x v="8"/>
    <x v="3"/>
    <x v="0"/>
    <x v="115"/>
    <s v="KESR/0068/82-83"/>
    <s v="MITHASH TRADE CONCERN PVT LTD"/>
    <x v="3"/>
    <n v="-0.05"/>
    <n v="-1"/>
    <n v="186.23"/>
    <n v="-186.23"/>
    <n v="342.34"/>
    <n v="0"/>
    <n v="20.294281000000002"/>
    <n v="176.404281"/>
  </r>
  <r>
    <x v="16"/>
    <x v="8"/>
    <x v="3"/>
    <x v="0"/>
    <x v="116"/>
    <s v="KEPL/02047/82-83"/>
    <s v="MEGA MART PVT.LTD"/>
    <x v="42"/>
    <n v="1"/>
    <n v="30"/>
    <n v="282.08"/>
    <n v="8462.4"/>
    <n v="0"/>
    <n v="0"/>
    <n v="1100.1100000000001"/>
    <n v="9562.51"/>
  </r>
  <r>
    <x v="20"/>
    <x v="8"/>
    <x v="3"/>
    <x v="0"/>
    <x v="116"/>
    <s v="KEPL/02048/82-83"/>
    <s v="NEW MATA RANI SUPPLIERS"/>
    <x v="52"/>
    <n v="10"/>
    <n v="40"/>
    <n v="595.92999999999995"/>
    <n v="23837.200000000001"/>
    <n v="-1833.08"/>
    <n v="0"/>
    <n v="2860.5341480000002"/>
    <n v="24864.654148000001"/>
  </r>
  <r>
    <x v="6"/>
    <x v="8"/>
    <x v="3"/>
    <x v="0"/>
    <x v="116"/>
    <s v="KEPL/02048/82-83"/>
    <s v="NEW MATA RANI SUPPLIERS"/>
    <x v="28"/>
    <n v="3"/>
    <n v="60"/>
    <n v="204.85"/>
    <n v="12291"/>
    <n v="-945.18"/>
    <n v="0"/>
    <n v="1474.955852"/>
    <n v="12820.775852000001"/>
  </r>
  <r>
    <x v="16"/>
    <x v="8"/>
    <x v="3"/>
    <x v="0"/>
    <x v="116"/>
    <s v="KEPL/02050/82-83"/>
    <s v="UMALAXMI TRADERS"/>
    <x v="42"/>
    <n v="3"/>
    <n v="90"/>
    <n v="316.58999999999997"/>
    <n v="28493.1"/>
    <n v="-2191.12"/>
    <n v="0"/>
    <n v="3419.2570450000003"/>
    <n v="29721.237045000002"/>
  </r>
  <r>
    <x v="20"/>
    <x v="8"/>
    <x v="3"/>
    <x v="0"/>
    <x v="116"/>
    <s v="KEPL/02050/82-83"/>
    <s v="UMALAXMI TRADERS"/>
    <x v="52"/>
    <n v="15"/>
    <n v="60"/>
    <n v="595.92999999999995"/>
    <n v="35755.799999999996"/>
    <n v="-2749.62"/>
    <n v="0"/>
    <n v="4290.8029550000001"/>
    <n v="37296.982954999999"/>
  </r>
  <r>
    <x v="16"/>
    <x v="8"/>
    <x v="3"/>
    <x v="0"/>
    <x v="116"/>
    <s v="KEPL/02052/82-83"/>
    <s v="B AND B SUPPLIERS-LEKHNATH"/>
    <x v="42"/>
    <n v="1"/>
    <n v="30"/>
    <n v="316.58999999999997"/>
    <n v="9497.6999999999989"/>
    <n v="-730.36999999999989"/>
    <n v="0"/>
    <n v="1139.7529770000001"/>
    <n v="9907.082977"/>
  </r>
  <r>
    <x v="8"/>
    <x v="8"/>
    <x v="3"/>
    <x v="0"/>
    <x v="116"/>
    <s v="KEPL/02052/82-83"/>
    <s v="B AND B SUPPLIERS-LEKHNATH"/>
    <x v="34"/>
    <n v="1"/>
    <n v="40"/>
    <n v="74.5"/>
    <n v="2980"/>
    <n v="-229.16"/>
    <n v="0"/>
    <n v="357.60922399999998"/>
    <n v="3108.449224"/>
  </r>
  <r>
    <x v="10"/>
    <x v="8"/>
    <x v="3"/>
    <x v="0"/>
    <x v="116"/>
    <s v="KEPL/02052/82-83"/>
    <s v="B AND B SUPPLIERS-LEKHNATH"/>
    <x v="45"/>
    <n v="3"/>
    <n v="45"/>
    <n v="260.72000000000003"/>
    <n v="11732.4"/>
    <n v="-902.22"/>
    <n v="0"/>
    <n v="1407.923495"/>
    <n v="12238.103494999999"/>
  </r>
  <r>
    <x v="16"/>
    <x v="8"/>
    <x v="3"/>
    <x v="0"/>
    <x v="116"/>
    <s v="KEPL/02052/82-83"/>
    <s v="B AND B SUPPLIERS-LEKHNATH"/>
    <x v="35"/>
    <n v="1"/>
    <n v="60"/>
    <n v="145.26"/>
    <n v="8715.6"/>
    <n v="-670.23"/>
    <n v="0"/>
    <n v="1045.8981699999999"/>
    <n v="9091.2681699999994"/>
  </r>
  <r>
    <x v="8"/>
    <x v="8"/>
    <x v="3"/>
    <x v="0"/>
    <x v="116"/>
    <s v="KEPL/02052/82-83"/>
    <s v="B AND B SUPPLIERS-LEKHNATH"/>
    <x v="41"/>
    <n v="1"/>
    <n v="40"/>
    <n v="74.5"/>
    <n v="2980"/>
    <n v="-229.16"/>
    <n v="0"/>
    <n v="357.60922399999998"/>
    <n v="3108.449224"/>
  </r>
  <r>
    <x v="20"/>
    <x v="8"/>
    <x v="3"/>
    <x v="0"/>
    <x v="116"/>
    <s v="KEPL/02052/82-83"/>
    <s v="B AND B SUPPLIERS-LEKHNATH"/>
    <x v="52"/>
    <n v="3"/>
    <n v="12"/>
    <n v="595.92999999999995"/>
    <n v="7151.16"/>
    <n v="-549.91999999999996"/>
    <n v="0"/>
    <n v="858.16125799999998"/>
    <n v="7459.4012579999999"/>
  </r>
  <r>
    <x v="10"/>
    <x v="8"/>
    <x v="3"/>
    <x v="0"/>
    <x v="116"/>
    <s v="KEPL/02052/82-83"/>
    <s v="B AND B SUPPLIERS-LEKHNATH"/>
    <x v="49"/>
    <n v="3"/>
    <n v="45"/>
    <n v="260.72000000000003"/>
    <n v="11732.4"/>
    <n v="-902.22"/>
    <n v="0"/>
    <n v="1407.923495"/>
    <n v="12238.103494999999"/>
  </r>
  <r>
    <x v="2"/>
    <x v="8"/>
    <x v="3"/>
    <x v="0"/>
    <x v="116"/>
    <s v="KEPL/02052/82-83"/>
    <s v="B AND B SUPPLIERS-LEKHNATH"/>
    <x v="3"/>
    <n v="5"/>
    <n v="100"/>
    <n v="186.22"/>
    <n v="18622"/>
    <n v="-1432.03"/>
    <n v="0"/>
    <n v="2234.69625"/>
    <n v="19424.666249999998"/>
  </r>
  <r>
    <x v="0"/>
    <x v="8"/>
    <x v="3"/>
    <x v="0"/>
    <x v="116"/>
    <s v="KEPL/02052/82-83"/>
    <s v="B AND B SUPPLIERS-LEKHNATH"/>
    <x v="57"/>
    <n v="3"/>
    <n v="120"/>
    <n v="111.74"/>
    <n v="13408.8"/>
    <n v="-1031.1400000000001"/>
    <n v="0"/>
    <n v="1609.095908"/>
    <n v="13986.755907999999"/>
  </r>
  <r>
    <x v="9"/>
    <x v="8"/>
    <x v="3"/>
    <x v="0"/>
    <x v="116"/>
    <s v="KEPL/02054/82-83"/>
    <s v="SIMPEX SOLUTION PVT. LTD"/>
    <x v="22"/>
    <n v="0.21"/>
    <n v="5"/>
    <n v="194.69"/>
    <n v="973.44999999999993"/>
    <n v="0"/>
    <n v="0"/>
    <n v="126.548604"/>
    <n v="1099.9986039999999"/>
  </r>
  <r>
    <x v="11"/>
    <x v="8"/>
    <x v="3"/>
    <x v="0"/>
    <x v="116"/>
    <s v="KEPL/02054/82-83"/>
    <s v="SIMPEX SOLUTION PVT. LTD"/>
    <x v="53"/>
    <n v="0.15"/>
    <n v="6"/>
    <n v="77.88"/>
    <n v="467.28"/>
    <n v="0"/>
    <n v="0"/>
    <n v="60.746450000000003"/>
    <n v="528.02644999999995"/>
  </r>
  <r>
    <x v="0"/>
    <x v="8"/>
    <x v="3"/>
    <x v="0"/>
    <x v="116"/>
    <s v="KEPL/02054/82-83"/>
    <s v="SIMPEX SOLUTION PVT. LTD"/>
    <x v="58"/>
    <n v="0.1"/>
    <n v="4"/>
    <n v="106.19"/>
    <n v="424.76"/>
    <n v="0"/>
    <n v="0"/>
    <n v="55.218844999999995"/>
    <n v="479.97884499999998"/>
  </r>
  <r>
    <x v="6"/>
    <x v="8"/>
    <x v="3"/>
    <x v="0"/>
    <x v="116"/>
    <s v="KEPL/02054/82-83"/>
    <s v="SIMPEX SOLUTION PVT. LTD"/>
    <x v="28"/>
    <n v="0.25"/>
    <n v="5"/>
    <n v="194.69"/>
    <n v="973.44999999999993"/>
    <n v="0"/>
    <n v="0"/>
    <n v="126.548604"/>
    <n v="1099.9986039999999"/>
  </r>
  <r>
    <x v="15"/>
    <x v="8"/>
    <x v="3"/>
    <x v="0"/>
    <x v="116"/>
    <s v="KEPL/02054/82-83"/>
    <s v="SIMPEX SOLUTION PVT. LTD"/>
    <x v="32"/>
    <n v="0.17"/>
    <n v="10"/>
    <n v="106.19"/>
    <n v="1061.9000000000001"/>
    <n v="0"/>
    <n v="0"/>
    <n v="138.047113"/>
    <n v="1199.9471129999999"/>
  </r>
  <r>
    <x v="14"/>
    <x v="8"/>
    <x v="3"/>
    <x v="0"/>
    <x v="116"/>
    <s v="KEPL/02054/82-83"/>
    <s v="SIMPEX SOLUTION PVT. LTD"/>
    <x v="31"/>
    <n v="0.17"/>
    <n v="10"/>
    <n v="106.19"/>
    <n v="1061.9000000000001"/>
    <n v="0"/>
    <n v="0"/>
    <n v="138.047113"/>
    <n v="1199.9471129999999"/>
  </r>
  <r>
    <x v="1"/>
    <x v="8"/>
    <x v="3"/>
    <x v="0"/>
    <x v="116"/>
    <s v="KEPL/02054/82-83"/>
    <s v="SIMPEX SOLUTION PVT. LTD"/>
    <x v="25"/>
    <n v="0.22"/>
    <n v="4"/>
    <n v="169.91"/>
    <n v="679.64"/>
    <n v="0"/>
    <n v="0"/>
    <n v="88.353272000000004"/>
    <n v="767.99327200000005"/>
  </r>
  <r>
    <x v="16"/>
    <x v="8"/>
    <x v="3"/>
    <x v="0"/>
    <x v="117"/>
    <s v="KEPL/02065/82-83"/>
    <s v="MEGA MART PVT.LTD"/>
    <x v="35"/>
    <n v="2"/>
    <n v="120"/>
    <n v="129.41999999999999"/>
    <n v="15530.4"/>
    <n v="0"/>
    <n v="0"/>
    <n v="2018.950333"/>
    <n v="17549.350332999998"/>
  </r>
  <r>
    <x v="8"/>
    <x v="8"/>
    <x v="3"/>
    <x v="0"/>
    <x v="117"/>
    <s v="KEPL/02065/82-83"/>
    <s v="MEGA MART PVT.LTD"/>
    <x v="33"/>
    <n v="5"/>
    <n v="200"/>
    <n v="66.37"/>
    <n v="13274"/>
    <n v="0"/>
    <n v="0"/>
    <n v="1725.618575"/>
    <n v="14999.618575"/>
  </r>
  <r>
    <x v="16"/>
    <x v="8"/>
    <x v="3"/>
    <x v="0"/>
    <x v="117"/>
    <s v="KEPL/02065/82-83"/>
    <s v="MEGA MART PVT.LTD"/>
    <x v="42"/>
    <n v="1"/>
    <n v="30"/>
    <n v="282.08"/>
    <n v="8462.4"/>
    <n v="0"/>
    <n v="0"/>
    <n v="1100.1110920000001"/>
    <n v="9562.5110920000006"/>
  </r>
  <r>
    <x v="10"/>
    <x v="8"/>
    <x v="3"/>
    <x v="0"/>
    <x v="117"/>
    <s v="KEPL/02066/82-83"/>
    <s v="GORIN TRADING "/>
    <x v="49"/>
    <n v="5"/>
    <n v="75"/>
    <n v="260.72000000000003"/>
    <n v="19554"/>
    <n v="-1503.6999999999998"/>
    <n v="0"/>
    <n v="2346.5391439999999"/>
    <n v="20396.839144000001"/>
  </r>
  <r>
    <x v="8"/>
    <x v="8"/>
    <x v="3"/>
    <x v="0"/>
    <x v="117"/>
    <s v="KEPL/02066/82-83"/>
    <s v="GORIN TRADING "/>
    <x v="56"/>
    <n v="3"/>
    <n v="2400"/>
    <n v="7.46"/>
    <n v="17904"/>
    <n v="-1376.82"/>
    <n v="0"/>
    <n v="2148.533531"/>
    <n v="18675.713531000001"/>
  </r>
  <r>
    <x v="20"/>
    <x v="8"/>
    <x v="3"/>
    <x v="0"/>
    <x v="117"/>
    <s v="KEPL/02066/82-83"/>
    <s v="GORIN TRADING "/>
    <x v="52"/>
    <n v="30"/>
    <n v="120"/>
    <n v="595.92999999999995"/>
    <n v="71511.599999999991"/>
    <n v="-5499.24"/>
    <n v="0"/>
    <n v="8581.6073250000009"/>
    <n v="74593.967325000005"/>
  </r>
  <r>
    <x v="17"/>
    <x v="8"/>
    <x v="3"/>
    <x v="0"/>
    <x v="118"/>
    <s v="KEPL/02068/82-83"/>
    <s v="AAFNAI PASAL PVT.LTD"/>
    <x v="39"/>
    <n v="2"/>
    <n v="40"/>
    <n v="249.55"/>
    <n v="9982"/>
    <n v="-767.62"/>
    <n v="0"/>
    <n v="1197.870676"/>
    <n v="10412.250676"/>
  </r>
  <r>
    <x v="20"/>
    <x v="8"/>
    <x v="3"/>
    <x v="0"/>
    <x v="118"/>
    <s v="KEPL/02068/82-83"/>
    <s v="AAFNAI PASAL PVT.LTD"/>
    <x v="52"/>
    <n v="5"/>
    <n v="20"/>
    <n v="595.92999999999995"/>
    <n v="11918.6"/>
    <n v="-916.54"/>
    <n v="0"/>
    <n v="1430.2693239999999"/>
    <n v="12432.329324"/>
  </r>
  <r>
    <x v="20"/>
    <x v="8"/>
    <x v="3"/>
    <x v="0"/>
    <x v="118"/>
    <s v="KEPL/02073/82-83"/>
    <s v="KRISHMA ENTERPRISES"/>
    <x v="52"/>
    <n v="50"/>
    <n v="200"/>
    <n v="595.94000000000005"/>
    <n v="119188"/>
    <n v="-9165.56"/>
    <n v="0"/>
    <n v="14302.92"/>
    <n v="124325.36"/>
  </r>
  <r>
    <x v="7"/>
    <x v="8"/>
    <x v="3"/>
    <x v="0"/>
    <x v="119"/>
    <s v="KEPL/02093/82-83"/>
    <s v="EMERALD TRADE LINK"/>
    <x v="27"/>
    <n v="15"/>
    <n v="1050"/>
    <n v="37.25"/>
    <n v="39112.5"/>
    <n v="-3007.75"/>
    <n v="0"/>
    <n v="4693.62"/>
    <n v="40798.370000000003"/>
  </r>
  <r>
    <x v="8"/>
    <x v="8"/>
    <x v="3"/>
    <x v="0"/>
    <x v="120"/>
    <s v="KEPL/02105/82-83"/>
    <s v="SHUBHASHREE MARKETING"/>
    <x v="41"/>
    <n v="3"/>
    <n v="120"/>
    <n v="74.5"/>
    <n v="8940"/>
    <n v="-687.4899999999999"/>
    <n v="0"/>
    <n v="1072.826368"/>
    <n v="9325.3363680000002"/>
  </r>
  <r>
    <x v="20"/>
    <x v="8"/>
    <x v="3"/>
    <x v="0"/>
    <x v="120"/>
    <s v="KEPL/02105/82-83"/>
    <s v="SHUBHASHREE MARKETING"/>
    <x v="52"/>
    <n v="25"/>
    <n v="100"/>
    <n v="595.94000000000005"/>
    <n v="59594"/>
    <n v="-4582.78"/>
    <n v="0"/>
    <n v="7151.4590529999996"/>
    <n v="62162.679053"/>
  </r>
  <r>
    <x v="17"/>
    <x v="8"/>
    <x v="3"/>
    <x v="0"/>
    <x v="120"/>
    <s v="KEPL/02105/82-83"/>
    <s v="SHUBHASHREE MARKETING"/>
    <x v="39"/>
    <n v="20"/>
    <n v="400"/>
    <n v="249.55"/>
    <n v="99820"/>
    <n v="-7676.16"/>
    <n v="0"/>
    <n v="11978.699958000001"/>
    <n v="104122.53995799999"/>
  </r>
  <r>
    <x v="0"/>
    <x v="8"/>
    <x v="3"/>
    <x v="0"/>
    <x v="120"/>
    <s v="KEPL/02105/82-83"/>
    <s v="SHUBHASHREE MARKETING"/>
    <x v="58"/>
    <n v="2"/>
    <n v="80"/>
    <n v="111.74"/>
    <n v="8939.2000000000007"/>
    <n v="-687.42"/>
    <n v="0"/>
    <n v="1072.7314679999999"/>
    <n v="9324.5114680000006"/>
  </r>
  <r>
    <x v="0"/>
    <x v="8"/>
    <x v="3"/>
    <x v="0"/>
    <x v="120"/>
    <s v="KEPL/02105/82-83"/>
    <s v="SHUBHASHREE MARKETING"/>
    <x v="57"/>
    <n v="3"/>
    <n v="120"/>
    <n v="111.74"/>
    <n v="13408.8"/>
    <n v="-1031.1400000000001"/>
    <n v="0"/>
    <n v="1609.095902"/>
    <n v="13986.755902000001"/>
  </r>
  <r>
    <x v="7"/>
    <x v="8"/>
    <x v="3"/>
    <x v="0"/>
    <x v="120"/>
    <s v="KEPL/02105/82-83"/>
    <s v="SHUBHASHREE MARKETING"/>
    <x v="27"/>
    <n v="20"/>
    <n v="1400"/>
    <n v="37.25"/>
    <n v="52150"/>
    <n v="-4010.3399999999997"/>
    <n v="0"/>
    <n v="6258.1561959999999"/>
    <n v="54397.816196"/>
  </r>
  <r>
    <x v="15"/>
    <x v="8"/>
    <x v="3"/>
    <x v="0"/>
    <x v="120"/>
    <s v="KEPL/02105/82-83"/>
    <s v="SHUBHASHREE MARKETING"/>
    <x v="32"/>
    <n v="5"/>
    <n v="300"/>
    <n v="111.74"/>
    <n v="33522"/>
    <n v="-2577.84"/>
    <n v="0"/>
    <n v="4022.741055"/>
    <n v="34966.901055000002"/>
  </r>
  <r>
    <x v="3"/>
    <x v="8"/>
    <x v="3"/>
    <x v="0"/>
    <x v="120"/>
    <s v="KEPL/02106/82-83"/>
    <s v="SHUBHASHREE MARKETING"/>
    <x v="54"/>
    <n v="2"/>
    <n v="40"/>
    <n v="175.05"/>
    <n v="7001.9999999999991"/>
    <n v="-538.45000000000005"/>
    <n v="0"/>
    <n v="840.26183000000003"/>
    <n v="7303.8118299999996"/>
  </r>
  <r>
    <x v="3"/>
    <x v="8"/>
    <x v="3"/>
    <x v="0"/>
    <x v="120"/>
    <s v="KEPL/02106/82-83"/>
    <s v="SHUBHASHREE MARKETING"/>
    <x v="55"/>
    <n v="1"/>
    <n v="20"/>
    <n v="175.05"/>
    <n v="3500.9999999999995"/>
    <n v="-269.23"/>
    <n v="0"/>
    <n v="420.13026500000001"/>
    <n v="3651.9002650000002"/>
  </r>
  <r>
    <x v="10"/>
    <x v="8"/>
    <x v="3"/>
    <x v="0"/>
    <x v="120"/>
    <s v="KEPL/02106/82-83"/>
    <s v="SHUBHASHREE MARKETING"/>
    <x v="49"/>
    <n v="3"/>
    <n v="45"/>
    <n v="260.72000000000003"/>
    <n v="11732.4"/>
    <n v="-902.22"/>
    <n v="0"/>
    <n v="1407.923953"/>
    <n v="12238.103953"/>
  </r>
  <r>
    <x v="10"/>
    <x v="8"/>
    <x v="3"/>
    <x v="0"/>
    <x v="120"/>
    <s v="KEPL/02106/82-83"/>
    <s v="SHUBHASHREE MARKETING"/>
    <x v="45"/>
    <n v="3"/>
    <n v="45"/>
    <n v="260.72000000000003"/>
    <n v="11732.4"/>
    <n v="-902.22"/>
    <n v="0"/>
    <n v="1407.923953"/>
    <n v="12238.103953"/>
  </r>
  <r>
    <x v="20"/>
    <x v="8"/>
    <x v="3"/>
    <x v="0"/>
    <x v="120"/>
    <s v="KEPL/02114/82-83"/>
    <s v="DINESH TRADING HOUSE"/>
    <x v="52"/>
    <n v="20"/>
    <n v="80"/>
    <n v="595.94000000000005"/>
    <n v="47675.199999999997"/>
    <n v="-3666.2200000000003"/>
    <n v="0"/>
    <n v="5721.1652689999992"/>
    <n v="49730.145269000001"/>
  </r>
  <r>
    <x v="17"/>
    <x v="8"/>
    <x v="3"/>
    <x v="0"/>
    <x v="120"/>
    <s v="KEPL/02114/82-83"/>
    <s v="DINESH TRADING HOUSE"/>
    <x v="39"/>
    <n v="3"/>
    <n v="60"/>
    <n v="249.55"/>
    <n v="14973"/>
    <n v="-1151.42"/>
    <n v="0"/>
    <n v="1796.8047310000002"/>
    <n v="15618.384731"/>
  </r>
  <r>
    <x v="6"/>
    <x v="8"/>
    <x v="3"/>
    <x v="0"/>
    <x v="120"/>
    <s v="KEPL/02115/82-83"/>
    <s v="NEW AAKRITI SUPPLIERS"/>
    <x v="29"/>
    <n v="2"/>
    <n v="40"/>
    <n v="204.85"/>
    <n v="8194"/>
    <n v="-630.12"/>
    <n v="0"/>
    <n v="983.30499999999995"/>
    <n v="8547.1849999999995"/>
  </r>
  <r>
    <x v="6"/>
    <x v="8"/>
    <x v="3"/>
    <x v="0"/>
    <x v="120"/>
    <s v="KEPL/02115/82-83"/>
    <s v="NEW AAKRITI SUPPLIERS"/>
    <x v="28"/>
    <n v="2"/>
    <n v="40"/>
    <n v="204.85"/>
    <n v="8194"/>
    <n v="-630.12"/>
    <n v="0"/>
    <n v="983.30499999999995"/>
    <n v="8547.1849999999995"/>
  </r>
  <r>
    <x v="11"/>
    <x v="8"/>
    <x v="3"/>
    <x v="0"/>
    <x v="120"/>
    <s v="KEPL/02131/82-83"/>
    <s v="KRISHMA ENTERPRISES"/>
    <x v="36"/>
    <n v="5"/>
    <n v="200"/>
    <n v="81.94"/>
    <n v="16388"/>
    <n v="-1260.24"/>
    <n v="0"/>
    <n v="1966.6088120000002"/>
    <n v="17094.368812000001"/>
  </r>
  <r>
    <x v="11"/>
    <x v="8"/>
    <x v="3"/>
    <x v="0"/>
    <x v="120"/>
    <s v="KEPL/02131/82-83"/>
    <s v="KRISHMA ENTERPRISES"/>
    <x v="37"/>
    <n v="5"/>
    <n v="200"/>
    <n v="89.39"/>
    <n v="17878"/>
    <n v="-1374.82"/>
    <n v="0"/>
    <n v="2145.4134130000002"/>
    <n v="18648.593412999999"/>
  </r>
  <r>
    <x v="8"/>
    <x v="8"/>
    <x v="3"/>
    <x v="0"/>
    <x v="120"/>
    <s v="KEPL/02131/82-83"/>
    <s v="KRISHMA ENTERPRISES"/>
    <x v="34"/>
    <n v="35"/>
    <n v="1400"/>
    <n v="74.5"/>
    <n v="104300"/>
    <n v="-8020.67"/>
    <n v="0"/>
    <n v="12516.312974999999"/>
    <n v="108795.642975"/>
  </r>
  <r>
    <x v="2"/>
    <x v="8"/>
    <x v="3"/>
    <x v="0"/>
    <x v="120"/>
    <s v="KEPL/02131/82-83"/>
    <s v="KRISHMA ENTERPRISES"/>
    <x v="3"/>
    <n v="50"/>
    <n v="1000"/>
    <n v="186.22"/>
    <n v="186220"/>
    <n v="-14320.32"/>
    <n v="0"/>
    <n v="22346.958533000001"/>
    <n v="194246.63853299999"/>
  </r>
  <r>
    <x v="8"/>
    <x v="8"/>
    <x v="3"/>
    <x v="0"/>
    <x v="120"/>
    <s v="KEPL/02131/82-83"/>
    <s v="KRISHMA ENTERPRISES"/>
    <x v="33"/>
    <n v="35"/>
    <n v="1400"/>
    <n v="74.489999999999995"/>
    <n v="104286"/>
    <n v="-8019.5899999999992"/>
    <n v="0"/>
    <n v="12514.633374999999"/>
    <n v="108781.04337499999"/>
  </r>
  <r>
    <x v="10"/>
    <x v="8"/>
    <x v="3"/>
    <x v="0"/>
    <x v="120"/>
    <s v="KEPL/02131/82-83"/>
    <s v="KRISHMA ENTERPRISES"/>
    <x v="49"/>
    <n v="10"/>
    <n v="150"/>
    <n v="260.72000000000003"/>
    <n v="39108"/>
    <n v="-3007.4100000000003"/>
    <n v="0"/>
    <n v="4693.076728"/>
    <n v="40793.666727999997"/>
  </r>
  <r>
    <x v="20"/>
    <x v="8"/>
    <x v="3"/>
    <x v="0"/>
    <x v="120"/>
    <s v="KEPL/02131/82-83"/>
    <s v="KRISHMA ENTERPRISES"/>
    <x v="52"/>
    <n v="50"/>
    <n v="200"/>
    <n v="595.94000000000005"/>
    <n v="119188"/>
    <n v="-9165.56"/>
    <n v="0"/>
    <n v="14302.917285"/>
    <n v="124325.35728500001"/>
  </r>
  <r>
    <x v="8"/>
    <x v="8"/>
    <x v="3"/>
    <x v="0"/>
    <x v="120"/>
    <s v="KEPL/02131/82-83"/>
    <s v="KRISHMA ENTERPRISES"/>
    <x v="41"/>
    <n v="35"/>
    <n v="1400"/>
    <n v="74.489999999999995"/>
    <n v="104286"/>
    <n v="-8019.5899999999992"/>
    <n v="0"/>
    <n v="12514.633374999999"/>
    <n v="108781.04337499999"/>
  </r>
  <r>
    <x v="16"/>
    <x v="8"/>
    <x v="3"/>
    <x v="0"/>
    <x v="120"/>
    <s v="KEPL/02131/82-83"/>
    <s v="KRISHMA ENTERPRISES"/>
    <x v="42"/>
    <n v="30"/>
    <n v="900"/>
    <n v="316.58999999999997"/>
    <n v="284931"/>
    <n v="-21911.19"/>
    <n v="0"/>
    <n v="34192.575504"/>
    <n v="297212.38550400001"/>
  </r>
  <r>
    <x v="10"/>
    <x v="8"/>
    <x v="3"/>
    <x v="0"/>
    <x v="120"/>
    <s v="KESR/0077/82-83"/>
    <s v="BHAT BHATENI SUPERMARKET &amp; DEPARTMENTAL STORE PVT. LTD."/>
    <x v="49"/>
    <n v="-14"/>
    <n v="-210"/>
    <n v="232.3"/>
    <n v="-48783"/>
    <n v="0"/>
    <n v="0"/>
    <n v="-6341.7901820000006"/>
    <n v="-55124.790181999997"/>
  </r>
  <r>
    <x v="9"/>
    <x v="8"/>
    <x v="3"/>
    <x v="0"/>
    <x v="120"/>
    <s v="KESR/0077/82-83"/>
    <s v="BHAT BHATENI SUPERMARKET &amp; DEPARTMENTAL STORE PVT. LTD."/>
    <x v="44"/>
    <n v="-14"/>
    <n v="-336"/>
    <n v="165.93"/>
    <n v="-55752.480000000003"/>
    <n v="0"/>
    <n v="0"/>
    <n v="-7247.8226079999995"/>
    <n v="-63000.302607999998"/>
  </r>
  <r>
    <x v="7"/>
    <x v="8"/>
    <x v="3"/>
    <x v="0"/>
    <x v="120"/>
    <s v="KESR/0077/82-83"/>
    <s v="BHAT BHATENI SUPERMARKET &amp; DEPARTMENTAL STORE PVT. LTD."/>
    <x v="27"/>
    <n v="-14"/>
    <n v="-980"/>
    <n v="33.19"/>
    <n v="-32526.2"/>
    <n v="0"/>
    <n v="0"/>
    <n v="-4228.406121"/>
    <n v="-36754.606120999997"/>
  </r>
  <r>
    <x v="6"/>
    <x v="8"/>
    <x v="3"/>
    <x v="0"/>
    <x v="120"/>
    <s v="KESR/0077/82-83"/>
    <s v="BHAT BHATENI SUPERMARKET &amp; DEPARTMENTAL STORE PVT. LTD."/>
    <x v="59"/>
    <n v="-14"/>
    <n v="-280"/>
    <n v="182.52"/>
    <n v="-51105.599999999999"/>
    <n v="0"/>
    <n v="0"/>
    <n v="-6643.7281910000002"/>
    <n v="-57749.328191000001"/>
  </r>
  <r>
    <x v="6"/>
    <x v="8"/>
    <x v="3"/>
    <x v="0"/>
    <x v="120"/>
    <s v="KESR/0077/82-83"/>
    <s v="BHAT BHATENI SUPERMARKET &amp; DEPARTMENTAL STORE PVT. LTD."/>
    <x v="29"/>
    <n v="-33"/>
    <n v="-660"/>
    <n v="182.52"/>
    <n v="-120463.2"/>
    <n v="0"/>
    <n v="0"/>
    <n v="-15660.216449"/>
    <n v="-136123.41644900001"/>
  </r>
  <r>
    <x v="6"/>
    <x v="8"/>
    <x v="3"/>
    <x v="0"/>
    <x v="120"/>
    <s v="KESR/0077/82-83"/>
    <s v="BHAT BHATENI SUPERMARKET &amp; DEPARTMENTAL STORE PVT. LTD."/>
    <x v="28"/>
    <n v="-33"/>
    <n v="-660"/>
    <n v="182.52"/>
    <n v="-120463.2"/>
    <n v="0"/>
    <n v="0"/>
    <n v="-15660.216449"/>
    <n v="-136123.41644900001"/>
  </r>
  <r>
    <x v="2"/>
    <x v="8"/>
    <x v="3"/>
    <x v="0"/>
    <x v="121"/>
    <s v="KEPL/02148/82-83"/>
    <s v="SIMPEX SOLUTION PVT. LTD"/>
    <x v="3"/>
    <n v="0.1"/>
    <n v="2"/>
    <n v="176.99"/>
    <n v="353.98"/>
    <n v="0"/>
    <n v="0"/>
    <n v="46.017252999999997"/>
    <n v="399.997253"/>
  </r>
  <r>
    <x v="0"/>
    <x v="8"/>
    <x v="3"/>
    <x v="0"/>
    <x v="121"/>
    <s v="KEPL/02148/82-83"/>
    <s v="SIMPEX SOLUTION PVT. LTD"/>
    <x v="57"/>
    <n v="0.15"/>
    <n v="6"/>
    <n v="106.19"/>
    <n v="637.14"/>
    <n v="0"/>
    <n v="0"/>
    <n v="82.827935000000011"/>
    <n v="719.96793500000001"/>
  </r>
  <r>
    <x v="6"/>
    <x v="8"/>
    <x v="3"/>
    <x v="0"/>
    <x v="121"/>
    <s v="KEPL/02148/82-83"/>
    <s v="SIMPEX SOLUTION PVT. LTD"/>
    <x v="30"/>
    <n v="0.15"/>
    <n v="3"/>
    <n v="230.09"/>
    <n v="690.2700000000001"/>
    <n v="0"/>
    <n v="0"/>
    <n v="89.734813000000003"/>
    <n v="780.00481300000001"/>
  </r>
  <r>
    <x v="8"/>
    <x v="8"/>
    <x v="3"/>
    <x v="0"/>
    <x v="121"/>
    <s v="KEPL/02150/82-83"/>
    <s v="NEW MATA RANI SUPPLIERS"/>
    <x v="41"/>
    <n v="2"/>
    <n v="80"/>
    <n v="74.5"/>
    <n v="5960"/>
    <n v="-458.32"/>
    <n v="0"/>
    <n v="715.21875999999997"/>
    <n v="6216.89876"/>
  </r>
  <r>
    <x v="20"/>
    <x v="8"/>
    <x v="3"/>
    <x v="0"/>
    <x v="121"/>
    <s v="KEPL/02150/82-83"/>
    <s v="NEW MATA RANI SUPPLIERS"/>
    <x v="52"/>
    <n v="10"/>
    <n v="40"/>
    <n v="595.94000000000005"/>
    <n v="23837.4"/>
    <n v="-1833.1000000000001"/>
    <n v="0"/>
    <n v="2860.560442"/>
    <n v="24864.860442000001"/>
  </r>
  <r>
    <x v="7"/>
    <x v="8"/>
    <x v="3"/>
    <x v="0"/>
    <x v="121"/>
    <s v="KEPL/02150/82-83"/>
    <s v="NEW MATA RANI SUPPLIERS"/>
    <x v="27"/>
    <n v="10"/>
    <n v="700"/>
    <n v="37.25"/>
    <n v="26075"/>
    <n v="-2005.1699999999998"/>
    <n v="0"/>
    <n v="3129.0794770000002"/>
    <n v="27198.909477000001"/>
  </r>
  <r>
    <x v="8"/>
    <x v="8"/>
    <x v="3"/>
    <x v="0"/>
    <x v="121"/>
    <s v="KEPL/02150/82-83"/>
    <s v="NEW MATA RANI SUPPLIERS"/>
    <x v="34"/>
    <n v="2"/>
    <n v="80"/>
    <n v="74.5"/>
    <n v="5960"/>
    <n v="-458.32"/>
    <n v="0"/>
    <n v="715.21875999999997"/>
    <n v="6216.89876"/>
  </r>
  <r>
    <x v="8"/>
    <x v="8"/>
    <x v="3"/>
    <x v="0"/>
    <x v="121"/>
    <s v="KEPL/02150/82-83"/>
    <s v="NEW MATA RANI SUPPLIERS"/>
    <x v="33"/>
    <n v="2"/>
    <n v="80"/>
    <n v="74.489999999999995"/>
    <n v="5959.2"/>
    <n v="-458.26"/>
    <n v="0"/>
    <n v="715.12256000000002"/>
    <n v="6216.0625600000003"/>
  </r>
  <r>
    <x v="8"/>
    <x v="8"/>
    <x v="3"/>
    <x v="0"/>
    <x v="121"/>
    <s v="KEPL/02164/82-83"/>
    <s v="GORIN TRADING "/>
    <x v="33"/>
    <n v="3"/>
    <n v="120"/>
    <n v="74.489999999999995"/>
    <n v="8938.8000000000011"/>
    <n v="-687.3900000000001"/>
    <n v="0"/>
    <n v="1072.6835999999998"/>
    <n v="9324.0936000000002"/>
  </r>
  <r>
    <x v="20"/>
    <x v="8"/>
    <x v="3"/>
    <x v="0"/>
    <x v="121"/>
    <s v="KEPL/02164/82-83"/>
    <s v="GORIN TRADING "/>
    <x v="52"/>
    <n v="10"/>
    <n v="40"/>
    <n v="595.92999999999995"/>
    <n v="23837.200000000001"/>
    <n v="-1833.08"/>
    <n v="0"/>
    <n v="2860.5364000000004"/>
    <n v="24864.6564"/>
  </r>
  <r>
    <x v="1"/>
    <x v="8"/>
    <x v="3"/>
    <x v="0"/>
    <x v="121"/>
    <s v="KEPL/02166/82-83"/>
    <s v="BHAT BHATENI SUPERMARKET &amp; DEPARTMENTAL STORE PVT. LTD."/>
    <x v="2"/>
    <n v="6"/>
    <n v="108"/>
    <n v="157.16999999999999"/>
    <n v="16974.36"/>
    <n v="0"/>
    <n v="0"/>
    <n v="2206.6668979999999"/>
    <n v="19181.026898"/>
  </r>
  <r>
    <x v="1"/>
    <x v="8"/>
    <x v="3"/>
    <x v="0"/>
    <x v="121"/>
    <s v="KEPL/02166/82-83"/>
    <s v="BHAT BHATENI SUPERMARKET &amp; DEPARTMENTAL STORE PVT. LTD."/>
    <x v="24"/>
    <n v="6"/>
    <n v="108"/>
    <n v="157.16999999999999"/>
    <n v="16974.36"/>
    <n v="0"/>
    <n v="0"/>
    <n v="2206.6668979999999"/>
    <n v="19181.026898"/>
  </r>
  <r>
    <x v="16"/>
    <x v="8"/>
    <x v="3"/>
    <x v="0"/>
    <x v="121"/>
    <s v="KEPL/02166/82-83"/>
    <s v="BHAT BHATENI SUPERMARKET &amp; DEPARTMENTAL STORE PVT. LTD."/>
    <x v="42"/>
    <n v="7"/>
    <n v="210"/>
    <n v="278.32"/>
    <n v="58447.200000000004"/>
    <n v="0"/>
    <n v="0"/>
    <n v="7598.1363380000003"/>
    <n v="66045.336337999994"/>
  </r>
  <r>
    <x v="6"/>
    <x v="8"/>
    <x v="3"/>
    <x v="0"/>
    <x v="121"/>
    <s v="KEPL/02166/82-83"/>
    <s v="BHAT BHATENI SUPERMARKET &amp; DEPARTMENTAL STORE PVT. LTD."/>
    <x v="29"/>
    <n v="9"/>
    <n v="180"/>
    <n v="180.09"/>
    <n v="32416.199999999997"/>
    <n v="0"/>
    <n v="0"/>
    <n v="4214.1061879999997"/>
    <n v="36630.306188000002"/>
  </r>
  <r>
    <x v="17"/>
    <x v="8"/>
    <x v="3"/>
    <x v="0"/>
    <x v="121"/>
    <s v="KEPL/02166/82-83"/>
    <s v="BHAT BHATENI SUPERMARKET &amp; DEPARTMENTAL STORE PVT. LTD."/>
    <x v="39"/>
    <n v="3"/>
    <n v="60"/>
    <n v="219.38"/>
    <n v="13162.800000000001"/>
    <n v="0"/>
    <n v="0"/>
    <n v="1711.164076"/>
    <n v="14873.964076"/>
  </r>
  <r>
    <x v="7"/>
    <x v="8"/>
    <x v="3"/>
    <x v="0"/>
    <x v="121"/>
    <s v="KEPL/02166/82-83"/>
    <s v="BHAT BHATENI SUPERMARKET &amp; DEPARTMENTAL STORE PVT. LTD."/>
    <x v="12"/>
    <n v="9"/>
    <n v="1170"/>
    <n v="32.74"/>
    <n v="38305.799999999996"/>
    <n v="0"/>
    <n v="0"/>
    <n v="4979.7542219999996"/>
    <n v="43285.554221999999"/>
  </r>
  <r>
    <x v="8"/>
    <x v="8"/>
    <x v="3"/>
    <x v="0"/>
    <x v="121"/>
    <s v="KEPL/02166/82-83"/>
    <s v="BHAT BHATENI SUPERMARKET &amp; DEPARTMENTAL STORE PVT. LTD."/>
    <x v="34"/>
    <n v="7"/>
    <n v="280"/>
    <n v="65.489999999999995"/>
    <n v="18337.2"/>
    <n v="0"/>
    <n v="0"/>
    <n v="2383.8361060000002"/>
    <n v="20721.036106"/>
  </r>
  <r>
    <x v="0"/>
    <x v="8"/>
    <x v="3"/>
    <x v="0"/>
    <x v="121"/>
    <s v="KEPL/02166/82-83"/>
    <s v="BHAT BHATENI SUPERMARKET &amp; DEPARTMENTAL STORE PVT. LTD."/>
    <x v="57"/>
    <n v="7"/>
    <n v="280"/>
    <n v="98.23"/>
    <n v="27504.400000000001"/>
    <n v="0"/>
    <n v="0"/>
    <n v="3575.5721590000003"/>
    <n v="31079.972159000001"/>
  </r>
  <r>
    <x v="19"/>
    <x v="8"/>
    <x v="3"/>
    <x v="0"/>
    <x v="121"/>
    <s v="KEPL/02166/82-83"/>
    <s v="BHAT BHATENI SUPERMARKET &amp; DEPARTMENTAL STORE PVT. LTD."/>
    <x v="51"/>
    <n v="8"/>
    <n v="400"/>
    <n v="78.58"/>
    <n v="31431.999999999996"/>
    <n v="0"/>
    <n v="0"/>
    <n v="4086.1601820000001"/>
    <n v="35518.160182"/>
  </r>
  <r>
    <x v="1"/>
    <x v="8"/>
    <x v="3"/>
    <x v="0"/>
    <x v="121"/>
    <s v="KEPL/02166/82-83"/>
    <s v="BHAT BHATENI SUPERMARKET &amp; DEPARTMENTAL STORE PVT. LTD."/>
    <x v="26"/>
    <n v="6"/>
    <n v="108"/>
    <n v="157.16999999999999"/>
    <n v="16974.36"/>
    <n v="0"/>
    <n v="0"/>
    <n v="2206.6668979999999"/>
    <n v="19181.026898"/>
  </r>
  <r>
    <x v="1"/>
    <x v="8"/>
    <x v="3"/>
    <x v="0"/>
    <x v="121"/>
    <s v="KEPL/02166/82-83"/>
    <s v="BHAT BHATENI SUPERMARKET &amp; DEPARTMENTAL STORE PVT. LTD."/>
    <x v="25"/>
    <n v="6"/>
    <n v="108"/>
    <n v="157.16999999999999"/>
    <n v="16974.36"/>
    <n v="0"/>
    <n v="0"/>
    <n v="2206.6668979999999"/>
    <n v="19181.026898"/>
  </r>
  <r>
    <x v="3"/>
    <x v="8"/>
    <x v="3"/>
    <x v="0"/>
    <x v="121"/>
    <s v="KEPL/02166/82-83"/>
    <s v="BHAT BHATENI SUPERMARKET &amp; DEPARTMENTAL STORE PVT. LTD."/>
    <x v="54"/>
    <n v="7"/>
    <n v="140"/>
    <n v="153.88999999999999"/>
    <n v="21544.6"/>
    <n v="0"/>
    <n v="0"/>
    <n v="2800.7981249999998"/>
    <n v="24345.398125"/>
  </r>
  <r>
    <x v="2"/>
    <x v="8"/>
    <x v="3"/>
    <x v="0"/>
    <x v="121"/>
    <s v="KEPL/02166/82-83"/>
    <s v="BHAT BHATENI SUPERMARKET &amp; DEPARTMENTAL STORE PVT. LTD."/>
    <x v="3"/>
    <n v="17"/>
    <n v="340"/>
    <n v="163.72"/>
    <n v="55664.799999999996"/>
    <n v="0"/>
    <n v="0"/>
    <n v="7236.4243219999998"/>
    <n v="62901.224322000002"/>
  </r>
  <r>
    <x v="8"/>
    <x v="8"/>
    <x v="3"/>
    <x v="0"/>
    <x v="121"/>
    <s v="KEPL/02166/82-83"/>
    <s v="BHAT BHATENI SUPERMARKET &amp; DEPARTMENTAL STORE PVT. LTD."/>
    <x v="41"/>
    <n v="6"/>
    <n v="240"/>
    <n v="65.489999999999995"/>
    <n v="15717.6"/>
    <n v="0"/>
    <n v="0"/>
    <n v="2043.2880909999999"/>
    <n v="17760.888091000001"/>
  </r>
  <r>
    <x v="8"/>
    <x v="8"/>
    <x v="3"/>
    <x v="0"/>
    <x v="121"/>
    <s v="KEPL/02166/82-83"/>
    <s v="BHAT BHATENI SUPERMARKET &amp; DEPARTMENTAL STORE PVT. LTD."/>
    <x v="33"/>
    <n v="9"/>
    <n v="360"/>
    <n v="65.489999999999995"/>
    <n v="23576.399999999998"/>
    <n v="0"/>
    <n v="0"/>
    <n v="3064.9321370000002"/>
    <n v="26641.332137000001"/>
  </r>
  <r>
    <x v="7"/>
    <x v="8"/>
    <x v="3"/>
    <x v="0"/>
    <x v="121"/>
    <s v="KEPL/02166/82-83"/>
    <s v="BHAT BHATENI SUPERMARKET &amp; DEPARTMENTAL STORE PVT. LTD."/>
    <x v="27"/>
    <n v="8"/>
    <n v="560"/>
    <n v="32.74"/>
    <n v="18334.400000000001"/>
    <n v="0"/>
    <n v="0"/>
    <n v="2383.4721060000002"/>
    <n v="20717.872105999999"/>
  </r>
  <r>
    <x v="6"/>
    <x v="8"/>
    <x v="3"/>
    <x v="0"/>
    <x v="121"/>
    <s v="KEPL/02166/82-83"/>
    <s v="BHAT BHATENI SUPERMARKET &amp; DEPARTMENTAL STORE PVT. LTD."/>
    <x v="59"/>
    <n v="7"/>
    <n v="140"/>
    <n v="180.09"/>
    <n v="25212.600000000002"/>
    <n v="0"/>
    <n v="0"/>
    <n v="3277.6381459999998"/>
    <n v="28490.238146"/>
  </r>
  <r>
    <x v="6"/>
    <x v="8"/>
    <x v="3"/>
    <x v="0"/>
    <x v="121"/>
    <s v="KEPL/02166/82-83"/>
    <s v="BHAT BHATENI SUPERMARKET &amp; DEPARTMENTAL STORE PVT. LTD."/>
    <x v="28"/>
    <n v="10"/>
    <n v="200"/>
    <n v="180.09"/>
    <n v="36018"/>
    <n v="0"/>
    <n v="0"/>
    <n v="4682.340209"/>
    <n v="40700.340209000002"/>
  </r>
  <r>
    <x v="11"/>
    <x v="8"/>
    <x v="3"/>
    <x v="0"/>
    <x v="121"/>
    <s v="KEPL/02167/82-83"/>
    <s v="BHAT BHATENI SUPERMARKET &amp; DEPARTMENTAL STORE PVT. LTD."/>
    <x v="53"/>
    <n v="6"/>
    <n v="240"/>
    <n v="72.040000000000006"/>
    <n v="17289.599999999999"/>
    <n v="0"/>
    <n v="0"/>
    <n v="2247.6482120000001"/>
    <n v="19537.248211999999"/>
  </r>
  <r>
    <x v="14"/>
    <x v="8"/>
    <x v="3"/>
    <x v="0"/>
    <x v="121"/>
    <s v="KEPL/02167/82-83"/>
    <s v="BHAT BHATENI SUPERMARKET &amp; DEPARTMENTAL STORE PVT. LTD."/>
    <x v="31"/>
    <n v="3"/>
    <n v="180"/>
    <n v="98.23"/>
    <n v="17681.399999999998"/>
    <n v="0"/>
    <n v="0"/>
    <n v="2298.5822169999997"/>
    <n v="19979.982217000001"/>
  </r>
  <r>
    <x v="9"/>
    <x v="8"/>
    <x v="3"/>
    <x v="0"/>
    <x v="121"/>
    <s v="KEPL/02167/82-83"/>
    <s v="BHAT BHATENI SUPERMARKET &amp; DEPARTMENTAL STORE PVT. LTD."/>
    <x v="22"/>
    <n v="11"/>
    <n v="264"/>
    <n v="180.09"/>
    <n v="47543.76"/>
    <n v="0"/>
    <n v="0"/>
    <n v="6180.6893829999999"/>
    <n v="53724.449382999999"/>
  </r>
  <r>
    <x v="11"/>
    <x v="8"/>
    <x v="3"/>
    <x v="0"/>
    <x v="121"/>
    <s v="KEPL/02167/82-83"/>
    <s v="BHAT BHATENI SUPERMARKET &amp; DEPARTMENTAL STORE PVT. LTD."/>
    <x v="36"/>
    <n v="7"/>
    <n v="280"/>
    <n v="72.040000000000006"/>
    <n v="20171.2"/>
    <n v="0"/>
    <n v="0"/>
    <n v="2622.2562469999998"/>
    <n v="22793.456246999998"/>
  </r>
  <r>
    <x v="16"/>
    <x v="8"/>
    <x v="3"/>
    <x v="0"/>
    <x v="121"/>
    <s v="KEPL/02167/82-83"/>
    <s v="BHAT BHATENI SUPERMARKET &amp; DEPARTMENTAL STORE PVT. LTD."/>
    <x v="35"/>
    <n v="7"/>
    <n v="420"/>
    <n v="127.7"/>
    <n v="53634.000000000007"/>
    <n v="0"/>
    <n v="0"/>
    <n v="6972.420658"/>
    <n v="60606.420658000003"/>
  </r>
  <r>
    <x v="15"/>
    <x v="8"/>
    <x v="3"/>
    <x v="0"/>
    <x v="121"/>
    <s v="KEPL/02167/82-83"/>
    <s v="BHAT BHATENI SUPERMARKET &amp; DEPARTMENTAL STORE PVT. LTD."/>
    <x v="32"/>
    <n v="2"/>
    <n v="120"/>
    <n v="98.23"/>
    <n v="11787.6"/>
    <n v="0"/>
    <n v="0"/>
    <n v="1532.3881449999999"/>
    <n v="13319.988144999999"/>
  </r>
  <r>
    <x v="9"/>
    <x v="8"/>
    <x v="3"/>
    <x v="0"/>
    <x v="121"/>
    <s v="KEPL/02167/82-83"/>
    <s v="BHAT BHATENI SUPERMARKET &amp; DEPARTMENTAL STORE PVT. LTD."/>
    <x v="44"/>
    <n v="7"/>
    <n v="168"/>
    <n v="163.72"/>
    <n v="27504.959999999999"/>
    <n v="0"/>
    <n v="0"/>
    <n v="3575.645137"/>
    <n v="31080.605136999999"/>
  </r>
  <r>
    <x v="7"/>
    <x v="8"/>
    <x v="3"/>
    <x v="0"/>
    <x v="122"/>
    <s v="KEPL/02173/82-83"/>
    <s v="NEW MATA RANI SUPPLIERS"/>
    <x v="27"/>
    <n v="20"/>
    <n v="1400"/>
    <n v="37.25"/>
    <n v="52150"/>
    <n v="-4010.3399999999997"/>
    <n v="0"/>
    <n v="6258.1600000000008"/>
    <n v="54397.82"/>
  </r>
  <r>
    <x v="8"/>
    <x v="8"/>
    <x v="3"/>
    <x v="0"/>
    <x v="122"/>
    <s v="KEPL/02174/82-83"/>
    <s v="R.P DISTRIBUTOR TRADE CENTER"/>
    <x v="34"/>
    <n v="1"/>
    <n v="40"/>
    <n v="74.489999999999995"/>
    <n v="2979.6"/>
    <n v="-229.13"/>
    <n v="0"/>
    <n v="357.56120299999998"/>
    <n v="3108.031203"/>
  </r>
  <r>
    <x v="7"/>
    <x v="8"/>
    <x v="3"/>
    <x v="0"/>
    <x v="122"/>
    <s v="KEPL/02174/82-83"/>
    <s v="R.P DISTRIBUTOR TRADE CENTER"/>
    <x v="27"/>
    <n v="10"/>
    <n v="700"/>
    <n v="37.25"/>
    <n v="26075"/>
    <n v="-2005.1699999999998"/>
    <n v="0"/>
    <n v="3129.0787969999997"/>
    <n v="27198.908797"/>
  </r>
  <r>
    <x v="2"/>
    <x v="8"/>
    <x v="3"/>
    <x v="0"/>
    <x v="122"/>
    <s v="KEPL/02175/82-83"/>
    <s v="BHAT BHATENI SUPERMARKET &amp; DEPARTMENTAL STORE PVT. LTD."/>
    <x v="3"/>
    <n v="25"/>
    <n v="500"/>
    <n v="163.72"/>
    <n v="81860.000000000015"/>
    <n v="0"/>
    <n v="0"/>
    <n v="10641.800000000001"/>
    <n v="92501.8"/>
  </r>
  <r>
    <x v="19"/>
    <x v="8"/>
    <x v="3"/>
    <x v="0"/>
    <x v="122"/>
    <s v="KEPL/02175/82-83"/>
    <s v="BHAT BHATENI SUPERMARKET &amp; DEPARTMENTAL STORE PVT. LTD."/>
    <x v="51"/>
    <n v="25"/>
    <n v="1250"/>
    <n v="78.58"/>
    <n v="98225"/>
    <n v="0"/>
    <n v="0"/>
    <n v="12769.25"/>
    <n v="110994.25"/>
  </r>
  <r>
    <x v="8"/>
    <x v="8"/>
    <x v="3"/>
    <x v="0"/>
    <x v="122"/>
    <s v="KEPL/02179/82-83"/>
    <s v="NEW AAKRITI SUPPLIERS"/>
    <x v="33"/>
    <n v="1"/>
    <n v="40"/>
    <n v="74.489999999999995"/>
    <n v="2979.6"/>
    <n v="-229.13"/>
    <n v="0"/>
    <n v="357.56124599999998"/>
    <n v="3108.031246"/>
  </r>
  <r>
    <x v="11"/>
    <x v="8"/>
    <x v="3"/>
    <x v="0"/>
    <x v="122"/>
    <s v="KEPL/02179/82-83"/>
    <s v="NEW AAKRITI SUPPLIERS"/>
    <x v="53"/>
    <n v="1"/>
    <n v="40"/>
    <n v="81.94"/>
    <n v="3277.6"/>
    <n v="-252.05"/>
    <n v="0"/>
    <n v="393.32166100000001"/>
    <n v="3418.8716610000001"/>
  </r>
  <r>
    <x v="7"/>
    <x v="8"/>
    <x v="3"/>
    <x v="0"/>
    <x v="122"/>
    <s v="KEPL/02179/82-83"/>
    <s v="NEW AAKRITI SUPPLIERS"/>
    <x v="12"/>
    <n v="1"/>
    <n v="130"/>
    <n v="37.25"/>
    <n v="4842.5"/>
    <n v="-372.39"/>
    <n v="0"/>
    <n v="581.11453800000004"/>
    <n v="5051.2245380000004"/>
  </r>
  <r>
    <x v="19"/>
    <x v="8"/>
    <x v="3"/>
    <x v="0"/>
    <x v="122"/>
    <s v="KEPL/02179/82-83"/>
    <s v="NEW AAKRITI SUPPLIERS"/>
    <x v="51"/>
    <n v="2"/>
    <n v="100"/>
    <n v="89.39"/>
    <n v="8939"/>
    <n v="-687.41"/>
    <n v="0"/>
    <n v="1072.7071390000001"/>
    <n v="9324.2971390000002"/>
  </r>
  <r>
    <x v="16"/>
    <x v="8"/>
    <x v="3"/>
    <x v="0"/>
    <x v="122"/>
    <s v="KEPL/02179/82-83"/>
    <s v="NEW AAKRITI SUPPLIERS"/>
    <x v="35"/>
    <n v="1"/>
    <n v="60"/>
    <n v="145.26"/>
    <n v="8715.6"/>
    <n v="-670.23"/>
    <n v="0"/>
    <n v="1045.8985279999999"/>
    <n v="9091.2685280000005"/>
  </r>
  <r>
    <x v="8"/>
    <x v="8"/>
    <x v="3"/>
    <x v="0"/>
    <x v="122"/>
    <s v="KEPL/02179/82-83"/>
    <s v="NEW AAKRITI SUPPLIERS"/>
    <x v="56"/>
    <n v="1"/>
    <n v="800"/>
    <n v="7.46"/>
    <n v="5964"/>
    <n v="-458.63"/>
    <n v="0"/>
    <n v="715.69839300000001"/>
    <n v="6221.0683929999996"/>
  </r>
  <r>
    <x v="16"/>
    <x v="8"/>
    <x v="3"/>
    <x v="0"/>
    <x v="122"/>
    <s v="KEPL/02179/82-83"/>
    <s v="NEW AAKRITI SUPPLIERS"/>
    <x v="42"/>
    <n v="1"/>
    <n v="30"/>
    <n v="316.58999999999997"/>
    <n v="9497.6999999999989"/>
    <n v="-730.36999999999989"/>
    <n v="0"/>
    <n v="1139.753367"/>
    <n v="9907.0833669999993"/>
  </r>
  <r>
    <x v="11"/>
    <x v="8"/>
    <x v="3"/>
    <x v="0"/>
    <x v="122"/>
    <s v="KEPL/02179/82-83"/>
    <s v="NEW AAKRITI SUPPLIERS"/>
    <x v="36"/>
    <n v="1"/>
    <n v="40"/>
    <n v="81.94"/>
    <n v="3277.6"/>
    <n v="-252.05"/>
    <n v="0"/>
    <n v="393.32166100000001"/>
    <n v="3418.8716610000001"/>
  </r>
  <r>
    <x v="9"/>
    <x v="8"/>
    <x v="3"/>
    <x v="0"/>
    <x v="122"/>
    <s v="KEPL/02179/82-83"/>
    <s v="NEW AAKRITI SUPPLIERS"/>
    <x v="44"/>
    <n v="1"/>
    <n v="24"/>
    <n v="186.23"/>
    <n v="4469.5200000000004"/>
    <n v="-343.71"/>
    <n v="0"/>
    <n v="536.35551999999996"/>
    <n v="4662.1655199999996"/>
  </r>
  <r>
    <x v="8"/>
    <x v="8"/>
    <x v="3"/>
    <x v="0"/>
    <x v="122"/>
    <s v="KEPL/02179/82-83"/>
    <s v="NEW AAKRITI SUPPLIERS"/>
    <x v="34"/>
    <n v="1"/>
    <n v="40"/>
    <n v="74.489999999999995"/>
    <n v="2979.6"/>
    <n v="-229.13"/>
    <n v="0"/>
    <n v="357.56124599999998"/>
    <n v="3108.031246"/>
  </r>
  <r>
    <x v="2"/>
    <x v="8"/>
    <x v="3"/>
    <x v="0"/>
    <x v="122"/>
    <s v="KEPL/02179/82-83"/>
    <s v="NEW AAKRITI SUPPLIERS"/>
    <x v="3"/>
    <n v="4"/>
    <n v="80"/>
    <n v="186.22"/>
    <n v="14897.6"/>
    <n v="-1145.6300000000001"/>
    <n v="0"/>
    <n v="1787.7568319999998"/>
    <n v="15539.726832"/>
  </r>
  <r>
    <x v="10"/>
    <x v="8"/>
    <x v="3"/>
    <x v="0"/>
    <x v="122"/>
    <s v="KEPL/02179/82-83"/>
    <s v="NEW AAKRITI SUPPLIERS"/>
    <x v="49"/>
    <n v="1"/>
    <n v="15"/>
    <n v="260.72000000000003"/>
    <n v="3910.8"/>
    <n v="-300.74"/>
    <n v="0"/>
    <n v="469.30799200000001"/>
    <n v="4079.367992"/>
  </r>
  <r>
    <x v="10"/>
    <x v="8"/>
    <x v="3"/>
    <x v="0"/>
    <x v="122"/>
    <s v="KEPL/02179/82-83"/>
    <s v="NEW AAKRITI SUPPLIERS"/>
    <x v="45"/>
    <n v="1"/>
    <n v="15"/>
    <n v="260.72000000000003"/>
    <n v="3910.8"/>
    <n v="-300.74"/>
    <n v="0"/>
    <n v="469.30799200000001"/>
    <n v="4079.367992"/>
  </r>
  <r>
    <x v="7"/>
    <x v="8"/>
    <x v="3"/>
    <x v="0"/>
    <x v="122"/>
    <s v="KEPL/02179/82-83"/>
    <s v="NEW AAKRITI SUPPLIERS"/>
    <x v="27"/>
    <n v="3"/>
    <n v="210"/>
    <n v="37.25"/>
    <n v="7822.5"/>
    <n v="-601.55000000000007"/>
    <n v="0"/>
    <n v="938.723884"/>
    <n v="8159.6738839999998"/>
  </r>
  <r>
    <x v="11"/>
    <x v="8"/>
    <x v="3"/>
    <x v="0"/>
    <x v="122"/>
    <s v="KEPL/02180/82-83"/>
    <s v="NEW AAKRITI SUPPLIERS"/>
    <x v="37"/>
    <n v="1"/>
    <n v="40"/>
    <n v="89.39"/>
    <n v="3575.6"/>
    <n v="-274.95999999999998"/>
    <n v="0"/>
    <n v="429.08355"/>
    <n v="3729.7235500000002"/>
  </r>
  <r>
    <x v="8"/>
    <x v="8"/>
    <x v="3"/>
    <x v="0"/>
    <x v="122"/>
    <s v="KEPL/02180/82-83"/>
    <s v="NEW AAKRITI SUPPLIERS"/>
    <x v="41"/>
    <n v="1"/>
    <n v="40"/>
    <n v="74.5"/>
    <n v="2980"/>
    <n v="-229.16"/>
    <n v="0"/>
    <n v="357.60949199999999"/>
    <n v="3108.4494920000002"/>
  </r>
  <r>
    <x v="6"/>
    <x v="8"/>
    <x v="3"/>
    <x v="0"/>
    <x v="122"/>
    <s v="KEPL/02180/82-83"/>
    <s v="NEW AAKRITI SUPPLIERS"/>
    <x v="48"/>
    <n v="1"/>
    <n v="20"/>
    <n v="204.85"/>
    <n v="4097"/>
    <n v="-315.06"/>
    <n v="0"/>
    <n v="491.652601"/>
    <n v="4273.5926010000003"/>
  </r>
  <r>
    <x v="13"/>
    <x v="8"/>
    <x v="3"/>
    <x v="0"/>
    <x v="122"/>
    <s v="KEPL/02180/82-83"/>
    <s v="NEW AAKRITI SUPPLIERS"/>
    <x v="40"/>
    <n v="1"/>
    <n v="600"/>
    <n v="7.45"/>
    <n v="4470"/>
    <n v="-343.74"/>
    <n v="0"/>
    <n v="536.41423799999995"/>
    <n v="4662.6742379999996"/>
  </r>
  <r>
    <x v="6"/>
    <x v="8"/>
    <x v="3"/>
    <x v="0"/>
    <x v="122"/>
    <s v="KEPL/02180/82-83"/>
    <s v="NEW AAKRITI SUPPLIERS"/>
    <x v="59"/>
    <n v="1"/>
    <n v="20"/>
    <n v="204.85"/>
    <n v="4097"/>
    <n v="-315.06"/>
    <n v="0"/>
    <n v="491.652601"/>
    <n v="4273.5926010000003"/>
  </r>
  <r>
    <x v="3"/>
    <x v="8"/>
    <x v="3"/>
    <x v="0"/>
    <x v="122"/>
    <s v="KEPL/02180/82-83"/>
    <s v="NEW AAKRITI SUPPLIERS"/>
    <x v="54"/>
    <n v="1"/>
    <n v="20"/>
    <n v="175.06"/>
    <n v="3501.1800000000003"/>
    <n v="-269.24"/>
    <n v="0"/>
    <n v="420.15254299999998"/>
    <n v="3652.0925430000002"/>
  </r>
  <r>
    <x v="6"/>
    <x v="8"/>
    <x v="3"/>
    <x v="0"/>
    <x v="122"/>
    <s v="KEPL/02180/82-83"/>
    <s v="NEW AAKRITI SUPPLIERS"/>
    <x v="30"/>
    <n v="1"/>
    <n v="20"/>
    <n v="242.1"/>
    <n v="4841.9999999999991"/>
    <n v="-372.35"/>
    <n v="0"/>
    <n v="581.05497400000002"/>
    <n v="5050.7049740000002"/>
  </r>
  <r>
    <x v="8"/>
    <x v="8"/>
    <x v="3"/>
    <x v="0"/>
    <x v="122"/>
    <s v="KEPL/02181/82-83"/>
    <s v="AASHI TRADERS"/>
    <x v="41"/>
    <n v="2"/>
    <n v="80"/>
    <n v="74.489999999999995"/>
    <n v="5959.2"/>
    <n v="-458.26"/>
    <n v="0"/>
    <n v="715.12225599999988"/>
    <n v="6216.0622560000002"/>
  </r>
  <r>
    <x v="8"/>
    <x v="8"/>
    <x v="3"/>
    <x v="0"/>
    <x v="122"/>
    <s v="KEPL/02181/82-83"/>
    <s v="AASHI TRADERS"/>
    <x v="33"/>
    <n v="2"/>
    <n v="80"/>
    <n v="74.489999999999995"/>
    <n v="5959.2"/>
    <n v="-458.26"/>
    <n v="0"/>
    <n v="715.12225599999988"/>
    <n v="6216.0622560000002"/>
  </r>
  <r>
    <x v="10"/>
    <x v="8"/>
    <x v="3"/>
    <x v="0"/>
    <x v="122"/>
    <s v="KEPL/02181/82-83"/>
    <s v="AASHI TRADERS"/>
    <x v="45"/>
    <n v="2"/>
    <n v="30"/>
    <n v="260.72000000000003"/>
    <n v="7821.6"/>
    <n v="-601.48"/>
    <n v="0"/>
    <n v="938.61567400000001"/>
    <n v="8158.7356739999996"/>
  </r>
  <r>
    <x v="9"/>
    <x v="8"/>
    <x v="3"/>
    <x v="0"/>
    <x v="122"/>
    <s v="KEPL/02181/82-83"/>
    <s v="AASHI TRADERS"/>
    <x v="22"/>
    <n v="3"/>
    <n v="72"/>
    <n v="204.85"/>
    <n v="14749.199999999999"/>
    <n v="-1134.21"/>
    <n v="0"/>
    <n v="1769.9488389999999"/>
    <n v="15384.938839"/>
  </r>
  <r>
    <x v="3"/>
    <x v="8"/>
    <x v="3"/>
    <x v="0"/>
    <x v="122"/>
    <s v="KEPL/02181/82-83"/>
    <s v="AASHI TRADERS"/>
    <x v="54"/>
    <n v="5"/>
    <n v="100"/>
    <n v="175.05"/>
    <n v="17505"/>
    <n v="-1346.1299999999999"/>
    <n v="0"/>
    <n v="2100.6532649999999"/>
    <n v="18259.523265"/>
  </r>
  <r>
    <x v="6"/>
    <x v="8"/>
    <x v="3"/>
    <x v="0"/>
    <x v="122"/>
    <s v="KEPL/02181/82-83"/>
    <s v="AASHI TRADERS"/>
    <x v="28"/>
    <n v="5"/>
    <n v="100"/>
    <n v="204.85"/>
    <n v="20485"/>
    <n v="-1575.3"/>
    <n v="0"/>
    <n v="2458.2611929999998"/>
    <n v="21367.961192999999"/>
  </r>
  <r>
    <x v="11"/>
    <x v="8"/>
    <x v="3"/>
    <x v="0"/>
    <x v="122"/>
    <s v="KEPL/02181/82-83"/>
    <s v="AASHI TRADERS"/>
    <x v="36"/>
    <n v="10"/>
    <n v="400"/>
    <n v="81.94"/>
    <n v="32776"/>
    <n v="-2520.4700000000003"/>
    <n v="0"/>
    <n v="3933.2192090000003"/>
    <n v="34188.749209000001"/>
  </r>
  <r>
    <x v="8"/>
    <x v="8"/>
    <x v="3"/>
    <x v="0"/>
    <x v="122"/>
    <s v="KEPL/02181/82-83"/>
    <s v="AASHI TRADERS"/>
    <x v="34"/>
    <n v="2"/>
    <n v="80"/>
    <n v="74.489999999999995"/>
    <n v="5959.2"/>
    <n v="-458.26"/>
    <n v="0"/>
    <n v="715.12225599999988"/>
    <n v="6216.0622560000002"/>
  </r>
  <r>
    <x v="6"/>
    <x v="8"/>
    <x v="3"/>
    <x v="0"/>
    <x v="122"/>
    <s v="KEPL/02181/82-83"/>
    <s v="AASHI TRADERS"/>
    <x v="30"/>
    <n v="4"/>
    <n v="80"/>
    <n v="242.1"/>
    <n v="19367.999999999996"/>
    <n v="-1489.4"/>
    <n v="0"/>
    <n v="2324.218183"/>
    <n v="20202.818182999999"/>
  </r>
  <r>
    <x v="20"/>
    <x v="8"/>
    <x v="3"/>
    <x v="0"/>
    <x v="122"/>
    <s v="KEPL/02181/82-83"/>
    <s v="AASHI TRADERS"/>
    <x v="52"/>
    <n v="5"/>
    <n v="20"/>
    <n v="595.92999999999995"/>
    <n v="11918.6"/>
    <n v="-916.54"/>
    <n v="0"/>
    <n v="1430.2679129999999"/>
    <n v="12432.327912999999"/>
  </r>
  <r>
    <x v="6"/>
    <x v="8"/>
    <x v="3"/>
    <x v="0"/>
    <x v="122"/>
    <s v="KEPL/02181/82-83"/>
    <s v="AASHI TRADERS"/>
    <x v="59"/>
    <n v="4"/>
    <n v="80"/>
    <n v="204.85"/>
    <n v="16388"/>
    <n v="-1260.24"/>
    <n v="0"/>
    <n v="1966.6089550000002"/>
    <n v="17094.368955000002"/>
  </r>
  <r>
    <x v="11"/>
    <x v="8"/>
    <x v="3"/>
    <x v="0"/>
    <x v="122"/>
    <s v="KEPL/02182/82-83"/>
    <s v="R.P DISTRIBUTOR TRADE CENTER"/>
    <x v="36"/>
    <n v="2"/>
    <n v="80"/>
    <n v="81.94"/>
    <n v="6555.2"/>
    <n v="-504.09"/>
    <n v="0"/>
    <n v="786.64406700000006"/>
    <n v="6837.7540669999998"/>
  </r>
  <r>
    <x v="16"/>
    <x v="8"/>
    <x v="3"/>
    <x v="0"/>
    <x v="122"/>
    <s v="KEPL/02182/82-83"/>
    <s v="R.P DISTRIBUTOR TRADE CENTER"/>
    <x v="35"/>
    <n v="1"/>
    <n v="60"/>
    <n v="145.26"/>
    <n v="8715.6"/>
    <n v="-670.23"/>
    <n v="0"/>
    <n v="1045.89779"/>
    <n v="9091.2677899999999"/>
  </r>
  <r>
    <x v="10"/>
    <x v="8"/>
    <x v="3"/>
    <x v="0"/>
    <x v="122"/>
    <s v="KEPL/02182/82-83"/>
    <s v="R.P DISTRIBUTOR TRADE CENTER"/>
    <x v="49"/>
    <n v="1"/>
    <n v="15"/>
    <n v="260.72000000000003"/>
    <n v="3910.8"/>
    <n v="-300.74"/>
    <n v="0"/>
    <n v="469.307661"/>
    <n v="4079.3676610000002"/>
  </r>
  <r>
    <x v="6"/>
    <x v="8"/>
    <x v="3"/>
    <x v="0"/>
    <x v="122"/>
    <s v="KEPL/02182/82-83"/>
    <s v="R.P DISTRIBUTOR TRADE CENTER"/>
    <x v="29"/>
    <n v="1"/>
    <n v="20"/>
    <n v="204.85"/>
    <n v="4097"/>
    <n v="-315.06"/>
    <n v="0"/>
    <n v="491.65205399999996"/>
    <n v="4273.5920539999997"/>
  </r>
  <r>
    <x v="6"/>
    <x v="8"/>
    <x v="3"/>
    <x v="0"/>
    <x v="122"/>
    <s v="KEPL/02182/82-83"/>
    <s v="R.P DISTRIBUTOR TRADE CENTER"/>
    <x v="28"/>
    <n v="1"/>
    <n v="20"/>
    <n v="204.85"/>
    <n v="4097"/>
    <n v="-315.06"/>
    <n v="0"/>
    <n v="491.65205399999996"/>
    <n v="4273.5920539999997"/>
  </r>
  <r>
    <x v="8"/>
    <x v="8"/>
    <x v="3"/>
    <x v="0"/>
    <x v="122"/>
    <s v="KEPL/02182/82-83"/>
    <s v="R.P DISTRIBUTOR TRADE CENTER"/>
    <x v="33"/>
    <n v="1"/>
    <n v="40"/>
    <n v="74.489999999999995"/>
    <n v="2979.6"/>
    <n v="-229.13"/>
    <n v="0"/>
    <n v="357.56099399999999"/>
    <n v="3108.0309940000002"/>
  </r>
  <r>
    <x v="16"/>
    <x v="8"/>
    <x v="3"/>
    <x v="0"/>
    <x v="122"/>
    <s v="KEPL/02182/82-83"/>
    <s v="R.P DISTRIBUTOR TRADE CENTER"/>
    <x v="42"/>
    <n v="3"/>
    <n v="90"/>
    <n v="316.58999999999997"/>
    <n v="28493.1"/>
    <n v="-2191.12"/>
    <n v="0"/>
    <n v="3419.256386"/>
    <n v="29721.236386"/>
  </r>
  <r>
    <x v="9"/>
    <x v="8"/>
    <x v="3"/>
    <x v="0"/>
    <x v="122"/>
    <s v="KEPL/02182/82-83"/>
    <s v="R.P DISTRIBUTOR TRADE CENTER"/>
    <x v="44"/>
    <n v="2"/>
    <n v="48"/>
    <n v="186.23"/>
    <n v="8939.0400000000009"/>
    <n v="-687.41"/>
    <n v="0"/>
    <n v="1072.7115819999999"/>
    <n v="9324.3415819999991"/>
  </r>
  <r>
    <x v="10"/>
    <x v="8"/>
    <x v="3"/>
    <x v="0"/>
    <x v="122"/>
    <s v="KEPL/02182/82-83"/>
    <s v="R.P DISTRIBUTOR TRADE CENTER"/>
    <x v="45"/>
    <n v="1"/>
    <n v="15"/>
    <n v="260.72000000000003"/>
    <n v="3910.8"/>
    <n v="-300.74"/>
    <n v="0"/>
    <n v="469.307661"/>
    <n v="4079.3676610000002"/>
  </r>
  <r>
    <x v="7"/>
    <x v="8"/>
    <x v="3"/>
    <x v="0"/>
    <x v="122"/>
    <s v="KEPL/02182/82-83"/>
    <s v="R.P DISTRIBUTOR TRADE CENTER"/>
    <x v="27"/>
    <n v="10"/>
    <n v="700"/>
    <n v="37.25"/>
    <n v="26075"/>
    <n v="-2005.1699999999998"/>
    <n v="0"/>
    <n v="3129.0769719999998"/>
    <n v="27198.906972000001"/>
  </r>
  <r>
    <x v="7"/>
    <x v="8"/>
    <x v="3"/>
    <x v="0"/>
    <x v="122"/>
    <s v="KEPL/02182/82-83"/>
    <s v="R.P DISTRIBUTOR TRADE CENTER"/>
    <x v="12"/>
    <n v="2"/>
    <n v="260"/>
    <n v="37.25"/>
    <n v="9685"/>
    <n v="-744.78"/>
    <n v="0"/>
    <n v="1162.228255"/>
    <n v="10102.448254999999"/>
  </r>
  <r>
    <x v="17"/>
    <x v="8"/>
    <x v="3"/>
    <x v="0"/>
    <x v="122"/>
    <s v="KEPL/02182/82-83"/>
    <s v="R.P DISTRIBUTOR TRADE CENTER"/>
    <x v="39"/>
    <n v="1"/>
    <n v="20"/>
    <n v="249.55"/>
    <n v="4991"/>
    <n v="-383.81"/>
    <n v="0"/>
    <n v="598.93452200000002"/>
    <n v="5206.1245220000001"/>
  </r>
  <r>
    <x v="19"/>
    <x v="8"/>
    <x v="3"/>
    <x v="0"/>
    <x v="122"/>
    <s v="KEPL/02183/82-83"/>
    <s v="R.P DISTRIBUTOR TRADE CENTER"/>
    <x v="51"/>
    <n v="2"/>
    <n v="100"/>
    <n v="89.39"/>
    <n v="8939"/>
    <n v="-687.41"/>
    <n v="0"/>
    <n v="1072.706248"/>
    <n v="9324.2962480000006"/>
  </r>
  <r>
    <x v="13"/>
    <x v="8"/>
    <x v="3"/>
    <x v="0"/>
    <x v="122"/>
    <s v="KEPL/02183/82-83"/>
    <s v="R.P DISTRIBUTOR TRADE CENTER"/>
    <x v="40"/>
    <n v="1"/>
    <n v="600"/>
    <n v="7.45"/>
    <n v="4470"/>
    <n v="-343.74"/>
    <n v="0"/>
    <n v="536.41357399999993"/>
    <n v="4662.6735740000004"/>
  </r>
  <r>
    <x v="8"/>
    <x v="8"/>
    <x v="3"/>
    <x v="0"/>
    <x v="122"/>
    <s v="KEPL/02183/82-83"/>
    <s v="R.P DISTRIBUTOR TRADE CENTER"/>
    <x v="41"/>
    <n v="1"/>
    <n v="40"/>
    <n v="74.489999999999995"/>
    <n v="2979.6"/>
    <n v="-229.13"/>
    <n v="0"/>
    <n v="357.56094899999999"/>
    <n v="3108.030949"/>
  </r>
  <r>
    <x v="6"/>
    <x v="8"/>
    <x v="3"/>
    <x v="0"/>
    <x v="122"/>
    <s v="KEPL/02183/82-83"/>
    <s v="R.P DISTRIBUTOR TRADE CENTER"/>
    <x v="59"/>
    <n v="1"/>
    <n v="20"/>
    <n v="204.85"/>
    <n v="4097"/>
    <n v="-315.06"/>
    <n v="0"/>
    <n v="491.651993"/>
    <n v="4273.591993"/>
  </r>
  <r>
    <x v="6"/>
    <x v="8"/>
    <x v="3"/>
    <x v="0"/>
    <x v="122"/>
    <s v="KEPL/02183/82-83"/>
    <s v="R.P DISTRIBUTOR TRADE CENTER"/>
    <x v="30"/>
    <n v="1"/>
    <n v="20"/>
    <n v="242.1"/>
    <n v="4841.9999999999991"/>
    <n v="-372.35"/>
    <n v="0"/>
    <n v="581.05425500000001"/>
    <n v="5050.7042549999996"/>
  </r>
  <r>
    <x v="9"/>
    <x v="8"/>
    <x v="3"/>
    <x v="0"/>
    <x v="122"/>
    <s v="KEPL/02183/82-83"/>
    <s v="R.P DISTRIBUTOR TRADE CENTER"/>
    <x v="22"/>
    <n v="2"/>
    <n v="48"/>
    <n v="204.85"/>
    <n v="9832.8000000000011"/>
    <n v="-756.14"/>
    <n v="0"/>
    <n v="1179.9653029999999"/>
    <n v="10256.625303000001"/>
  </r>
  <r>
    <x v="6"/>
    <x v="8"/>
    <x v="3"/>
    <x v="0"/>
    <x v="122"/>
    <s v="KEPL/02183/82-83"/>
    <s v="R.P DISTRIBUTOR TRADE CENTER"/>
    <x v="48"/>
    <n v="1"/>
    <n v="20"/>
    <n v="204.85"/>
    <n v="4097"/>
    <n v="-315.06"/>
    <n v="0"/>
    <n v="491.651993"/>
    <n v="4273.591993"/>
  </r>
  <r>
    <x v="11"/>
    <x v="8"/>
    <x v="3"/>
    <x v="0"/>
    <x v="122"/>
    <s v="KEPL/02183/82-83"/>
    <s v="R.P DISTRIBUTOR TRADE CENTER"/>
    <x v="37"/>
    <n v="2"/>
    <n v="80"/>
    <n v="89.39"/>
    <n v="7151.2"/>
    <n v="-549.92999999999995"/>
    <n v="0"/>
    <n v="858.16473799999994"/>
    <n v="7459.4347379999999"/>
  </r>
  <r>
    <x v="0"/>
    <x v="8"/>
    <x v="3"/>
    <x v="0"/>
    <x v="122"/>
    <s v="KEPL/02183/82-83"/>
    <s v="R.P DISTRIBUTOR TRADE CENTER"/>
    <x v="57"/>
    <n v="2"/>
    <n v="80"/>
    <n v="111.74"/>
    <n v="8939.2000000000007"/>
    <n v="-687.42"/>
    <n v="0"/>
    <n v="1072.7309479999999"/>
    <n v="9324.5109479999992"/>
  </r>
  <r>
    <x v="0"/>
    <x v="8"/>
    <x v="3"/>
    <x v="0"/>
    <x v="122"/>
    <s v="KEPL/02184/82-83"/>
    <s v="GORIN TRADING "/>
    <x v="57"/>
    <n v="1"/>
    <n v="40"/>
    <n v="111.74"/>
    <n v="4469.6000000000004"/>
    <n v="-343.71"/>
    <n v="0"/>
    <n v="536.36517300000003"/>
    <n v="4662.2551729999996"/>
  </r>
  <r>
    <x v="7"/>
    <x v="8"/>
    <x v="3"/>
    <x v="0"/>
    <x v="122"/>
    <s v="KEPL/02184/82-83"/>
    <s v="GORIN TRADING "/>
    <x v="27"/>
    <n v="10"/>
    <n v="700"/>
    <n v="37.25"/>
    <n v="26075"/>
    <n v="-2005.1699999999998"/>
    <n v="0"/>
    <n v="3129.0748269999999"/>
    <n v="27198.904826999998"/>
  </r>
  <r>
    <x v="11"/>
    <x v="8"/>
    <x v="3"/>
    <x v="0"/>
    <x v="122"/>
    <s v="KEPL/02185/82-83"/>
    <s v="NAWA ATITHI STORES"/>
    <x v="37"/>
    <n v="3"/>
    <n v="120"/>
    <n v="89.39"/>
    <n v="10726.8"/>
    <n v="-824.89"/>
    <n v="0"/>
    <n v="1287.2487509999999"/>
    <n v="11189.158751000001"/>
  </r>
  <r>
    <x v="9"/>
    <x v="8"/>
    <x v="3"/>
    <x v="0"/>
    <x v="122"/>
    <s v="KEPL/02185/82-83"/>
    <s v="NAWA ATITHI STORES"/>
    <x v="44"/>
    <n v="1"/>
    <n v="24"/>
    <n v="186.23"/>
    <n v="4469.5200000000004"/>
    <n v="-343.71"/>
    <n v="0"/>
    <n v="536.35548800000004"/>
    <n v="4662.1654879999996"/>
  </r>
  <r>
    <x v="11"/>
    <x v="8"/>
    <x v="3"/>
    <x v="0"/>
    <x v="122"/>
    <s v="KEPL/02185/82-83"/>
    <s v="NAWA ATITHI STORES"/>
    <x v="53"/>
    <n v="1"/>
    <n v="40"/>
    <n v="89.39"/>
    <n v="3575.6"/>
    <n v="-274.95999999999998"/>
    <n v="0"/>
    <n v="429.08335"/>
    <n v="3729.7233500000002"/>
  </r>
  <r>
    <x v="2"/>
    <x v="8"/>
    <x v="3"/>
    <x v="0"/>
    <x v="122"/>
    <s v="KEPL/02185/82-83"/>
    <s v="NAWA ATITHI STORES"/>
    <x v="3"/>
    <n v="10"/>
    <n v="200"/>
    <n v="186.22"/>
    <n v="37244"/>
    <n v="-2864.06"/>
    <n v="0"/>
    <n v="4469.3937660000001"/>
    <n v="38849.333766000003"/>
  </r>
  <r>
    <x v="13"/>
    <x v="8"/>
    <x v="3"/>
    <x v="0"/>
    <x v="122"/>
    <s v="KEPL/02185/82-83"/>
    <s v="NAWA ATITHI STORES"/>
    <x v="40"/>
    <n v="1"/>
    <n v="600"/>
    <n v="7.45"/>
    <n v="4470"/>
    <n v="-343.74"/>
    <n v="0"/>
    <n v="536.41398800000002"/>
    <n v="4662.6739879999996"/>
  </r>
  <r>
    <x v="6"/>
    <x v="8"/>
    <x v="3"/>
    <x v="0"/>
    <x v="122"/>
    <s v="KEPL/02185/82-83"/>
    <s v="NAWA ATITHI STORES"/>
    <x v="30"/>
    <n v="2"/>
    <n v="40"/>
    <n v="242.1"/>
    <n v="9683.9999999999982"/>
    <n v="-744.7"/>
    <n v="0"/>
    <n v="1162.1094069999999"/>
    <n v="10101.409406999999"/>
  </r>
  <r>
    <x v="10"/>
    <x v="8"/>
    <x v="3"/>
    <x v="0"/>
    <x v="122"/>
    <s v="KEPL/02185/82-83"/>
    <s v="NAWA ATITHI STORES"/>
    <x v="45"/>
    <n v="2"/>
    <n v="30"/>
    <n v="260.72000000000003"/>
    <n v="7821.6"/>
    <n v="-601.48"/>
    <n v="0"/>
    <n v="938.61592899999994"/>
    <n v="8158.7359290000004"/>
  </r>
  <r>
    <x v="9"/>
    <x v="8"/>
    <x v="3"/>
    <x v="0"/>
    <x v="122"/>
    <s v="KEPL/02185/82-83"/>
    <s v="NAWA ATITHI STORES"/>
    <x v="22"/>
    <n v="3"/>
    <n v="72"/>
    <n v="204.85"/>
    <n v="14749.199999999999"/>
    <n v="-1134.21"/>
    <n v="0"/>
    <n v="1769.9493199999999"/>
    <n v="15384.939319999999"/>
  </r>
  <r>
    <x v="16"/>
    <x v="8"/>
    <x v="3"/>
    <x v="0"/>
    <x v="122"/>
    <s v="KEPL/02186/82-83"/>
    <s v="EMERALD TRADE LINK"/>
    <x v="35"/>
    <n v="2"/>
    <n v="120"/>
    <n v="145.26"/>
    <n v="17431.2"/>
    <n v="-1340.46"/>
    <n v="0"/>
    <n v="2091.7968510000001"/>
    <n v="18182.536851000001"/>
  </r>
  <r>
    <x v="2"/>
    <x v="8"/>
    <x v="3"/>
    <x v="0"/>
    <x v="122"/>
    <s v="KEPL/02186/82-83"/>
    <s v="EMERALD TRADE LINK"/>
    <x v="3"/>
    <n v="2"/>
    <n v="40"/>
    <n v="186.22"/>
    <n v="7448.8"/>
    <n v="-572.80999999999995"/>
    <n v="0"/>
    <n v="893.87897799999996"/>
    <n v="7769.8689780000004"/>
  </r>
  <r>
    <x v="7"/>
    <x v="8"/>
    <x v="3"/>
    <x v="0"/>
    <x v="122"/>
    <s v="KEPL/02186/82-83"/>
    <s v="EMERALD TRADE LINK"/>
    <x v="12"/>
    <n v="2"/>
    <n v="260"/>
    <n v="37.25"/>
    <n v="9685"/>
    <n v="-744.78"/>
    <n v="0"/>
    <n v="1162.2289619999999"/>
    <n v="10102.448962"/>
  </r>
  <r>
    <x v="16"/>
    <x v="8"/>
    <x v="3"/>
    <x v="0"/>
    <x v="122"/>
    <s v="KEPL/02186/82-83"/>
    <s v="EMERALD TRADE LINK"/>
    <x v="42"/>
    <n v="2"/>
    <n v="60"/>
    <n v="316.58999999999997"/>
    <n v="18995.399999999998"/>
    <n v="-1460.75"/>
    <n v="0"/>
    <n v="2279.5052089999999"/>
    <n v="19814.155209"/>
  </r>
  <r>
    <x v="1"/>
    <x v="8"/>
    <x v="3"/>
    <x v="0"/>
    <x v="122"/>
    <s v="KEPL/02199/82-83"/>
    <s v="NEW YASHISH TRADERS"/>
    <x v="24"/>
    <n v="65.66"/>
    <n v="1181.8800000000001"/>
    <n v="178.78"/>
    <n v="211296.50999999998"/>
    <n v="-16248.699999999999"/>
    <n v="0"/>
    <n v="25356.214807999997"/>
    <n v="220404.02480799999"/>
  </r>
  <r>
    <x v="1"/>
    <x v="8"/>
    <x v="3"/>
    <x v="0"/>
    <x v="122"/>
    <s v="KEPL/02199/82-83"/>
    <s v="NEW YASHISH TRADERS"/>
    <x v="26"/>
    <n v="0.66"/>
    <n v="11.88"/>
    <n v="178.78"/>
    <n v="2123.91"/>
    <n v="-163.33000000000001"/>
    <n v="0"/>
    <n v="254.875395"/>
    <n v="2215.455395"/>
  </r>
  <r>
    <x v="1"/>
    <x v="8"/>
    <x v="3"/>
    <x v="0"/>
    <x v="122"/>
    <s v="KEPL/02199/82-83"/>
    <s v="NEW YASHISH TRADERS"/>
    <x v="2"/>
    <n v="25"/>
    <n v="450"/>
    <n v="178.78"/>
    <n v="80451"/>
    <n v="-6186.68"/>
    <n v="0"/>
    <n v="9654.3614120000002"/>
    <n v="83918.681412000005"/>
  </r>
  <r>
    <x v="1"/>
    <x v="8"/>
    <x v="3"/>
    <x v="0"/>
    <x v="122"/>
    <s v="KEPL/02199/82-83"/>
    <s v="NEW YASHISH TRADERS"/>
    <x v="25"/>
    <n v="10"/>
    <n v="180"/>
    <n v="178.78"/>
    <n v="32180.400000000001"/>
    <n v="-2474.6699999999996"/>
    <n v="0"/>
    <n v="3861.7448249999998"/>
    <n v="33567.474824999998"/>
  </r>
  <r>
    <x v="1"/>
    <x v="8"/>
    <x v="3"/>
    <x v="0"/>
    <x v="122"/>
    <s v="KEPL/02199/82-83"/>
    <s v="NEW YASHISH TRADERS"/>
    <x v="26"/>
    <n v="0.24"/>
    <n v="4.32"/>
    <n v="178.78"/>
    <n v="772.32999999999993"/>
    <n v="-59.39"/>
    <n v="0"/>
    <n v="92.682198000000014"/>
    <n v="805.62219800000003"/>
  </r>
  <r>
    <x v="1"/>
    <x v="8"/>
    <x v="3"/>
    <x v="0"/>
    <x v="122"/>
    <s v="KEPL/02199/82-83"/>
    <s v="NEW YASHISH TRADERS"/>
    <x v="24"/>
    <n v="74.34"/>
    <n v="1338.12"/>
    <n v="178.78"/>
    <n v="239229.09"/>
    <n v="-18396.72"/>
    <n v="0"/>
    <n v="28708.207542"/>
    <n v="249540.57754200001"/>
  </r>
  <r>
    <x v="1"/>
    <x v="8"/>
    <x v="3"/>
    <x v="0"/>
    <x v="122"/>
    <s v="KEPL/02199/82-83"/>
    <s v="NEW YASHISH TRADERS"/>
    <x v="26"/>
    <n v="0.72"/>
    <n v="12.96"/>
    <n v="178.78"/>
    <n v="2316.9900000000002"/>
    <n v="-178.18"/>
    <n v="0"/>
    <n v="278.04529500000001"/>
    <n v="2416.8552949999998"/>
  </r>
  <r>
    <x v="1"/>
    <x v="8"/>
    <x v="3"/>
    <x v="0"/>
    <x v="122"/>
    <s v="KEPL/02199/82-83"/>
    <s v="NEW YASHISH TRADERS"/>
    <x v="26"/>
    <n v="23.38"/>
    <n v="420.84"/>
    <n v="178.78"/>
    <n v="75237.78"/>
    <n v="-5785.79"/>
    <n v="0"/>
    <n v="9028.7585249999993"/>
    <n v="78480.748525000003"/>
  </r>
  <r>
    <x v="1"/>
    <x v="8"/>
    <x v="3"/>
    <x v="0"/>
    <x v="122"/>
    <s v="KEPL/02200/82-83"/>
    <s v="NAMERU TRADE LINK PVT.LTD"/>
    <x v="24"/>
    <n v="100"/>
    <n v="1800"/>
    <n v="178.78"/>
    <n v="321804"/>
    <n v="-24746.73"/>
    <n v="0"/>
    <n v="38617.449999999997"/>
    <n v="335674.72"/>
  </r>
  <r>
    <x v="17"/>
    <x v="8"/>
    <x v="3"/>
    <x v="0"/>
    <x v="123"/>
    <s v="KEPL/02202/82-83"/>
    <s v="SHREE BUDDHA ENTERPRISES"/>
    <x v="39"/>
    <n v="1"/>
    <n v="20"/>
    <n v="249.55"/>
    <n v="4991"/>
    <n v="-383.81"/>
    <n v="0"/>
    <n v="598.93482900000004"/>
    <n v="5206.1248290000003"/>
  </r>
  <r>
    <x v="7"/>
    <x v="8"/>
    <x v="3"/>
    <x v="0"/>
    <x v="123"/>
    <s v="KEPL/02202/82-83"/>
    <s v="SHREE BUDDHA ENTERPRISES"/>
    <x v="27"/>
    <n v="1"/>
    <n v="70"/>
    <n v="37.25"/>
    <n v="2607.5"/>
    <n v="-200.52"/>
    <n v="0"/>
    <n v="312.90746799999999"/>
    <n v="2719.8874679999999"/>
  </r>
  <r>
    <x v="11"/>
    <x v="8"/>
    <x v="3"/>
    <x v="0"/>
    <x v="123"/>
    <s v="KEPL/02202/82-83"/>
    <s v="SHREE BUDDHA ENTERPRISES"/>
    <x v="37"/>
    <n v="1"/>
    <n v="40"/>
    <n v="89.39"/>
    <n v="3575.6"/>
    <n v="-274.95999999999998"/>
    <n v="0"/>
    <n v="429.08329300000003"/>
    <n v="3729.723293"/>
  </r>
  <r>
    <x v="7"/>
    <x v="8"/>
    <x v="3"/>
    <x v="0"/>
    <x v="123"/>
    <s v="KEPL/02202/82-83"/>
    <s v="SHREE BUDDHA ENTERPRISES"/>
    <x v="12"/>
    <n v="2"/>
    <n v="260"/>
    <n v="37.25"/>
    <n v="9685"/>
    <n v="-744.78"/>
    <n v="0"/>
    <n v="1162.2288510000001"/>
    <n v="10102.448850999999"/>
  </r>
  <r>
    <x v="6"/>
    <x v="8"/>
    <x v="3"/>
    <x v="0"/>
    <x v="123"/>
    <s v="KEPL/02202/82-83"/>
    <s v="SHREE BUDDHA ENTERPRISES"/>
    <x v="28"/>
    <n v="1"/>
    <n v="20"/>
    <n v="204.85"/>
    <n v="4097"/>
    <n v="-315.06"/>
    <n v="0"/>
    <n v="491.65230600000001"/>
    <n v="4273.5923059999996"/>
  </r>
  <r>
    <x v="8"/>
    <x v="8"/>
    <x v="3"/>
    <x v="0"/>
    <x v="123"/>
    <s v="KEPL/02202/82-83"/>
    <s v="SHREE BUDDHA ENTERPRISES"/>
    <x v="41"/>
    <n v="1"/>
    <n v="40"/>
    <n v="74.5"/>
    <n v="2980"/>
    <n v="-229.16"/>
    <n v="0"/>
    <n v="357.60927700000002"/>
    <n v="3108.4492770000002"/>
  </r>
  <r>
    <x v="16"/>
    <x v="8"/>
    <x v="3"/>
    <x v="0"/>
    <x v="123"/>
    <s v="KEPL/02202/82-83"/>
    <s v="SHREE BUDDHA ENTERPRISES"/>
    <x v="42"/>
    <n v="2"/>
    <n v="60"/>
    <n v="316.58999999999997"/>
    <n v="18995.399999999998"/>
    <n v="-1460.75"/>
    <n v="0"/>
    <n v="2279.5049920000001"/>
    <n v="19814.154992"/>
  </r>
  <r>
    <x v="19"/>
    <x v="8"/>
    <x v="3"/>
    <x v="0"/>
    <x v="123"/>
    <s v="KEPL/02202/82-83"/>
    <s v="SHREE BUDDHA ENTERPRISES"/>
    <x v="51"/>
    <n v="2"/>
    <n v="100"/>
    <n v="89.39"/>
    <n v="8939"/>
    <n v="-687.41"/>
    <n v="0"/>
    <n v="1072.7069320000001"/>
    <n v="9324.2969319999993"/>
  </r>
  <r>
    <x v="6"/>
    <x v="8"/>
    <x v="3"/>
    <x v="0"/>
    <x v="123"/>
    <s v="KEPL/02202/82-83"/>
    <s v="SHREE BUDDHA ENTERPRISES"/>
    <x v="59"/>
    <n v="1"/>
    <n v="20"/>
    <n v="204.85"/>
    <n v="4097"/>
    <n v="-315.06"/>
    <n v="0"/>
    <n v="491.65230600000001"/>
    <n v="4273.5923059999996"/>
  </r>
  <r>
    <x v="6"/>
    <x v="8"/>
    <x v="3"/>
    <x v="0"/>
    <x v="123"/>
    <s v="KEPL/02202/82-83"/>
    <s v="SHREE BUDDHA ENTERPRISES"/>
    <x v="29"/>
    <n v="1"/>
    <n v="20"/>
    <n v="204.85"/>
    <n v="4097"/>
    <n v="-315.06"/>
    <n v="0"/>
    <n v="491.65230600000001"/>
    <n v="4273.5923059999996"/>
  </r>
  <r>
    <x v="8"/>
    <x v="8"/>
    <x v="3"/>
    <x v="0"/>
    <x v="123"/>
    <s v="KEPL/02202/82-83"/>
    <s v="SHREE BUDDHA ENTERPRISES"/>
    <x v="34"/>
    <n v="1"/>
    <n v="40"/>
    <n v="74.489999999999995"/>
    <n v="2979.6"/>
    <n v="-229.13"/>
    <n v="0"/>
    <n v="357.56117700000004"/>
    <n v="3108.0311769999998"/>
  </r>
  <r>
    <x v="2"/>
    <x v="8"/>
    <x v="3"/>
    <x v="0"/>
    <x v="123"/>
    <s v="KEPL/02202/82-83"/>
    <s v="SHREE BUDDHA ENTERPRISES"/>
    <x v="3"/>
    <n v="2"/>
    <n v="40"/>
    <n v="186.22"/>
    <n v="7448.8"/>
    <n v="-572.80999999999995"/>
    <n v="0"/>
    <n v="893.87889300000006"/>
    <n v="7769.8688929999998"/>
  </r>
  <r>
    <x v="8"/>
    <x v="8"/>
    <x v="3"/>
    <x v="0"/>
    <x v="123"/>
    <s v="KEPL/02202/82-83"/>
    <s v="SHREE BUDDHA ENTERPRISES"/>
    <x v="33"/>
    <n v="1"/>
    <n v="40"/>
    <n v="74.489999999999995"/>
    <n v="2979.6"/>
    <n v="-229.13"/>
    <n v="0"/>
    <n v="357.56117700000004"/>
    <n v="3108.0311769999998"/>
  </r>
  <r>
    <x v="8"/>
    <x v="8"/>
    <x v="3"/>
    <x v="0"/>
    <x v="123"/>
    <s v="KEPL/02202/82-83"/>
    <s v="SHREE BUDDHA ENTERPRISES"/>
    <x v="56"/>
    <n v="1"/>
    <n v="800"/>
    <n v="7.46"/>
    <n v="5968"/>
    <n v="-458.94"/>
    <n v="0"/>
    <n v="716.177955"/>
    <n v="6225.2379549999996"/>
  </r>
  <r>
    <x v="11"/>
    <x v="8"/>
    <x v="3"/>
    <x v="0"/>
    <x v="123"/>
    <s v="KEPL/02202/82-83"/>
    <s v="SHREE BUDDHA ENTERPRISES"/>
    <x v="36"/>
    <n v="1"/>
    <n v="40"/>
    <n v="81.94"/>
    <n v="3277.6"/>
    <n v="-252.05"/>
    <n v="0"/>
    <n v="393.32158499999997"/>
    <n v="3418.8715849999999"/>
  </r>
  <r>
    <x v="16"/>
    <x v="8"/>
    <x v="3"/>
    <x v="0"/>
    <x v="123"/>
    <s v="KEPL/02202/82-83"/>
    <s v="SHREE BUDDHA ENTERPRISES"/>
    <x v="35"/>
    <n v="2"/>
    <n v="120"/>
    <n v="145.26"/>
    <n v="17431.2"/>
    <n v="-1340.46"/>
    <n v="0"/>
    <n v="2091.796652"/>
    <n v="18182.536651999999"/>
  </r>
  <r>
    <x v="11"/>
    <x v="8"/>
    <x v="3"/>
    <x v="0"/>
    <x v="123"/>
    <s v="KEPL/02203/82-83"/>
    <s v="JENISH STORE"/>
    <x v="36"/>
    <n v="1"/>
    <n v="40"/>
    <n v="81.94"/>
    <n v="3277.6"/>
    <n v="-252.05"/>
    <n v="0"/>
    <n v="393.32139699999999"/>
    <n v="3418.8713969999999"/>
  </r>
  <r>
    <x v="2"/>
    <x v="8"/>
    <x v="3"/>
    <x v="0"/>
    <x v="123"/>
    <s v="KEPL/02203/82-83"/>
    <s v="JENISH STORE"/>
    <x v="3"/>
    <n v="5"/>
    <n v="100"/>
    <n v="186.22"/>
    <n v="18622"/>
    <n v="-1432.03"/>
    <n v="0"/>
    <n v="2234.6955149999999"/>
    <n v="19424.665515000001"/>
  </r>
  <r>
    <x v="11"/>
    <x v="8"/>
    <x v="3"/>
    <x v="0"/>
    <x v="123"/>
    <s v="KEPL/02203/82-83"/>
    <s v="JENISH STORE"/>
    <x v="53"/>
    <n v="1"/>
    <n v="40"/>
    <n v="89.39"/>
    <n v="3575.6"/>
    <n v="-274.95999999999998"/>
    <n v="0"/>
    <n v="429.08308799999998"/>
    <n v="3729.7230880000002"/>
  </r>
  <r>
    <x v="16"/>
    <x v="8"/>
    <x v="3"/>
    <x v="0"/>
    <x v="123"/>
    <s v="KEPL/02204/82-83"/>
    <s v="KRISHMA ENTERPRISES"/>
    <x v="42"/>
    <n v="20"/>
    <n v="600"/>
    <n v="316.58999999999997"/>
    <n v="189954"/>
    <n v="-14607.46"/>
    <n v="0"/>
    <n v="22795.05"/>
    <n v="198141.59"/>
  </r>
  <r>
    <x v="1"/>
    <x v="8"/>
    <x v="3"/>
    <x v="0"/>
    <x v="123"/>
    <s v="KEPL/02231/82-83"/>
    <s v=" THE RED DOOR BAKERS PVT.LTD"/>
    <x v="24"/>
    <n v="35"/>
    <n v="630"/>
    <n v="178.78"/>
    <n v="112631.40000000001"/>
    <n v="-8661.35"/>
    <n v="0"/>
    <n v="13516.11"/>
    <n v="117486.1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38">
  <r>
    <x v="0"/>
    <s v="Q1"/>
    <x v="0"/>
    <x v="0"/>
    <s v="KEPL/02899/81-82"/>
    <s v="SHREE BHOLEY SHANKAR KIRANA STORE"/>
    <x v="0"/>
    <n v="10"/>
    <n v="400"/>
    <n v="111.74"/>
    <n v="44696"/>
    <n v="-3437.12"/>
    <n v="0"/>
    <n v="5363.6500000000005"/>
    <n v="46622.53"/>
  </r>
  <r>
    <x v="0"/>
    <s v="Q1"/>
    <x v="0"/>
    <x v="1"/>
    <s v="KEPL/02900/81-82"/>
    <s v="SHREE BHOLEY SHANKAR KIRANA STORE"/>
    <x v="1"/>
    <n v="1"/>
    <n v="40"/>
    <n v="111.74"/>
    <n v="4469.6000000000004"/>
    <n v="-343.71"/>
    <n v="0"/>
    <n v="536.37"/>
    <n v="4662.26"/>
  </r>
  <r>
    <x v="0"/>
    <s v="Q1"/>
    <x v="0"/>
    <x v="2"/>
    <s v="KEPL/02905/81-82"/>
    <s v="NEW YASHISH TRADERS"/>
    <x v="2"/>
    <n v="30"/>
    <n v="540"/>
    <n v="178.78"/>
    <n v="96541.2"/>
    <n v="-7424.0199999999995"/>
    <n v="0"/>
    <n v="11585.23"/>
    <n v="100702.41"/>
  </r>
  <r>
    <x v="1"/>
    <s v="Q2"/>
    <x v="0"/>
    <x v="3"/>
    <s v="KEPL/03021/81-82"/>
    <s v="MITHASH TRADE CONCERN PVT LTD"/>
    <x v="3"/>
    <n v="3"/>
    <n v="60"/>
    <n v="186.23"/>
    <n v="11173.8"/>
    <n v="-859.2700000000001"/>
    <n v="0"/>
    <n v="1340.888191"/>
    <n v="11655.418191000001"/>
  </r>
  <r>
    <x v="1"/>
    <s v="Q2"/>
    <x v="0"/>
    <x v="3"/>
    <s v="KEPL/03021/81-82"/>
    <s v="MITHASH TRADE CONCERN PVT LTD"/>
    <x v="4"/>
    <n v="1"/>
    <n v="20"/>
    <n v="175.05"/>
    <n v="3500.9999999999995"/>
    <n v="-269.23"/>
    <n v="0"/>
    <n v="420.12987799999996"/>
    <n v="3651.8998780000002"/>
  </r>
  <r>
    <x v="1"/>
    <s v="Q2"/>
    <x v="0"/>
    <x v="3"/>
    <s v="KEPL/03021/81-82"/>
    <s v="MITHASH TRADE CONCERN PVT LTD"/>
    <x v="5"/>
    <n v="1"/>
    <n v="180"/>
    <n v="18.62"/>
    <n v="3351.6"/>
    <n v="-257.74"/>
    <n v="0"/>
    <n v="402.20158699999996"/>
    <n v="3496.0615870000001"/>
  </r>
  <r>
    <x v="1"/>
    <s v="Q2"/>
    <x v="0"/>
    <x v="3"/>
    <s v="KEPL/03021/81-82"/>
    <s v="MITHASH TRADE CONCERN PVT LTD"/>
    <x v="1"/>
    <n v="2"/>
    <n v="80"/>
    <n v="111.74"/>
    <n v="8939.2000000000007"/>
    <n v="-687.42"/>
    <n v="0"/>
    <n v="1072.730832"/>
    <n v="9324.5108319999999"/>
  </r>
  <r>
    <x v="1"/>
    <s v="Q2"/>
    <x v="0"/>
    <x v="3"/>
    <s v="KEPL/03021/81-82"/>
    <s v="MITHASH TRADE CONCERN PVT LTD"/>
    <x v="6"/>
    <n v="0.4"/>
    <n v="16"/>
    <n v="111.74"/>
    <n v="1787.84"/>
    <n v="-137.47999999999999"/>
    <n v="0"/>
    <n v="214.54668599999999"/>
    <n v="1864.906686"/>
  </r>
  <r>
    <x v="1"/>
    <s v="Q2"/>
    <x v="0"/>
    <x v="3"/>
    <s v="KEPL/03021/81-82"/>
    <s v="MITHASH TRADE CONCERN PVT LTD"/>
    <x v="7"/>
    <n v="2"/>
    <n v="84"/>
    <n v="74.489999999999995"/>
    <n v="6257.16"/>
    <n v="-481.18"/>
    <n v="0"/>
    <n v="750.87700300000006"/>
    <n v="6526.8570030000001"/>
  </r>
  <r>
    <x v="1"/>
    <s v="Q2"/>
    <x v="0"/>
    <x v="3"/>
    <s v="KEPL/03021/81-82"/>
    <s v="MITHASH TRADE CONCERN PVT LTD"/>
    <x v="8"/>
    <n v="2"/>
    <n v="84"/>
    <n v="74.489999999999995"/>
    <n v="6257.16"/>
    <n v="-481.18"/>
    <n v="0"/>
    <n v="750.87700300000006"/>
    <n v="6526.8570030000001"/>
  </r>
  <r>
    <x v="1"/>
    <s v="Q2"/>
    <x v="0"/>
    <x v="3"/>
    <s v="KEPL/03021/81-82"/>
    <s v="MITHASH TRADE CONCERN PVT LTD"/>
    <x v="9"/>
    <n v="1"/>
    <n v="20"/>
    <n v="175.05"/>
    <n v="3500.9999999999995"/>
    <n v="-269.23"/>
    <n v="0"/>
    <n v="420.12987799999996"/>
    <n v="3651.8998780000002"/>
  </r>
  <r>
    <x v="1"/>
    <s v="Q2"/>
    <x v="0"/>
    <x v="3"/>
    <s v="KEPL/03021/81-82"/>
    <s v="MITHASH TRADE CONCERN PVT LTD"/>
    <x v="10"/>
    <n v="2"/>
    <n v="84"/>
    <n v="74.489999999999995"/>
    <n v="6257.16"/>
    <n v="-481.18"/>
    <n v="0"/>
    <n v="750.87700300000006"/>
    <n v="6526.8570030000001"/>
  </r>
  <r>
    <x v="1"/>
    <s v="Q2"/>
    <x v="0"/>
    <x v="3"/>
    <s v="KEPL/03021/81-82"/>
    <s v="MITHASH TRADE CONCERN PVT LTD"/>
    <x v="11"/>
    <n v="1"/>
    <n v="20"/>
    <n v="204.85"/>
    <n v="4097"/>
    <n v="-315.06"/>
    <n v="0"/>
    <n v="491.65193999999997"/>
    <n v="4273.5919400000002"/>
  </r>
  <r>
    <x v="1"/>
    <s v="Q2"/>
    <x v="0"/>
    <x v="3"/>
    <s v="KEPL/03022/81-82"/>
    <s v="ABIRAL SUPPLIERS AND TRADERS"/>
    <x v="12"/>
    <n v="1"/>
    <n v="130"/>
    <n v="33.520000000000003"/>
    <n v="4357.6000000000004"/>
    <n v="-335.1"/>
    <n v="0"/>
    <n v="522.92513099999996"/>
    <n v="4545.425131"/>
  </r>
  <r>
    <x v="1"/>
    <s v="Q2"/>
    <x v="0"/>
    <x v="3"/>
    <s v="KEPL/03022/81-82"/>
    <s v="ABIRAL SUPPLIERS AND TRADERS"/>
    <x v="9"/>
    <n v="1"/>
    <n v="20"/>
    <n v="175.05"/>
    <n v="3500.9999999999995"/>
    <n v="-269.23"/>
    <n v="0"/>
    <n v="420.13020499999999"/>
    <n v="3651.9002049999999"/>
  </r>
  <r>
    <x v="1"/>
    <s v="Q2"/>
    <x v="0"/>
    <x v="3"/>
    <s v="KEPL/03022/81-82"/>
    <s v="ABIRAL SUPPLIERS AND TRADERS"/>
    <x v="13"/>
    <n v="1"/>
    <n v="24"/>
    <n v="141.53"/>
    <n v="3396.72"/>
    <n v="-261.20999999999998"/>
    <n v="0"/>
    <n v="407.61640199999999"/>
    <n v="3543.1264019999999"/>
  </r>
  <r>
    <x v="1"/>
    <s v="Q2"/>
    <x v="0"/>
    <x v="3"/>
    <s v="KEPL/03022/81-82"/>
    <s v="ABIRAL SUPPLIERS AND TRADERS"/>
    <x v="14"/>
    <n v="1"/>
    <n v="24"/>
    <n v="186.23"/>
    <n v="4469.5200000000004"/>
    <n v="-343.71"/>
    <n v="0"/>
    <n v="536.35543400000006"/>
    <n v="4662.1654339999995"/>
  </r>
  <r>
    <x v="1"/>
    <s v="Q2"/>
    <x v="0"/>
    <x v="3"/>
    <s v="KEPL/03022/81-82"/>
    <s v="ABIRAL SUPPLIERS AND TRADERS"/>
    <x v="5"/>
    <n v="2"/>
    <n v="360"/>
    <n v="18.62"/>
    <n v="6703.2"/>
    <n v="-515.48"/>
    <n v="0"/>
    <n v="804.40380099999993"/>
    <n v="6992.1238009999997"/>
  </r>
  <r>
    <x v="1"/>
    <s v="Q2"/>
    <x v="0"/>
    <x v="3"/>
    <s v="KEPL/03022/81-82"/>
    <s v="ABIRAL SUPPLIERS AND TRADERS"/>
    <x v="15"/>
    <n v="1"/>
    <n v="20"/>
    <n v="175.05"/>
    <n v="3500.9999999999995"/>
    <n v="-269.23"/>
    <n v="0"/>
    <n v="420.13020499999999"/>
    <n v="3651.9002049999999"/>
  </r>
  <r>
    <x v="1"/>
    <s v="Q2"/>
    <x v="0"/>
    <x v="3"/>
    <s v="KEPL/03022/81-82"/>
    <s v="ABIRAL SUPPLIERS AND TRADERS"/>
    <x v="3"/>
    <n v="5"/>
    <n v="100"/>
    <n v="186.23"/>
    <n v="18623"/>
    <n v="-1432.1100000000001"/>
    <n v="0"/>
    <n v="2234.8162580000003"/>
    <n v="19425.706257999998"/>
  </r>
  <r>
    <x v="1"/>
    <s v="Q2"/>
    <x v="0"/>
    <x v="3"/>
    <s v="KEPL/03022/81-82"/>
    <s v="ABIRAL SUPPLIERS AND TRADERS"/>
    <x v="7"/>
    <n v="5"/>
    <n v="210"/>
    <n v="74.489999999999995"/>
    <n v="15642.9"/>
    <n v="-1202.94"/>
    <n v="0"/>
    <n v="1877.1952689999998"/>
    <n v="16317.155269000001"/>
  </r>
  <r>
    <x v="1"/>
    <s v="Q2"/>
    <x v="0"/>
    <x v="3"/>
    <s v="KEPL/03022/81-82"/>
    <s v="ABIRAL SUPPLIERS AND TRADERS"/>
    <x v="11"/>
    <n v="1"/>
    <n v="20"/>
    <n v="204.85"/>
    <n v="4097"/>
    <n v="-315.06"/>
    <n v="0"/>
    <n v="491.65232299999997"/>
    <n v="4273.5923229999999"/>
  </r>
  <r>
    <x v="1"/>
    <s v="Q2"/>
    <x v="0"/>
    <x v="3"/>
    <s v="KEPL/03022/81-82"/>
    <s v="ABIRAL SUPPLIERS AND TRADERS"/>
    <x v="4"/>
    <n v="1"/>
    <n v="20"/>
    <n v="175.05"/>
    <n v="3500.9999999999995"/>
    <n v="-269.23"/>
    <n v="0"/>
    <n v="420.13020499999999"/>
    <n v="3651.9002049999999"/>
  </r>
  <r>
    <x v="1"/>
    <s v="Q2"/>
    <x v="0"/>
    <x v="3"/>
    <s v="KEPL/03022/81-82"/>
    <s v="ABIRAL SUPPLIERS AND TRADERS"/>
    <x v="16"/>
    <n v="1"/>
    <n v="20"/>
    <n v="204.85"/>
    <n v="4097"/>
    <n v="-315.06"/>
    <n v="0"/>
    <n v="491.65232299999997"/>
    <n v="4273.5923229999999"/>
  </r>
  <r>
    <x v="1"/>
    <s v="Q2"/>
    <x v="0"/>
    <x v="3"/>
    <s v="KEPL/03022/81-82"/>
    <s v="ABIRAL SUPPLIERS AND TRADERS"/>
    <x v="1"/>
    <n v="2"/>
    <n v="80"/>
    <n v="111.74"/>
    <n v="8939.2000000000007"/>
    <n v="-687.42"/>
    <n v="0"/>
    <n v="1072.7316680000001"/>
    <n v="9324.5116679999992"/>
  </r>
  <r>
    <x v="1"/>
    <s v="Q2"/>
    <x v="0"/>
    <x v="3"/>
    <s v="KEPL/03022/81-82"/>
    <s v="ABIRAL SUPPLIERS AND TRADERS"/>
    <x v="17"/>
    <n v="1"/>
    <n v="20"/>
    <n v="201.13"/>
    <n v="4022.6"/>
    <n v="-309.33999999999997"/>
    <n v="0"/>
    <n v="482.72392100000002"/>
    <n v="4195.983921"/>
  </r>
  <r>
    <x v="1"/>
    <s v="Q2"/>
    <x v="0"/>
    <x v="3"/>
    <s v="KEPL/03022/81-82"/>
    <s v="ABIRAL SUPPLIERS AND TRADERS"/>
    <x v="18"/>
    <n v="2"/>
    <n v="30"/>
    <n v="260.72000000000003"/>
    <n v="7821.6"/>
    <n v="-601.48"/>
    <n v="0"/>
    <n v="938.61583400000006"/>
    <n v="8158.7358340000001"/>
  </r>
  <r>
    <x v="1"/>
    <s v="Q2"/>
    <x v="0"/>
    <x v="3"/>
    <s v="KEPL/03022/81-82"/>
    <s v="ABIRAL SUPPLIERS AND TRADERS"/>
    <x v="8"/>
    <n v="5"/>
    <n v="210"/>
    <n v="74.489999999999995"/>
    <n v="15642.9"/>
    <n v="-1202.94"/>
    <n v="0"/>
    <n v="1877.1952689999998"/>
    <n v="16317.155269000001"/>
  </r>
  <r>
    <x v="1"/>
    <s v="Q2"/>
    <x v="0"/>
    <x v="3"/>
    <s v="KEPL/03022/81-82"/>
    <s v="ABIRAL SUPPLIERS AND TRADERS"/>
    <x v="10"/>
    <n v="5"/>
    <n v="210"/>
    <n v="74.489999999999995"/>
    <n v="15642.9"/>
    <n v="-1202.94"/>
    <n v="0"/>
    <n v="1877.1952689999998"/>
    <n v="16317.155269000001"/>
  </r>
  <r>
    <x v="1"/>
    <s v="Q2"/>
    <x v="0"/>
    <x v="3"/>
    <s v="KEPL/03022/81-82"/>
    <s v="ABIRAL SUPPLIERS AND TRADERS"/>
    <x v="19"/>
    <n v="1"/>
    <n v="40"/>
    <n v="81.94"/>
    <n v="3277.6"/>
    <n v="-252.05"/>
    <n v="0"/>
    <n v="393.32159799999999"/>
    <n v="3418.8715980000002"/>
  </r>
  <r>
    <x v="1"/>
    <s v="Q2"/>
    <x v="0"/>
    <x v="3"/>
    <s v="KEPL/03022/81-82"/>
    <s v="ABIRAL SUPPLIERS AND TRADERS"/>
    <x v="20"/>
    <n v="1"/>
    <n v="1600"/>
    <n v="1.79"/>
    <n v="2864"/>
    <n v="-220.24"/>
    <n v="0"/>
    <n v="343.68888599999997"/>
    <n v="2987.4488860000001"/>
  </r>
  <r>
    <x v="1"/>
    <s v="Q2"/>
    <x v="0"/>
    <x v="4"/>
    <s v="KEPL/03028/81-82"/>
    <s v="SHREE BHOLEY SHANKAR KIRANA STORE"/>
    <x v="13"/>
    <n v="2"/>
    <n v="48"/>
    <n v="141.53"/>
    <n v="6793.44"/>
    <n v="-522.41999999999996"/>
    <n v="0"/>
    <n v="815.23"/>
    <n v="7086.25"/>
  </r>
  <r>
    <x v="1"/>
    <s v="Q2"/>
    <x v="0"/>
    <x v="5"/>
    <s v="KEPL/03036/81-82"/>
    <s v="SHREE EXIM"/>
    <x v="8"/>
    <n v="10"/>
    <n v="420"/>
    <n v="74.489999999999995"/>
    <n v="31285.8"/>
    <n v="-2405.88"/>
    <n v="0"/>
    <n v="3754.3893630000002"/>
    <n v="32634.309363"/>
  </r>
  <r>
    <x v="1"/>
    <s v="Q2"/>
    <x v="0"/>
    <x v="5"/>
    <s v="KEPL/03036/81-82"/>
    <s v="SHREE EXIM"/>
    <x v="4"/>
    <n v="2"/>
    <n v="40"/>
    <n v="175.05"/>
    <n v="7001.9999999999991"/>
    <n v="-538.45000000000005"/>
    <n v="0"/>
    <n v="840.26144700000009"/>
    <n v="7303.811447"/>
  </r>
  <r>
    <x v="1"/>
    <s v="Q2"/>
    <x v="0"/>
    <x v="5"/>
    <s v="KEPL/03036/81-82"/>
    <s v="SHREE EXIM"/>
    <x v="1"/>
    <n v="3"/>
    <n v="120"/>
    <n v="111.74"/>
    <n v="13408.8"/>
    <n v="-1031.1400000000001"/>
    <n v="0"/>
    <n v="1609.0956980000001"/>
    <n v="13986.755698000001"/>
  </r>
  <r>
    <x v="1"/>
    <s v="Q2"/>
    <x v="0"/>
    <x v="5"/>
    <s v="KEPL/03036/81-82"/>
    <s v="SHREE EXIM"/>
    <x v="12"/>
    <n v="2"/>
    <n v="260"/>
    <n v="33.520000000000003"/>
    <n v="8715.2000000000007"/>
    <n v="-670.2"/>
    <n v="0"/>
    <n v="1045.8499339999998"/>
    <n v="9090.8499339999998"/>
  </r>
  <r>
    <x v="1"/>
    <s v="Q2"/>
    <x v="0"/>
    <x v="5"/>
    <s v="KEPL/03036/81-82"/>
    <s v="SHREE EXIM"/>
    <x v="21"/>
    <n v="1"/>
    <n v="240"/>
    <n v="18.62"/>
    <n v="4468.8"/>
    <n v="-343.65"/>
    <n v="0"/>
    <n v="536.26946600000008"/>
    <n v="4661.4194660000003"/>
  </r>
  <r>
    <x v="1"/>
    <s v="Q2"/>
    <x v="0"/>
    <x v="5"/>
    <s v="KEPL/03036/81-82"/>
    <s v="SHREE EXIM"/>
    <x v="20"/>
    <n v="1"/>
    <n v="1600"/>
    <n v="1.79"/>
    <n v="2864"/>
    <n v="-220.24"/>
    <n v="0"/>
    <n v="343.68877800000001"/>
    <n v="2987.4487779999999"/>
  </r>
  <r>
    <x v="1"/>
    <s v="Q2"/>
    <x v="0"/>
    <x v="5"/>
    <s v="KEPL/03036/81-82"/>
    <s v="SHREE EXIM"/>
    <x v="7"/>
    <n v="10"/>
    <n v="420"/>
    <n v="74.489999999999995"/>
    <n v="31285.8"/>
    <n v="-2405.88"/>
    <n v="0"/>
    <n v="3754.3893630000002"/>
    <n v="32634.309363"/>
  </r>
  <r>
    <x v="1"/>
    <s v="Q2"/>
    <x v="0"/>
    <x v="5"/>
    <s v="KEPL/03036/81-82"/>
    <s v="SHREE EXIM"/>
    <x v="22"/>
    <n v="1"/>
    <n v="24"/>
    <n v="204.85"/>
    <n v="4916.4000000000005"/>
    <n v="-378.07"/>
    <n v="0"/>
    <n v="589.98286299999995"/>
    <n v="5128.3128630000001"/>
  </r>
  <r>
    <x v="1"/>
    <s v="Q2"/>
    <x v="0"/>
    <x v="5"/>
    <s v="KEPL/03036/81-82"/>
    <s v="SHREE EXIM"/>
    <x v="18"/>
    <n v="2"/>
    <n v="30"/>
    <n v="260.72000000000003"/>
    <n v="7821.6"/>
    <n v="-601.48"/>
    <n v="0"/>
    <n v="938.61554100000001"/>
    <n v="8158.735541"/>
  </r>
  <r>
    <x v="1"/>
    <s v="Q2"/>
    <x v="0"/>
    <x v="5"/>
    <s v="KEPL/03036/81-82"/>
    <s v="SHREE EXIM"/>
    <x v="9"/>
    <n v="2"/>
    <n v="40"/>
    <n v="175.05"/>
    <n v="7001.9999999999991"/>
    <n v="-538.45000000000005"/>
    <n v="0"/>
    <n v="840.26144700000009"/>
    <n v="7303.811447"/>
  </r>
  <r>
    <x v="1"/>
    <s v="Q2"/>
    <x v="0"/>
    <x v="5"/>
    <s v="KEPL/03036/81-82"/>
    <s v="SHREE EXIM"/>
    <x v="15"/>
    <n v="2"/>
    <n v="40"/>
    <n v="175.05"/>
    <n v="7001.9999999999991"/>
    <n v="-538.45000000000005"/>
    <n v="0"/>
    <n v="840.26144700000009"/>
    <n v="7303.811447"/>
  </r>
  <r>
    <x v="1"/>
    <s v="Q2"/>
    <x v="0"/>
    <x v="5"/>
    <s v="KEPL/03036/81-82"/>
    <s v="SHREE EXIM"/>
    <x v="16"/>
    <n v="1"/>
    <n v="20"/>
    <n v="204.85"/>
    <n v="4097"/>
    <n v="-315.06"/>
    <n v="0"/>
    <n v="491.65216900000001"/>
    <n v="4273.5921689999996"/>
  </r>
  <r>
    <x v="1"/>
    <s v="Q2"/>
    <x v="0"/>
    <x v="5"/>
    <s v="KEPL/03036/81-82"/>
    <s v="SHREE EXIM"/>
    <x v="5"/>
    <n v="3"/>
    <n v="540"/>
    <n v="18.62"/>
    <n v="10054.799999999999"/>
    <n v="-773.20999999999992"/>
    <n v="0"/>
    <n v="1206.6066239999998"/>
    <n v="10488.196624"/>
  </r>
  <r>
    <x v="1"/>
    <s v="Q2"/>
    <x v="0"/>
    <x v="5"/>
    <s v="KEPL/03036/81-82"/>
    <s v="SHREE EXIM"/>
    <x v="10"/>
    <n v="10"/>
    <n v="420"/>
    <n v="74.489999999999995"/>
    <n v="31285.8"/>
    <n v="-2405.88"/>
    <n v="0"/>
    <n v="3754.3893630000002"/>
    <n v="32634.309363"/>
  </r>
  <r>
    <x v="1"/>
    <s v="Q2"/>
    <x v="0"/>
    <x v="5"/>
    <s v="KEPL/03036/81-82"/>
    <s v="SHREE EXIM"/>
    <x v="23"/>
    <n v="1"/>
    <n v="600"/>
    <n v="7.45"/>
    <n v="4470"/>
    <n v="-343.74"/>
    <n v="0"/>
    <n v="536.41376600000001"/>
    <n v="4662.6737659999999"/>
  </r>
  <r>
    <x v="1"/>
    <s v="Q2"/>
    <x v="0"/>
    <x v="5"/>
    <s v="KEPL/03036/81-82"/>
    <s v="SHREE EXIM"/>
    <x v="0"/>
    <n v="3"/>
    <n v="120"/>
    <n v="111.74"/>
    <n v="13408.8"/>
    <n v="-1031.1400000000001"/>
    <n v="0"/>
    <n v="1609.0956980000001"/>
    <n v="13986.755698000001"/>
  </r>
  <r>
    <x v="1"/>
    <s v="Q2"/>
    <x v="0"/>
    <x v="5"/>
    <s v="KEPL/03036/81-82"/>
    <s v="SHREE EXIM"/>
    <x v="3"/>
    <n v="5"/>
    <n v="100"/>
    <n v="186.23"/>
    <n v="18623"/>
    <n v="-1432.1100000000001"/>
    <n v="0"/>
    <n v="2234.8155590000001"/>
    <n v="19425.705559000002"/>
  </r>
  <r>
    <x v="1"/>
    <s v="Q2"/>
    <x v="0"/>
    <x v="5"/>
    <s v="KEPL/03036/81-82"/>
    <s v="SHREE EXIM"/>
    <x v="19"/>
    <n v="1"/>
    <n v="40"/>
    <n v="81.94"/>
    <n v="3277.6"/>
    <n v="-252.05"/>
    <n v="0"/>
    <n v="393.32147499999996"/>
    <n v="3418.8714749999999"/>
  </r>
  <r>
    <x v="1"/>
    <s v="Q2"/>
    <x v="0"/>
    <x v="6"/>
    <s v="KEPL/00004/82-83"/>
    <s v="NILLONS L&amp;D"/>
    <x v="9"/>
    <n v="0.05"/>
    <n v="1"/>
    <n v="175.05"/>
    <n v="175.05"/>
    <n v="-13.46"/>
    <n v="0"/>
    <n v="21.01"/>
    <n v="182.6"/>
  </r>
  <r>
    <x v="1"/>
    <s v="Q2"/>
    <x v="0"/>
    <x v="7"/>
    <s v="KEPL/00029/82-83"/>
    <s v="SHREE EXIM"/>
    <x v="9"/>
    <n v="8.9"/>
    <n v="178"/>
    <n v="175.05"/>
    <n v="31158.9"/>
    <n v="-2396.1200000000003"/>
    <n v="0"/>
    <n v="3739.1600000000003"/>
    <n v="32501.94"/>
  </r>
  <r>
    <x v="1"/>
    <s v="Q2"/>
    <x v="0"/>
    <x v="8"/>
    <s v="KEPL/00045/82-83"/>
    <s v="NILLONS L&amp;D"/>
    <x v="7"/>
    <n v="7.0000000000000007E-2"/>
    <n v="3"/>
    <n v="74.489999999999995"/>
    <n v="223.47"/>
    <n v="-17.18"/>
    <n v="0"/>
    <n v="26.816666999999999"/>
    <n v="233.10666699999999"/>
  </r>
  <r>
    <x v="1"/>
    <s v="Q2"/>
    <x v="0"/>
    <x v="8"/>
    <s v="KEPL/00045/82-83"/>
    <s v="NILLONS L&amp;D"/>
    <x v="10"/>
    <n v="7.0000000000000007E-2"/>
    <n v="3"/>
    <n v="74.489999999999995"/>
    <n v="223.47"/>
    <n v="-17.18"/>
    <n v="0"/>
    <n v="26.816666999999999"/>
    <n v="233.10666699999999"/>
  </r>
  <r>
    <x v="1"/>
    <s v="Q2"/>
    <x v="0"/>
    <x v="8"/>
    <s v="KEPL/00045/82-83"/>
    <s v="NILLONS L&amp;D"/>
    <x v="8"/>
    <n v="7.0000000000000007E-2"/>
    <n v="3"/>
    <n v="74.489999999999995"/>
    <n v="223.47"/>
    <n v="-17.18"/>
    <n v="0"/>
    <n v="26.816666999999999"/>
    <n v="233.10666699999999"/>
  </r>
  <r>
    <x v="2"/>
    <s v="Q2"/>
    <x v="0"/>
    <x v="9"/>
    <s v="KEPL/00179/82-83"/>
    <s v="NEW YASHISH TRADERS"/>
    <x v="24"/>
    <n v="100"/>
    <n v="1800"/>
    <n v="178.78"/>
    <n v="321804"/>
    <n v="-24746.73"/>
    <n v="0"/>
    <n v="38617.4421"/>
    <n v="335674.7121"/>
  </r>
  <r>
    <x v="2"/>
    <s v="Q2"/>
    <x v="0"/>
    <x v="9"/>
    <s v="KEPL/00179/82-83"/>
    <s v="NEW YASHISH TRADERS"/>
    <x v="2"/>
    <n v="5"/>
    <n v="90"/>
    <n v="178.78"/>
    <n v="16090.2"/>
    <n v="-1237.3400000000001"/>
    <n v="0"/>
    <n v="1930.87165"/>
    <n v="16783.731650000002"/>
  </r>
  <r>
    <x v="2"/>
    <s v="Q2"/>
    <x v="0"/>
    <x v="9"/>
    <s v="KEPL/00179/82-83"/>
    <s v="NEW YASHISH TRADERS"/>
    <x v="25"/>
    <n v="5"/>
    <n v="90"/>
    <n v="178.78"/>
    <n v="16090.2"/>
    <n v="-1237.3400000000001"/>
    <n v="0"/>
    <n v="1930.87165"/>
    <n v="16783.731650000002"/>
  </r>
  <r>
    <x v="2"/>
    <s v="Q2"/>
    <x v="0"/>
    <x v="9"/>
    <s v="KEPL/00179/82-83"/>
    <s v="NEW YASHISH TRADERS"/>
    <x v="26"/>
    <n v="10"/>
    <n v="180"/>
    <n v="178.78"/>
    <n v="32180.400000000001"/>
    <n v="-2474.6699999999996"/>
    <n v="0"/>
    <n v="3861.7446"/>
    <n v="33567.474600000001"/>
  </r>
  <r>
    <x v="2"/>
    <s v="Q2"/>
    <x v="0"/>
    <x v="9"/>
    <s v="KEPL/00180/82-83"/>
    <s v="AAFNAI PASAL PVT.LTD"/>
    <x v="27"/>
    <n v="1"/>
    <n v="70"/>
    <n v="32.78"/>
    <n v="2294.6"/>
    <n v="-176.45"/>
    <n v="0"/>
    <n v="275.35973899999999"/>
    <n v="2393.5097390000001"/>
  </r>
  <r>
    <x v="2"/>
    <s v="Q2"/>
    <x v="0"/>
    <x v="9"/>
    <s v="KEPL/00180/82-83"/>
    <s v="AAFNAI PASAL PVT.LTD"/>
    <x v="28"/>
    <n v="1"/>
    <n v="20"/>
    <n v="204.85"/>
    <n v="4097"/>
    <n v="-315.06"/>
    <n v="0"/>
    <n v="491.65262799999999"/>
    <n v="4273.5926280000003"/>
  </r>
  <r>
    <x v="2"/>
    <s v="Q2"/>
    <x v="0"/>
    <x v="9"/>
    <s v="KEPL/00180/82-83"/>
    <s v="AAFNAI PASAL PVT.LTD"/>
    <x v="29"/>
    <n v="1"/>
    <n v="20"/>
    <n v="204.85"/>
    <n v="4097"/>
    <n v="-315.06"/>
    <n v="0"/>
    <n v="491.65262799999999"/>
    <n v="4273.5926280000003"/>
  </r>
  <r>
    <x v="2"/>
    <s v="Q2"/>
    <x v="0"/>
    <x v="9"/>
    <s v="KEPL/00180/82-83"/>
    <s v="AAFNAI PASAL PVT.LTD"/>
    <x v="30"/>
    <n v="1"/>
    <n v="20"/>
    <n v="242.1"/>
    <n v="4841.9999999999991"/>
    <n v="-372.35"/>
    <n v="0"/>
    <n v="581.05500500000005"/>
    <n v="5050.7050049999998"/>
  </r>
  <r>
    <x v="2"/>
    <s v="Q2"/>
    <x v="0"/>
    <x v="9"/>
    <s v="KEPL/00181/82-83"/>
    <s v="SHUBHASHREE MARKETING"/>
    <x v="5"/>
    <n v="1"/>
    <n v="180"/>
    <n v="18.62"/>
    <n v="3351.6"/>
    <n v="-257.74"/>
    <n v="0"/>
    <n v="402.20184800000004"/>
    <n v="3496.0618479999998"/>
  </r>
  <r>
    <x v="2"/>
    <s v="Q2"/>
    <x v="0"/>
    <x v="9"/>
    <s v="KEPL/00181/82-83"/>
    <s v="SHUBHASHREE MARKETING"/>
    <x v="31"/>
    <n v="1"/>
    <n v="60"/>
    <n v="111.74"/>
    <n v="6704.4"/>
    <n v="-515.57000000000005"/>
    <n v="0"/>
    <n v="804.54799600000001"/>
    <n v="6993.3779960000002"/>
  </r>
  <r>
    <x v="2"/>
    <s v="Q2"/>
    <x v="0"/>
    <x v="9"/>
    <s v="KEPL/00181/82-83"/>
    <s v="SHUBHASHREE MARKETING"/>
    <x v="32"/>
    <n v="1"/>
    <n v="60"/>
    <n v="111.74"/>
    <n v="6704.4"/>
    <n v="-515.57000000000005"/>
    <n v="0"/>
    <n v="804.54799600000001"/>
    <n v="6993.3779960000002"/>
  </r>
  <r>
    <x v="2"/>
    <s v="Q2"/>
    <x v="0"/>
    <x v="9"/>
    <s v="KEPL/00181/82-83"/>
    <s v="SHUBHASHREE MARKETING"/>
    <x v="33"/>
    <n v="2"/>
    <n v="80"/>
    <n v="67.040000000000006"/>
    <n v="5363.2"/>
    <n v="-412.43"/>
    <n v="0"/>
    <n v="643.60017600000003"/>
    <n v="5594.3701760000004"/>
  </r>
  <r>
    <x v="2"/>
    <s v="Q2"/>
    <x v="0"/>
    <x v="9"/>
    <s v="KEPL/00181/82-83"/>
    <s v="SHUBHASHREE MARKETING"/>
    <x v="34"/>
    <n v="2"/>
    <n v="80"/>
    <n v="67.040000000000006"/>
    <n v="5363.2"/>
    <n v="-412.43"/>
    <n v="0"/>
    <n v="643.60017600000003"/>
    <n v="5594.3701760000004"/>
  </r>
  <r>
    <x v="2"/>
    <s v="Q2"/>
    <x v="0"/>
    <x v="9"/>
    <s v="KEPL/00181/82-83"/>
    <s v="SHUBHASHREE MARKETING"/>
    <x v="35"/>
    <n v="1"/>
    <n v="60"/>
    <n v="145.26"/>
    <n v="8715.6"/>
    <n v="-670.23"/>
    <n v="0"/>
    <n v="1045.898224"/>
    <n v="9091.2682239999995"/>
  </r>
  <r>
    <x v="2"/>
    <s v="Q2"/>
    <x v="0"/>
    <x v="9"/>
    <s v="KEPL/00181/82-83"/>
    <s v="SHUBHASHREE MARKETING"/>
    <x v="8"/>
    <n v="2"/>
    <n v="84"/>
    <n v="74.489999999999995"/>
    <n v="6257.16"/>
    <n v="-481.18"/>
    <n v="0"/>
    <n v="750.87748899999997"/>
    <n v="6526.857489"/>
  </r>
  <r>
    <x v="2"/>
    <s v="Q2"/>
    <x v="0"/>
    <x v="9"/>
    <s v="KEPL/00181/82-83"/>
    <s v="SHUBHASHREE MARKETING"/>
    <x v="0"/>
    <n v="1"/>
    <n v="40"/>
    <n v="111.74"/>
    <n v="4469.6000000000004"/>
    <n v="-343.71"/>
    <n v="0"/>
    <n v="536.36576400000001"/>
    <n v="4662.2557640000005"/>
  </r>
  <r>
    <x v="2"/>
    <s v="Q2"/>
    <x v="0"/>
    <x v="9"/>
    <s v="KEPL/00181/82-83"/>
    <s v="SHUBHASHREE MARKETING"/>
    <x v="15"/>
    <n v="1"/>
    <n v="20"/>
    <n v="175.05"/>
    <n v="3500.9999999999995"/>
    <n v="-269.23"/>
    <n v="0"/>
    <n v="420.13014999999996"/>
    <n v="3651.9001499999999"/>
  </r>
  <r>
    <x v="2"/>
    <s v="Q2"/>
    <x v="0"/>
    <x v="9"/>
    <s v="KEPL/00181/82-83"/>
    <s v="SHUBHASHREE MARKETING"/>
    <x v="36"/>
    <n v="2"/>
    <n v="80"/>
    <n v="81.94"/>
    <n v="6555.2"/>
    <n v="-504.09"/>
    <n v="0"/>
    <n v="786.64439300000004"/>
    <n v="6837.7543930000002"/>
  </r>
  <r>
    <x v="2"/>
    <s v="Q2"/>
    <x v="0"/>
    <x v="9"/>
    <s v="KEPL/00181/82-83"/>
    <s v="SHUBHASHREE MARKETING"/>
    <x v="17"/>
    <n v="1"/>
    <n v="20"/>
    <n v="201.13"/>
    <n v="4022.6"/>
    <n v="-309.33999999999997"/>
    <n v="0"/>
    <n v="482.72385700000001"/>
    <n v="4195.9838570000002"/>
  </r>
  <r>
    <x v="2"/>
    <s v="Q2"/>
    <x v="0"/>
    <x v="9"/>
    <s v="KEPL/00181/82-83"/>
    <s v="SHUBHASHREE MARKETING"/>
    <x v="37"/>
    <n v="1"/>
    <n v="40"/>
    <n v="81.94"/>
    <n v="3277.6"/>
    <n v="-252.05"/>
    <n v="0"/>
    <n v="393.32154700000001"/>
    <n v="3418.8715470000002"/>
  </r>
  <r>
    <x v="2"/>
    <s v="Q2"/>
    <x v="0"/>
    <x v="9"/>
    <s v="KEPL/00181/82-83"/>
    <s v="SHUBHASHREE MARKETING"/>
    <x v="38"/>
    <n v="2"/>
    <n v="48"/>
    <n v="186.23"/>
    <n v="8939.0400000000009"/>
    <n v="-687.41"/>
    <n v="0"/>
    <n v="1072.712027"/>
    <n v="9324.3420270000006"/>
  </r>
  <r>
    <x v="2"/>
    <s v="Q2"/>
    <x v="0"/>
    <x v="9"/>
    <s v="KEPL/00181/82-83"/>
    <s v="SHUBHASHREE MARKETING"/>
    <x v="12"/>
    <n v="2"/>
    <n v="260"/>
    <n v="33.520000000000003"/>
    <n v="8715.2000000000007"/>
    <n v="-670.2"/>
    <n v="0"/>
    <n v="1045.8501240000001"/>
    <n v="9090.8501240000005"/>
  </r>
  <r>
    <x v="2"/>
    <s v="Q2"/>
    <x v="0"/>
    <x v="9"/>
    <s v="KEPL/00181/82-83"/>
    <s v="SHUBHASHREE MARKETING"/>
    <x v="39"/>
    <n v="5"/>
    <n v="100"/>
    <n v="249.55"/>
    <n v="24955"/>
    <n v="-1919.04"/>
    <n v="0"/>
    <n v="2994.6751559999998"/>
    <n v="26030.635156"/>
  </r>
  <r>
    <x v="2"/>
    <s v="Q2"/>
    <x v="0"/>
    <x v="9"/>
    <s v="KEPL/00181/82-83"/>
    <s v="SHUBHASHREE MARKETING"/>
    <x v="40"/>
    <n v="1"/>
    <n v="600"/>
    <n v="7.46"/>
    <n v="4476"/>
    <n v="-344.2"/>
    <n v="0"/>
    <n v="537.13406399999997"/>
    <n v="4668.934064"/>
  </r>
  <r>
    <x v="2"/>
    <s v="Q2"/>
    <x v="0"/>
    <x v="9"/>
    <s v="KEPL/00181/82-83"/>
    <s v="SHUBHASHREE MARKETING"/>
    <x v="41"/>
    <n v="2"/>
    <n v="80"/>
    <n v="67.040000000000006"/>
    <n v="5363.2"/>
    <n v="-412.43"/>
    <n v="0"/>
    <n v="643.60017600000003"/>
    <n v="5594.3701760000004"/>
  </r>
  <r>
    <x v="2"/>
    <s v="Q2"/>
    <x v="0"/>
    <x v="9"/>
    <s v="KEPL/00181/82-83"/>
    <s v="SHUBHASHREE MARKETING"/>
    <x v="42"/>
    <n v="4"/>
    <n v="120"/>
    <n v="316.58999999999997"/>
    <n v="37990.799999999996"/>
    <n v="-2921.4900000000002"/>
    <n v="0"/>
    <n v="4559.0108410000003"/>
    <n v="39628.320841000001"/>
  </r>
  <r>
    <x v="2"/>
    <s v="Q2"/>
    <x v="0"/>
    <x v="9"/>
    <s v="KEPL/00181/82-83"/>
    <s v="SHUBHASHREE MARKETING"/>
    <x v="43"/>
    <n v="1"/>
    <n v="60"/>
    <n v="111.74"/>
    <n v="6704.4"/>
    <n v="-515.57000000000005"/>
    <n v="0"/>
    <n v="804.54799600000001"/>
    <n v="6993.3779960000002"/>
  </r>
  <r>
    <x v="2"/>
    <s v="Q2"/>
    <x v="0"/>
    <x v="9"/>
    <s v="KEPL/00182/82-83"/>
    <s v="SHUBHASHREE MARKETING"/>
    <x v="44"/>
    <n v="2"/>
    <n v="48"/>
    <n v="186.23"/>
    <n v="8939.0400000000009"/>
    <n v="-687.41"/>
    <n v="0"/>
    <n v="1072.7121050000001"/>
    <n v="9324.3421049999997"/>
  </r>
  <r>
    <x v="2"/>
    <s v="Q2"/>
    <x v="0"/>
    <x v="9"/>
    <s v="KEPL/00182/82-83"/>
    <s v="SHUBHASHREE MARKETING"/>
    <x v="27"/>
    <n v="5"/>
    <n v="350"/>
    <n v="32.78"/>
    <n v="11473"/>
    <n v="-882.2700000000001"/>
    <n v="0"/>
    <n v="1376.795163"/>
    <n v="11967.525163"/>
  </r>
  <r>
    <x v="2"/>
    <s v="Q2"/>
    <x v="0"/>
    <x v="9"/>
    <s v="KEPL/00182/82-83"/>
    <s v="SHUBHASHREE MARKETING"/>
    <x v="13"/>
    <n v="1"/>
    <n v="24"/>
    <n v="141.53"/>
    <n v="3396.72"/>
    <n v="-261.20999999999998"/>
    <n v="0"/>
    <n v="407.616378"/>
    <n v="3543.1263779999999"/>
  </r>
  <r>
    <x v="2"/>
    <s v="Q2"/>
    <x v="0"/>
    <x v="9"/>
    <s v="KEPL/00182/82-83"/>
    <s v="SHUBHASHREE MARKETING"/>
    <x v="45"/>
    <n v="2"/>
    <n v="30"/>
    <n v="260.72000000000003"/>
    <n v="7821.6"/>
    <n v="-601.48"/>
    <n v="0"/>
    <n v="938.61577900000009"/>
    <n v="8158.7357789999996"/>
  </r>
  <r>
    <x v="2"/>
    <s v="Q2"/>
    <x v="0"/>
    <x v="9"/>
    <s v="KEPL/00182/82-83"/>
    <s v="SHUBHASHREE MARKETING"/>
    <x v="46"/>
    <n v="5"/>
    <n v="100"/>
    <n v="175.05"/>
    <n v="17505"/>
    <n v="-1346.1299999999999"/>
    <n v="0"/>
    <n v="2100.6535009999998"/>
    <n v="18259.523501"/>
  </r>
  <r>
    <x v="2"/>
    <s v="Q2"/>
    <x v="0"/>
    <x v="9"/>
    <s v="KEPL/00182/82-83"/>
    <s v="SHUBHASHREE MARKETING"/>
    <x v="47"/>
    <n v="5"/>
    <n v="200"/>
    <n v="111.74"/>
    <n v="22348"/>
    <n v="-1718.56"/>
    <n v="0"/>
    <n v="2681.8277130000001"/>
    <n v="23311.267713000001"/>
  </r>
  <r>
    <x v="2"/>
    <s v="Q2"/>
    <x v="0"/>
    <x v="9"/>
    <s v="KEPL/00182/82-83"/>
    <s v="SHUBHASHREE MARKETING"/>
    <x v="23"/>
    <n v="1"/>
    <n v="600"/>
    <n v="7.45"/>
    <n v="4470"/>
    <n v="-343.74"/>
    <n v="0"/>
    <n v="536.413903"/>
    <n v="4662.6739029999999"/>
  </r>
  <r>
    <x v="2"/>
    <s v="Q2"/>
    <x v="0"/>
    <x v="9"/>
    <s v="KEPL/00182/82-83"/>
    <s v="SHUBHASHREE MARKETING"/>
    <x v="22"/>
    <n v="1"/>
    <n v="24"/>
    <n v="204.85"/>
    <n v="4916.4000000000005"/>
    <n v="-378.07"/>
    <n v="0"/>
    <n v="589.98301300000003"/>
    <n v="5128.313013"/>
  </r>
  <r>
    <x v="2"/>
    <s v="Q2"/>
    <x v="0"/>
    <x v="9"/>
    <s v="KEPL/00182/82-83"/>
    <s v="SHUBHASHREE MARKETING"/>
    <x v="48"/>
    <n v="1"/>
    <n v="20"/>
    <n v="204.85"/>
    <n v="4097"/>
    <n v="-315.06"/>
    <n v="0"/>
    <n v="491.65229399999998"/>
    <n v="4273.592294"/>
  </r>
  <r>
    <x v="2"/>
    <s v="Q2"/>
    <x v="0"/>
    <x v="9"/>
    <s v="KEPL/00182/82-83"/>
    <s v="SHUBHASHREE MARKETING"/>
    <x v="28"/>
    <n v="5"/>
    <n v="100"/>
    <n v="204.85"/>
    <n v="20485"/>
    <n v="-1575.3"/>
    <n v="0"/>
    <n v="2458.2614699999999"/>
    <n v="21367.961469999998"/>
  </r>
  <r>
    <x v="2"/>
    <s v="Q2"/>
    <x v="0"/>
    <x v="9"/>
    <s v="KEPL/00182/82-83"/>
    <s v="SHUBHASHREE MARKETING"/>
    <x v="49"/>
    <n v="3"/>
    <n v="45"/>
    <n v="260.72000000000003"/>
    <n v="11732.4"/>
    <n v="-902.22"/>
    <n v="0"/>
    <n v="1407.923669"/>
    <n v="12238.103669"/>
  </r>
  <r>
    <x v="2"/>
    <s v="Q2"/>
    <x v="0"/>
    <x v="9"/>
    <s v="KEPL/00182/82-83"/>
    <s v="SHUBHASHREE MARKETING"/>
    <x v="29"/>
    <n v="8"/>
    <n v="160"/>
    <n v="204.85"/>
    <n v="32776"/>
    <n v="-2520.4700000000003"/>
    <n v="0"/>
    <n v="3933.2196519999998"/>
    <n v="34188.749651999999"/>
  </r>
  <r>
    <x v="2"/>
    <s v="Q2"/>
    <x v="0"/>
    <x v="9"/>
    <s v="KEPL/00182/82-83"/>
    <s v="SHUBHASHREE MARKETING"/>
    <x v="20"/>
    <n v="1"/>
    <n v="1600"/>
    <n v="1.79"/>
    <n v="2864"/>
    <n v="-220.24"/>
    <n v="0"/>
    <n v="343.68886600000002"/>
    <n v="2987.4488660000002"/>
  </r>
  <r>
    <x v="2"/>
    <s v="Q2"/>
    <x v="0"/>
    <x v="9"/>
    <s v="KEPL/00182/82-83"/>
    <s v="SHUBHASHREE MARKETING"/>
    <x v="50"/>
    <n v="1"/>
    <n v="240"/>
    <n v="14.9"/>
    <n v="3576"/>
    <n v="-274.99"/>
    <n v="0"/>
    <n v="429.13138199999997"/>
    <n v="3730.1413819999998"/>
  </r>
  <r>
    <x v="2"/>
    <s v="Q2"/>
    <x v="0"/>
    <x v="9"/>
    <s v="KEPL/00182/82-83"/>
    <s v="SHUBHASHREE MARKETING"/>
    <x v="10"/>
    <n v="2"/>
    <n v="84"/>
    <n v="74.489999999999995"/>
    <n v="6257.16"/>
    <n v="-481.18"/>
    <n v="0"/>
    <n v="750.87754399999994"/>
    <n v="6526.8575440000004"/>
  </r>
  <r>
    <x v="2"/>
    <s v="Q2"/>
    <x v="0"/>
    <x v="9"/>
    <s v="KEPL/00182/82-83"/>
    <s v="SHUBHASHREE MARKETING"/>
    <x v="51"/>
    <n v="1"/>
    <n v="50"/>
    <n v="89.39"/>
    <n v="4469.5"/>
    <n v="-343.7"/>
    <n v="0"/>
    <n v="536.35410300000001"/>
    <n v="4662.1541029999998"/>
  </r>
  <r>
    <x v="2"/>
    <s v="Q2"/>
    <x v="0"/>
    <x v="9"/>
    <s v="KEPL/00182/82-83"/>
    <s v="SHUBHASHREE MARKETING"/>
    <x v="1"/>
    <n v="2"/>
    <n v="80"/>
    <n v="111.74"/>
    <n v="8939.2000000000007"/>
    <n v="-687.42"/>
    <n v="0"/>
    <n v="1072.7316049999999"/>
    <n v="9324.5116049999997"/>
  </r>
  <r>
    <x v="2"/>
    <s v="Q2"/>
    <x v="0"/>
    <x v="9"/>
    <s v="KEPL/00182/82-83"/>
    <s v="SHUBHASHREE MARKETING"/>
    <x v="7"/>
    <n v="2"/>
    <n v="84"/>
    <n v="74.489999999999995"/>
    <n v="6257.16"/>
    <n v="-481.18"/>
    <n v="0"/>
    <n v="750.87754399999994"/>
    <n v="6526.8575440000004"/>
  </r>
  <r>
    <x v="2"/>
    <s v="Q2"/>
    <x v="0"/>
    <x v="9"/>
    <s v="KEPL/00182/82-83"/>
    <s v="SHUBHASHREE MARKETING"/>
    <x v="21"/>
    <n v="1"/>
    <n v="240"/>
    <n v="18.62"/>
    <n v="4468.8"/>
    <n v="-343.65"/>
    <n v="0"/>
    <n v="536.26960199999996"/>
    <n v="4661.4196019999999"/>
  </r>
  <r>
    <x v="2"/>
    <s v="Q2"/>
    <x v="0"/>
    <x v="9"/>
    <s v="KEPL/00182/82-83"/>
    <s v="SHUBHASHREE MARKETING"/>
    <x v="30"/>
    <n v="5"/>
    <n v="100"/>
    <n v="242.1"/>
    <n v="24210"/>
    <n v="-1861.75"/>
    <n v="0"/>
    <n v="2905.2730550000001"/>
    <n v="25253.523055000001"/>
  </r>
  <r>
    <x v="2"/>
    <s v="Q2"/>
    <x v="0"/>
    <x v="9"/>
    <s v="KEPL/00182/82-83"/>
    <s v="SHUBHASHREE MARKETING"/>
    <x v="4"/>
    <n v="2"/>
    <n v="40"/>
    <n v="175.05"/>
    <n v="7001.9999999999991"/>
    <n v="-538.45000000000005"/>
    <n v="0"/>
    <n v="840.26166099999989"/>
    <n v="7303.8116609999997"/>
  </r>
  <r>
    <x v="2"/>
    <s v="Q2"/>
    <x v="0"/>
    <x v="9"/>
    <s v="KEPL/00183/82-83"/>
    <s v="SHREE BHOLEY SHANKAR KIRANA STORE"/>
    <x v="52"/>
    <n v="5"/>
    <n v="20"/>
    <n v="595.92999999999995"/>
    <n v="11918.6"/>
    <n v="-916.54"/>
    <n v="0"/>
    <n v="1430.2682540000001"/>
    <n v="12432.328254"/>
  </r>
  <r>
    <x v="2"/>
    <s v="Q2"/>
    <x v="0"/>
    <x v="9"/>
    <s v="KEPL/00183/82-83"/>
    <s v="SHREE BHOLEY SHANKAR KIRANA STORE"/>
    <x v="42"/>
    <n v="4"/>
    <n v="120"/>
    <n v="316.58999999999997"/>
    <n v="37990.799999999996"/>
    <n v="-2921.4900000000002"/>
    <n v="0"/>
    <n v="4559.0117460000001"/>
    <n v="39628.321746000001"/>
  </r>
  <r>
    <x v="2"/>
    <s v="Q2"/>
    <x v="0"/>
    <x v="9"/>
    <s v="KEPL/00184/82-83"/>
    <s v="NEW CHANDESHWARI SUPPLIERS"/>
    <x v="51"/>
    <n v="1"/>
    <n v="50"/>
    <n v="89.39"/>
    <n v="4469.5"/>
    <n v="-343.7"/>
    <n v="0"/>
    <n v="536.35421599999995"/>
    <n v="4662.1542159999999"/>
  </r>
  <r>
    <x v="2"/>
    <s v="Q2"/>
    <x v="0"/>
    <x v="9"/>
    <s v="KEPL/00184/82-83"/>
    <s v="NEW CHANDESHWARI SUPPLIERS"/>
    <x v="12"/>
    <n v="1"/>
    <n v="130"/>
    <n v="33.520000000000003"/>
    <n v="4357.6000000000004"/>
    <n v="-335.1"/>
    <n v="0"/>
    <n v="522.92520999999999"/>
    <n v="4545.4252100000003"/>
  </r>
  <r>
    <x v="2"/>
    <s v="Q2"/>
    <x v="0"/>
    <x v="9"/>
    <s v="KEPL/00184/82-83"/>
    <s v="NEW CHANDESHWARI SUPPLIERS"/>
    <x v="1"/>
    <n v="1"/>
    <n v="40"/>
    <n v="111.74"/>
    <n v="4469.6000000000004"/>
    <n v="-343.71"/>
    <n v="0"/>
    <n v="536.36591599999997"/>
    <n v="4662.2559160000001"/>
  </r>
  <r>
    <x v="2"/>
    <s v="Q2"/>
    <x v="0"/>
    <x v="9"/>
    <s v="KEPL/00184/82-83"/>
    <s v="NEW CHANDESHWARI SUPPLIERS"/>
    <x v="36"/>
    <n v="1"/>
    <n v="40"/>
    <n v="81.94"/>
    <n v="3277.6"/>
    <n v="-252.05"/>
    <n v="0"/>
    <n v="393.32165800000001"/>
    <n v="3418.871658"/>
  </r>
  <r>
    <x v="2"/>
    <s v="Q2"/>
    <x v="0"/>
    <x v="9"/>
    <s v="KEPL/00184/82-83"/>
    <s v="NEW CHANDESHWARI SUPPLIERS"/>
    <x v="53"/>
    <n v="1"/>
    <n v="40"/>
    <n v="81.94"/>
    <n v="3277.6"/>
    <n v="-252.05"/>
    <n v="0"/>
    <n v="393.32165800000001"/>
    <n v="3418.871658"/>
  </r>
  <r>
    <x v="2"/>
    <s v="Q2"/>
    <x v="0"/>
    <x v="9"/>
    <s v="KEPL/00184/82-83"/>
    <s v="NEW CHANDESHWARI SUPPLIERS"/>
    <x v="5"/>
    <n v="1"/>
    <n v="180"/>
    <n v="18.62"/>
    <n v="3351.6"/>
    <n v="-257.74"/>
    <n v="0"/>
    <n v="402.20196200000004"/>
    <n v="3496.0619620000002"/>
  </r>
  <r>
    <x v="2"/>
    <s v="Q2"/>
    <x v="0"/>
    <x v="9"/>
    <s v="KEPL/00184/82-83"/>
    <s v="NEW CHANDESHWARI SUPPLIERS"/>
    <x v="42"/>
    <n v="1"/>
    <n v="30"/>
    <n v="316.58999999999997"/>
    <n v="9497.6999999999989"/>
    <n v="-730.36999999999989"/>
    <n v="0"/>
    <n v="1139.7533579999999"/>
    <n v="9907.0833579999999"/>
  </r>
  <r>
    <x v="2"/>
    <s v="Q2"/>
    <x v="0"/>
    <x v="9"/>
    <s v="KEPL/00184/82-83"/>
    <s v="NEW CHANDESHWARI SUPPLIERS"/>
    <x v="13"/>
    <n v="1"/>
    <n v="24"/>
    <n v="141.53"/>
    <n v="3396.72"/>
    <n v="-261.20999999999998"/>
    <n v="0"/>
    <n v="407.61646400000001"/>
    <n v="3543.1264639999999"/>
  </r>
  <r>
    <x v="2"/>
    <s v="Q2"/>
    <x v="0"/>
    <x v="9"/>
    <s v="KEPL/00184/82-83"/>
    <s v="NEW CHANDESHWARI SUPPLIERS"/>
    <x v="8"/>
    <n v="1"/>
    <n v="42"/>
    <n v="74.489999999999995"/>
    <n v="3128.58"/>
    <n v="-240.59"/>
    <n v="0"/>
    <n v="375.438851"/>
    <n v="3263.4288510000001"/>
  </r>
  <r>
    <x v="2"/>
    <s v="Q2"/>
    <x v="0"/>
    <x v="9"/>
    <s v="KEPL/00184/82-83"/>
    <s v="NEW CHANDESHWARI SUPPLIERS"/>
    <x v="35"/>
    <n v="1"/>
    <n v="60"/>
    <n v="145.26"/>
    <n v="8715.6"/>
    <n v="-670.23"/>
    <n v="0"/>
    <n v="1045.89852"/>
    <n v="9091.2685199999996"/>
  </r>
  <r>
    <x v="2"/>
    <s v="Q2"/>
    <x v="0"/>
    <x v="9"/>
    <s v="KEPL/00184/82-83"/>
    <s v="NEW CHANDESHWARI SUPPLIERS"/>
    <x v="47"/>
    <n v="2"/>
    <n v="80"/>
    <n v="111.74"/>
    <n v="8939.2000000000007"/>
    <n v="-687.42"/>
    <n v="0"/>
    <n v="1072.7318310000001"/>
    <n v="9324.5118309999998"/>
  </r>
  <r>
    <x v="2"/>
    <s v="Q2"/>
    <x v="0"/>
    <x v="9"/>
    <s v="KEPL/00184/82-83"/>
    <s v="NEW CHANDESHWARI SUPPLIERS"/>
    <x v="10"/>
    <n v="1"/>
    <n v="42"/>
    <n v="74.489999999999995"/>
    <n v="3128.58"/>
    <n v="-240.59"/>
    <n v="0"/>
    <n v="375.438851"/>
    <n v="3263.4288510000001"/>
  </r>
  <r>
    <x v="2"/>
    <s v="Q2"/>
    <x v="0"/>
    <x v="9"/>
    <s v="KEPL/00184/82-83"/>
    <s v="NEW CHANDESHWARI SUPPLIERS"/>
    <x v="3"/>
    <n v="2"/>
    <n v="40"/>
    <n v="186.23"/>
    <n v="7449.2000000000007"/>
    <n v="-572.84"/>
    <n v="0"/>
    <n v="893.92715899999996"/>
    <n v="7770.2871590000004"/>
  </r>
  <r>
    <x v="2"/>
    <s v="Q2"/>
    <x v="0"/>
    <x v="9"/>
    <s v="KEPL/00184/82-83"/>
    <s v="NEW CHANDESHWARI SUPPLIERS"/>
    <x v="0"/>
    <n v="1"/>
    <n v="40"/>
    <n v="111.74"/>
    <n v="4469.6000000000004"/>
    <n v="-343.71"/>
    <n v="0"/>
    <n v="536.36591599999997"/>
    <n v="4662.2559160000001"/>
  </r>
  <r>
    <x v="2"/>
    <s v="Q2"/>
    <x v="0"/>
    <x v="9"/>
    <s v="KEPL/00184/82-83"/>
    <s v="NEW CHANDESHWARI SUPPLIERS"/>
    <x v="37"/>
    <n v="1"/>
    <n v="40"/>
    <n v="81.94"/>
    <n v="3277.6"/>
    <n v="-252.05"/>
    <n v="0"/>
    <n v="393.32165800000001"/>
    <n v="3418.871658"/>
  </r>
  <r>
    <x v="2"/>
    <s v="Q2"/>
    <x v="0"/>
    <x v="9"/>
    <s v="KEPL/00184/82-83"/>
    <s v="NEW CHANDESHWARI SUPPLIERS"/>
    <x v="7"/>
    <n v="1"/>
    <n v="42"/>
    <n v="74.489999999999995"/>
    <n v="3128.58"/>
    <n v="-240.59"/>
    <n v="0"/>
    <n v="375.438851"/>
    <n v="3263.4288510000001"/>
  </r>
  <r>
    <x v="2"/>
    <s v="Q2"/>
    <x v="0"/>
    <x v="9"/>
    <s v="KEPL/00184/82-83"/>
    <s v="NEW CHANDESHWARI SUPPLIERS"/>
    <x v="27"/>
    <n v="2"/>
    <n v="140"/>
    <n v="32.78"/>
    <n v="4589.2"/>
    <n v="-352.91"/>
    <n v="0"/>
    <n v="550.71792100000005"/>
    <n v="4787.0079210000004"/>
  </r>
  <r>
    <x v="2"/>
    <s v="Q2"/>
    <x v="0"/>
    <x v="9"/>
    <s v="KEPL/00185/82-83"/>
    <s v="SHUBHASHREE MARKETING"/>
    <x v="52"/>
    <n v="40"/>
    <n v="160"/>
    <n v="595.92999999999995"/>
    <n v="95348.800000000003"/>
    <n v="-7332.32"/>
    <n v="0"/>
    <n v="11442.140000000001"/>
    <n v="99458.62"/>
  </r>
  <r>
    <x v="2"/>
    <s v="Q2"/>
    <x v="0"/>
    <x v="9"/>
    <s v="KEPL/00186/82-83"/>
    <s v="ABIRAL SUPPLIERS AND TRADERS"/>
    <x v="36"/>
    <n v="2"/>
    <n v="80"/>
    <n v="81.94"/>
    <n v="6555.2"/>
    <n v="-504.09"/>
    <n v="0"/>
    <n v="786.64413400000001"/>
    <n v="6837.7541339999998"/>
  </r>
  <r>
    <x v="2"/>
    <s v="Q2"/>
    <x v="0"/>
    <x v="9"/>
    <s v="KEPL/00186/82-83"/>
    <s v="ABIRAL SUPPLIERS AND TRADERS"/>
    <x v="38"/>
    <n v="2"/>
    <n v="48"/>
    <n v="186.23"/>
    <n v="8939.0400000000009"/>
    <n v="-687.41"/>
    <n v="0"/>
    <n v="1072.711673"/>
    <n v="9324.3416730000008"/>
  </r>
  <r>
    <x v="2"/>
    <s v="Q2"/>
    <x v="0"/>
    <x v="9"/>
    <s v="KEPL/00186/82-83"/>
    <s v="ABIRAL SUPPLIERS AND TRADERS"/>
    <x v="40"/>
    <n v="1"/>
    <n v="600"/>
    <n v="7.45"/>
    <n v="4470"/>
    <n v="-343.74"/>
    <n v="0"/>
    <n v="536.41368699999998"/>
    <n v="4662.6736870000004"/>
  </r>
  <r>
    <x v="2"/>
    <s v="Q2"/>
    <x v="0"/>
    <x v="9"/>
    <s v="KEPL/00186/82-83"/>
    <s v="ABIRAL SUPPLIERS AND TRADERS"/>
    <x v="34"/>
    <n v="3"/>
    <n v="120"/>
    <n v="67.040000000000006"/>
    <n v="8044.8"/>
    <n v="-618.65"/>
    <n v="0"/>
    <n v="965.39929600000005"/>
    <n v="8391.5492959999992"/>
  </r>
  <r>
    <x v="2"/>
    <s v="Q2"/>
    <x v="0"/>
    <x v="9"/>
    <s v="KEPL/00186/82-83"/>
    <s v="ABIRAL SUPPLIERS AND TRADERS"/>
    <x v="54"/>
    <n v="3"/>
    <n v="60"/>
    <n v="175.05"/>
    <n v="10503"/>
    <n v="-807.68"/>
    <n v="0"/>
    <n v="1260.3913339999999"/>
    <n v="10955.711334"/>
  </r>
  <r>
    <x v="2"/>
    <s v="Q2"/>
    <x v="0"/>
    <x v="9"/>
    <s v="KEPL/00186/82-83"/>
    <s v="ABIRAL SUPPLIERS AND TRADERS"/>
    <x v="42"/>
    <n v="1"/>
    <n v="30"/>
    <n v="316.58999999999997"/>
    <n v="9497.6999999999989"/>
    <n v="-730.36999999999989"/>
    <n v="0"/>
    <n v="1139.752659"/>
    <n v="9907.0826589999997"/>
  </r>
  <r>
    <x v="2"/>
    <s v="Q2"/>
    <x v="0"/>
    <x v="9"/>
    <s v="KEPL/00186/82-83"/>
    <s v="ABIRAL SUPPLIERS AND TRADERS"/>
    <x v="55"/>
    <n v="5"/>
    <n v="100"/>
    <n v="175.05"/>
    <n v="17505"/>
    <n v="-1346.1299999999999"/>
    <n v="0"/>
    <n v="2100.6526560000002"/>
    <n v="18259.522656000001"/>
  </r>
  <r>
    <x v="2"/>
    <s v="Q2"/>
    <x v="0"/>
    <x v="9"/>
    <s v="KEPL/00186/82-83"/>
    <s v="ABIRAL SUPPLIERS AND TRADERS"/>
    <x v="47"/>
    <n v="5"/>
    <n v="200"/>
    <n v="111.74"/>
    <n v="22348"/>
    <n v="-1718.56"/>
    <n v="0"/>
    <n v="2681.8266329999997"/>
    <n v="23311.266632999999"/>
  </r>
  <r>
    <x v="2"/>
    <s v="Q2"/>
    <x v="0"/>
    <x v="9"/>
    <s v="KEPL/00186/82-83"/>
    <s v="ABIRAL SUPPLIERS AND TRADERS"/>
    <x v="5"/>
    <n v="5"/>
    <n v="900"/>
    <n v="18.62"/>
    <n v="16758"/>
    <n v="-1288.6899999999998"/>
    <n v="0"/>
    <n v="2011.009875"/>
    <n v="17480.319875000001"/>
  </r>
  <r>
    <x v="2"/>
    <s v="Q2"/>
    <x v="0"/>
    <x v="9"/>
    <s v="KEPL/00186/82-83"/>
    <s v="ABIRAL SUPPLIERS AND TRADERS"/>
    <x v="12"/>
    <n v="2"/>
    <n v="260"/>
    <n v="33.520000000000003"/>
    <n v="8715.2000000000007"/>
    <n v="-670.2"/>
    <n v="0"/>
    <n v="1045.8497789999999"/>
    <n v="9090.8497790000001"/>
  </r>
  <r>
    <x v="2"/>
    <s v="Q2"/>
    <x v="0"/>
    <x v="9"/>
    <s v="KEPL/00186/82-83"/>
    <s v="ABIRAL SUPPLIERS AND TRADERS"/>
    <x v="33"/>
    <n v="5"/>
    <n v="200"/>
    <n v="67.040000000000006"/>
    <n v="13408"/>
    <n v="-1031.08"/>
    <n v="0"/>
    <n v="1608.9992599999998"/>
    <n v="13985.919260000001"/>
  </r>
  <r>
    <x v="2"/>
    <s v="Q2"/>
    <x v="0"/>
    <x v="9"/>
    <s v="KEPL/00186/82-83"/>
    <s v="ABIRAL SUPPLIERS AND TRADERS"/>
    <x v="41"/>
    <n v="3"/>
    <n v="120"/>
    <n v="67.040000000000006"/>
    <n v="8044.8"/>
    <n v="-618.65"/>
    <n v="0"/>
    <n v="965.39929600000005"/>
    <n v="8391.5492959999992"/>
  </r>
  <r>
    <x v="2"/>
    <s v="Q2"/>
    <x v="0"/>
    <x v="9"/>
    <s v="KEPL/00186/82-83"/>
    <s v="ABIRAL SUPPLIERS AND TRADERS"/>
    <x v="45"/>
    <n v="3"/>
    <n v="45"/>
    <n v="260.72000000000003"/>
    <n v="11732.4"/>
    <n v="-902.22"/>
    <n v="0"/>
    <n v="1407.9231029999999"/>
    <n v="12238.103102999999"/>
  </r>
  <r>
    <x v="2"/>
    <s v="Q2"/>
    <x v="0"/>
    <x v="9"/>
    <s v="KEPL/00186/82-83"/>
    <s v="ABIRAL SUPPLIERS AND TRADERS"/>
    <x v="56"/>
    <n v="2"/>
    <n v="1600"/>
    <n v="7.45"/>
    <n v="11920"/>
    <n v="-916.65"/>
    <n v="0"/>
    <n v="1430.4351979999999"/>
    <n v="12433.785198"/>
  </r>
  <r>
    <x v="2"/>
    <s v="Q2"/>
    <x v="0"/>
    <x v="9"/>
    <s v="KEPL/00186/82-83"/>
    <s v="ABIRAL SUPPLIERS AND TRADERS"/>
    <x v="37"/>
    <n v="1"/>
    <n v="40"/>
    <n v="81.94"/>
    <n v="3277.6"/>
    <n v="-252.05"/>
    <n v="0"/>
    <n v="393.32141700000005"/>
    <n v="3418.8714169999998"/>
  </r>
  <r>
    <x v="2"/>
    <s v="Q2"/>
    <x v="0"/>
    <x v="9"/>
    <s v="KEPL/00187/82-83"/>
    <s v="ABIRAL SUPPLIERS AND TRADERS"/>
    <x v="3"/>
    <n v="5"/>
    <n v="100"/>
    <n v="186.23"/>
    <n v="18623"/>
    <n v="-1432.1100000000001"/>
    <n v="0"/>
    <n v="2234.815889"/>
    <n v="19425.705889000001"/>
  </r>
  <r>
    <x v="2"/>
    <s v="Q2"/>
    <x v="0"/>
    <x v="9"/>
    <s v="KEPL/00187/82-83"/>
    <s v="ABIRAL SUPPLIERS AND TRADERS"/>
    <x v="28"/>
    <n v="5"/>
    <n v="100"/>
    <n v="204.85"/>
    <n v="20485"/>
    <n v="-1575.3"/>
    <n v="0"/>
    <n v="2458.2612080000004"/>
    <n v="21367.961208000001"/>
  </r>
  <r>
    <x v="2"/>
    <s v="Q2"/>
    <x v="0"/>
    <x v="9"/>
    <s v="KEPL/00187/82-83"/>
    <s v="ABIRAL SUPPLIERS AND TRADERS"/>
    <x v="23"/>
    <n v="1"/>
    <n v="600"/>
    <n v="7.45"/>
    <n v="4470"/>
    <n v="-343.74"/>
    <n v="0"/>
    <n v="536.41384499999992"/>
    <n v="4662.6738450000003"/>
  </r>
  <r>
    <x v="2"/>
    <s v="Q2"/>
    <x v="0"/>
    <x v="9"/>
    <s v="KEPL/00187/82-83"/>
    <s v="ABIRAL SUPPLIERS AND TRADERS"/>
    <x v="22"/>
    <n v="2"/>
    <n v="48"/>
    <n v="204.85"/>
    <n v="9832.8000000000011"/>
    <n v="-756.14"/>
    <n v="0"/>
    <n v="1179.9658999999999"/>
    <n v="10256.625899999999"/>
  </r>
  <r>
    <x v="2"/>
    <s v="Q2"/>
    <x v="0"/>
    <x v="9"/>
    <s v="KEPL/00187/82-83"/>
    <s v="ABIRAL SUPPLIERS AND TRADERS"/>
    <x v="46"/>
    <n v="10"/>
    <n v="200"/>
    <n v="175.05"/>
    <n v="35010"/>
    <n v="-2692.27"/>
    <n v="0"/>
    <n v="4201.3052550000002"/>
    <n v="36519.035255000003"/>
  </r>
  <r>
    <x v="2"/>
    <s v="Q2"/>
    <x v="0"/>
    <x v="9"/>
    <s v="KEPL/00187/82-83"/>
    <s v="ABIRAL SUPPLIERS AND TRADERS"/>
    <x v="48"/>
    <n v="2"/>
    <n v="40"/>
    <n v="204.85"/>
    <n v="8194"/>
    <n v="-630.12"/>
    <n v="0"/>
    <n v="983.304483"/>
    <n v="8547.1844829999991"/>
  </r>
  <r>
    <x v="2"/>
    <s v="Q2"/>
    <x v="0"/>
    <x v="9"/>
    <s v="KEPL/00187/82-83"/>
    <s v="ABIRAL SUPPLIERS AND TRADERS"/>
    <x v="49"/>
    <n v="5"/>
    <n v="75"/>
    <n v="260.72000000000003"/>
    <n v="19554"/>
    <n v="-1503.6999999999998"/>
    <n v="0"/>
    <n v="2346.5391990000003"/>
    <n v="20396.839198999998"/>
  </r>
  <r>
    <x v="2"/>
    <s v="Q2"/>
    <x v="0"/>
    <x v="9"/>
    <s v="KEPL/00187/82-83"/>
    <s v="ABIRAL SUPPLIERS AND TRADERS"/>
    <x v="29"/>
    <n v="2"/>
    <n v="40"/>
    <n v="204.85"/>
    <n v="8194"/>
    <n v="-630.12"/>
    <n v="0"/>
    <n v="983.304483"/>
    <n v="8547.1844829999991"/>
  </r>
  <r>
    <x v="2"/>
    <s v="Q2"/>
    <x v="0"/>
    <x v="9"/>
    <s v="KEPL/00187/82-83"/>
    <s v="ABIRAL SUPPLIERS AND TRADERS"/>
    <x v="44"/>
    <n v="2"/>
    <n v="48"/>
    <n v="186.23"/>
    <n v="8939.0400000000009"/>
    <n v="-687.41"/>
    <n v="0"/>
    <n v="1072.7119909999999"/>
    <n v="9324.3419909999993"/>
  </r>
  <r>
    <x v="2"/>
    <s v="Q2"/>
    <x v="0"/>
    <x v="9"/>
    <s v="KEPL/00187/82-83"/>
    <s v="ABIRAL SUPPLIERS AND TRADERS"/>
    <x v="27"/>
    <n v="2"/>
    <n v="140"/>
    <n v="32.78"/>
    <n v="4589.2"/>
    <n v="-352.91"/>
    <n v="0"/>
    <n v="550.71774700000003"/>
    <n v="4787.0077469999997"/>
  </r>
  <r>
    <x v="2"/>
    <s v="Q2"/>
    <x v="0"/>
    <x v="9"/>
    <s v="KEPL/00188/82-83"/>
    <s v="SHREE EXIM"/>
    <x v="52"/>
    <n v="60"/>
    <n v="240"/>
    <n v="595.92999999999995"/>
    <n v="143023.19999999998"/>
    <n v="-10998.48"/>
    <n v="0"/>
    <n v="17163.21"/>
    <n v="149187.93"/>
  </r>
  <r>
    <x v="2"/>
    <s v="Q2"/>
    <x v="0"/>
    <x v="9"/>
    <s v="KEPL/00189/82-83"/>
    <s v="SHREE EXIM"/>
    <x v="39"/>
    <n v="5"/>
    <n v="100"/>
    <n v="249.55"/>
    <n v="24955"/>
    <n v="-1919.04"/>
    <n v="0"/>
    <n v="2994.6745019999998"/>
    <n v="26030.634502000001"/>
  </r>
  <r>
    <x v="2"/>
    <s v="Q2"/>
    <x v="0"/>
    <x v="9"/>
    <s v="KEPL/00189/82-83"/>
    <s v="SHREE EXIM"/>
    <x v="34"/>
    <n v="5"/>
    <n v="200"/>
    <n v="67.040000000000006"/>
    <n v="13408"/>
    <n v="-1031.08"/>
    <n v="0"/>
    <n v="1608.9994399999998"/>
    <n v="13985.91944"/>
  </r>
  <r>
    <x v="2"/>
    <s v="Q2"/>
    <x v="0"/>
    <x v="9"/>
    <s v="KEPL/00189/82-83"/>
    <s v="SHREE EXIM"/>
    <x v="35"/>
    <n v="10"/>
    <n v="600"/>
    <n v="145.26"/>
    <n v="87156"/>
    <n v="-6702.2999999999993"/>
    <n v="0"/>
    <n v="10458.979958"/>
    <n v="90912.679957999993"/>
  </r>
  <r>
    <x v="2"/>
    <s v="Q2"/>
    <x v="0"/>
    <x v="9"/>
    <s v="KEPL/00189/82-83"/>
    <s v="SHREE EXIM"/>
    <x v="30"/>
    <n v="2"/>
    <n v="40"/>
    <n v="242.1"/>
    <n v="9683.9999999999982"/>
    <n v="-744.7"/>
    <n v="0"/>
    <n v="1162.108884"/>
    <n v="10101.408884"/>
  </r>
  <r>
    <x v="2"/>
    <s v="Q2"/>
    <x v="0"/>
    <x v="9"/>
    <s v="KEPL/00189/82-83"/>
    <s v="SHREE EXIM"/>
    <x v="32"/>
    <n v="1"/>
    <n v="60"/>
    <n v="111.74"/>
    <n v="6704.4"/>
    <n v="-515.57000000000005"/>
    <n v="0"/>
    <n v="804.54782"/>
    <n v="6993.3778199999997"/>
  </r>
  <r>
    <x v="2"/>
    <s v="Q2"/>
    <x v="0"/>
    <x v="9"/>
    <s v="KEPL/00189/82-83"/>
    <s v="SHREE EXIM"/>
    <x v="49"/>
    <n v="15"/>
    <n v="225"/>
    <n v="260.72000000000003"/>
    <n v="58662"/>
    <n v="-4511.1099999999997"/>
    <n v="0"/>
    <n v="7039.6149989999994"/>
    <n v="61190.504998999997"/>
  </r>
  <r>
    <x v="2"/>
    <s v="Q2"/>
    <x v="0"/>
    <x v="9"/>
    <s v="KEPL/00189/82-83"/>
    <s v="SHREE EXIM"/>
    <x v="31"/>
    <n v="1"/>
    <n v="60"/>
    <n v="111.74"/>
    <n v="6704.4"/>
    <n v="-515.57000000000005"/>
    <n v="0"/>
    <n v="804.54782"/>
    <n v="6993.3778199999997"/>
  </r>
  <r>
    <x v="2"/>
    <s v="Q2"/>
    <x v="0"/>
    <x v="9"/>
    <s v="KEPL/00189/82-83"/>
    <s v="SHREE EXIM"/>
    <x v="33"/>
    <n v="3"/>
    <n v="120"/>
    <n v="67.040000000000006"/>
    <n v="8044.8"/>
    <n v="-618.65"/>
    <n v="0"/>
    <n v="965.399404"/>
    <n v="8391.5494039999994"/>
  </r>
  <r>
    <x v="2"/>
    <s v="Q2"/>
    <x v="0"/>
    <x v="9"/>
    <s v="KEPL/00189/82-83"/>
    <s v="SHREE EXIM"/>
    <x v="41"/>
    <n v="5"/>
    <n v="200"/>
    <n v="67.040000000000006"/>
    <n v="13408"/>
    <n v="-1031.08"/>
    <n v="0"/>
    <n v="1608.9994399999998"/>
    <n v="13985.91944"/>
  </r>
  <r>
    <x v="2"/>
    <s v="Q2"/>
    <x v="0"/>
    <x v="9"/>
    <s v="KEPL/00189/82-83"/>
    <s v="SHREE EXIM"/>
    <x v="56"/>
    <n v="2"/>
    <n v="1600"/>
    <n v="7.45"/>
    <n v="11920"/>
    <n v="-916.65"/>
    <n v="0"/>
    <n v="1430.4353570000001"/>
    <n v="12433.785357000001"/>
  </r>
  <r>
    <x v="2"/>
    <s v="Q2"/>
    <x v="0"/>
    <x v="9"/>
    <s v="KEPL/00189/82-83"/>
    <s v="SHREE EXIM"/>
    <x v="43"/>
    <n v="1"/>
    <n v="60"/>
    <n v="111.74"/>
    <n v="6704.4"/>
    <n v="-515.57000000000005"/>
    <n v="0"/>
    <n v="804.54782"/>
    <n v="6993.3778199999997"/>
  </r>
  <r>
    <x v="2"/>
    <s v="Q2"/>
    <x v="0"/>
    <x v="9"/>
    <s v="KEPL/00189/82-83"/>
    <s v="SHREE EXIM"/>
    <x v="45"/>
    <n v="15"/>
    <n v="225"/>
    <n v="260.72000000000003"/>
    <n v="58662"/>
    <n v="-4511.1099999999997"/>
    <n v="0"/>
    <n v="7039.6149989999994"/>
    <n v="61190.504998999997"/>
  </r>
  <r>
    <x v="2"/>
    <s v="Q2"/>
    <x v="0"/>
    <x v="9"/>
    <s v="KEPL/00189/82-83"/>
    <s v="SHREE EXIM"/>
    <x v="13"/>
    <n v="2"/>
    <n v="48"/>
    <n v="141.53"/>
    <n v="6793.44"/>
    <n v="-522.41999999999996"/>
    <n v="0"/>
    <n v="815.23251900000002"/>
    <n v="7086.2525189999997"/>
  </r>
  <r>
    <x v="2"/>
    <s v="Q2"/>
    <x v="0"/>
    <x v="9"/>
    <s v="KEPL/00189/82-83"/>
    <s v="SHREE EXIM"/>
    <x v="44"/>
    <n v="3"/>
    <n v="72"/>
    <n v="186.23"/>
    <n v="13408.560000000001"/>
    <n v="-1031.1199999999999"/>
    <n v="0"/>
    <n v="1609.0670399999999"/>
    <n v="13986.50704"/>
  </r>
  <r>
    <x v="2"/>
    <s v="Q2"/>
    <x v="0"/>
    <x v="9"/>
    <s v="KEPL/00190/82-83"/>
    <s v="KRISHMA ENTERPRISES"/>
    <x v="32"/>
    <n v="2"/>
    <n v="120"/>
    <n v="111.74"/>
    <n v="13408.8"/>
    <n v="-1031.1400000000001"/>
    <n v="0"/>
    <n v="1609.095734"/>
    <n v="13986.755734"/>
  </r>
  <r>
    <x v="2"/>
    <s v="Q2"/>
    <x v="0"/>
    <x v="9"/>
    <s v="KEPL/00190/82-83"/>
    <s v="KRISHMA ENTERPRISES"/>
    <x v="4"/>
    <n v="3"/>
    <n v="60"/>
    <n v="175.05"/>
    <n v="10503"/>
    <n v="-807.68"/>
    <n v="0"/>
    <n v="1260.3915480000001"/>
    <n v="10955.711547999999"/>
  </r>
  <r>
    <x v="2"/>
    <s v="Q2"/>
    <x v="0"/>
    <x v="9"/>
    <s v="KEPL/00190/82-83"/>
    <s v="KRISHMA ENTERPRISES"/>
    <x v="37"/>
    <n v="2"/>
    <n v="80"/>
    <n v="81.94"/>
    <n v="6555.2"/>
    <n v="-504.09"/>
    <n v="0"/>
    <n v="786.6442679999999"/>
    <n v="6837.7542679999997"/>
  </r>
  <r>
    <x v="2"/>
    <s v="Q2"/>
    <x v="0"/>
    <x v="9"/>
    <s v="KEPL/00190/82-83"/>
    <s v="KRISHMA ENTERPRISES"/>
    <x v="53"/>
    <n v="3"/>
    <n v="120"/>
    <n v="81.94"/>
    <n v="9832.8000000000011"/>
    <n v="-756.14"/>
    <n v="0"/>
    <n v="1179.9657520000001"/>
    <n v="10256.625752"/>
  </r>
  <r>
    <x v="2"/>
    <s v="Q2"/>
    <x v="0"/>
    <x v="9"/>
    <s v="KEPL/00190/82-83"/>
    <s v="KRISHMA ENTERPRISES"/>
    <x v="15"/>
    <n v="2"/>
    <n v="40"/>
    <n v="175.05"/>
    <n v="7001.9999999999991"/>
    <n v="-538.45000000000005"/>
    <n v="0"/>
    <n v="840.26146600000004"/>
    <n v="7303.8114660000001"/>
  </r>
  <r>
    <x v="2"/>
    <s v="Q2"/>
    <x v="0"/>
    <x v="9"/>
    <s v="KEPL/00190/82-83"/>
    <s v="KRISHMA ENTERPRISES"/>
    <x v="36"/>
    <n v="3"/>
    <n v="120"/>
    <n v="81.94"/>
    <n v="9832.8000000000011"/>
    <n v="-756.14"/>
    <n v="0"/>
    <n v="1179.9657520000001"/>
    <n v="10256.625752"/>
  </r>
  <r>
    <x v="2"/>
    <s v="Q2"/>
    <x v="0"/>
    <x v="9"/>
    <s v="KEPL/00190/82-83"/>
    <s v="KRISHMA ENTERPRISES"/>
    <x v="43"/>
    <n v="2"/>
    <n v="120"/>
    <n v="111.74"/>
    <n v="13408.8"/>
    <n v="-1031.1400000000001"/>
    <n v="0"/>
    <n v="1609.095734"/>
    <n v="13986.755734"/>
  </r>
  <r>
    <x v="2"/>
    <s v="Q2"/>
    <x v="0"/>
    <x v="9"/>
    <s v="KEPL/00190/82-83"/>
    <s v="KRISHMA ENTERPRISES"/>
    <x v="46"/>
    <n v="5"/>
    <n v="100"/>
    <n v="175.05"/>
    <n v="17505"/>
    <n v="-1346.1299999999999"/>
    <n v="0"/>
    <n v="2100.653014"/>
    <n v="18259.523013999999"/>
  </r>
  <r>
    <x v="2"/>
    <s v="Q2"/>
    <x v="0"/>
    <x v="9"/>
    <s v="KEPL/00190/82-83"/>
    <s v="KRISHMA ENTERPRISES"/>
    <x v="8"/>
    <n v="20"/>
    <n v="840"/>
    <n v="74.489999999999995"/>
    <n v="62571.6"/>
    <n v="-4811.76"/>
    <n v="0"/>
    <n v="7508.7788930000006"/>
    <n v="65268.618892999999"/>
  </r>
  <r>
    <x v="2"/>
    <s v="Q2"/>
    <x v="0"/>
    <x v="9"/>
    <s v="KEPL/00190/82-83"/>
    <s v="KRISHMA ENTERPRISES"/>
    <x v="31"/>
    <n v="2"/>
    <n v="120"/>
    <n v="111.74"/>
    <n v="13408.8"/>
    <n v="-1031.1400000000001"/>
    <n v="0"/>
    <n v="1609.095734"/>
    <n v="13986.755734"/>
  </r>
  <r>
    <x v="2"/>
    <s v="Q2"/>
    <x v="0"/>
    <x v="9"/>
    <s v="KEPL/00190/82-83"/>
    <s v="KRISHMA ENTERPRISES"/>
    <x v="5"/>
    <n v="5"/>
    <n v="900"/>
    <n v="18.62"/>
    <n v="16758"/>
    <n v="-1288.6899999999998"/>
    <n v="0"/>
    <n v="2011.0102179999999"/>
    <n v="17480.320218000001"/>
  </r>
  <r>
    <x v="2"/>
    <s v="Q2"/>
    <x v="0"/>
    <x v="9"/>
    <s v="KEPL/00190/82-83"/>
    <s v="KRISHMA ENTERPRISES"/>
    <x v="17"/>
    <n v="2"/>
    <n v="40"/>
    <n v="201.13"/>
    <n v="8045.2"/>
    <n v="-618.67999999999995"/>
    <n v="0"/>
    <n v="965.44756100000006"/>
    <n v="8391.9675609999995"/>
  </r>
  <r>
    <x v="2"/>
    <s v="Q2"/>
    <x v="0"/>
    <x v="9"/>
    <s v="KEPL/00190/82-83"/>
    <s v="KRISHMA ENTERPRISES"/>
    <x v="56"/>
    <n v="2"/>
    <n v="1600"/>
    <n v="7.45"/>
    <n v="11920"/>
    <n v="-916.65"/>
    <n v="0"/>
    <n v="1430.435442"/>
    <n v="12433.785442"/>
  </r>
  <r>
    <x v="2"/>
    <s v="Q2"/>
    <x v="0"/>
    <x v="9"/>
    <s v="KEPL/00190/82-83"/>
    <s v="KRISHMA ENTERPRISES"/>
    <x v="41"/>
    <n v="5"/>
    <n v="200"/>
    <n v="67.040000000000006"/>
    <n v="13408"/>
    <n v="-1031.08"/>
    <n v="0"/>
    <n v="1608.999534"/>
    <n v="13985.919534000001"/>
  </r>
  <r>
    <x v="2"/>
    <s v="Q2"/>
    <x v="0"/>
    <x v="9"/>
    <s v="KEPL/00190/82-83"/>
    <s v="KRISHMA ENTERPRISES"/>
    <x v="39"/>
    <n v="2"/>
    <n v="40"/>
    <n v="249.55"/>
    <n v="9982"/>
    <n v="-767.62"/>
    <n v="0"/>
    <n v="1197.8693509999998"/>
    <n v="10412.249351"/>
  </r>
  <r>
    <x v="2"/>
    <s v="Q2"/>
    <x v="0"/>
    <x v="9"/>
    <s v="KEPL/00191/82-83"/>
    <s v="KRISHMA ENTERPRISES"/>
    <x v="23"/>
    <n v="1"/>
    <n v="600"/>
    <n v="7.45"/>
    <n v="4470"/>
    <n v="-343.74"/>
    <n v="0"/>
    <n v="536.41389400000003"/>
    <n v="4662.6738939999996"/>
  </r>
  <r>
    <x v="2"/>
    <s v="Q2"/>
    <x v="0"/>
    <x v="9"/>
    <s v="KEPL/00191/82-83"/>
    <s v="KRISHMA ENTERPRISES"/>
    <x v="28"/>
    <n v="5"/>
    <n v="100"/>
    <n v="204.85"/>
    <n v="20485"/>
    <n v="-1575.3"/>
    <n v="0"/>
    <n v="2458.2614309999999"/>
    <n v="21367.961431"/>
  </r>
  <r>
    <x v="2"/>
    <s v="Q2"/>
    <x v="0"/>
    <x v="9"/>
    <s v="KEPL/00191/82-83"/>
    <s v="KRISHMA ENTERPRISES"/>
    <x v="29"/>
    <n v="3"/>
    <n v="60"/>
    <n v="204.85"/>
    <n v="12291"/>
    <n v="-945.18"/>
    <n v="0"/>
    <n v="1474.9568579999998"/>
    <n v="12820.776857999999"/>
  </r>
  <r>
    <x v="2"/>
    <s v="Q2"/>
    <x v="0"/>
    <x v="9"/>
    <s v="KEPL/00191/82-83"/>
    <s v="KRISHMA ENTERPRISES"/>
    <x v="7"/>
    <n v="15"/>
    <n v="630"/>
    <n v="74.489999999999995"/>
    <n v="46928.7"/>
    <n v="-3608.8199999999997"/>
    <n v="0"/>
    <n v="5631.5853870000001"/>
    <n v="48951.465386999997"/>
  </r>
  <r>
    <x v="2"/>
    <s v="Q2"/>
    <x v="0"/>
    <x v="9"/>
    <s v="KEPL/00191/82-83"/>
    <s v="KRISHMA ENTERPRISES"/>
    <x v="44"/>
    <n v="5"/>
    <n v="120"/>
    <n v="186.23"/>
    <n v="22347.599999999999"/>
    <n v="-1718.53"/>
    <n v="0"/>
    <n v="2681.7795700000001"/>
    <n v="23310.849569999998"/>
  </r>
  <r>
    <x v="2"/>
    <s v="Q2"/>
    <x v="0"/>
    <x v="9"/>
    <s v="KEPL/00191/82-83"/>
    <s v="KRISHMA ENTERPRISES"/>
    <x v="30"/>
    <n v="2"/>
    <n v="40"/>
    <n v="242.1"/>
    <n v="9683.9999999999982"/>
    <n v="-744.7"/>
    <n v="0"/>
    <n v="1162.1092040000001"/>
    <n v="10101.409204"/>
  </r>
  <r>
    <x v="2"/>
    <s v="Q2"/>
    <x v="0"/>
    <x v="9"/>
    <s v="KEPL/00191/82-83"/>
    <s v="KRISHMA ENTERPRISES"/>
    <x v="51"/>
    <n v="2"/>
    <n v="100"/>
    <n v="89.39"/>
    <n v="8939"/>
    <n v="-687.41"/>
    <n v="0"/>
    <n v="1072.7068879999999"/>
    <n v="9324.2968880000008"/>
  </r>
  <r>
    <x v="2"/>
    <s v="Q2"/>
    <x v="0"/>
    <x v="9"/>
    <s v="KEPL/00191/82-83"/>
    <s v="KRISHMA ENTERPRISES"/>
    <x v="48"/>
    <n v="1"/>
    <n v="20"/>
    <n v="204.85"/>
    <n v="4097"/>
    <n v="-315.06"/>
    <n v="0"/>
    <n v="491.652286"/>
    <n v="4273.5922860000001"/>
  </r>
  <r>
    <x v="2"/>
    <s v="Q2"/>
    <x v="0"/>
    <x v="9"/>
    <s v="KEPL/00191/82-83"/>
    <s v="KRISHMA ENTERPRISES"/>
    <x v="3"/>
    <n v="5"/>
    <n v="100"/>
    <n v="186.23"/>
    <n v="18623"/>
    <n v="-1432.1100000000001"/>
    <n v="0"/>
    <n v="2234.816092"/>
    <n v="19425.706092"/>
  </r>
  <r>
    <x v="2"/>
    <s v="Q2"/>
    <x v="0"/>
    <x v="9"/>
    <s v="KEPL/00191/82-83"/>
    <s v="KRISHMA ENTERPRISES"/>
    <x v="22"/>
    <n v="1"/>
    <n v="24"/>
    <n v="204.85"/>
    <n v="4916.4000000000005"/>
    <n v="-378.07"/>
    <n v="0"/>
    <n v="589.98300300000005"/>
    <n v="5128.3130030000002"/>
  </r>
  <r>
    <x v="2"/>
    <s v="Q2"/>
    <x v="0"/>
    <x v="9"/>
    <s v="KEPL/00191/82-83"/>
    <s v="KRISHMA ENTERPRISES"/>
    <x v="10"/>
    <n v="15"/>
    <n v="630"/>
    <n v="74.489999999999995"/>
    <n v="46928.7"/>
    <n v="-3608.8199999999997"/>
    <n v="0"/>
    <n v="5631.5853870000001"/>
    <n v="48951.465386999997"/>
  </r>
  <r>
    <x v="2"/>
    <s v="Q2"/>
    <x v="0"/>
    <x v="9"/>
    <s v="KEPL/00192/82-83"/>
    <s v="KRISHMA ENTERPRISES"/>
    <x v="35"/>
    <n v="5"/>
    <n v="300"/>
    <n v="145.26"/>
    <n v="43578"/>
    <n v="-3351.1499999999996"/>
    <n v="0"/>
    <n v="5229.4905000000008"/>
    <n v="45456.340499999998"/>
  </r>
  <r>
    <x v="2"/>
    <s v="Q2"/>
    <x v="0"/>
    <x v="9"/>
    <s v="KEPL/00192/82-83"/>
    <s v="KRISHMA ENTERPRISES"/>
    <x v="45"/>
    <n v="5"/>
    <n v="75"/>
    <n v="260.72000000000003"/>
    <n v="19554"/>
    <n v="-1503.6999999999998"/>
    <n v="0"/>
    <n v="2346.5390000000002"/>
    <n v="20396.839"/>
  </r>
  <r>
    <x v="2"/>
    <s v="Q2"/>
    <x v="0"/>
    <x v="9"/>
    <s v="KEPL/00192/82-83"/>
    <s v="KRISHMA ENTERPRISES"/>
    <x v="47"/>
    <n v="10"/>
    <n v="400"/>
    <n v="111.74"/>
    <n v="44696"/>
    <n v="-3437.12"/>
    <n v="0"/>
    <n v="5363.6544000000004"/>
    <n v="46622.534399999997"/>
  </r>
  <r>
    <x v="2"/>
    <s v="Q2"/>
    <x v="0"/>
    <x v="9"/>
    <s v="KEPL/00192/82-83"/>
    <s v="KRISHMA ENTERPRISES"/>
    <x v="1"/>
    <n v="5"/>
    <n v="200"/>
    <n v="111.74"/>
    <n v="22348"/>
    <n v="-1718.56"/>
    <n v="0"/>
    <n v="2681.8272000000002"/>
    <n v="23311.267199999998"/>
  </r>
  <r>
    <x v="2"/>
    <s v="Q2"/>
    <x v="0"/>
    <x v="9"/>
    <s v="KEPL/00192/82-83"/>
    <s v="KRISHMA ENTERPRISES"/>
    <x v="49"/>
    <n v="5"/>
    <n v="75"/>
    <n v="260.72000000000003"/>
    <n v="19554"/>
    <n v="-1503.6999999999998"/>
    <n v="0"/>
    <n v="2346.5390000000002"/>
    <n v="20396.839"/>
  </r>
  <r>
    <x v="2"/>
    <s v="Q2"/>
    <x v="0"/>
    <x v="9"/>
    <s v="KEPL/00192/82-83"/>
    <s v="KRISHMA ENTERPRISES"/>
    <x v="0"/>
    <n v="5"/>
    <n v="200"/>
    <n v="111.74"/>
    <n v="22348"/>
    <n v="-1718.56"/>
    <n v="0"/>
    <n v="2681.8272000000002"/>
    <n v="23311.267199999998"/>
  </r>
  <r>
    <x v="2"/>
    <s v="Q2"/>
    <x v="0"/>
    <x v="9"/>
    <s v="KEPL/00192/82-83"/>
    <s v="KRISHMA ENTERPRISES"/>
    <x v="12"/>
    <n v="25"/>
    <n v="3250"/>
    <n v="37.25"/>
    <n v="121062.50000000001"/>
    <n v="-9309.7100000000009"/>
    <n v="0"/>
    <n v="14527.862700000001"/>
    <n v="126280.65270000001"/>
  </r>
  <r>
    <x v="2"/>
    <s v="Q2"/>
    <x v="0"/>
    <x v="9"/>
    <s v="KEPL/00193/82-83"/>
    <s v="KRISHMA ENTERPRISES"/>
    <x v="52"/>
    <n v="60"/>
    <n v="240"/>
    <n v="595.92999999999995"/>
    <n v="143023.19999999998"/>
    <n v="-10998.48"/>
    <n v="0"/>
    <n v="17163.21"/>
    <n v="149187.93"/>
  </r>
  <r>
    <x v="2"/>
    <s v="Q2"/>
    <x v="0"/>
    <x v="9"/>
    <s v="KEPL/00194/82-83"/>
    <s v="AAFNAI PASAL PVT.LTD"/>
    <x v="39"/>
    <n v="1"/>
    <n v="20"/>
    <n v="249.55"/>
    <n v="4991"/>
    <n v="-383.81"/>
    <n v="0"/>
    <n v="598.92999999999995"/>
    <n v="5206.12"/>
  </r>
  <r>
    <x v="2"/>
    <s v="Q2"/>
    <x v="0"/>
    <x v="9"/>
    <s v="KEPL/00195/82-83"/>
    <s v="MITHASH TRADE CONCERN PVT LTD"/>
    <x v="47"/>
    <n v="3"/>
    <n v="120"/>
    <n v="111.74"/>
    <n v="13408.8"/>
    <n v="-1031.1400000000001"/>
    <n v="0"/>
    <n v="1609.0962789999999"/>
    <n v="13986.756278999999"/>
  </r>
  <r>
    <x v="2"/>
    <s v="Q2"/>
    <x v="0"/>
    <x v="9"/>
    <s v="KEPL/00195/82-83"/>
    <s v="MITHASH TRADE CONCERN PVT LTD"/>
    <x v="23"/>
    <n v="1"/>
    <n v="600"/>
    <n v="7.45"/>
    <n v="4470"/>
    <n v="-343.74"/>
    <n v="0"/>
    <n v="536.41395999999997"/>
    <n v="4662.6739600000001"/>
  </r>
  <r>
    <x v="2"/>
    <s v="Q2"/>
    <x v="0"/>
    <x v="9"/>
    <s v="KEPL/00195/82-83"/>
    <s v="MITHASH TRADE CONCERN PVT LTD"/>
    <x v="40"/>
    <n v="1"/>
    <n v="600"/>
    <n v="7.45"/>
    <n v="4470"/>
    <n v="-343.74"/>
    <n v="0"/>
    <n v="536.41395999999997"/>
    <n v="4662.6739600000001"/>
  </r>
  <r>
    <x v="2"/>
    <s v="Q2"/>
    <x v="0"/>
    <x v="9"/>
    <s v="KEPL/00195/82-83"/>
    <s v="MITHASH TRADE CONCERN PVT LTD"/>
    <x v="57"/>
    <n v="3"/>
    <n v="120"/>
    <n v="111.74"/>
    <n v="13408.8"/>
    <n v="-1031.1400000000001"/>
    <n v="0"/>
    <n v="1609.0962789999999"/>
    <n v="13986.756278999999"/>
  </r>
  <r>
    <x v="2"/>
    <s v="Q2"/>
    <x v="0"/>
    <x v="9"/>
    <s v="KEPL/00195/82-83"/>
    <s v="MITHASH TRADE CONCERN PVT LTD"/>
    <x v="53"/>
    <n v="1"/>
    <n v="40"/>
    <n v="81.94"/>
    <n v="3277.6"/>
    <n v="-252.05"/>
    <n v="0"/>
    <n v="393.321617"/>
    <n v="3418.8716169999998"/>
  </r>
  <r>
    <x v="2"/>
    <s v="Q2"/>
    <x v="0"/>
    <x v="9"/>
    <s v="KEPL/00195/82-83"/>
    <s v="MITHASH TRADE CONCERN PVT LTD"/>
    <x v="56"/>
    <n v="3"/>
    <n v="2400"/>
    <n v="7.45"/>
    <n v="17880"/>
    <n v="-1374.97"/>
    <n v="0"/>
    <n v="2145.6545390000001"/>
    <n v="18650.684539000002"/>
  </r>
  <r>
    <x v="2"/>
    <s v="Q2"/>
    <x v="0"/>
    <x v="9"/>
    <s v="KEPL/00195/82-83"/>
    <s v="MITHASH TRADE CONCERN PVT LTD"/>
    <x v="4"/>
    <n v="2"/>
    <n v="40"/>
    <n v="175.05"/>
    <n v="7001.9999999999991"/>
    <n v="-538.45000000000005"/>
    <n v="0"/>
    <n v="840.26175000000001"/>
    <n v="7303.8117499999998"/>
  </r>
  <r>
    <x v="2"/>
    <s v="Q2"/>
    <x v="0"/>
    <x v="9"/>
    <s v="KEPL/00195/82-83"/>
    <s v="MITHASH TRADE CONCERN PVT LTD"/>
    <x v="36"/>
    <n v="1"/>
    <n v="40"/>
    <n v="81.94"/>
    <n v="3277.6"/>
    <n v="-252.05"/>
    <n v="0"/>
    <n v="393.321617"/>
    <n v="3418.8716169999998"/>
  </r>
  <r>
    <x v="2"/>
    <s v="Q2"/>
    <x v="0"/>
    <x v="9"/>
    <s v="KEPL/00196/82-83"/>
    <s v="B G TRADING CONCERN"/>
    <x v="58"/>
    <n v="1"/>
    <n v="40"/>
    <n v="111.74"/>
    <n v="4469.6000000000004"/>
    <n v="-343.71"/>
    <n v="0"/>
    <n v="536.365726"/>
    <n v="4662.2557260000003"/>
  </r>
  <r>
    <x v="2"/>
    <s v="Q2"/>
    <x v="0"/>
    <x v="9"/>
    <s v="KEPL/00196/82-83"/>
    <s v="B G TRADING CONCERN"/>
    <x v="3"/>
    <n v="5"/>
    <n v="100"/>
    <n v="186.23"/>
    <n v="18623"/>
    <n v="-1432.1100000000001"/>
    <n v="0"/>
    <n v="2234.8158089999997"/>
    <n v="19425.705808999999"/>
  </r>
  <r>
    <x v="2"/>
    <s v="Q2"/>
    <x v="0"/>
    <x v="9"/>
    <s v="KEPL/00196/82-83"/>
    <s v="B G TRADING CONCERN"/>
    <x v="49"/>
    <n v="2"/>
    <n v="30"/>
    <n v="260.72000000000003"/>
    <n v="7821.6"/>
    <n v="-601.48"/>
    <n v="0"/>
    <n v="938.61564599999997"/>
    <n v="8158.7356460000001"/>
  </r>
  <r>
    <x v="2"/>
    <s v="Q2"/>
    <x v="0"/>
    <x v="9"/>
    <s v="KEPL/00196/82-83"/>
    <s v="B G TRADING CONCERN"/>
    <x v="7"/>
    <n v="5"/>
    <n v="210"/>
    <n v="74.489999999999995"/>
    <n v="15642.9"/>
    <n v="-1202.94"/>
    <n v="0"/>
    <n v="1877.194892"/>
    <n v="16317.154892"/>
  </r>
  <r>
    <x v="2"/>
    <s v="Q2"/>
    <x v="0"/>
    <x v="9"/>
    <s v="KEPL/00196/82-83"/>
    <s v="B G TRADING CONCERN"/>
    <x v="36"/>
    <n v="1"/>
    <n v="40"/>
    <n v="81.94"/>
    <n v="3277.6"/>
    <n v="-252.05"/>
    <n v="0"/>
    <n v="393.32151900000002"/>
    <n v="3418.8715189999998"/>
  </r>
  <r>
    <x v="2"/>
    <s v="Q2"/>
    <x v="0"/>
    <x v="9"/>
    <s v="KEPL/00196/82-83"/>
    <s v="B G TRADING CONCERN"/>
    <x v="8"/>
    <n v="5"/>
    <n v="210"/>
    <n v="74.489999999999995"/>
    <n v="15642.9"/>
    <n v="-1202.94"/>
    <n v="0"/>
    <n v="1877.194892"/>
    <n v="16317.154892"/>
  </r>
  <r>
    <x v="2"/>
    <s v="Q2"/>
    <x v="0"/>
    <x v="9"/>
    <s v="KEPL/00196/82-83"/>
    <s v="B G TRADING CONCERN"/>
    <x v="39"/>
    <n v="1"/>
    <n v="20"/>
    <n v="249.55"/>
    <n v="4991"/>
    <n v="-383.81"/>
    <n v="0"/>
    <n v="598.93472900000006"/>
    <n v="5206.1247290000001"/>
  </r>
  <r>
    <x v="2"/>
    <s v="Q2"/>
    <x v="0"/>
    <x v="9"/>
    <s v="KEPL/00196/82-83"/>
    <s v="B G TRADING CONCERN"/>
    <x v="46"/>
    <n v="5"/>
    <n v="100"/>
    <n v="175.05"/>
    <n v="17505"/>
    <n v="-1346.1299999999999"/>
    <n v="0"/>
    <n v="2100.6532029999998"/>
    <n v="18259.523203000001"/>
  </r>
  <r>
    <x v="2"/>
    <s v="Q2"/>
    <x v="0"/>
    <x v="9"/>
    <s v="KEPL/00196/82-83"/>
    <s v="B G TRADING CONCERN"/>
    <x v="37"/>
    <n v="1"/>
    <n v="40"/>
    <n v="81.94"/>
    <n v="3277.6"/>
    <n v="-252.05"/>
    <n v="0"/>
    <n v="393.32151900000002"/>
    <n v="3418.8715189999998"/>
  </r>
  <r>
    <x v="2"/>
    <s v="Q2"/>
    <x v="0"/>
    <x v="9"/>
    <s v="KEPL/00196/82-83"/>
    <s v="B G TRADING CONCERN"/>
    <x v="41"/>
    <n v="2"/>
    <n v="80"/>
    <n v="67.040000000000006"/>
    <n v="5363.2"/>
    <n v="-412.43"/>
    <n v="0"/>
    <n v="643.60013100000003"/>
    <n v="5594.3701309999997"/>
  </r>
  <r>
    <x v="2"/>
    <s v="Q2"/>
    <x v="0"/>
    <x v="9"/>
    <s v="KEPL/00196/82-83"/>
    <s v="B G TRADING CONCERN"/>
    <x v="22"/>
    <n v="1"/>
    <n v="24"/>
    <n v="204.85"/>
    <n v="4916.4000000000005"/>
    <n v="-378.07"/>
    <n v="0"/>
    <n v="589.98292900000001"/>
    <n v="5128.3129289999997"/>
  </r>
  <r>
    <x v="2"/>
    <s v="Q2"/>
    <x v="0"/>
    <x v="9"/>
    <s v="KEPL/00196/82-83"/>
    <s v="B G TRADING CONCERN"/>
    <x v="12"/>
    <n v="5"/>
    <n v="650"/>
    <n v="33.520000000000003"/>
    <n v="21788"/>
    <n v="-1675.5000000000002"/>
    <n v="0"/>
    <n v="2614.6251280000001"/>
    <n v="22727.125128"/>
  </r>
  <r>
    <x v="2"/>
    <s v="Q2"/>
    <x v="0"/>
    <x v="9"/>
    <s v="KEPL/00196/82-83"/>
    <s v="B G TRADING CONCERN"/>
    <x v="10"/>
    <n v="5"/>
    <n v="210"/>
    <n v="74.489999999999995"/>
    <n v="15642.9"/>
    <n v="-1202.94"/>
    <n v="0"/>
    <n v="1877.194892"/>
    <n v="16317.154892"/>
  </r>
  <r>
    <x v="2"/>
    <s v="Q2"/>
    <x v="0"/>
    <x v="9"/>
    <s v="KEPL/00196/82-83"/>
    <s v="B G TRADING CONCERN"/>
    <x v="54"/>
    <n v="1"/>
    <n v="20"/>
    <n v="175.05"/>
    <n v="3500.9999999999995"/>
    <n v="-269.23"/>
    <n v="0"/>
    <n v="420.13012100000003"/>
    <n v="3651.9001210000001"/>
  </r>
  <r>
    <x v="2"/>
    <s v="Q2"/>
    <x v="0"/>
    <x v="9"/>
    <s v="KEPL/00196/82-83"/>
    <s v="B G TRADING CONCERN"/>
    <x v="55"/>
    <n v="2"/>
    <n v="40"/>
    <n v="175.05"/>
    <n v="7001.9999999999991"/>
    <n v="-538.45000000000005"/>
    <n v="0"/>
    <n v="840.26154100000008"/>
    <n v="7303.811541"/>
  </r>
  <r>
    <x v="2"/>
    <s v="Q2"/>
    <x v="0"/>
    <x v="9"/>
    <s v="KEPL/00196/82-83"/>
    <s v="B G TRADING CONCERN"/>
    <x v="57"/>
    <n v="2"/>
    <n v="80"/>
    <n v="111.74"/>
    <n v="8939.2000000000007"/>
    <n v="-687.42"/>
    <n v="0"/>
    <n v="1072.731452"/>
    <n v="9324.5114520000006"/>
  </r>
  <r>
    <x v="2"/>
    <s v="Q2"/>
    <x v="0"/>
    <x v="9"/>
    <s v="KEPL/00196/82-83"/>
    <s v="B G TRADING CONCERN"/>
    <x v="45"/>
    <n v="2"/>
    <n v="30"/>
    <n v="260.72000000000003"/>
    <n v="7821.6"/>
    <n v="-601.48"/>
    <n v="0"/>
    <n v="938.61564599999997"/>
    <n v="8158.7356460000001"/>
  </r>
  <r>
    <x v="2"/>
    <s v="Q2"/>
    <x v="0"/>
    <x v="9"/>
    <s v="KEPL/00196/82-83"/>
    <s v="B G TRADING CONCERN"/>
    <x v="5"/>
    <n v="2"/>
    <n v="360"/>
    <n v="18.62"/>
    <n v="6703.2"/>
    <n v="-515.48"/>
    <n v="0"/>
    <n v="804.403639"/>
    <n v="6992.1236390000004"/>
  </r>
  <r>
    <x v="2"/>
    <s v="Q2"/>
    <x v="0"/>
    <x v="9"/>
    <s v="KEPL/00196/82-83"/>
    <s v="B G TRADING CONCERN"/>
    <x v="56"/>
    <n v="1"/>
    <n v="800"/>
    <n v="7.45"/>
    <n v="5960"/>
    <n v="-458.32"/>
    <n v="0"/>
    <n v="715.218435"/>
    <n v="6216.8984350000001"/>
  </r>
  <r>
    <x v="2"/>
    <s v="Q2"/>
    <x v="0"/>
    <x v="9"/>
    <s v="KEPL/00196/82-83"/>
    <s v="B G TRADING CONCERN"/>
    <x v="35"/>
    <n v="1"/>
    <n v="60"/>
    <n v="145.26"/>
    <n v="8715.6"/>
    <n v="-670.23"/>
    <n v="0"/>
    <n v="1045.8981510000001"/>
    <n v="9091.2681510000002"/>
  </r>
  <r>
    <x v="2"/>
    <s v="Q2"/>
    <x v="0"/>
    <x v="9"/>
    <s v="KEPL/00197/82-83"/>
    <s v="B G TRADING CONCERN"/>
    <x v="19"/>
    <n v="1"/>
    <n v="40"/>
    <n v="81.94"/>
    <n v="3277.6"/>
    <n v="-252.05"/>
    <n v="0"/>
    <n v="393.32147399999997"/>
    <n v="3418.871474"/>
  </r>
  <r>
    <x v="2"/>
    <s v="Q2"/>
    <x v="0"/>
    <x v="9"/>
    <s v="KEPL/00197/82-83"/>
    <s v="B G TRADING CONCERN"/>
    <x v="48"/>
    <n v="1"/>
    <n v="20"/>
    <n v="204.85"/>
    <n v="4097"/>
    <n v="-315.06"/>
    <n v="0"/>
    <n v="491.65216799999996"/>
    <n v="4273.5921680000001"/>
  </r>
  <r>
    <x v="2"/>
    <s v="Q2"/>
    <x v="0"/>
    <x v="9"/>
    <s v="KEPL/00197/82-83"/>
    <s v="B G TRADING CONCERN"/>
    <x v="28"/>
    <n v="5"/>
    <n v="100"/>
    <n v="204.85"/>
    <n v="20485"/>
    <n v="-1575.3"/>
    <n v="0"/>
    <n v="2458.260839"/>
    <n v="21367.960838999999"/>
  </r>
  <r>
    <x v="2"/>
    <s v="Q2"/>
    <x v="0"/>
    <x v="9"/>
    <s v="KEPL/00197/82-83"/>
    <s v="B G TRADING CONCERN"/>
    <x v="59"/>
    <n v="1"/>
    <n v="20"/>
    <n v="204.85"/>
    <n v="4097"/>
    <n v="-315.06"/>
    <n v="0"/>
    <n v="491.65216799999996"/>
    <n v="4273.5921680000001"/>
  </r>
  <r>
    <x v="2"/>
    <s v="Q2"/>
    <x v="0"/>
    <x v="9"/>
    <s v="KEPL/00197/82-83"/>
    <s v="B G TRADING CONCERN"/>
    <x v="20"/>
    <n v="1"/>
    <n v="1600"/>
    <n v="1.79"/>
    <n v="2864"/>
    <n v="-220.24"/>
    <n v="0"/>
    <n v="343.68877700000002"/>
    <n v="2987.4487770000001"/>
  </r>
  <r>
    <x v="2"/>
    <s v="Q2"/>
    <x v="0"/>
    <x v="9"/>
    <s v="KEPL/00197/82-83"/>
    <s v="B G TRADING CONCERN"/>
    <x v="51"/>
    <n v="1"/>
    <n v="50"/>
    <n v="89.39"/>
    <n v="4469.5"/>
    <n v="-343.7"/>
    <n v="0"/>
    <n v="536.35396500000002"/>
    <n v="4662.1539650000004"/>
  </r>
  <r>
    <x v="2"/>
    <s v="Q2"/>
    <x v="0"/>
    <x v="9"/>
    <s v="KEPL/00197/82-83"/>
    <s v="B G TRADING CONCERN"/>
    <x v="29"/>
    <n v="2"/>
    <n v="40"/>
    <n v="204.85"/>
    <n v="8194"/>
    <n v="-630.12"/>
    <n v="0"/>
    <n v="983.30433599999992"/>
    <n v="8547.1843360000003"/>
  </r>
  <r>
    <x v="2"/>
    <s v="Q2"/>
    <x v="0"/>
    <x v="9"/>
    <s v="KEPL/00197/82-83"/>
    <s v="B G TRADING CONCERN"/>
    <x v="13"/>
    <n v="1"/>
    <n v="24"/>
    <n v="141.53"/>
    <n v="3396.72"/>
    <n v="-261.20999999999998"/>
    <n v="0"/>
    <n v="407.61627299999998"/>
    <n v="3543.1262729999999"/>
  </r>
  <r>
    <x v="2"/>
    <s v="Q2"/>
    <x v="0"/>
    <x v="9"/>
    <s v="KEPL/00198/82-83"/>
    <s v="R.P DISTRIBUTOR TRADE CENTER"/>
    <x v="46"/>
    <n v="10"/>
    <n v="200"/>
    <n v="175.05"/>
    <n v="35010"/>
    <n v="-2692.27"/>
    <n v="0"/>
    <n v="4201.3051270000005"/>
    <n v="36519.035127000003"/>
  </r>
  <r>
    <x v="2"/>
    <s v="Q2"/>
    <x v="0"/>
    <x v="9"/>
    <s v="KEPL/00198/82-83"/>
    <s v="R.P DISTRIBUTOR TRADE CENTER"/>
    <x v="3"/>
    <n v="1"/>
    <n v="20"/>
    <n v="186.23"/>
    <n v="3724.6000000000004"/>
    <n v="-286.42"/>
    <n v="0"/>
    <n v="446.96342399999997"/>
    <n v="3885.1434239999999"/>
  </r>
  <r>
    <x v="2"/>
    <s v="Q2"/>
    <x v="0"/>
    <x v="9"/>
    <s v="KEPL/00198/82-83"/>
    <s v="R.P DISTRIBUTOR TRADE CENTER"/>
    <x v="52"/>
    <n v="5"/>
    <n v="20"/>
    <n v="595.92999999999995"/>
    <n v="11918.6"/>
    <n v="-916.54"/>
    <n v="0"/>
    <n v="1430.267877"/>
    <n v="12432.327877"/>
  </r>
  <r>
    <x v="2"/>
    <s v="Q2"/>
    <x v="0"/>
    <x v="9"/>
    <s v="KEPL/00198/82-83"/>
    <s v="R.P DISTRIBUTOR TRADE CENTER"/>
    <x v="41"/>
    <n v="1"/>
    <n v="40"/>
    <n v="67.040000000000006"/>
    <n v="2681.6"/>
    <n v="-206.22"/>
    <n v="0"/>
    <n v="321.79941700000001"/>
    <n v="2797.1794169999998"/>
  </r>
  <r>
    <x v="2"/>
    <s v="Q2"/>
    <x v="0"/>
    <x v="9"/>
    <s v="KEPL/00198/82-83"/>
    <s v="R.P DISTRIBUTOR TRADE CENTER"/>
    <x v="49"/>
    <n v="5"/>
    <n v="75"/>
    <n v="260.72000000000003"/>
    <n v="19554"/>
    <n v="-1503.6999999999998"/>
    <n v="0"/>
    <n v="2346.539127"/>
    <n v="20396.839126999999"/>
  </r>
  <r>
    <x v="2"/>
    <s v="Q2"/>
    <x v="0"/>
    <x v="9"/>
    <s v="KEPL/00198/82-83"/>
    <s v="R.P DISTRIBUTOR TRADE CENTER"/>
    <x v="12"/>
    <n v="1"/>
    <n v="130"/>
    <n v="33.520000000000003"/>
    <n v="4357.6000000000004"/>
    <n v="-335.1"/>
    <n v="0"/>
    <n v="522.925028"/>
    <n v="4545.4250279999997"/>
  </r>
  <r>
    <x v="2"/>
    <s v="Q2"/>
    <x v="0"/>
    <x v="9"/>
    <s v="KEPL/00199/82-83"/>
    <s v="NAWA ATITHI STORES"/>
    <x v="12"/>
    <n v="3"/>
    <n v="390"/>
    <n v="33.520000000000003"/>
    <n v="13072.8"/>
    <n v="-1005.3"/>
    <n v="0"/>
    <n v="1568.775122"/>
    <n v="13636.275121999999"/>
  </r>
  <r>
    <x v="2"/>
    <s v="Q2"/>
    <x v="0"/>
    <x v="9"/>
    <s v="KEPL/00199/82-83"/>
    <s v="NAWA ATITHI STORES"/>
    <x v="41"/>
    <n v="1"/>
    <n v="40"/>
    <n v="67.040000000000006"/>
    <n v="2681.6"/>
    <n v="-206.22"/>
    <n v="0"/>
    <n v="321.79942499999999"/>
    <n v="2797.1794249999998"/>
  </r>
  <r>
    <x v="2"/>
    <s v="Q2"/>
    <x v="0"/>
    <x v="9"/>
    <s v="KEPL/00199/82-83"/>
    <s v="NAWA ATITHI STORES"/>
    <x v="17"/>
    <n v="2"/>
    <n v="40"/>
    <n v="201.13"/>
    <n v="8045.2"/>
    <n v="-618.67999999999995"/>
    <n v="0"/>
    <n v="965.447675"/>
    <n v="8391.9676749999999"/>
  </r>
  <r>
    <x v="2"/>
    <s v="Q2"/>
    <x v="0"/>
    <x v="9"/>
    <s v="KEPL/00199/82-83"/>
    <s v="NAWA ATITHI STORES"/>
    <x v="52"/>
    <n v="2"/>
    <n v="8"/>
    <n v="595.92999999999995"/>
    <n v="4767.4399999999996"/>
    <n v="-366.62"/>
    <n v="0"/>
    <n v="572.10664499999996"/>
    <n v="4972.9266449999996"/>
  </r>
  <r>
    <x v="2"/>
    <s v="Q2"/>
    <x v="0"/>
    <x v="9"/>
    <s v="KEPL/00199/82-83"/>
    <s v="NAWA ATITHI STORES"/>
    <x v="31"/>
    <n v="1"/>
    <n v="60"/>
    <n v="111.74"/>
    <n v="6704.4"/>
    <n v="-515.57000000000005"/>
    <n v="0"/>
    <n v="804.54796299999998"/>
    <n v="6993.3779629999999"/>
  </r>
  <r>
    <x v="2"/>
    <s v="Q2"/>
    <x v="0"/>
    <x v="9"/>
    <s v="KEPL/00199/82-83"/>
    <s v="NAWA ATITHI STORES"/>
    <x v="10"/>
    <n v="3"/>
    <n v="126"/>
    <n v="74.489999999999995"/>
    <n v="9385.74"/>
    <n v="-721.76"/>
    <n v="0"/>
    <n v="1126.3174880000001"/>
    <n v="9790.2974880000002"/>
  </r>
  <r>
    <x v="2"/>
    <s v="Q2"/>
    <x v="0"/>
    <x v="9"/>
    <s v="KEPL/00199/82-83"/>
    <s v="NAWA ATITHI STORES"/>
    <x v="13"/>
    <n v="1"/>
    <n v="24"/>
    <n v="141.53"/>
    <n v="3396.72"/>
    <n v="-261.20999999999998"/>
    <n v="0"/>
    <n v="407.616332"/>
    <n v="3543.1263319999998"/>
  </r>
  <r>
    <x v="2"/>
    <s v="Q2"/>
    <x v="0"/>
    <x v="9"/>
    <s v="KEPL/00199/82-83"/>
    <s v="NAWA ATITHI STORES"/>
    <x v="7"/>
    <n v="5"/>
    <n v="210"/>
    <n v="74.489999999999995"/>
    <n v="15642.9"/>
    <n v="-1202.94"/>
    <n v="0"/>
    <n v="1877.1949460000001"/>
    <n v="16317.154946000001"/>
  </r>
  <r>
    <x v="2"/>
    <s v="Q2"/>
    <x v="0"/>
    <x v="9"/>
    <s v="KEPL/00199/82-83"/>
    <s v="NAWA ATITHI STORES"/>
    <x v="23"/>
    <n v="1"/>
    <n v="600"/>
    <n v="7.45"/>
    <n v="4470"/>
    <n v="-343.74"/>
    <n v="0"/>
    <n v="536.41384200000005"/>
    <n v="4662.6738420000001"/>
  </r>
  <r>
    <x v="2"/>
    <s v="Q2"/>
    <x v="0"/>
    <x v="9"/>
    <s v="KEPL/00199/82-83"/>
    <s v="NAWA ATITHI STORES"/>
    <x v="8"/>
    <n v="3"/>
    <n v="126"/>
    <n v="74.489999999999995"/>
    <n v="9385.74"/>
    <n v="-721.76"/>
    <n v="0"/>
    <n v="1126.3174880000001"/>
    <n v="9790.2974880000002"/>
  </r>
  <r>
    <x v="2"/>
    <s v="Q2"/>
    <x v="0"/>
    <x v="9"/>
    <s v="KEPL/00199/82-83"/>
    <s v="NAWA ATITHI STORES"/>
    <x v="32"/>
    <n v="1"/>
    <n v="60"/>
    <n v="111.74"/>
    <n v="6704.4"/>
    <n v="-515.57000000000005"/>
    <n v="0"/>
    <n v="804.54796299999998"/>
    <n v="6993.3779629999999"/>
  </r>
  <r>
    <x v="2"/>
    <s v="Q2"/>
    <x v="0"/>
    <x v="9"/>
    <s v="KEPL/00199/82-83"/>
    <s v="NAWA ATITHI STORES"/>
    <x v="29"/>
    <n v="2"/>
    <n v="40"/>
    <n v="204.85"/>
    <n v="8194"/>
    <n v="-630.12"/>
    <n v="0"/>
    <n v="983.30447699999991"/>
    <n v="8547.1844770000007"/>
  </r>
  <r>
    <x v="2"/>
    <s v="Q2"/>
    <x v="0"/>
    <x v="9"/>
    <s v="KEPL/00199/82-83"/>
    <s v="NAWA ATITHI STORES"/>
    <x v="35"/>
    <n v="3"/>
    <n v="180"/>
    <n v="145.26"/>
    <n v="26146.799999999999"/>
    <n v="-2010.6899999999998"/>
    <n v="0"/>
    <n v="3137.6945440000004"/>
    <n v="27273.804543999999"/>
  </r>
  <r>
    <x v="2"/>
    <s v="Q2"/>
    <x v="0"/>
    <x v="9"/>
    <s v="KEPL/00199/82-83"/>
    <s v="NAWA ATITHI STORES"/>
    <x v="28"/>
    <n v="2"/>
    <n v="40"/>
    <n v="204.85"/>
    <n v="8194"/>
    <n v="-630.12"/>
    <n v="0"/>
    <n v="983.30447699999991"/>
    <n v="8547.1844770000007"/>
  </r>
  <r>
    <x v="2"/>
    <s v="Q2"/>
    <x v="0"/>
    <x v="9"/>
    <s v="KEPL/00199/82-83"/>
    <s v="NAWA ATITHI STORES"/>
    <x v="39"/>
    <n v="1"/>
    <n v="20"/>
    <n v="249.55"/>
    <n v="4991"/>
    <n v="-383.81"/>
    <n v="0"/>
    <n v="598.9347469999999"/>
    <n v="5206.1247469999998"/>
  </r>
  <r>
    <x v="2"/>
    <s v="Q2"/>
    <x v="0"/>
    <x v="9"/>
    <s v="KEPL/00199/82-83"/>
    <s v="NAWA ATITHI STORES"/>
    <x v="3"/>
    <n v="2"/>
    <n v="40"/>
    <n v="186.23"/>
    <n v="7449.2000000000007"/>
    <n v="-572.84"/>
    <n v="0"/>
    <n v="893.92687000000001"/>
    <n v="7770.2868699999999"/>
  </r>
  <r>
    <x v="2"/>
    <s v="Q2"/>
    <x v="0"/>
    <x v="9"/>
    <s v="KEPL/00200/82-83"/>
    <s v="CHHATRA DEV GENERAL SUPPLIERS"/>
    <x v="43"/>
    <n v="1"/>
    <n v="60"/>
    <n v="111.74"/>
    <n v="6704.4"/>
    <n v="-515.57000000000005"/>
    <n v="0"/>
    <n v="804.54805600000009"/>
    <n v="6993.3780559999996"/>
  </r>
  <r>
    <x v="2"/>
    <s v="Q2"/>
    <x v="0"/>
    <x v="9"/>
    <s v="KEPL/00200/82-83"/>
    <s v="CHHATRA DEV GENERAL SUPPLIERS"/>
    <x v="8"/>
    <n v="5"/>
    <n v="210"/>
    <n v="74.489999999999995"/>
    <n v="15642.9"/>
    <n v="-1202.94"/>
    <n v="0"/>
    <n v="1877.1951650000001"/>
    <n v="16317.155165"/>
  </r>
  <r>
    <x v="2"/>
    <s v="Q2"/>
    <x v="0"/>
    <x v="9"/>
    <s v="KEPL/00200/82-83"/>
    <s v="CHHATRA DEV GENERAL SUPPLIERS"/>
    <x v="41"/>
    <n v="1"/>
    <n v="40"/>
    <n v="67.040000000000006"/>
    <n v="2681.6"/>
    <n v="-206.22"/>
    <n v="0"/>
    <n v="321.79946299999995"/>
    <n v="2797.1794629999999"/>
  </r>
  <r>
    <x v="2"/>
    <s v="Q2"/>
    <x v="0"/>
    <x v="9"/>
    <s v="KEPL/00200/82-83"/>
    <s v="CHHATRA DEV GENERAL SUPPLIERS"/>
    <x v="10"/>
    <n v="5"/>
    <n v="210"/>
    <n v="74.489999999999995"/>
    <n v="15642.9"/>
    <n v="-1202.94"/>
    <n v="0"/>
    <n v="1877.1951650000001"/>
    <n v="16317.155165"/>
  </r>
  <r>
    <x v="2"/>
    <s v="Q2"/>
    <x v="0"/>
    <x v="9"/>
    <s v="KEPL/00200/82-83"/>
    <s v="CHHATRA DEV GENERAL SUPPLIERS"/>
    <x v="36"/>
    <n v="2"/>
    <n v="80"/>
    <n v="81.94"/>
    <n v="6555.2"/>
    <n v="-504.09"/>
    <n v="0"/>
    <n v="786.644453"/>
    <n v="6837.7544529999996"/>
  </r>
  <r>
    <x v="2"/>
    <s v="Q2"/>
    <x v="0"/>
    <x v="9"/>
    <s v="KEPL/00200/82-83"/>
    <s v="CHHATRA DEV GENERAL SUPPLIERS"/>
    <x v="12"/>
    <n v="5"/>
    <n v="650"/>
    <n v="37.25"/>
    <n v="24212.5"/>
    <n v="-1861.9399999999998"/>
    <n v="0"/>
    <n v="2905.5733650000002"/>
    <n v="25256.133365000002"/>
  </r>
  <r>
    <x v="2"/>
    <s v="Q2"/>
    <x v="0"/>
    <x v="9"/>
    <s v="KEPL/00200/82-83"/>
    <s v="CHHATRA DEV GENERAL SUPPLIERS"/>
    <x v="32"/>
    <n v="1"/>
    <n v="60"/>
    <n v="111.74"/>
    <n v="6704.4"/>
    <n v="-515.57000000000005"/>
    <n v="0"/>
    <n v="804.54805600000009"/>
    <n v="6993.3780559999996"/>
  </r>
  <r>
    <x v="2"/>
    <s v="Q2"/>
    <x v="0"/>
    <x v="9"/>
    <s v="KEPL/00200/82-83"/>
    <s v="CHHATRA DEV GENERAL SUPPLIERS"/>
    <x v="58"/>
    <n v="3"/>
    <n v="120"/>
    <n v="111.74"/>
    <n v="13408.8"/>
    <n v="-1031.1400000000001"/>
    <n v="0"/>
    <n v="1609.0961130000001"/>
    <n v="13986.756112999999"/>
  </r>
  <r>
    <x v="2"/>
    <s v="Q2"/>
    <x v="0"/>
    <x v="9"/>
    <s v="KEPL/00200/82-83"/>
    <s v="CHHATRA DEV GENERAL SUPPLIERS"/>
    <x v="7"/>
    <n v="10"/>
    <n v="420"/>
    <n v="74.489999999999995"/>
    <n v="31285.8"/>
    <n v="-2405.88"/>
    <n v="0"/>
    <n v="3754.3903300000002"/>
    <n v="32634.31033"/>
  </r>
  <r>
    <x v="2"/>
    <s v="Q2"/>
    <x v="0"/>
    <x v="9"/>
    <s v="KEPL/00200/82-83"/>
    <s v="CHHATRA DEV GENERAL SUPPLIERS"/>
    <x v="23"/>
    <n v="1"/>
    <n v="600"/>
    <n v="7.45"/>
    <n v="4470"/>
    <n v="-343.74"/>
    <n v="0"/>
    <n v="536.413904"/>
    <n v="4662.6739040000002"/>
  </r>
  <r>
    <x v="2"/>
    <s v="Q2"/>
    <x v="0"/>
    <x v="9"/>
    <s v="KEPL/00200/82-83"/>
    <s v="CHHATRA DEV GENERAL SUPPLIERS"/>
    <x v="35"/>
    <n v="3"/>
    <n v="180"/>
    <n v="145.26"/>
    <n v="26146.799999999999"/>
    <n v="-2010.6899999999998"/>
    <n v="0"/>
    <n v="3137.6949099999997"/>
    <n v="27273.804909999999"/>
  </r>
  <r>
    <x v="2"/>
    <s v="Q2"/>
    <x v="0"/>
    <x v="9"/>
    <s v="KEPL/00200/82-83"/>
    <s v="CHHATRA DEV GENERAL SUPPLIERS"/>
    <x v="37"/>
    <n v="2"/>
    <n v="80"/>
    <n v="81.94"/>
    <n v="6555.2"/>
    <n v="-504.09"/>
    <n v="0"/>
    <n v="786.644453"/>
    <n v="6837.7544529999996"/>
  </r>
  <r>
    <x v="2"/>
    <s v="Q2"/>
    <x v="0"/>
    <x v="9"/>
    <s v="KEPL/00200/82-83"/>
    <s v="CHHATRA DEV GENERAL SUPPLIERS"/>
    <x v="31"/>
    <n v="1"/>
    <n v="60"/>
    <n v="111.74"/>
    <n v="6704.4"/>
    <n v="-515.57000000000005"/>
    <n v="0"/>
    <n v="804.54805600000009"/>
    <n v="6993.3780559999996"/>
  </r>
  <r>
    <x v="2"/>
    <s v="Q2"/>
    <x v="0"/>
    <x v="9"/>
    <s v="KEPL/00200/82-83"/>
    <s v="CHHATRA DEV GENERAL SUPPLIERS"/>
    <x v="39"/>
    <n v="2"/>
    <n v="40"/>
    <n v="249.55"/>
    <n v="9982"/>
    <n v="-767.62"/>
    <n v="0"/>
    <n v="1197.869633"/>
    <n v="10412.249632999999"/>
  </r>
  <r>
    <x v="2"/>
    <s v="Q2"/>
    <x v="0"/>
    <x v="9"/>
    <s v="KEPL/00200/82-83"/>
    <s v="CHHATRA DEV GENERAL SUPPLIERS"/>
    <x v="22"/>
    <n v="1"/>
    <n v="24"/>
    <n v="204.85"/>
    <n v="4916.4000000000005"/>
    <n v="-378.07"/>
    <n v="0"/>
    <n v="589.98301500000002"/>
    <n v="5128.3130149999997"/>
  </r>
  <r>
    <x v="2"/>
    <s v="Q2"/>
    <x v="0"/>
    <x v="9"/>
    <s v="KEPL/00200/82-83"/>
    <s v="CHHATRA DEV GENERAL SUPPLIERS"/>
    <x v="40"/>
    <n v="1"/>
    <n v="600"/>
    <n v="7.45"/>
    <n v="4470"/>
    <n v="-343.74"/>
    <n v="0"/>
    <n v="536.413904"/>
    <n v="4662.6739040000002"/>
  </r>
  <r>
    <x v="2"/>
    <s v="Q2"/>
    <x v="0"/>
    <x v="9"/>
    <s v="KEPL/00200/82-83"/>
    <s v="CHHATRA DEV GENERAL SUPPLIERS"/>
    <x v="52"/>
    <n v="2"/>
    <n v="8"/>
    <n v="595.92999999999995"/>
    <n v="4767.4399999999996"/>
    <n v="-366.62"/>
    <n v="0"/>
    <n v="572.10671100000002"/>
    <n v="4972.9267110000001"/>
  </r>
  <r>
    <x v="2"/>
    <s v="Q2"/>
    <x v="0"/>
    <x v="9"/>
    <s v="KEPL/00200/82-83"/>
    <s v="CHHATRA DEV GENERAL SUPPLIERS"/>
    <x v="20"/>
    <n v="1"/>
    <n v="1600"/>
    <n v="1.79"/>
    <n v="2864"/>
    <n v="-220.24"/>
    <n v="0"/>
    <n v="343.68886700000002"/>
    <n v="2987.4488670000001"/>
  </r>
  <r>
    <x v="2"/>
    <s v="Q2"/>
    <x v="0"/>
    <x v="9"/>
    <s v="KEPL/00200/82-83"/>
    <s v="CHHATRA DEV GENERAL SUPPLIERS"/>
    <x v="13"/>
    <n v="1"/>
    <n v="24"/>
    <n v="141.53"/>
    <n v="3396.72"/>
    <n v="-261.20999999999998"/>
    <n v="0"/>
    <n v="407.61637899999999"/>
    <n v="3543.1263789999998"/>
  </r>
  <r>
    <x v="2"/>
    <s v="Q2"/>
    <x v="0"/>
    <x v="10"/>
    <s v="KEPL/00233/82-83"/>
    <s v="NILLONS L&amp;D"/>
    <x v="16"/>
    <n v="0.05"/>
    <n v="1"/>
    <n v="204.85"/>
    <n v="204.85"/>
    <n v="-15.75"/>
    <n v="0"/>
    <n v="24.582803999999999"/>
    <n v="213.682804"/>
  </r>
  <r>
    <x v="2"/>
    <s v="Q2"/>
    <x v="0"/>
    <x v="10"/>
    <s v="KEPL/00233/82-83"/>
    <s v="NILLONS L&amp;D"/>
    <x v="23"/>
    <n v="0"/>
    <n v="1"/>
    <n v="7.45"/>
    <n v="7.45"/>
    <n v="-0.56999999999999995"/>
    <n v="0"/>
    <n v="0.89439299999999999"/>
    <n v="7.7743929999999999"/>
  </r>
  <r>
    <x v="2"/>
    <s v="Q2"/>
    <x v="0"/>
    <x v="10"/>
    <s v="KEPL/00233/82-83"/>
    <s v="NILLONS L&amp;D"/>
    <x v="3"/>
    <n v="0.05"/>
    <n v="1"/>
    <n v="186.23"/>
    <n v="186.23"/>
    <n v="-14.32"/>
    <n v="0"/>
    <n v="22.348120999999999"/>
    <n v="194.25812099999999"/>
  </r>
  <r>
    <x v="2"/>
    <s v="Q2"/>
    <x v="0"/>
    <x v="10"/>
    <s v="KEPL/00233/82-83"/>
    <s v="NILLONS L&amp;D"/>
    <x v="21"/>
    <n v="0"/>
    <n v="1"/>
    <n v="18.62"/>
    <n v="18.62"/>
    <n v="-1.43"/>
    <n v="0"/>
    <n v="2.2346819999999998"/>
    <n v="19.424682000000001"/>
  </r>
  <r>
    <x v="2"/>
    <s v="Q2"/>
    <x v="0"/>
    <x v="10"/>
    <s v="KEPL/00238/82-83"/>
    <s v="S GAUTAM STORE"/>
    <x v="53"/>
    <n v="1"/>
    <n v="40"/>
    <n v="81.94"/>
    <n v="3277.6"/>
    <n v="-252.05"/>
    <n v="0"/>
    <n v="393.321572"/>
    <n v="3418.871572"/>
  </r>
  <r>
    <x v="2"/>
    <s v="Q2"/>
    <x v="0"/>
    <x v="10"/>
    <s v="KEPL/00238/82-83"/>
    <s v="S GAUTAM STORE"/>
    <x v="34"/>
    <n v="1"/>
    <n v="40"/>
    <n v="67.040000000000006"/>
    <n v="2681.6"/>
    <n v="-206.22"/>
    <n v="0"/>
    <n v="321.79945900000001"/>
    <n v="2797.179459"/>
  </r>
  <r>
    <x v="2"/>
    <s v="Q2"/>
    <x v="0"/>
    <x v="10"/>
    <s v="KEPL/00238/82-83"/>
    <s v="S GAUTAM STORE"/>
    <x v="37"/>
    <n v="1"/>
    <n v="40"/>
    <n v="81.94"/>
    <n v="3277.6"/>
    <n v="-252.05"/>
    <n v="0"/>
    <n v="393.321572"/>
    <n v="3418.871572"/>
  </r>
  <r>
    <x v="2"/>
    <s v="Q2"/>
    <x v="0"/>
    <x v="10"/>
    <s v="KEPL/00238/82-83"/>
    <s v="S GAUTAM STORE"/>
    <x v="35"/>
    <n v="1"/>
    <n v="60"/>
    <n v="145.26"/>
    <n v="8715.6"/>
    <n v="-670.23"/>
    <n v="0"/>
    <n v="1045.898293"/>
    <n v="9091.2682929999992"/>
  </r>
  <r>
    <x v="2"/>
    <s v="Q2"/>
    <x v="0"/>
    <x v="10"/>
    <s v="KEPL/00238/82-83"/>
    <s v="S GAUTAM STORE"/>
    <x v="56"/>
    <n v="1"/>
    <n v="800"/>
    <n v="7.46"/>
    <n v="5968"/>
    <n v="-458.94"/>
    <n v="0"/>
    <n v="716.17793199999994"/>
    <n v="6225.237932"/>
  </r>
  <r>
    <x v="2"/>
    <s v="Q2"/>
    <x v="0"/>
    <x v="10"/>
    <s v="KEPL/00238/82-83"/>
    <s v="S GAUTAM STORE"/>
    <x v="39"/>
    <n v="2"/>
    <n v="40"/>
    <n v="249.55"/>
    <n v="9982"/>
    <n v="-767.62"/>
    <n v="0"/>
    <n v="1197.8696210000001"/>
    <n v="10412.249621000001"/>
  </r>
  <r>
    <x v="2"/>
    <s v="Q2"/>
    <x v="0"/>
    <x v="10"/>
    <s v="KEPL/00238/82-83"/>
    <s v="S GAUTAM STORE"/>
    <x v="0"/>
    <n v="2"/>
    <n v="80"/>
    <n v="111.74"/>
    <n v="8939.2000000000007"/>
    <n v="-687.42"/>
    <n v="0"/>
    <n v="1072.7315979999998"/>
    <n v="9324.5115979999991"/>
  </r>
  <r>
    <x v="2"/>
    <s v="Q2"/>
    <x v="0"/>
    <x v="10"/>
    <s v="KEPL/00238/82-83"/>
    <s v="S GAUTAM STORE"/>
    <x v="15"/>
    <n v="1"/>
    <n v="20"/>
    <n v="175.05"/>
    <n v="3500.9999999999995"/>
    <n v="-269.23"/>
    <n v="0"/>
    <n v="420.130177"/>
    <n v="3651.900177"/>
  </r>
  <r>
    <x v="2"/>
    <s v="Q2"/>
    <x v="0"/>
    <x v="10"/>
    <s v="KEPL/00238/82-83"/>
    <s v="S GAUTAM STORE"/>
    <x v="8"/>
    <n v="3"/>
    <n v="126"/>
    <n v="74.489999999999995"/>
    <n v="9385.74"/>
    <n v="-721.76"/>
    <n v="0"/>
    <n v="1126.317607"/>
    <n v="9790.2976070000004"/>
  </r>
  <r>
    <x v="2"/>
    <s v="Q2"/>
    <x v="0"/>
    <x v="10"/>
    <s v="KEPL/00238/82-83"/>
    <s v="S GAUTAM STORE"/>
    <x v="12"/>
    <n v="2"/>
    <n v="260"/>
    <n v="37.25"/>
    <n v="9685"/>
    <n v="-744.78"/>
    <n v="0"/>
    <n v="1162.2288139999998"/>
    <n v="10102.448813999999"/>
  </r>
  <r>
    <x v="2"/>
    <s v="Q2"/>
    <x v="0"/>
    <x v="10"/>
    <s v="KEPL/00238/82-83"/>
    <s v="S GAUTAM STORE"/>
    <x v="33"/>
    <n v="2"/>
    <n v="80"/>
    <n v="67.040000000000006"/>
    <n v="5363.2"/>
    <n v="-412.43"/>
    <n v="0"/>
    <n v="643.60021899999992"/>
    <n v="5594.3702190000004"/>
  </r>
  <r>
    <x v="2"/>
    <s v="Q2"/>
    <x v="0"/>
    <x v="10"/>
    <s v="KEPL/00238/82-83"/>
    <s v="S GAUTAM STORE"/>
    <x v="52"/>
    <n v="2"/>
    <n v="8"/>
    <n v="595.92999999999995"/>
    <n v="4767.4399999999996"/>
    <n v="-366.62"/>
    <n v="0"/>
    <n v="572.10670500000003"/>
    <n v="4972.9267049999999"/>
  </r>
  <r>
    <x v="2"/>
    <s v="Q2"/>
    <x v="0"/>
    <x v="10"/>
    <s v="KEPL/00238/82-83"/>
    <s v="S GAUTAM STORE"/>
    <x v="41"/>
    <n v="1"/>
    <n v="40"/>
    <n v="67.040000000000006"/>
    <n v="2681.6"/>
    <n v="-206.22"/>
    <n v="0"/>
    <n v="321.79945900000001"/>
    <n v="2797.179459"/>
  </r>
  <r>
    <x v="2"/>
    <s v="Q2"/>
    <x v="0"/>
    <x v="10"/>
    <s v="KEPL/00238/82-83"/>
    <s v="S GAUTAM STORE"/>
    <x v="36"/>
    <n v="1"/>
    <n v="40"/>
    <n v="81.94"/>
    <n v="3277.6"/>
    <n v="-252.05"/>
    <n v="0"/>
    <n v="393.321572"/>
    <n v="3418.871572"/>
  </r>
  <r>
    <x v="2"/>
    <s v="Q2"/>
    <x v="0"/>
    <x v="10"/>
    <s v="KEPL/00238/82-83"/>
    <s v="S GAUTAM STORE"/>
    <x v="38"/>
    <n v="1"/>
    <n v="24"/>
    <n v="186.23"/>
    <n v="4469.5200000000004"/>
    <n v="-343.71"/>
    <n v="0"/>
    <n v="536.35539899999992"/>
    <n v="4662.1653990000004"/>
  </r>
  <r>
    <x v="2"/>
    <s v="Q2"/>
    <x v="0"/>
    <x v="10"/>
    <s v="KEPL/00239/82-83"/>
    <s v="S GAUTAM STORE"/>
    <x v="30"/>
    <n v="1"/>
    <n v="20"/>
    <n v="242.1"/>
    <n v="4841.9999999999991"/>
    <n v="-372.35"/>
    <n v="0"/>
    <n v="581.05470500000001"/>
    <n v="5050.7047050000001"/>
  </r>
  <r>
    <x v="2"/>
    <s v="Q2"/>
    <x v="0"/>
    <x v="10"/>
    <s v="KEPL/00239/82-83"/>
    <s v="S GAUTAM STORE"/>
    <x v="22"/>
    <n v="1"/>
    <n v="24"/>
    <n v="204.85"/>
    <n v="4916.4000000000005"/>
    <n v="-378.07"/>
    <n v="0"/>
    <n v="589.98310800000002"/>
    <n v="5128.3131080000003"/>
  </r>
  <r>
    <x v="2"/>
    <s v="Q2"/>
    <x v="0"/>
    <x v="10"/>
    <s v="KEPL/00239/82-83"/>
    <s v="S GAUTAM STORE"/>
    <x v="7"/>
    <n v="2.5"/>
    <n v="105"/>
    <n v="74.489999999999995"/>
    <n v="7821.45"/>
    <n v="-601.47"/>
    <n v="0"/>
    <n v="938.59773199999995"/>
    <n v="8158.5777319999997"/>
  </r>
  <r>
    <x v="2"/>
    <s v="Q2"/>
    <x v="0"/>
    <x v="10"/>
    <s v="KEPL/00239/82-83"/>
    <s v="S GAUTAM STORE"/>
    <x v="20"/>
    <n v="1"/>
    <n v="1600"/>
    <n v="1.79"/>
    <n v="2864"/>
    <n v="-220.24"/>
    <n v="0"/>
    <n v="343.68892100000005"/>
    <n v="2987.4489210000002"/>
  </r>
  <r>
    <x v="2"/>
    <s v="Q2"/>
    <x v="0"/>
    <x v="10"/>
    <s v="KEPL/00239/82-83"/>
    <s v="S GAUTAM STORE"/>
    <x v="1"/>
    <n v="1"/>
    <n v="40"/>
    <n v="111.74"/>
    <n v="4469.6000000000004"/>
    <n v="-343.71"/>
    <n v="0"/>
    <n v="536.36589000000004"/>
    <n v="4662.2558900000004"/>
  </r>
  <r>
    <x v="2"/>
    <s v="Q2"/>
    <x v="0"/>
    <x v="10"/>
    <s v="KEPL/00239/82-83"/>
    <s v="S GAUTAM STORE"/>
    <x v="51"/>
    <n v="1"/>
    <n v="50"/>
    <n v="89.39"/>
    <n v="4469.5"/>
    <n v="-343.7"/>
    <n v="0"/>
    <n v="536.35419000000002"/>
    <n v="4662.1541900000002"/>
  </r>
  <r>
    <x v="2"/>
    <s v="Q2"/>
    <x v="0"/>
    <x v="10"/>
    <s v="KEPL/00239/82-83"/>
    <s v="S GAUTAM STORE"/>
    <x v="57"/>
    <n v="1"/>
    <n v="40"/>
    <n v="111.74"/>
    <n v="4469.6000000000004"/>
    <n v="-343.71"/>
    <n v="0"/>
    <n v="536.36589000000004"/>
    <n v="4662.2558900000004"/>
  </r>
  <r>
    <x v="2"/>
    <s v="Q2"/>
    <x v="0"/>
    <x v="10"/>
    <s v="KEPL/00239/82-83"/>
    <s v="S GAUTAM STORE"/>
    <x v="50"/>
    <n v="1"/>
    <n v="240"/>
    <n v="14.9"/>
    <n v="3576"/>
    <n v="-274.99"/>
    <n v="0"/>
    <n v="429.13145200000002"/>
    <n v="3730.1414519999998"/>
  </r>
  <r>
    <x v="2"/>
    <s v="Q2"/>
    <x v="0"/>
    <x v="10"/>
    <s v="KEPL/00239/82-83"/>
    <s v="S GAUTAM STORE"/>
    <x v="4"/>
    <n v="2"/>
    <n v="40"/>
    <n v="175.05"/>
    <n v="7001.9999999999991"/>
    <n v="-538.45000000000005"/>
    <n v="0"/>
    <n v="840.261797"/>
    <n v="7303.8117970000003"/>
  </r>
  <r>
    <x v="2"/>
    <s v="Q2"/>
    <x v="0"/>
    <x v="10"/>
    <s v="KEPL/00239/82-83"/>
    <s v="S GAUTAM STORE"/>
    <x v="47"/>
    <n v="3"/>
    <n v="120"/>
    <n v="111.74"/>
    <n v="13408.8"/>
    <n v="-1031.1400000000001"/>
    <n v="0"/>
    <n v="1609.0963690000001"/>
    <n v="13986.756369000001"/>
  </r>
  <r>
    <x v="2"/>
    <s v="Q2"/>
    <x v="0"/>
    <x v="10"/>
    <s v="KEPL/00239/82-83"/>
    <s v="S GAUTAM STORE"/>
    <x v="46"/>
    <n v="3"/>
    <n v="60"/>
    <n v="175.05"/>
    <n v="10503"/>
    <n v="-807.68"/>
    <n v="0"/>
    <n v="1260.3920450000001"/>
    <n v="10955.712045"/>
  </r>
  <r>
    <x v="2"/>
    <s v="Q2"/>
    <x v="0"/>
    <x v="10"/>
    <s v="KEPL/00239/82-83"/>
    <s v="S GAUTAM STORE"/>
    <x v="10"/>
    <n v="4"/>
    <n v="168"/>
    <n v="74.489999999999995"/>
    <n v="12514.32"/>
    <n v="-962.35"/>
    <n v="0"/>
    <n v="1501.756631"/>
    <n v="13053.726631"/>
  </r>
  <r>
    <x v="2"/>
    <s v="Q2"/>
    <x v="0"/>
    <x v="10"/>
    <s v="KEPL/00239/82-83"/>
    <s v="S GAUTAM STORE"/>
    <x v="44"/>
    <n v="1"/>
    <n v="24"/>
    <n v="186.23"/>
    <n v="4469.5200000000004"/>
    <n v="-343.71"/>
    <n v="0"/>
    <n v="536.35549000000003"/>
    <n v="4662.1654900000003"/>
  </r>
  <r>
    <x v="2"/>
    <s v="Q2"/>
    <x v="0"/>
    <x v="10"/>
    <s v="KEPL/00239/82-83"/>
    <s v="S GAUTAM STORE"/>
    <x v="45"/>
    <n v="1"/>
    <n v="15"/>
    <n v="260.72000000000003"/>
    <n v="3910.8"/>
    <n v="-300.74"/>
    <n v="0"/>
    <n v="469.30796600000002"/>
    <n v="4079.3679659999998"/>
  </r>
  <r>
    <x v="2"/>
    <s v="Q2"/>
    <x v="0"/>
    <x v="10"/>
    <s v="KEPL/00239/82-83"/>
    <s v="S GAUTAM STORE"/>
    <x v="49"/>
    <n v="2"/>
    <n v="30"/>
    <n v="260.72000000000003"/>
    <n v="7821.6"/>
    <n v="-601.48"/>
    <n v="0"/>
    <n v="938.61593200000004"/>
    <n v="8158.7359319999996"/>
  </r>
  <r>
    <x v="2"/>
    <s v="Q2"/>
    <x v="0"/>
    <x v="10"/>
    <s v="KEPL/00239/82-83"/>
    <s v="S GAUTAM STORE"/>
    <x v="23"/>
    <n v="1"/>
    <n v="600"/>
    <n v="7.45"/>
    <n v="4470"/>
    <n v="-343.74"/>
    <n v="0"/>
    <n v="536.41399000000001"/>
    <n v="4662.6739900000002"/>
  </r>
  <r>
    <x v="2"/>
    <s v="Q2"/>
    <x v="0"/>
    <x v="10"/>
    <s v="KEPL/00239/82-83"/>
    <s v="S GAUTAM STORE"/>
    <x v="27"/>
    <n v="2"/>
    <n v="140"/>
    <n v="32.78"/>
    <n v="4589.2"/>
    <n v="-352.91"/>
    <n v="0"/>
    <n v="550.717895"/>
    <n v="4787.0078949999997"/>
  </r>
  <r>
    <x v="2"/>
    <s v="Q2"/>
    <x v="0"/>
    <x v="10"/>
    <s v="KEPL/00240/82-83"/>
    <s v="NEW YASHISH TRADERS"/>
    <x v="27"/>
    <n v="2"/>
    <n v="140"/>
    <n v="32.78"/>
    <n v="4589.2"/>
    <n v="-352.91"/>
    <n v="0"/>
    <n v="550.71756900000003"/>
    <n v="4787.0075690000003"/>
  </r>
  <r>
    <x v="2"/>
    <s v="Q2"/>
    <x v="0"/>
    <x v="10"/>
    <s v="KEPL/00240/82-83"/>
    <s v="NEW YASHISH TRADERS"/>
    <x v="37"/>
    <n v="2"/>
    <n v="80"/>
    <n v="81.94"/>
    <n v="6555.2"/>
    <n v="-504.09"/>
    <n v="0"/>
    <n v="786.64411299999995"/>
    <n v="6837.754113"/>
  </r>
  <r>
    <x v="2"/>
    <s v="Q2"/>
    <x v="0"/>
    <x v="10"/>
    <s v="KEPL/00240/82-83"/>
    <s v="NEW YASHISH TRADERS"/>
    <x v="36"/>
    <n v="2"/>
    <n v="80"/>
    <n v="81.94"/>
    <n v="6555.2"/>
    <n v="-504.09"/>
    <n v="0"/>
    <n v="786.64411299999995"/>
    <n v="6837.754113"/>
  </r>
  <r>
    <x v="2"/>
    <s v="Q2"/>
    <x v="0"/>
    <x v="10"/>
    <s v="KEPL/00240/82-83"/>
    <s v="NEW YASHISH TRADERS"/>
    <x v="17"/>
    <n v="1"/>
    <n v="20"/>
    <n v="201.13"/>
    <n v="4022.6"/>
    <n v="-309.33999999999997"/>
    <n v="0"/>
    <n v="482.72368499999999"/>
    <n v="4195.9836850000002"/>
  </r>
  <r>
    <x v="2"/>
    <s v="Q2"/>
    <x v="0"/>
    <x v="10"/>
    <s v="KEPL/00240/82-83"/>
    <s v="NEW YASHISH TRADERS"/>
    <x v="15"/>
    <n v="1"/>
    <n v="20"/>
    <n v="175.05"/>
    <n v="3500.9999999999995"/>
    <n v="-269.23"/>
    <n v="0"/>
    <n v="420.13"/>
    <n v="3651.9"/>
  </r>
  <r>
    <x v="2"/>
    <s v="Q2"/>
    <x v="0"/>
    <x v="10"/>
    <s v="KEPL/00240/82-83"/>
    <s v="NEW YASHISH TRADERS"/>
    <x v="31"/>
    <n v="1"/>
    <n v="60"/>
    <n v="111.74"/>
    <n v="6704.4"/>
    <n v="-515.57000000000005"/>
    <n v="0"/>
    <n v="804.54770800000006"/>
    <n v="6993.377708"/>
  </r>
  <r>
    <x v="2"/>
    <s v="Q2"/>
    <x v="0"/>
    <x v="10"/>
    <s v="KEPL/00240/82-83"/>
    <s v="NEW YASHISH TRADERS"/>
    <x v="41"/>
    <n v="2"/>
    <n v="80"/>
    <n v="67.040000000000006"/>
    <n v="5363.2"/>
    <n v="-412.43"/>
    <n v="0"/>
    <n v="643.59994700000004"/>
    <n v="5594.3699470000001"/>
  </r>
  <r>
    <x v="2"/>
    <s v="Q2"/>
    <x v="0"/>
    <x v="10"/>
    <s v="KEPL/00240/82-83"/>
    <s v="NEW YASHISH TRADERS"/>
    <x v="0"/>
    <n v="1"/>
    <n v="40"/>
    <n v="111.74"/>
    <n v="4469.6000000000004"/>
    <n v="-343.71"/>
    <n v="0"/>
    <n v="536.36557199999993"/>
    <n v="4662.255572"/>
  </r>
  <r>
    <x v="2"/>
    <s v="Q2"/>
    <x v="0"/>
    <x v="10"/>
    <s v="KEPL/00240/82-83"/>
    <s v="NEW YASHISH TRADERS"/>
    <x v="56"/>
    <n v="2"/>
    <n v="1600"/>
    <n v="7.46"/>
    <n v="11936"/>
    <n v="-917.88"/>
    <n v="0"/>
    <n v="1432.3552590000002"/>
    <n v="12450.475259000001"/>
  </r>
  <r>
    <x v="2"/>
    <s v="Q2"/>
    <x v="0"/>
    <x v="10"/>
    <s v="KEPL/00240/82-83"/>
    <s v="NEW YASHISH TRADERS"/>
    <x v="39"/>
    <n v="3"/>
    <n v="60"/>
    <n v="249.55"/>
    <n v="14973"/>
    <n v="-1151.42"/>
    <n v="0"/>
    <n v="1796.8049720000001"/>
    <n v="15618.384972"/>
  </r>
  <r>
    <x v="2"/>
    <s v="Q2"/>
    <x v="0"/>
    <x v="10"/>
    <s v="KEPL/00240/82-83"/>
    <s v="NEW YASHISH TRADERS"/>
    <x v="52"/>
    <n v="5"/>
    <n v="20"/>
    <n v="595.94000000000005"/>
    <n v="11918.8"/>
    <n v="-916.56"/>
    <n v="0"/>
    <n v="1430.2908600000001"/>
    <n v="12432.530860000001"/>
  </r>
  <r>
    <x v="2"/>
    <s v="Q2"/>
    <x v="0"/>
    <x v="10"/>
    <s v="KEPL/00240/82-83"/>
    <s v="NEW YASHISH TRADERS"/>
    <x v="34"/>
    <n v="2"/>
    <n v="80"/>
    <n v="67.040000000000006"/>
    <n v="5363.2"/>
    <n v="-412.43"/>
    <n v="0"/>
    <n v="643.59994700000004"/>
    <n v="5594.3699470000001"/>
  </r>
  <r>
    <x v="2"/>
    <s v="Q2"/>
    <x v="0"/>
    <x v="10"/>
    <s v="KEPL/00240/82-83"/>
    <s v="NEW YASHISH TRADERS"/>
    <x v="53"/>
    <n v="2"/>
    <n v="80"/>
    <n v="81.94"/>
    <n v="6555.2"/>
    <n v="-504.09"/>
    <n v="0"/>
    <n v="786.64411299999995"/>
    <n v="6837.754113"/>
  </r>
  <r>
    <x v="2"/>
    <s v="Q2"/>
    <x v="0"/>
    <x v="10"/>
    <s v="KEPL/00240/82-83"/>
    <s v="NEW YASHISH TRADERS"/>
    <x v="33"/>
    <n v="2"/>
    <n v="80"/>
    <n v="67.040000000000006"/>
    <n v="5363.2"/>
    <n v="-412.43"/>
    <n v="0"/>
    <n v="643.59994700000004"/>
    <n v="5594.3699470000001"/>
  </r>
  <r>
    <x v="2"/>
    <s v="Q2"/>
    <x v="0"/>
    <x v="10"/>
    <s v="KEPL/00240/82-83"/>
    <s v="NEW YASHISH TRADERS"/>
    <x v="40"/>
    <n v="1"/>
    <n v="600"/>
    <n v="7.46"/>
    <n v="4476"/>
    <n v="-344.2"/>
    <n v="0"/>
    <n v="537.133872"/>
    <n v="4668.9338719999996"/>
  </r>
  <r>
    <x v="2"/>
    <s v="Q2"/>
    <x v="0"/>
    <x v="10"/>
    <s v="KEPL/00240/82-83"/>
    <s v="NEW YASHISH TRADERS"/>
    <x v="12"/>
    <n v="2"/>
    <n v="260"/>
    <n v="37.25"/>
    <n v="9685"/>
    <n v="-744.78"/>
    <n v="0"/>
    <n v="1162.228323"/>
    <n v="10102.448323000001"/>
  </r>
  <r>
    <x v="2"/>
    <s v="Q2"/>
    <x v="0"/>
    <x v="10"/>
    <s v="KEPL/00241/82-83"/>
    <s v="NEW YASHISH TRADERS"/>
    <x v="21"/>
    <n v="1"/>
    <n v="240"/>
    <n v="18.62"/>
    <n v="4468.8"/>
    <n v="-343.65"/>
    <n v="0"/>
    <n v="536.26957399999992"/>
    <n v="4661.4195739999996"/>
  </r>
  <r>
    <x v="2"/>
    <s v="Q2"/>
    <x v="0"/>
    <x v="10"/>
    <s v="KEPL/00241/82-83"/>
    <s v="NEW YASHISH TRADERS"/>
    <x v="30"/>
    <n v="1"/>
    <n v="20"/>
    <n v="242.1"/>
    <n v="4841.9999999999991"/>
    <n v="-372.35"/>
    <n v="0"/>
    <n v="581.05457999999999"/>
    <n v="5050.7045799999996"/>
  </r>
  <r>
    <x v="2"/>
    <s v="Q2"/>
    <x v="0"/>
    <x v="10"/>
    <s v="KEPL/00241/82-83"/>
    <s v="NEW YASHISH TRADERS"/>
    <x v="46"/>
    <n v="5"/>
    <n v="100"/>
    <n v="175.05"/>
    <n v="17505"/>
    <n v="-1346.1299999999999"/>
    <n v="0"/>
    <n v="2100.6533909999998"/>
    <n v="18259.523390999999"/>
  </r>
  <r>
    <x v="2"/>
    <s v="Q2"/>
    <x v="0"/>
    <x v="10"/>
    <s v="KEPL/00241/82-83"/>
    <s v="NEW YASHISH TRADERS"/>
    <x v="51"/>
    <n v="2"/>
    <n v="100"/>
    <n v="89.39"/>
    <n v="8939"/>
    <n v="-687.41"/>
    <n v="0"/>
    <n v="1072.706848"/>
    <n v="9324.296848"/>
  </r>
  <r>
    <x v="2"/>
    <s v="Q2"/>
    <x v="0"/>
    <x v="10"/>
    <s v="KEPL/00241/82-83"/>
    <s v="NEW YASHISH TRADERS"/>
    <x v="49"/>
    <n v="5"/>
    <n v="75"/>
    <n v="260.72000000000003"/>
    <n v="19554"/>
    <n v="-1503.6999999999998"/>
    <n v="0"/>
    <n v="2346.5393249999997"/>
    <n v="20396.839325000001"/>
  </r>
  <r>
    <x v="2"/>
    <s v="Q2"/>
    <x v="0"/>
    <x v="10"/>
    <s v="KEPL/00241/82-83"/>
    <s v="NEW YASHISH TRADERS"/>
    <x v="4"/>
    <n v="2"/>
    <n v="40"/>
    <n v="175.05"/>
    <n v="7001.9999999999991"/>
    <n v="-538.45000000000005"/>
    <n v="0"/>
    <n v="840.26161600000012"/>
    <n v="7303.811616"/>
  </r>
  <r>
    <x v="2"/>
    <s v="Q2"/>
    <x v="0"/>
    <x v="10"/>
    <s v="KEPL/00241/82-83"/>
    <s v="NEW YASHISH TRADERS"/>
    <x v="35"/>
    <n v="2"/>
    <n v="120"/>
    <n v="145.26"/>
    <n v="17431.2"/>
    <n v="-1340.46"/>
    <n v="0"/>
    <n v="2091.7964889999998"/>
    <n v="18182.536488999998"/>
  </r>
  <r>
    <x v="2"/>
    <s v="Q2"/>
    <x v="0"/>
    <x v="10"/>
    <s v="KEPL/00241/82-83"/>
    <s v="NEW YASHISH TRADERS"/>
    <x v="50"/>
    <n v="1"/>
    <n v="240"/>
    <n v="14.9"/>
    <n v="3576"/>
    <n v="-274.99"/>
    <n v="0"/>
    <n v="429.13135900000003"/>
    <n v="3730.1413590000002"/>
  </r>
  <r>
    <x v="2"/>
    <s v="Q2"/>
    <x v="0"/>
    <x v="10"/>
    <s v="KEPL/00241/82-83"/>
    <s v="NEW YASHISH TRADERS"/>
    <x v="13"/>
    <n v="2"/>
    <n v="48"/>
    <n v="141.53"/>
    <n v="6793.44"/>
    <n v="-522.41999999999996"/>
    <n v="0"/>
    <n v="815.23271299999999"/>
    <n v="7086.2527129999999"/>
  </r>
  <r>
    <x v="2"/>
    <s v="Q2"/>
    <x v="0"/>
    <x v="10"/>
    <s v="KEPL/00241/82-83"/>
    <s v="NEW YASHISH TRADERS"/>
    <x v="29"/>
    <n v="1"/>
    <n v="20"/>
    <n v="204.85"/>
    <n v="4097"/>
    <n v="-315.06"/>
    <n v="0"/>
    <n v="491.65226799999999"/>
    <n v="4273.5922680000003"/>
  </r>
  <r>
    <x v="2"/>
    <s v="Q2"/>
    <x v="0"/>
    <x v="10"/>
    <s v="KEPL/00241/82-83"/>
    <s v="NEW YASHISH TRADERS"/>
    <x v="28"/>
    <n v="5"/>
    <n v="100"/>
    <n v="204.85"/>
    <n v="20485"/>
    <n v="-1575.3"/>
    <n v="0"/>
    <n v="2458.26134"/>
    <n v="21367.961340000002"/>
  </r>
  <r>
    <x v="2"/>
    <s v="Q2"/>
    <x v="0"/>
    <x v="10"/>
    <s v="KEPL/00241/82-83"/>
    <s v="NEW YASHISH TRADERS"/>
    <x v="3"/>
    <n v="5"/>
    <n v="100"/>
    <n v="186.23"/>
    <n v="18623"/>
    <n v="-1432.1100000000001"/>
    <n v="0"/>
    <n v="2234.8160090000001"/>
    <n v="19425.706009000001"/>
  </r>
  <r>
    <x v="2"/>
    <s v="Q2"/>
    <x v="0"/>
    <x v="10"/>
    <s v="KEPL/00241/82-83"/>
    <s v="NEW YASHISH TRADERS"/>
    <x v="18"/>
    <n v="5"/>
    <n v="75"/>
    <n v="260.72000000000003"/>
    <n v="19554"/>
    <n v="-1503.6999999999998"/>
    <n v="0"/>
    <n v="2346.5393249999997"/>
    <n v="20396.839325000001"/>
  </r>
  <r>
    <x v="2"/>
    <s v="Q2"/>
    <x v="0"/>
    <x v="10"/>
    <s v="KEPL/00241/82-83"/>
    <s v="NEW YASHISH TRADERS"/>
    <x v="23"/>
    <n v="1"/>
    <n v="600"/>
    <n v="7.45"/>
    <n v="4470"/>
    <n v="-343.74"/>
    <n v="0"/>
    <n v="536.41387399999996"/>
    <n v="4662.6738740000001"/>
  </r>
  <r>
    <x v="2"/>
    <s v="Q2"/>
    <x v="0"/>
    <x v="10"/>
    <s v="KEPL/00241/82-83"/>
    <s v="NEW YASHISH TRADERS"/>
    <x v="44"/>
    <n v="2"/>
    <n v="48"/>
    <n v="186.23"/>
    <n v="8939.0400000000009"/>
    <n v="-687.41"/>
    <n v="0"/>
    <n v="1072.7120480000001"/>
    <n v="9324.3420480000004"/>
  </r>
  <r>
    <x v="2"/>
    <s v="Q2"/>
    <x v="0"/>
    <x v="10"/>
    <s v="KEPL/00241/82-83"/>
    <s v="NEW YASHISH TRADERS"/>
    <x v="32"/>
    <n v="1"/>
    <n v="60"/>
    <n v="111.74"/>
    <n v="6704.4"/>
    <n v="-515.57000000000005"/>
    <n v="0"/>
    <n v="804.54801099999997"/>
    <n v="6993.3780109999998"/>
  </r>
  <r>
    <x v="2"/>
    <s v="Q2"/>
    <x v="0"/>
    <x v="10"/>
    <s v="KEPL/00241/82-83"/>
    <s v="NEW YASHISH TRADERS"/>
    <x v="43"/>
    <n v="1"/>
    <n v="60"/>
    <n v="111.74"/>
    <n v="6704.4"/>
    <n v="-515.57000000000005"/>
    <n v="0"/>
    <n v="804.54801099999997"/>
    <n v="6993.3780109999998"/>
  </r>
  <r>
    <x v="2"/>
    <s v="Q2"/>
    <x v="0"/>
    <x v="10"/>
    <s v="KEPL/00241/82-83"/>
    <s v="NEW YASHISH TRADERS"/>
    <x v="57"/>
    <n v="2"/>
    <n v="80"/>
    <n v="111.74"/>
    <n v="8939.2000000000007"/>
    <n v="-687.42"/>
    <n v="0"/>
    <n v="1072.731548"/>
    <n v="9324.5115480000004"/>
  </r>
  <r>
    <x v="2"/>
    <s v="Q2"/>
    <x v="0"/>
    <x v="10"/>
    <s v="KEPL/00241/82-83"/>
    <s v="NEW YASHISH TRADERS"/>
    <x v="47"/>
    <n v="5"/>
    <n v="200"/>
    <n v="111.74"/>
    <n v="22348"/>
    <n v="-1718.56"/>
    <n v="0"/>
    <n v="2681.8275710000003"/>
    <n v="23311.267571"/>
  </r>
  <r>
    <x v="2"/>
    <s v="Q2"/>
    <x v="0"/>
    <x v="10"/>
    <s v="KEPL/00241/82-83"/>
    <s v="NEW YASHISH TRADERS"/>
    <x v="48"/>
    <n v="1"/>
    <n v="20"/>
    <n v="204.85"/>
    <n v="4097"/>
    <n v="-315.06"/>
    <n v="0"/>
    <n v="491.65226799999999"/>
    <n v="4273.5922680000003"/>
  </r>
  <r>
    <x v="2"/>
    <s v="Q2"/>
    <x v="0"/>
    <x v="10"/>
    <s v="KEPL/00241/82-83"/>
    <s v="NEW YASHISH TRADERS"/>
    <x v="20"/>
    <n v="1"/>
    <n v="1600"/>
    <n v="1.79"/>
    <n v="2864"/>
    <n v="-220.24"/>
    <n v="0"/>
    <n v="343.68884800000001"/>
    <n v="2987.448848"/>
  </r>
  <r>
    <x v="2"/>
    <s v="Q2"/>
    <x v="0"/>
    <x v="10"/>
    <s v="KEPL/00241/82-83"/>
    <s v="NEW YASHISH TRADERS"/>
    <x v="22"/>
    <n v="1"/>
    <n v="24"/>
    <n v="204.85"/>
    <n v="4916.4000000000005"/>
    <n v="-378.07"/>
    <n v="0"/>
    <n v="589.98298199999999"/>
    <n v="5128.3129820000004"/>
  </r>
  <r>
    <x v="2"/>
    <s v="Q2"/>
    <x v="0"/>
    <x v="10"/>
    <s v="KEPL/00244/82-83"/>
    <s v="SHUBHASHREE MARKETING"/>
    <x v="24"/>
    <n v="20"/>
    <n v="360"/>
    <n v="178.78"/>
    <n v="64360.800000000003"/>
    <n v="-4949.3499999999995"/>
    <n v="0"/>
    <n v="7723.4885490000006"/>
    <n v="67134.938548999999"/>
  </r>
  <r>
    <x v="2"/>
    <s v="Q2"/>
    <x v="0"/>
    <x v="10"/>
    <s v="KEPL/00244/82-83"/>
    <s v="SHUBHASHREE MARKETING"/>
    <x v="39"/>
    <n v="10"/>
    <n v="200"/>
    <n v="249.55"/>
    <n v="49910"/>
    <n v="-3838.08"/>
    <n v="0"/>
    <n v="5989.3496379999997"/>
    <n v="52061.269637999998"/>
  </r>
  <r>
    <x v="2"/>
    <s v="Q2"/>
    <x v="0"/>
    <x v="10"/>
    <s v="KEPL/00244/82-83"/>
    <s v="SHUBHASHREE MARKETING"/>
    <x v="2"/>
    <n v="5"/>
    <n v="90"/>
    <n v="178.78"/>
    <n v="16090.2"/>
    <n v="-1237.3400000000001"/>
    <n v="0"/>
    <n v="1930.8718120000001"/>
    <n v="16783.731812000002"/>
  </r>
  <r>
    <x v="2"/>
    <s v="Q2"/>
    <x v="0"/>
    <x v="10"/>
    <s v="KEPL/00245/82-83"/>
    <s v="SHREE EXIM"/>
    <x v="52"/>
    <n v="50"/>
    <n v="200"/>
    <n v="595.94000000000005"/>
    <n v="119188"/>
    <n v="-9165.56"/>
    <n v="0"/>
    <n v="14302.915284000001"/>
    <n v="124325.355284"/>
  </r>
  <r>
    <x v="2"/>
    <s v="Q2"/>
    <x v="0"/>
    <x v="10"/>
    <s v="KEPL/00245/82-83"/>
    <s v="SHREE EXIM"/>
    <x v="27"/>
    <n v="5"/>
    <n v="350"/>
    <n v="32.78"/>
    <n v="11473"/>
    <n v="-882.2700000000001"/>
    <n v="0"/>
    <n v="1376.7947159999999"/>
    <n v="11967.524716"/>
  </r>
  <r>
    <x v="2"/>
    <s v="Q2"/>
    <x v="0"/>
    <x v="10"/>
    <s v="KEPL/00246/82-83"/>
    <s v="NEW YASHISH TRADERS"/>
    <x v="24"/>
    <n v="105"/>
    <n v="1890"/>
    <n v="178.78"/>
    <n v="337894.2"/>
    <n v="-25984.06"/>
    <n v="0"/>
    <n v="40548.313912000005"/>
    <n v="352458.453912"/>
  </r>
  <r>
    <x v="2"/>
    <s v="Q2"/>
    <x v="0"/>
    <x v="10"/>
    <s v="KEPL/00246/82-83"/>
    <s v="NEW YASHISH TRADERS"/>
    <x v="26"/>
    <n v="10"/>
    <n v="180"/>
    <n v="178.78"/>
    <n v="32180.400000000001"/>
    <n v="-2474.6699999999996"/>
    <n v="0"/>
    <n v="3861.7444919999998"/>
    <n v="33567.474492000001"/>
  </r>
  <r>
    <x v="2"/>
    <s v="Q2"/>
    <x v="0"/>
    <x v="10"/>
    <s v="KEPL/00246/82-83"/>
    <s v="NEW YASHISH TRADERS"/>
    <x v="25"/>
    <n v="5"/>
    <n v="90"/>
    <n v="178.78"/>
    <n v="16090.2"/>
    <n v="-1237.3400000000001"/>
    <n v="0"/>
    <n v="1930.8715960000002"/>
    <n v="16783.731596000001"/>
  </r>
  <r>
    <x v="2"/>
    <s v="Q2"/>
    <x v="0"/>
    <x v="11"/>
    <s v="KEPL/00250/82-83"/>
    <s v="SHUBHASHREE MARKETING"/>
    <x v="45"/>
    <n v="1"/>
    <n v="15"/>
    <n v="260.72000000000003"/>
    <n v="3910.8"/>
    <n v="-300.74"/>
    <n v="0"/>
    <n v="469.308333"/>
    <n v="4079.3683329999999"/>
  </r>
  <r>
    <x v="2"/>
    <s v="Q2"/>
    <x v="0"/>
    <x v="11"/>
    <s v="KEPL/00250/82-83"/>
    <s v="SHUBHASHREE MARKETING"/>
    <x v="49"/>
    <n v="5"/>
    <n v="75"/>
    <n v="260.72000000000003"/>
    <n v="19554"/>
    <n v="-1503.6999999999998"/>
    <n v="0"/>
    <n v="2346.541667"/>
    <n v="20396.841667000001"/>
  </r>
  <r>
    <x v="2"/>
    <s v="Q2"/>
    <x v="0"/>
    <x v="12"/>
    <s v="KEPL/00258/82-83"/>
    <s v="KRISHMA ENTERPRISES"/>
    <x v="25"/>
    <n v="5"/>
    <n v="90"/>
    <n v="178.78"/>
    <n v="16090.2"/>
    <n v="-1237.3400000000001"/>
    <n v="0"/>
    <n v="1930.8719189999999"/>
    <n v="16783.731919000002"/>
  </r>
  <r>
    <x v="2"/>
    <s v="Q2"/>
    <x v="0"/>
    <x v="12"/>
    <s v="KEPL/00258/82-83"/>
    <s v="KRISHMA ENTERPRISES"/>
    <x v="3"/>
    <n v="10"/>
    <n v="200"/>
    <n v="186.23"/>
    <n v="37246"/>
    <n v="-2864.2200000000003"/>
    <n v="0"/>
    <n v="4469.631676"/>
    <n v="38851.411676000003"/>
  </r>
  <r>
    <x v="2"/>
    <s v="Q2"/>
    <x v="0"/>
    <x v="12"/>
    <s v="KEPL/00258/82-83"/>
    <s v="KRISHMA ENTERPRISES"/>
    <x v="26"/>
    <n v="5"/>
    <n v="90"/>
    <n v="178.78"/>
    <n v="16090.2"/>
    <n v="-1237.3400000000001"/>
    <n v="0"/>
    <n v="1930.8719189999999"/>
    <n v="16783.731919000002"/>
  </r>
  <r>
    <x v="2"/>
    <s v="Q2"/>
    <x v="0"/>
    <x v="12"/>
    <s v="KEPL/00258/82-83"/>
    <s v="KRISHMA ENTERPRISES"/>
    <x v="2"/>
    <n v="5"/>
    <n v="90"/>
    <n v="178.78"/>
    <n v="16090.2"/>
    <n v="-1237.3400000000001"/>
    <n v="0"/>
    <n v="1930.8719189999999"/>
    <n v="16783.731919000002"/>
  </r>
  <r>
    <x v="2"/>
    <s v="Q2"/>
    <x v="0"/>
    <x v="12"/>
    <s v="KEPL/00258/82-83"/>
    <s v="KRISHMA ENTERPRISES"/>
    <x v="24"/>
    <n v="10"/>
    <n v="180"/>
    <n v="178.78"/>
    <n v="32180.400000000001"/>
    <n v="-2474.6699999999996"/>
    <n v="0"/>
    <n v="3861.7451390000001"/>
    <n v="33567.475139000002"/>
  </r>
  <r>
    <x v="2"/>
    <s v="Q2"/>
    <x v="0"/>
    <x v="12"/>
    <s v="KEPL/00258/82-83"/>
    <s v="KRISHMA ENTERPRISES"/>
    <x v="41"/>
    <n v="5"/>
    <n v="200"/>
    <n v="67.040000000000006"/>
    <n v="13408"/>
    <n v="-1031.08"/>
    <n v="0"/>
    <n v="1608.999699"/>
    <n v="13985.919699"/>
  </r>
  <r>
    <x v="2"/>
    <s v="Q2"/>
    <x v="0"/>
    <x v="12"/>
    <s v="KEPL/00258/82-83"/>
    <s v="KRISHMA ENTERPRISES"/>
    <x v="34"/>
    <n v="5"/>
    <n v="200"/>
    <n v="67.040000000000006"/>
    <n v="13408"/>
    <n v="-1031.08"/>
    <n v="0"/>
    <n v="1608.999699"/>
    <n v="13985.919699"/>
  </r>
  <r>
    <x v="2"/>
    <s v="Q2"/>
    <x v="0"/>
    <x v="12"/>
    <s v="KEPL/00258/82-83"/>
    <s v="KRISHMA ENTERPRISES"/>
    <x v="52"/>
    <n v="30"/>
    <n v="120"/>
    <n v="595.92999999999995"/>
    <n v="71511.599999999991"/>
    <n v="-5499.24"/>
    <n v="0"/>
    <n v="8581.6073299999989"/>
    <n v="74593.967329999999"/>
  </r>
  <r>
    <x v="2"/>
    <s v="Q2"/>
    <x v="0"/>
    <x v="12"/>
    <s v="KEPL/00258/82-83"/>
    <s v="KRISHMA ENTERPRISES"/>
    <x v="33"/>
    <n v="10"/>
    <n v="400"/>
    <n v="67.040000000000006"/>
    <n v="26816"/>
    <n v="-2062.15"/>
    <n v="0"/>
    <n v="3218.0006989999997"/>
    <n v="27971.850698999999"/>
  </r>
  <r>
    <x v="2"/>
    <s v="Q2"/>
    <x v="0"/>
    <x v="12"/>
    <s v="KEPL/00259/82-83"/>
    <s v="CHHATRA DEV GENERAL SUPPLIERS"/>
    <x v="51"/>
    <n v="5"/>
    <n v="250"/>
    <n v="89.39"/>
    <n v="22347.5"/>
    <n v="-1718.52"/>
    <n v="0"/>
    <n v="2681.7675079999999"/>
    <n v="23310.747508"/>
  </r>
  <r>
    <x v="2"/>
    <s v="Q2"/>
    <x v="0"/>
    <x v="12"/>
    <s v="KEPL/00259/82-83"/>
    <s v="CHHATRA DEV GENERAL SUPPLIERS"/>
    <x v="48"/>
    <n v="2"/>
    <n v="40"/>
    <n v="204.85"/>
    <n v="8194"/>
    <n v="-630.12"/>
    <n v="0"/>
    <n v="983.30444"/>
    <n v="8547.1844400000009"/>
  </r>
  <r>
    <x v="2"/>
    <s v="Q2"/>
    <x v="0"/>
    <x v="12"/>
    <s v="KEPL/00259/82-83"/>
    <s v="CHHATRA DEV GENERAL SUPPLIERS"/>
    <x v="47"/>
    <n v="3"/>
    <n v="120"/>
    <n v="111.74"/>
    <n v="13408.8"/>
    <n v="-1031.1400000000001"/>
    <n v="0"/>
    <n v="1609.095865"/>
    <n v="13986.755864999999"/>
  </r>
  <r>
    <x v="2"/>
    <s v="Q2"/>
    <x v="0"/>
    <x v="12"/>
    <s v="KEPL/00259/82-83"/>
    <s v="CHHATRA DEV GENERAL SUPPLIERS"/>
    <x v="18"/>
    <n v="2"/>
    <n v="30"/>
    <n v="260.72000000000003"/>
    <n v="7821.6"/>
    <n v="-601.48"/>
    <n v="0"/>
    <n v="938.61563799999999"/>
    <n v="8158.7356380000001"/>
  </r>
  <r>
    <x v="2"/>
    <s v="Q2"/>
    <x v="0"/>
    <x v="12"/>
    <s v="KEPL/00259/82-83"/>
    <s v="CHHATRA DEV GENERAL SUPPLIERS"/>
    <x v="30"/>
    <n v="2"/>
    <n v="40"/>
    <n v="242.1"/>
    <n v="9683.9999999999982"/>
    <n v="-744.7"/>
    <n v="0"/>
    <n v="1162.1090469999999"/>
    <n v="10101.409046999999"/>
  </r>
  <r>
    <x v="2"/>
    <s v="Q2"/>
    <x v="0"/>
    <x v="12"/>
    <s v="KEPL/00259/82-83"/>
    <s v="CHHATRA DEV GENERAL SUPPLIERS"/>
    <x v="56"/>
    <n v="1"/>
    <n v="800"/>
    <n v="7.46"/>
    <n v="5968"/>
    <n v="-458.94"/>
    <n v="0"/>
    <n v="716.17782900000009"/>
    <n v="6225.2378289999997"/>
  </r>
  <r>
    <x v="2"/>
    <s v="Q2"/>
    <x v="0"/>
    <x v="12"/>
    <s v="KEPL/00259/82-83"/>
    <s v="CHHATRA DEV GENERAL SUPPLIERS"/>
    <x v="26"/>
    <n v="1"/>
    <n v="18"/>
    <n v="178.78"/>
    <n v="3218.0400000000004"/>
    <n v="-247.47"/>
    <n v="0"/>
    <n v="386.17411599999997"/>
    <n v="3356.7441159999998"/>
  </r>
  <r>
    <x v="2"/>
    <s v="Q2"/>
    <x v="0"/>
    <x v="12"/>
    <s v="KEPL/00259/82-83"/>
    <s v="CHHATRA DEV GENERAL SUPPLIERS"/>
    <x v="22"/>
    <n v="2"/>
    <n v="48"/>
    <n v="204.85"/>
    <n v="9832.8000000000011"/>
    <n v="-756.14"/>
    <n v="0"/>
    <n v="1179.9658480000001"/>
    <n v="10256.625848"/>
  </r>
  <r>
    <x v="2"/>
    <s v="Q2"/>
    <x v="0"/>
    <x v="12"/>
    <s v="KEPL/00259/82-83"/>
    <s v="CHHATRA DEV GENERAL SUPPLIERS"/>
    <x v="42"/>
    <n v="2"/>
    <n v="60"/>
    <n v="316.58999999999997"/>
    <n v="18995.399999999998"/>
    <n v="-1460.75"/>
    <n v="0"/>
    <n v="2279.5045919999998"/>
    <n v="19814.154591999999"/>
  </r>
  <r>
    <x v="2"/>
    <s v="Q2"/>
    <x v="0"/>
    <x v="12"/>
    <s v="KEPL/00259/82-83"/>
    <s v="CHHATRA DEV GENERAL SUPPLIERS"/>
    <x v="3"/>
    <n v="3"/>
    <n v="60"/>
    <n v="186.23"/>
    <n v="11173.8"/>
    <n v="-859.2700000000001"/>
    <n v="0"/>
    <n v="1340.8889539999998"/>
    <n v="11655.418954000001"/>
  </r>
  <r>
    <x v="2"/>
    <s v="Q2"/>
    <x v="0"/>
    <x v="12"/>
    <s v="KEPL/00259/82-83"/>
    <s v="CHHATRA DEV GENERAL SUPPLIERS"/>
    <x v="24"/>
    <n v="1"/>
    <n v="18"/>
    <n v="178.78"/>
    <n v="3218.0400000000004"/>
    <n v="-247.47"/>
    <n v="0"/>
    <n v="386.17411599999997"/>
    <n v="3356.7441159999998"/>
  </r>
  <r>
    <x v="2"/>
    <s v="Q2"/>
    <x v="0"/>
    <x v="12"/>
    <s v="KEPL/00259/82-83"/>
    <s v="CHHATRA DEV GENERAL SUPPLIERS"/>
    <x v="57"/>
    <n v="3"/>
    <n v="120"/>
    <n v="111.74"/>
    <n v="13408.8"/>
    <n v="-1031.1400000000001"/>
    <n v="0"/>
    <n v="1609.095865"/>
    <n v="13986.755864999999"/>
  </r>
  <r>
    <x v="2"/>
    <s v="Q2"/>
    <x v="0"/>
    <x v="12"/>
    <s v="KEPL/00259/82-83"/>
    <s v="CHHATRA DEV GENERAL SUPPLIERS"/>
    <x v="49"/>
    <n v="2"/>
    <n v="30"/>
    <n v="260.72000000000003"/>
    <n v="7821.6"/>
    <n v="-601.48"/>
    <n v="0"/>
    <n v="938.61563799999999"/>
    <n v="8158.7356380000001"/>
  </r>
  <r>
    <x v="2"/>
    <s v="Q2"/>
    <x v="0"/>
    <x v="12"/>
    <s v="KEPL/00259/82-83"/>
    <s v="CHHATRA DEV GENERAL SUPPLIERS"/>
    <x v="13"/>
    <n v="2"/>
    <n v="48"/>
    <n v="141.54"/>
    <n v="6793.92"/>
    <n v="-522.45000000000005"/>
    <n v="0"/>
    <n v="815.29113299999995"/>
    <n v="7086.761133"/>
  </r>
  <r>
    <x v="2"/>
    <s v="Q2"/>
    <x v="0"/>
    <x v="12"/>
    <s v="KEPL/00259/82-83"/>
    <s v="CHHATRA DEV GENERAL SUPPLIERS"/>
    <x v="34"/>
    <n v="1"/>
    <n v="40"/>
    <n v="67.040000000000006"/>
    <n v="2681.6"/>
    <n v="-206.22"/>
    <n v="0"/>
    <n v="321.79941299999996"/>
    <n v="2797.1794129999998"/>
  </r>
  <r>
    <x v="2"/>
    <s v="Q2"/>
    <x v="0"/>
    <x v="13"/>
    <s v="KEPL/00260/82-83"/>
    <s v="KRISHMA ENTERPRISES"/>
    <x v="26"/>
    <n v="4"/>
    <n v="72"/>
    <n v="178.78"/>
    <n v="12872.160000000002"/>
    <n v="-989.87000000000012"/>
    <n v="0"/>
    <n v="1544.6969569999999"/>
    <n v="13426.986956999999"/>
  </r>
  <r>
    <x v="2"/>
    <s v="Q2"/>
    <x v="0"/>
    <x v="13"/>
    <s v="KEPL/00260/82-83"/>
    <s v="KRISHMA ENTERPRISES"/>
    <x v="24"/>
    <n v="10"/>
    <n v="180"/>
    <n v="178.78"/>
    <n v="32180.400000000001"/>
    <n v="-2474.6699999999996"/>
    <n v="0"/>
    <n v="3861.7430429999999"/>
    <n v="33567.473042999998"/>
  </r>
  <r>
    <x v="2"/>
    <s v="Q2"/>
    <x v="0"/>
    <x v="13"/>
    <s v="KEPL/00261/82-83"/>
    <s v="ISHWORI SUPPLIERS"/>
    <x v="27"/>
    <n v="11"/>
    <n v="770"/>
    <n v="32.78"/>
    <n v="25240.6"/>
    <n v="-1941"/>
    <n v="0"/>
    <n v="3028.9500000000003"/>
    <n v="26328.55"/>
  </r>
  <r>
    <x v="2"/>
    <s v="Q2"/>
    <x v="0"/>
    <x v="14"/>
    <s v="KEPL/00269/82-83"/>
    <s v="NILLONS L&amp;D"/>
    <x v="51"/>
    <n v="0.12"/>
    <n v="6"/>
    <n v="89.39"/>
    <n v="536.34"/>
    <n v="-41.24"/>
    <n v="0"/>
    <n v="64.36"/>
    <n v="559.46"/>
  </r>
  <r>
    <x v="2"/>
    <s v="Q2"/>
    <x v="0"/>
    <x v="14"/>
    <s v="KEPL/00270/82-83"/>
    <s v="MEGA MART PVT.LTD"/>
    <x v="33"/>
    <n v="6"/>
    <n v="240"/>
    <n v="59.73"/>
    <n v="14335.2"/>
    <n v="0"/>
    <n v="0"/>
    <n v="1863.5800000000002"/>
    <n v="16198.78"/>
  </r>
  <r>
    <x v="2"/>
    <s v="Q2"/>
    <x v="0"/>
    <x v="15"/>
    <s v="KEPL/00274/82-83"/>
    <s v="KRISHMA ENTERPRISES"/>
    <x v="52"/>
    <n v="70"/>
    <n v="280"/>
    <n v="595.94000000000005"/>
    <n v="166863.19999999998"/>
    <n v="-12831.779999999999"/>
    <n v="0"/>
    <n v="20024.080000000002"/>
    <n v="174055.5"/>
  </r>
  <r>
    <x v="2"/>
    <s v="Q2"/>
    <x v="0"/>
    <x v="16"/>
    <s v="KEPL/00294/82-83"/>
    <s v="B G TRADING CONCERN"/>
    <x v="13"/>
    <n v="3"/>
    <n v="72"/>
    <n v="141.54"/>
    <n v="10190.879999999999"/>
    <n v="-783.68"/>
    <n v="0"/>
    <n v="1222.9358890000001"/>
    <n v="10630.135888999999"/>
  </r>
  <r>
    <x v="2"/>
    <s v="Q2"/>
    <x v="0"/>
    <x v="16"/>
    <s v="KEPL/00294/82-83"/>
    <s v="B G TRADING CONCERN"/>
    <x v="30"/>
    <n v="2"/>
    <n v="40"/>
    <n v="242.1"/>
    <n v="9683.9999999999982"/>
    <n v="-744.7"/>
    <n v="0"/>
    <n v="1162.1088949999998"/>
    <n v="10101.408895"/>
  </r>
  <r>
    <x v="2"/>
    <s v="Q2"/>
    <x v="0"/>
    <x v="16"/>
    <s v="KEPL/00294/82-83"/>
    <s v="B G TRADING CONCERN"/>
    <x v="35"/>
    <n v="2"/>
    <n v="120"/>
    <n v="145.26"/>
    <n v="17431.2"/>
    <n v="-1340.46"/>
    <n v="0"/>
    <n v="2091.79601"/>
    <n v="18182.53601"/>
  </r>
  <r>
    <x v="2"/>
    <s v="Q2"/>
    <x v="0"/>
    <x v="16"/>
    <s v="KEPL/00294/82-83"/>
    <s v="B G TRADING CONCERN"/>
    <x v="22"/>
    <n v="3"/>
    <n v="72"/>
    <n v="204.85"/>
    <n v="14749.199999999999"/>
    <n v="-1134.21"/>
    <n v="0"/>
    <n v="1769.9485400000001"/>
    <n v="15384.938539999999"/>
  </r>
  <r>
    <x v="2"/>
    <s v="Q2"/>
    <x v="0"/>
    <x v="16"/>
    <s v="KEPL/00294/82-83"/>
    <s v="B G TRADING CONCERN"/>
    <x v="19"/>
    <n v="1"/>
    <n v="40"/>
    <n v="81.94"/>
    <n v="3277.6"/>
    <n v="-252.05"/>
    <n v="0"/>
    <n v="393.32146400000005"/>
    <n v="3418.8714639999998"/>
  </r>
  <r>
    <x v="2"/>
    <s v="Q2"/>
    <x v="0"/>
    <x v="16"/>
    <s v="KEPL/00294/82-83"/>
    <s v="B G TRADING CONCERN"/>
    <x v="51"/>
    <n v="1.88"/>
    <n v="94"/>
    <n v="89.39"/>
    <n v="8402.66"/>
    <n v="-646.16"/>
    <n v="0"/>
    <n v="1008.344909"/>
    <n v="8764.8449089999995"/>
  </r>
  <r>
    <x v="2"/>
    <s v="Q2"/>
    <x v="0"/>
    <x v="16"/>
    <s v="KEPL/00294/82-83"/>
    <s v="B G TRADING CONCERN"/>
    <x v="42"/>
    <n v="2"/>
    <n v="60"/>
    <n v="316.58999999999997"/>
    <n v="18995.399999999998"/>
    <n v="-1460.75"/>
    <n v="0"/>
    <n v="2279.504293"/>
    <n v="19814.154293"/>
  </r>
  <r>
    <x v="2"/>
    <s v="Q2"/>
    <x v="0"/>
    <x v="16"/>
    <s v="KEPL/00295/82-83"/>
    <s v="SHUBHASHREE MARKETING"/>
    <x v="41"/>
    <n v="2"/>
    <n v="80"/>
    <n v="67.040000000000006"/>
    <n v="5363.2"/>
    <n v="-412.43"/>
    <n v="0"/>
    <n v="643.60019599999998"/>
    <n v="5594.3701959999999"/>
  </r>
  <r>
    <x v="2"/>
    <s v="Q2"/>
    <x v="0"/>
    <x v="16"/>
    <s v="KEPL/00295/82-83"/>
    <s v="SHUBHASHREE MARKETING"/>
    <x v="21"/>
    <n v="3"/>
    <n v="720"/>
    <n v="18.62"/>
    <n v="13406.4"/>
    <n v="-1030.95"/>
    <n v="0"/>
    <n v="1608.8087410000001"/>
    <n v="13984.258741"/>
  </r>
  <r>
    <x v="2"/>
    <s v="Q2"/>
    <x v="0"/>
    <x v="16"/>
    <s v="KEPL/00295/82-83"/>
    <s v="SHUBHASHREE MARKETING"/>
    <x v="43"/>
    <n v="2"/>
    <n v="120"/>
    <n v="111.74"/>
    <n v="13408.8"/>
    <n v="-1031.1400000000001"/>
    <n v="0"/>
    <n v="1609.096041"/>
    <n v="13986.756041000001"/>
  </r>
  <r>
    <x v="2"/>
    <s v="Q2"/>
    <x v="0"/>
    <x v="16"/>
    <s v="KEPL/00295/82-83"/>
    <s v="SHUBHASHREE MARKETING"/>
    <x v="36"/>
    <n v="2"/>
    <n v="80"/>
    <n v="81.94"/>
    <n v="6555.2"/>
    <n v="-504.09"/>
    <n v="0"/>
    <n v="786.64441799999997"/>
    <n v="6837.7544180000004"/>
  </r>
  <r>
    <x v="2"/>
    <s v="Q2"/>
    <x v="0"/>
    <x v="16"/>
    <s v="KEPL/00295/82-83"/>
    <s v="SHUBHASHREE MARKETING"/>
    <x v="39"/>
    <n v="5"/>
    <n v="100"/>
    <n v="249.55"/>
    <n v="24955"/>
    <n v="-1919.04"/>
    <n v="0"/>
    <n v="2994.675248"/>
    <n v="26030.635247999999"/>
  </r>
  <r>
    <x v="2"/>
    <s v="Q2"/>
    <x v="0"/>
    <x v="16"/>
    <s v="KEPL/00295/82-83"/>
    <s v="SHUBHASHREE MARKETING"/>
    <x v="32"/>
    <n v="3"/>
    <n v="180"/>
    <n v="111.74"/>
    <n v="20113.2"/>
    <n v="-1546.71"/>
    <n v="0"/>
    <n v="2413.644061"/>
    <n v="20980.134061000001"/>
  </r>
  <r>
    <x v="2"/>
    <s v="Q2"/>
    <x v="0"/>
    <x v="16"/>
    <s v="KEPL/00295/82-83"/>
    <s v="SHUBHASHREE MARKETING"/>
    <x v="23"/>
    <n v="2"/>
    <n v="1200"/>
    <n v="7.45"/>
    <n v="8940"/>
    <n v="-687.4899999999999"/>
    <n v="0"/>
    <n v="1072.8264609999999"/>
    <n v="9325.3364610000008"/>
  </r>
  <r>
    <x v="2"/>
    <s v="Q2"/>
    <x v="0"/>
    <x v="16"/>
    <s v="KEPL/00295/82-83"/>
    <s v="SHUBHASHREE MARKETING"/>
    <x v="24"/>
    <n v="3"/>
    <n v="54"/>
    <n v="178.78"/>
    <n v="9654.119999999999"/>
    <n v="-742.4"/>
    <n v="0"/>
    <n v="1158.523774"/>
    <n v="10070.243774"/>
  </r>
  <r>
    <x v="2"/>
    <s v="Q2"/>
    <x v="0"/>
    <x v="16"/>
    <s v="KEPL/00295/82-83"/>
    <s v="SHUBHASHREE MARKETING"/>
    <x v="37"/>
    <n v="2"/>
    <n v="80"/>
    <n v="81.94"/>
    <n v="6555.2"/>
    <n v="-504.09"/>
    <n v="0"/>
    <n v="786.64441799999997"/>
    <n v="6837.7544180000004"/>
  </r>
  <r>
    <x v="2"/>
    <s v="Q2"/>
    <x v="0"/>
    <x v="16"/>
    <s v="KEPL/00295/82-83"/>
    <s v="SHUBHASHREE MARKETING"/>
    <x v="31"/>
    <n v="2"/>
    <n v="120"/>
    <n v="111.74"/>
    <n v="13408.8"/>
    <n v="-1031.1400000000001"/>
    <n v="0"/>
    <n v="1609.096041"/>
    <n v="13986.756041000001"/>
  </r>
  <r>
    <x v="2"/>
    <s v="Q2"/>
    <x v="0"/>
    <x v="16"/>
    <s v="KEPL/00295/82-83"/>
    <s v="SHUBHASHREE MARKETING"/>
    <x v="13"/>
    <n v="3"/>
    <n v="72"/>
    <n v="141.54"/>
    <n v="10190.879999999999"/>
    <n v="-783.68"/>
    <n v="0"/>
    <n v="1222.936183"/>
    <n v="10630.136183000001"/>
  </r>
  <r>
    <x v="2"/>
    <s v="Q2"/>
    <x v="0"/>
    <x v="16"/>
    <s v="KEPL/00295/82-83"/>
    <s v="SHUBHASHREE MARKETING"/>
    <x v="19"/>
    <n v="2"/>
    <n v="80"/>
    <n v="81.94"/>
    <n v="6555.2"/>
    <n v="-504.09"/>
    <n v="0"/>
    <n v="786.64441799999997"/>
    <n v="6837.7544180000004"/>
  </r>
  <r>
    <x v="2"/>
    <s v="Q2"/>
    <x v="0"/>
    <x v="17"/>
    <s v="KEPL/00302/82-83"/>
    <s v="NEW CHANDESHWARI SUPPLIERS"/>
    <x v="42"/>
    <n v="1"/>
    <n v="30"/>
    <n v="316.58999999999997"/>
    <n v="9497.6999999999989"/>
    <n v="-730.36999999999989"/>
    <n v="0"/>
    <n v="1139.752729"/>
    <n v="9907.0827289999997"/>
  </r>
  <r>
    <x v="2"/>
    <s v="Q2"/>
    <x v="0"/>
    <x v="17"/>
    <s v="KEPL/00302/82-83"/>
    <s v="NEW CHANDESHWARI SUPPLIERS"/>
    <x v="47"/>
    <n v="1"/>
    <n v="40"/>
    <n v="111.74"/>
    <n v="4469.6000000000004"/>
    <n v="-343.71"/>
    <n v="0"/>
    <n v="536.36562000000004"/>
    <n v="4662.2556199999999"/>
  </r>
  <r>
    <x v="2"/>
    <s v="Q2"/>
    <x v="0"/>
    <x v="17"/>
    <s v="KEPL/00302/82-83"/>
    <s v="NEW CHANDESHWARI SUPPLIERS"/>
    <x v="49"/>
    <n v="5"/>
    <n v="75"/>
    <n v="260.72000000000003"/>
    <n v="19554"/>
    <n v="-1503.6999999999998"/>
    <n v="0"/>
    <n v="2346.5386479999997"/>
    <n v="20396.838648000001"/>
  </r>
  <r>
    <x v="2"/>
    <s v="Q2"/>
    <x v="0"/>
    <x v="17"/>
    <s v="KEPL/00302/82-83"/>
    <s v="NEW CHANDESHWARI SUPPLIERS"/>
    <x v="13"/>
    <n v="1"/>
    <n v="24"/>
    <n v="141.54"/>
    <n v="3396.96"/>
    <n v="-261.23"/>
    <n v="0"/>
    <n v="407.64483899999999"/>
    <n v="3543.3748390000001"/>
  </r>
  <r>
    <x v="2"/>
    <s v="Q2"/>
    <x v="0"/>
    <x v="17"/>
    <s v="KEPL/00302/82-83"/>
    <s v="NEW CHANDESHWARI SUPPLIERS"/>
    <x v="0"/>
    <n v="1"/>
    <n v="40"/>
    <n v="111.74"/>
    <n v="4469.6000000000004"/>
    <n v="-343.71"/>
    <n v="0"/>
    <n v="536.36562000000004"/>
    <n v="4662.2556199999999"/>
  </r>
  <r>
    <x v="2"/>
    <s v="Q2"/>
    <x v="0"/>
    <x v="17"/>
    <s v="KEPL/00302/82-83"/>
    <s v="NEW CHANDESHWARI SUPPLIERS"/>
    <x v="8"/>
    <n v="3"/>
    <n v="126"/>
    <n v="74.489999999999995"/>
    <n v="9385.74"/>
    <n v="-721.76"/>
    <n v="0"/>
    <n v="1126.317231"/>
    <n v="9790.2972310000005"/>
  </r>
  <r>
    <x v="2"/>
    <s v="Q2"/>
    <x v="0"/>
    <x v="17"/>
    <s v="KEPL/00302/82-83"/>
    <s v="NEW CHANDESHWARI SUPPLIERS"/>
    <x v="7"/>
    <n v="3"/>
    <n v="126"/>
    <n v="74.489999999999995"/>
    <n v="9385.74"/>
    <n v="-721.76"/>
    <n v="0"/>
    <n v="1126.317231"/>
    <n v="9790.2972310000005"/>
  </r>
  <r>
    <x v="2"/>
    <s v="Q2"/>
    <x v="0"/>
    <x v="17"/>
    <s v="KEPL/00302/82-83"/>
    <s v="NEW CHANDESHWARI SUPPLIERS"/>
    <x v="10"/>
    <n v="5"/>
    <n v="210"/>
    <n v="74.489999999999995"/>
    <n v="15642.9"/>
    <n v="-1202.94"/>
    <n v="0"/>
    <n v="1877.1945189999999"/>
    <n v="16317.154519"/>
  </r>
  <r>
    <x v="2"/>
    <s v="Q2"/>
    <x v="0"/>
    <x v="17"/>
    <s v="KEPL/00302/82-83"/>
    <s v="NEW CHANDESHWARI SUPPLIERS"/>
    <x v="57"/>
    <n v="1"/>
    <n v="40"/>
    <n v="111.74"/>
    <n v="4469.6000000000004"/>
    <n v="-343.71"/>
    <n v="0"/>
    <n v="536.36562000000004"/>
    <n v="4662.2556199999999"/>
  </r>
  <r>
    <x v="2"/>
    <s v="Q2"/>
    <x v="0"/>
    <x v="17"/>
    <s v="KEPL/00302/82-83"/>
    <s v="NEW CHANDESHWARI SUPPLIERS"/>
    <x v="35"/>
    <n v="1"/>
    <n v="60"/>
    <n v="145.26"/>
    <n v="8715.6"/>
    <n v="-670.23"/>
    <n v="0"/>
    <n v="1045.8979429999999"/>
    <n v="9091.2679430000007"/>
  </r>
  <r>
    <x v="2"/>
    <s v="Q2"/>
    <x v="0"/>
    <x v="17"/>
    <s v="KEPL/00303/82-83"/>
    <s v="KRISHMA ENTERPRISES"/>
    <x v="55"/>
    <n v="3"/>
    <n v="60"/>
    <n v="175.06"/>
    <n v="10503.6"/>
    <n v="-807.7299999999999"/>
    <n v="0"/>
    <n v="1260.463037"/>
    <n v="10956.333037"/>
  </r>
  <r>
    <x v="2"/>
    <s v="Q2"/>
    <x v="0"/>
    <x v="17"/>
    <s v="KEPL/00303/82-83"/>
    <s v="KRISHMA ENTERPRISES"/>
    <x v="34"/>
    <n v="5"/>
    <n v="200"/>
    <n v="67.040000000000006"/>
    <n v="13408"/>
    <n v="-1031.08"/>
    <n v="0"/>
    <n v="1608.999519"/>
    <n v="13985.919518999999"/>
  </r>
  <r>
    <x v="2"/>
    <s v="Q2"/>
    <x v="0"/>
    <x v="17"/>
    <s v="KEPL/00303/82-83"/>
    <s v="KRISHMA ENTERPRISES"/>
    <x v="15"/>
    <n v="3"/>
    <n v="60"/>
    <n v="175.05"/>
    <n v="10503"/>
    <n v="-807.68"/>
    <n v="0"/>
    <n v="1260.391537"/>
    <n v="10955.711536999999"/>
  </r>
  <r>
    <x v="2"/>
    <s v="Q2"/>
    <x v="0"/>
    <x v="17"/>
    <s v="KEPL/00303/82-83"/>
    <s v="KRISHMA ENTERPRISES"/>
    <x v="54"/>
    <n v="2"/>
    <n v="40"/>
    <n v="175.05"/>
    <n v="7001.9999999999991"/>
    <n v="-538.45000000000005"/>
    <n v="0"/>
    <n v="840.26145800000006"/>
    <n v="7303.8114580000001"/>
  </r>
  <r>
    <x v="2"/>
    <s v="Q2"/>
    <x v="0"/>
    <x v="17"/>
    <s v="KEPL/00303/82-83"/>
    <s v="KRISHMA ENTERPRISES"/>
    <x v="28"/>
    <n v="10"/>
    <n v="200"/>
    <n v="204.85"/>
    <n v="40970"/>
    <n v="-3150.5899999999997"/>
    <n v="0"/>
    <n v="4916.5230529999999"/>
    <n v="42735.933053000001"/>
  </r>
  <r>
    <x v="2"/>
    <s v="Q2"/>
    <x v="0"/>
    <x v="17"/>
    <s v="KEPL/00303/82-83"/>
    <s v="KRISHMA ENTERPRISES"/>
    <x v="39"/>
    <n v="3"/>
    <n v="60"/>
    <n v="249.55"/>
    <n v="14973"/>
    <n v="-1151.42"/>
    <n v="0"/>
    <n v="1796.80531"/>
    <n v="15618.38531"/>
  </r>
  <r>
    <x v="2"/>
    <s v="Q2"/>
    <x v="0"/>
    <x v="17"/>
    <s v="KEPL/00303/82-83"/>
    <s v="KRISHMA ENTERPRISES"/>
    <x v="29"/>
    <n v="5"/>
    <n v="100"/>
    <n v="204.85"/>
    <n v="20485"/>
    <n v="-1575.3"/>
    <n v="0"/>
    <n v="2458.2608760000003"/>
    <n v="21367.960876000001"/>
  </r>
  <r>
    <x v="2"/>
    <s v="Q2"/>
    <x v="0"/>
    <x v="17"/>
    <s v="KEPL/00303/82-83"/>
    <s v="KRISHMA ENTERPRISES"/>
    <x v="45"/>
    <n v="10"/>
    <n v="150"/>
    <n v="260.72000000000003"/>
    <n v="39108"/>
    <n v="-3007.4100000000003"/>
    <n v="0"/>
    <n v="4693.0764639999998"/>
    <n v="40793.666464000002"/>
  </r>
  <r>
    <x v="2"/>
    <s v="Q2"/>
    <x v="0"/>
    <x v="17"/>
    <s v="KEPL/00303/82-83"/>
    <s v="KRISHMA ENTERPRISES"/>
    <x v="49"/>
    <n v="10"/>
    <n v="150"/>
    <n v="260.72000000000003"/>
    <n v="39108"/>
    <n v="-3007.4100000000003"/>
    <n v="0"/>
    <n v="4693.0764639999998"/>
    <n v="40793.666464000002"/>
  </r>
  <r>
    <x v="2"/>
    <s v="Q2"/>
    <x v="0"/>
    <x v="17"/>
    <s v="KEPL/00303/82-83"/>
    <s v="KRISHMA ENTERPRISES"/>
    <x v="46"/>
    <n v="10"/>
    <n v="200"/>
    <n v="175.05"/>
    <n v="35010"/>
    <n v="-2692.27"/>
    <n v="0"/>
    <n v="4201.3046890000005"/>
    <n v="36519.034689"/>
  </r>
  <r>
    <x v="2"/>
    <s v="Q2"/>
    <x v="0"/>
    <x v="17"/>
    <s v="KEPL/00303/82-83"/>
    <s v="KRISHMA ENTERPRISES"/>
    <x v="41"/>
    <n v="5"/>
    <n v="200"/>
    <n v="67.040000000000006"/>
    <n v="13408"/>
    <n v="-1031.08"/>
    <n v="0"/>
    <n v="1608.999519"/>
    <n v="13985.919518999999"/>
  </r>
  <r>
    <x v="2"/>
    <s v="Q2"/>
    <x v="0"/>
    <x v="17"/>
    <s v="KEPL/00303/82-83"/>
    <s v="KRISHMA ENTERPRISES"/>
    <x v="19"/>
    <n v="3"/>
    <n v="120"/>
    <n v="81.94"/>
    <n v="9832.8000000000011"/>
    <n v="-756.14"/>
    <n v="0"/>
    <n v="1179.965741"/>
    <n v="10256.625741"/>
  </r>
  <r>
    <x v="2"/>
    <s v="Q2"/>
    <x v="0"/>
    <x v="17"/>
    <s v="KEPL/00303/82-83"/>
    <s v="KRISHMA ENTERPRISES"/>
    <x v="4"/>
    <n v="2"/>
    <n v="40"/>
    <n v="175.05"/>
    <n v="7001.9999999999991"/>
    <n v="-538.45000000000005"/>
    <n v="0"/>
    <n v="840.26145800000006"/>
    <n v="7303.8114580000001"/>
  </r>
  <r>
    <x v="2"/>
    <s v="Q2"/>
    <x v="0"/>
    <x v="17"/>
    <s v="KEPL/00303/82-83"/>
    <s v="KRISHMA ENTERPRISES"/>
    <x v="48"/>
    <n v="5"/>
    <n v="100"/>
    <n v="204.85"/>
    <n v="20485"/>
    <n v="-1575.3"/>
    <n v="0"/>
    <n v="2458.2608760000003"/>
    <n v="21367.960876000001"/>
  </r>
  <r>
    <x v="2"/>
    <s v="Q2"/>
    <x v="0"/>
    <x v="17"/>
    <s v="KEPL/00307/82-83"/>
    <s v="NILLONS L&amp;D"/>
    <x v="5"/>
    <n v="2"/>
    <n v="360"/>
    <n v="18.62"/>
    <n v="6703.2"/>
    <n v="-515.48"/>
    <n v="0"/>
    <n v="804.40203200000008"/>
    <n v="6992.1220320000002"/>
  </r>
  <r>
    <x v="2"/>
    <s v="Q2"/>
    <x v="0"/>
    <x v="17"/>
    <s v="KEPL/00307/82-83"/>
    <s v="NILLONS L&amp;D"/>
    <x v="8"/>
    <n v="1"/>
    <n v="42"/>
    <n v="74.489999999999995"/>
    <n v="3128.58"/>
    <n v="-240.59"/>
    <n v="0"/>
    <n v="375.43796800000001"/>
    <n v="3263.427968"/>
  </r>
  <r>
    <x v="2"/>
    <s v="Q2"/>
    <x v="0"/>
    <x v="17"/>
    <s v="KESR/0004/82-83"/>
    <s v="B G TRADING CONCERN"/>
    <x v="7"/>
    <n v="-5"/>
    <n v="-210"/>
    <n v="74.489999999999995"/>
    <n v="-15642.9"/>
    <n v="1202.94"/>
    <n v="0"/>
    <n v="-1877.1933329999999"/>
    <n v="-16317.153333"/>
  </r>
  <r>
    <x v="2"/>
    <s v="Q2"/>
    <x v="0"/>
    <x v="17"/>
    <s v="KESR/0004/82-83"/>
    <s v="B G TRADING CONCERN"/>
    <x v="8"/>
    <n v="-5"/>
    <n v="-210"/>
    <n v="74.489999999999995"/>
    <n v="-15642.9"/>
    <n v="1202.94"/>
    <n v="0"/>
    <n v="-1877.1933329999999"/>
    <n v="-16317.153333"/>
  </r>
  <r>
    <x v="2"/>
    <s v="Q2"/>
    <x v="0"/>
    <x v="17"/>
    <s v="KESR/0004/82-83"/>
    <s v="B G TRADING CONCERN"/>
    <x v="10"/>
    <n v="-5"/>
    <n v="-210"/>
    <n v="74.489999999999995"/>
    <n v="-15642.9"/>
    <n v="1202.94"/>
    <n v="0"/>
    <n v="-1877.1933329999999"/>
    <n v="-16317.153333"/>
  </r>
  <r>
    <x v="2"/>
    <s v="Q2"/>
    <x v="0"/>
    <x v="18"/>
    <s v="KEPL/00316/82-83"/>
    <s v="CHHATRA DEV GENERAL SUPPLIERS"/>
    <x v="3"/>
    <n v="5"/>
    <n v="100"/>
    <n v="186.23"/>
    <n v="18623"/>
    <n v="-1432.1100000000001"/>
    <n v="0"/>
    <n v="2234.8148350000001"/>
    <n v="19425.704835"/>
  </r>
  <r>
    <x v="2"/>
    <s v="Q2"/>
    <x v="0"/>
    <x v="18"/>
    <s v="KEPL/00316/82-83"/>
    <s v="CHHATRA DEV GENERAL SUPPLIERS"/>
    <x v="19"/>
    <n v="2"/>
    <n v="80"/>
    <n v="81.94"/>
    <n v="6555.2"/>
    <n v="-504.09"/>
    <n v="0"/>
    <n v="786.64399600000002"/>
    <n v="6837.7539960000004"/>
  </r>
  <r>
    <x v="2"/>
    <s v="Q2"/>
    <x v="0"/>
    <x v="18"/>
    <s v="KEPL/00316/82-83"/>
    <s v="CHHATRA DEV GENERAL SUPPLIERS"/>
    <x v="34"/>
    <n v="2"/>
    <n v="80"/>
    <n v="67.040000000000006"/>
    <n v="5363.2"/>
    <n v="-412.43"/>
    <n v="0"/>
    <n v="643.59985100000006"/>
    <n v="5594.3698510000004"/>
  </r>
  <r>
    <x v="2"/>
    <s v="Q2"/>
    <x v="0"/>
    <x v="18"/>
    <s v="KEPL/00316/82-83"/>
    <s v="CHHATRA DEV GENERAL SUPPLIERS"/>
    <x v="36"/>
    <n v="5"/>
    <n v="200"/>
    <n v="81.94"/>
    <n v="16388"/>
    <n v="-1260.24"/>
    <n v="0"/>
    <n v="1966.608039"/>
    <n v="17094.368039000001"/>
  </r>
  <r>
    <x v="2"/>
    <s v="Q2"/>
    <x v="0"/>
    <x v="18"/>
    <s v="KEPL/00316/82-83"/>
    <s v="CHHATRA DEV GENERAL SUPPLIERS"/>
    <x v="37"/>
    <n v="5"/>
    <n v="200"/>
    <n v="81.94"/>
    <n v="16388"/>
    <n v="-1260.24"/>
    <n v="0"/>
    <n v="1966.608039"/>
    <n v="17094.368039000001"/>
  </r>
  <r>
    <x v="2"/>
    <s v="Q2"/>
    <x v="0"/>
    <x v="18"/>
    <s v="KEPL/00316/82-83"/>
    <s v="CHHATRA DEV GENERAL SUPPLIERS"/>
    <x v="41"/>
    <n v="2"/>
    <n v="80"/>
    <n v="67.040000000000006"/>
    <n v="5363.2"/>
    <n v="-412.43"/>
    <n v="0"/>
    <n v="643.59985100000006"/>
    <n v="5594.3698510000004"/>
  </r>
  <r>
    <x v="2"/>
    <s v="Q2"/>
    <x v="0"/>
    <x v="18"/>
    <s v="KEPL/00316/82-83"/>
    <s v="CHHATRA DEV GENERAL SUPPLIERS"/>
    <x v="35"/>
    <n v="2"/>
    <n v="120"/>
    <n v="145.26"/>
    <n v="17431.2"/>
    <n v="-1340.46"/>
    <n v="0"/>
    <n v="2091.7953899999998"/>
    <n v="18182.535390000001"/>
  </r>
  <r>
    <x v="2"/>
    <s v="Q2"/>
    <x v="0"/>
    <x v="18"/>
    <s v="KEPL/00317/82-83"/>
    <s v="NEW MATA RANI SUPPLIERS"/>
    <x v="10"/>
    <n v="3"/>
    <n v="126"/>
    <n v="74.489999999999995"/>
    <n v="9385.74"/>
    <n v="-721.76"/>
    <n v="0"/>
    <n v="1126.3162689999999"/>
    <n v="9790.2962690000004"/>
  </r>
  <r>
    <x v="2"/>
    <s v="Q2"/>
    <x v="0"/>
    <x v="18"/>
    <s v="KEPL/00317/82-83"/>
    <s v="NEW MATA RANI SUPPLIERS"/>
    <x v="23"/>
    <n v="1"/>
    <n v="600"/>
    <n v="7.45"/>
    <n v="4470.01"/>
    <n v="-343.74"/>
    <n v="0"/>
    <n v="536.41456100000005"/>
    <n v="4662.684561"/>
  </r>
  <r>
    <x v="2"/>
    <s v="Q2"/>
    <x v="0"/>
    <x v="18"/>
    <s v="KEPL/00317/82-83"/>
    <s v="NEW MATA RANI SUPPLIERS"/>
    <x v="30"/>
    <n v="1"/>
    <n v="20"/>
    <n v="242.1"/>
    <n v="4841.9999999999991"/>
    <n v="-372.35"/>
    <n v="0"/>
    <n v="581.05391699999996"/>
    <n v="5050.7039169999998"/>
  </r>
  <r>
    <x v="2"/>
    <s v="Q2"/>
    <x v="0"/>
    <x v="18"/>
    <s v="KEPL/00317/82-83"/>
    <s v="NEW MATA RANI SUPPLIERS"/>
    <x v="22"/>
    <n v="1"/>
    <n v="24"/>
    <n v="204.85"/>
    <n v="4916.4000000000005"/>
    <n v="-378.07"/>
    <n v="0"/>
    <n v="589.98230799999999"/>
    <n v="5128.3123079999996"/>
  </r>
  <r>
    <x v="2"/>
    <s v="Q2"/>
    <x v="0"/>
    <x v="18"/>
    <s v="KEPL/00317/82-83"/>
    <s v="NEW MATA RANI SUPPLIERS"/>
    <x v="13"/>
    <n v="1"/>
    <n v="24"/>
    <n v="141.54"/>
    <n v="3396.96"/>
    <n v="-261.23"/>
    <n v="0"/>
    <n v="407.64449100000002"/>
    <n v="3543.374491"/>
  </r>
  <r>
    <x v="2"/>
    <s v="Q2"/>
    <x v="0"/>
    <x v="18"/>
    <s v="KEPL/00317/82-83"/>
    <s v="NEW MATA RANI SUPPLIERS"/>
    <x v="20"/>
    <n v="1"/>
    <n v="1600"/>
    <n v="1.79"/>
    <n v="2864"/>
    <n v="-220.24"/>
    <n v="0"/>
    <n v="343.68845499999998"/>
    <n v="2987.4484550000002"/>
  </r>
  <r>
    <x v="2"/>
    <s v="Q2"/>
    <x v="0"/>
    <x v="18"/>
    <s v="KEPL/00318/82-83"/>
    <s v="NEW MATA RANI SUPPLIERS"/>
    <x v="0"/>
    <n v="1"/>
    <n v="40"/>
    <n v="111.74"/>
    <n v="4469.6000000000004"/>
    <n v="-343.71"/>
    <n v="0"/>
    <n v="536.36560199999997"/>
    <n v="4662.2556020000002"/>
  </r>
  <r>
    <x v="2"/>
    <s v="Q2"/>
    <x v="0"/>
    <x v="18"/>
    <s v="KEPL/00318/82-83"/>
    <s v="NEW MATA RANI SUPPLIERS"/>
    <x v="37"/>
    <n v="1"/>
    <n v="40"/>
    <n v="81.94"/>
    <n v="3277.6"/>
    <n v="-252.05"/>
    <n v="0"/>
    <n v="393.32142799999997"/>
    <n v="3418.8714279999999"/>
  </r>
  <r>
    <x v="2"/>
    <s v="Q2"/>
    <x v="0"/>
    <x v="18"/>
    <s v="KEPL/00318/82-83"/>
    <s v="NEW MATA RANI SUPPLIERS"/>
    <x v="49"/>
    <n v="2"/>
    <n v="30"/>
    <n v="260.72000000000003"/>
    <n v="7821.6"/>
    <n v="-601.48"/>
    <n v="0"/>
    <n v="938.61542799999995"/>
    <n v="8158.735428"/>
  </r>
  <r>
    <x v="2"/>
    <s v="Q2"/>
    <x v="0"/>
    <x v="18"/>
    <s v="KEPL/00318/82-83"/>
    <s v="NEW MATA RANI SUPPLIERS"/>
    <x v="7"/>
    <n v="2"/>
    <n v="84"/>
    <n v="74.489999999999995"/>
    <n v="6257.16"/>
    <n v="-481.18"/>
    <n v="0"/>
    <n v="750.87726199999997"/>
    <n v="6526.8572620000004"/>
  </r>
  <r>
    <x v="2"/>
    <s v="Q2"/>
    <x v="0"/>
    <x v="18"/>
    <s v="KEPL/00318/82-83"/>
    <s v="NEW MATA RANI SUPPLIERS"/>
    <x v="52"/>
    <n v="5"/>
    <n v="20"/>
    <n v="595.94000000000005"/>
    <n v="11918.8"/>
    <n v="-916.56"/>
    <n v="0"/>
    <n v="1430.290937"/>
    <n v="12432.530937"/>
  </r>
  <r>
    <x v="2"/>
    <s v="Q2"/>
    <x v="0"/>
    <x v="18"/>
    <s v="KEPL/00318/82-83"/>
    <s v="NEW MATA RANI SUPPLIERS"/>
    <x v="41"/>
    <n v="1"/>
    <n v="40"/>
    <n v="67.040000000000006"/>
    <n v="2681.6"/>
    <n v="-206.22"/>
    <n v="0"/>
    <n v="321.79934100000003"/>
    <n v="2797.179341"/>
  </r>
  <r>
    <x v="2"/>
    <s v="Q2"/>
    <x v="0"/>
    <x v="18"/>
    <s v="KEPL/00318/82-83"/>
    <s v="NEW MATA RANI SUPPLIERS"/>
    <x v="57"/>
    <n v="1"/>
    <n v="40"/>
    <n v="111.74"/>
    <n v="4469.6000000000004"/>
    <n v="-343.71"/>
    <n v="0"/>
    <n v="536.36560199999997"/>
    <n v="4662.2556020000002"/>
  </r>
  <r>
    <x v="2"/>
    <s v="Q2"/>
    <x v="0"/>
    <x v="18"/>
    <s v="KEPL/00318/82-83"/>
    <s v="NEW MATA RANI SUPPLIERS"/>
    <x v="47"/>
    <n v="2"/>
    <n v="80"/>
    <n v="111.74"/>
    <n v="8939.2000000000007"/>
    <n v="-687.42"/>
    <n v="0"/>
    <n v="1072.7312030000001"/>
    <n v="9324.511203"/>
  </r>
  <r>
    <x v="2"/>
    <s v="Q2"/>
    <x v="0"/>
    <x v="18"/>
    <s v="KEPL/00318/82-83"/>
    <s v="NEW MATA RANI SUPPLIERS"/>
    <x v="8"/>
    <n v="3"/>
    <n v="126"/>
    <n v="74.489999999999995"/>
    <n v="9385.74"/>
    <n v="-721.76"/>
    <n v="0"/>
    <n v="1126.3171930000001"/>
    <n v="9790.2971930000003"/>
  </r>
  <r>
    <x v="2"/>
    <s v="Q2"/>
    <x v="0"/>
    <x v="18"/>
    <s v="KEPL/00318/82-83"/>
    <s v="NEW MATA RANI SUPPLIERS"/>
    <x v="12"/>
    <n v="2"/>
    <n v="260"/>
    <n v="37.25"/>
    <n v="9685"/>
    <n v="-744.78"/>
    <n v="0"/>
    <n v="1162.2283870000001"/>
    <n v="10102.448387"/>
  </r>
  <r>
    <x v="2"/>
    <s v="Q2"/>
    <x v="0"/>
    <x v="18"/>
    <s v="KEPL/00318/82-83"/>
    <s v="NEW MATA RANI SUPPLIERS"/>
    <x v="55"/>
    <n v="1"/>
    <n v="20"/>
    <n v="175.06"/>
    <n v="3501.2"/>
    <n v="-269.24"/>
    <n v="0"/>
    <n v="420.15472299999999"/>
    <n v="3652.1147230000001"/>
  </r>
  <r>
    <x v="2"/>
    <s v="Q2"/>
    <x v="0"/>
    <x v="18"/>
    <s v="KEPL/00318/82-83"/>
    <s v="NEW MATA RANI SUPPLIERS"/>
    <x v="56"/>
    <n v="1"/>
    <n v="800"/>
    <n v="7.46"/>
    <n v="5968"/>
    <n v="-458.94"/>
    <n v="0"/>
    <n v="716.17766800000004"/>
    <n v="6225.2376679999998"/>
  </r>
  <r>
    <x v="2"/>
    <s v="Q2"/>
    <x v="0"/>
    <x v="18"/>
    <s v="KEPL/00318/82-83"/>
    <s v="NEW MATA RANI SUPPLIERS"/>
    <x v="54"/>
    <n v="1"/>
    <n v="20"/>
    <n v="175.05"/>
    <n v="3500.9999999999995"/>
    <n v="-269.23"/>
    <n v="0"/>
    <n v="420.13002299999999"/>
    <n v="3651.9000230000001"/>
  </r>
  <r>
    <x v="2"/>
    <s v="Q2"/>
    <x v="0"/>
    <x v="18"/>
    <s v="KEPL/00318/82-83"/>
    <s v="NEW MATA RANI SUPPLIERS"/>
    <x v="42"/>
    <n v="1"/>
    <n v="30"/>
    <n v="316.58999999999997"/>
    <n v="9497.6999999999989"/>
    <n v="-730.36999999999989"/>
    <n v="0"/>
    <n v="1139.7526909999999"/>
    <n v="9907.0826909999996"/>
  </r>
  <r>
    <x v="2"/>
    <s v="Q2"/>
    <x v="0"/>
    <x v="18"/>
    <s v="KEPL/00318/82-83"/>
    <s v="NEW MATA RANI SUPPLIERS"/>
    <x v="34"/>
    <n v="1"/>
    <n v="40"/>
    <n v="67.040000000000006"/>
    <n v="2681.6"/>
    <n v="-206.22"/>
    <n v="0"/>
    <n v="321.79934100000003"/>
    <n v="2797.179341"/>
  </r>
  <r>
    <x v="2"/>
    <s v="Q2"/>
    <x v="0"/>
    <x v="18"/>
    <s v="KEPL/00318/82-83"/>
    <s v="NEW MATA RANI SUPPLIERS"/>
    <x v="39"/>
    <n v="1"/>
    <n v="20"/>
    <n v="249.55"/>
    <n v="4991"/>
    <n v="-383.81"/>
    <n v="0"/>
    <n v="598.93458999999996"/>
    <n v="5206.1245900000004"/>
  </r>
  <r>
    <x v="2"/>
    <s v="Q2"/>
    <x v="0"/>
    <x v="18"/>
    <s v="KEPL/00318/82-83"/>
    <s v="NEW MATA RANI SUPPLIERS"/>
    <x v="18"/>
    <n v="2"/>
    <n v="30"/>
    <n v="260.72000000000003"/>
    <n v="7821.6"/>
    <n v="-601.48"/>
    <n v="0"/>
    <n v="938.61542799999995"/>
    <n v="8158.735428"/>
  </r>
  <r>
    <x v="2"/>
    <s v="Q2"/>
    <x v="0"/>
    <x v="18"/>
    <s v="KEPL/00318/82-83"/>
    <s v="NEW MATA RANI SUPPLIERS"/>
    <x v="40"/>
    <n v="1"/>
    <n v="600"/>
    <n v="7.46"/>
    <n v="4476"/>
    <n v="-344.2"/>
    <n v="0"/>
    <n v="537.13390100000004"/>
    <n v="4668.9339010000003"/>
  </r>
  <r>
    <x v="2"/>
    <s v="Q2"/>
    <x v="0"/>
    <x v="18"/>
    <s v="KEPL/00318/82-83"/>
    <s v="NEW MATA RANI SUPPLIERS"/>
    <x v="46"/>
    <n v="2"/>
    <n v="40"/>
    <n v="175.05"/>
    <n v="7001.9999999999991"/>
    <n v="-538.45000000000005"/>
    <n v="0"/>
    <n v="840.261346"/>
    <n v="7303.8113460000004"/>
  </r>
  <r>
    <x v="2"/>
    <s v="Q2"/>
    <x v="0"/>
    <x v="18"/>
    <s v="KEPL/00318/82-83"/>
    <s v="NEW MATA RANI SUPPLIERS"/>
    <x v="35"/>
    <n v="1"/>
    <n v="60"/>
    <n v="145.26"/>
    <n v="8715.6"/>
    <n v="-670.23"/>
    <n v="0"/>
    <n v="1045.8979080000001"/>
    <n v="9091.2679079999998"/>
  </r>
  <r>
    <x v="2"/>
    <s v="Q2"/>
    <x v="0"/>
    <x v="18"/>
    <s v="KEPL/00323/82-83"/>
    <s v="KRISHMA ENTERPRISES"/>
    <x v="20"/>
    <n v="2"/>
    <n v="3200"/>
    <n v="1.79"/>
    <n v="5728"/>
    <n v="-440.48"/>
    <n v="0"/>
    <n v="687.38"/>
    <n v="5974.9"/>
  </r>
  <r>
    <x v="2"/>
    <s v="Q2"/>
    <x v="0"/>
    <x v="19"/>
    <s v="KEPL/00324/82-83"/>
    <s v="KRISHMA ENTERPRISES"/>
    <x v="10"/>
    <n v="11.5"/>
    <n v="483"/>
    <n v="74.489999999999995"/>
    <n v="35978.67"/>
    <n v="-2766.7599999999998"/>
    <n v="0"/>
    <n v="4317.5466079999997"/>
    <n v="37529.456608"/>
  </r>
  <r>
    <x v="2"/>
    <s v="Q2"/>
    <x v="0"/>
    <x v="19"/>
    <s v="KEPL/00324/82-83"/>
    <s v="KRISHMA ENTERPRISES"/>
    <x v="8"/>
    <n v="10.5"/>
    <n v="441"/>
    <n v="74.489999999999995"/>
    <n v="32850.089999999997"/>
    <n v="-2526.17"/>
    <n v="0"/>
    <n v="3942.1080550000001"/>
    <n v="34266.028055000002"/>
  </r>
  <r>
    <x v="2"/>
    <s v="Q2"/>
    <x v="0"/>
    <x v="19"/>
    <s v="KEPL/00324/82-83"/>
    <s v="KRISHMA ENTERPRISES"/>
    <x v="22"/>
    <n v="2"/>
    <n v="48"/>
    <n v="204.85"/>
    <n v="9832.8000000000011"/>
    <n v="-756.14"/>
    <n v="0"/>
    <n v="1179.9653369999999"/>
    <n v="10256.625336999999"/>
  </r>
  <r>
    <x v="2"/>
    <s v="Q2"/>
    <x v="0"/>
    <x v="19"/>
    <s v="KEPL/00325/82-83"/>
    <s v="AAFNAI PASAL PVT.LTD"/>
    <x v="3"/>
    <n v="1"/>
    <n v="20"/>
    <n v="186.23"/>
    <n v="3724.6000000000004"/>
    <n v="-286.42"/>
    <n v="0"/>
    <n v="446.96294499999999"/>
    <n v="3885.1429450000001"/>
  </r>
  <r>
    <x v="2"/>
    <s v="Q2"/>
    <x v="0"/>
    <x v="19"/>
    <s v="KEPL/00325/82-83"/>
    <s v="AAFNAI PASAL PVT.LTD"/>
    <x v="21"/>
    <n v="1"/>
    <n v="240"/>
    <n v="18.62"/>
    <n v="4468.8"/>
    <n v="-343.65"/>
    <n v="0"/>
    <n v="536.26895400000001"/>
    <n v="4661.4189539999998"/>
  </r>
  <r>
    <x v="2"/>
    <s v="Q2"/>
    <x v="0"/>
    <x v="19"/>
    <s v="KEPL/00325/82-83"/>
    <s v="AAFNAI PASAL PVT.LTD"/>
    <x v="42"/>
    <n v="1"/>
    <n v="30"/>
    <n v="316.58999999999997"/>
    <n v="9497.6999999999989"/>
    <n v="-730.36999999999989"/>
    <n v="0"/>
    <n v="1139.751739"/>
    <n v="9907.0817389999993"/>
  </r>
  <r>
    <x v="2"/>
    <s v="Q2"/>
    <x v="0"/>
    <x v="19"/>
    <s v="KEPL/00325/82-83"/>
    <s v="AAFNAI PASAL PVT.LTD"/>
    <x v="23"/>
    <n v="1"/>
    <n v="600"/>
    <n v="7.46"/>
    <n v="4476"/>
    <n v="-344.2"/>
    <n v="0"/>
    <n v="537.13345300000003"/>
    <n v="4668.9334529999996"/>
  </r>
  <r>
    <x v="2"/>
    <s v="Q2"/>
    <x v="0"/>
    <x v="19"/>
    <s v="KEPL/00325/82-83"/>
    <s v="AAFNAI PASAL PVT.LTD"/>
    <x v="5"/>
    <n v="1"/>
    <n v="180"/>
    <n v="18.62"/>
    <n v="3351.6"/>
    <n v="-257.74"/>
    <n v="0"/>
    <n v="402.20139"/>
    <n v="3496.0613899999998"/>
  </r>
  <r>
    <x v="2"/>
    <s v="Q2"/>
    <x v="0"/>
    <x v="19"/>
    <s v="KEPL/00325/82-83"/>
    <s v="AAFNAI PASAL PVT.LTD"/>
    <x v="14"/>
    <n v="1"/>
    <n v="24"/>
    <n v="186.23"/>
    <n v="4469.5200000000004"/>
    <n v="-343.71"/>
    <n v="0"/>
    <n v="536.35475299999996"/>
    <n v="4662.164753"/>
  </r>
  <r>
    <x v="2"/>
    <s v="Q2"/>
    <x v="0"/>
    <x v="19"/>
    <s v="KEPL/00325/82-83"/>
    <s v="AAFNAI PASAL PVT.LTD"/>
    <x v="8"/>
    <n v="1"/>
    <n v="42"/>
    <n v="74.489999999999995"/>
    <n v="3128.58"/>
    <n v="-240.59"/>
    <n v="0"/>
    <n v="375.43831700000004"/>
    <n v="3263.4283169999999"/>
  </r>
  <r>
    <x v="2"/>
    <s v="Q2"/>
    <x v="0"/>
    <x v="19"/>
    <s v="KEPL/00325/82-83"/>
    <s v="AAFNAI PASAL PVT.LTD"/>
    <x v="20"/>
    <n v="1"/>
    <n v="1600"/>
    <n v="1.79"/>
    <n v="2864"/>
    <n v="-220.24"/>
    <n v="0"/>
    <n v="343.68844999999999"/>
    <n v="2987.4484499999999"/>
  </r>
  <r>
    <x v="2"/>
    <s v="Q2"/>
    <x v="0"/>
    <x v="19"/>
    <s v="KEPL/00326/82-83"/>
    <s v="NAWA ATITHI STORES"/>
    <x v="5"/>
    <n v="1"/>
    <n v="180"/>
    <n v="18.62"/>
    <n v="3351.6"/>
    <n v="-257.74"/>
    <n v="0"/>
    <n v="402.20202800000004"/>
    <n v="3496.0620279999998"/>
  </r>
  <r>
    <x v="2"/>
    <s v="Q2"/>
    <x v="0"/>
    <x v="19"/>
    <s v="KEPL/00326/82-83"/>
    <s v="NAWA ATITHI STORES"/>
    <x v="47"/>
    <n v="2"/>
    <n v="80"/>
    <n v="111.74"/>
    <n v="8939.2000000000007"/>
    <n v="-687.42"/>
    <n v="0"/>
    <n v="1072.732008"/>
    <n v="9324.5120079999997"/>
  </r>
  <r>
    <x v="2"/>
    <s v="Q2"/>
    <x v="0"/>
    <x v="19"/>
    <s v="KEPL/00326/82-83"/>
    <s v="NAWA ATITHI STORES"/>
    <x v="42"/>
    <n v="1"/>
    <n v="30"/>
    <n v="316.58999999999997"/>
    <n v="9497.6999999999989"/>
    <n v="-730.36999999999989"/>
    <n v="0"/>
    <n v="1139.7535459999999"/>
    <n v="9907.0835459999998"/>
  </r>
  <r>
    <x v="2"/>
    <s v="Q2"/>
    <x v="0"/>
    <x v="19"/>
    <s v="KEPL/00326/82-83"/>
    <s v="NAWA ATITHI STORES"/>
    <x v="58"/>
    <n v="2"/>
    <n v="80"/>
    <n v="111.74"/>
    <n v="8939.2000000000007"/>
    <n v="-687.42"/>
    <n v="0"/>
    <n v="1072.732008"/>
    <n v="9324.5120079999997"/>
  </r>
  <r>
    <x v="2"/>
    <s v="Q2"/>
    <x v="0"/>
    <x v="19"/>
    <s v="KEPL/00326/82-83"/>
    <s v="NAWA ATITHI STORES"/>
    <x v="53"/>
    <n v="1"/>
    <n v="40"/>
    <n v="81.94"/>
    <n v="3277.6"/>
    <n v="-252.05"/>
    <n v="0"/>
    <n v="393.32172300000002"/>
    <n v="3418.8717230000002"/>
  </r>
  <r>
    <x v="2"/>
    <s v="Q2"/>
    <x v="0"/>
    <x v="19"/>
    <s v="KEPL/00326/82-83"/>
    <s v="NAWA ATITHI STORES"/>
    <x v="57"/>
    <n v="2"/>
    <n v="80"/>
    <n v="111.74"/>
    <n v="8939.2000000000007"/>
    <n v="-687.42"/>
    <n v="0"/>
    <n v="1072.732008"/>
    <n v="9324.5120079999997"/>
  </r>
  <r>
    <x v="2"/>
    <s v="Q2"/>
    <x v="0"/>
    <x v="19"/>
    <s v="KEPL/00326/82-83"/>
    <s v="NAWA ATITHI STORES"/>
    <x v="36"/>
    <n v="1"/>
    <n v="40"/>
    <n v="81.94"/>
    <n v="3277.6"/>
    <n v="-252.05"/>
    <n v="0"/>
    <n v="393.32172300000002"/>
    <n v="3418.8717230000002"/>
  </r>
  <r>
    <x v="2"/>
    <s v="Q2"/>
    <x v="0"/>
    <x v="19"/>
    <s v="KEPL/00326/82-83"/>
    <s v="NAWA ATITHI STORES"/>
    <x v="37"/>
    <n v="1"/>
    <n v="40"/>
    <n v="81.94"/>
    <n v="3277.6"/>
    <n v="-252.05"/>
    <n v="0"/>
    <n v="393.32172300000002"/>
    <n v="3418.8717230000002"/>
  </r>
  <r>
    <x v="2"/>
    <s v="Q2"/>
    <x v="0"/>
    <x v="19"/>
    <s v="KEPL/00326/82-83"/>
    <s v="NAWA ATITHI STORES"/>
    <x v="22"/>
    <n v="1"/>
    <n v="24"/>
    <n v="204.85"/>
    <n v="4916.4000000000005"/>
    <n v="-378.07"/>
    <n v="0"/>
    <n v="589.98323400000004"/>
    <n v="5128.3132340000002"/>
  </r>
  <r>
    <x v="2"/>
    <s v="Q2"/>
    <x v="0"/>
    <x v="19"/>
    <s v="KEPL/00346/82-83"/>
    <s v="CHHATRA DEV GENERAL SUPPLIERS"/>
    <x v="52"/>
    <n v="5"/>
    <n v="20"/>
    <n v="595.94000000000005"/>
    <n v="11918.8"/>
    <n v="-916.56"/>
    <n v="0"/>
    <n v="1430.29"/>
    <n v="12432.53"/>
  </r>
  <r>
    <x v="2"/>
    <s v="Q2"/>
    <x v="0"/>
    <x v="20"/>
    <s v="KEPL/00351/82-83"/>
    <s v="SAKSHAM ENTERPRISES"/>
    <x v="0"/>
    <n v="1"/>
    <n v="40"/>
    <n v="111.74"/>
    <n v="4469.6000000000004"/>
    <n v="-343.71"/>
    <n v="0"/>
    <n v="536.36586"/>
    <n v="4662.2558600000002"/>
  </r>
  <r>
    <x v="2"/>
    <s v="Q2"/>
    <x v="0"/>
    <x v="20"/>
    <s v="KEPL/00351/82-83"/>
    <s v="SAKSHAM ENTERPRISES"/>
    <x v="46"/>
    <n v="2"/>
    <n v="40"/>
    <n v="175.06"/>
    <n v="7002.4"/>
    <n v="-538.48"/>
    <n v="0"/>
    <n v="840.30985099999998"/>
    <n v="7304.2298510000001"/>
  </r>
  <r>
    <x v="2"/>
    <s v="Q2"/>
    <x v="0"/>
    <x v="20"/>
    <s v="KEPL/00351/82-83"/>
    <s v="SAKSHAM ENTERPRISES"/>
    <x v="18"/>
    <n v="1"/>
    <n v="15"/>
    <n v="260.72000000000003"/>
    <n v="3910.8"/>
    <n v="-300.74"/>
    <n v="0"/>
    <n v="469.30793999999997"/>
    <n v="4079.3679400000001"/>
  </r>
  <r>
    <x v="2"/>
    <s v="Q2"/>
    <x v="0"/>
    <x v="20"/>
    <s v="KEPL/00351/82-83"/>
    <s v="SAKSHAM ENTERPRISES"/>
    <x v="34"/>
    <n v="1"/>
    <n v="40"/>
    <n v="67.040000000000006"/>
    <n v="2681.6"/>
    <n v="-206.22"/>
    <n v="0"/>
    <n v="321.79949599999998"/>
    <n v="2797.1794960000002"/>
  </r>
  <r>
    <x v="2"/>
    <s v="Q2"/>
    <x v="0"/>
    <x v="20"/>
    <s v="KEPL/00351/82-83"/>
    <s v="SAKSHAM ENTERPRISES"/>
    <x v="39"/>
    <n v="2"/>
    <n v="40"/>
    <n v="249.55"/>
    <n v="9982"/>
    <n v="-767.62"/>
    <n v="0"/>
    <n v="1197.8697579999998"/>
    <n v="10412.249758"/>
  </r>
  <r>
    <x v="2"/>
    <s v="Q2"/>
    <x v="0"/>
    <x v="20"/>
    <s v="KEPL/00351/82-83"/>
    <s v="SAKSHAM ENTERPRISES"/>
    <x v="49"/>
    <n v="2"/>
    <n v="30"/>
    <n v="260.72000000000003"/>
    <n v="7821.6"/>
    <n v="-601.48"/>
    <n v="0"/>
    <n v="938.61587999999995"/>
    <n v="8158.7358800000002"/>
  </r>
  <r>
    <x v="2"/>
    <s v="Q2"/>
    <x v="0"/>
    <x v="20"/>
    <s v="KEPL/00351/82-83"/>
    <s v="SAKSHAM ENTERPRISES"/>
    <x v="3"/>
    <n v="1"/>
    <n v="20"/>
    <n v="186.23"/>
    <n v="3724.6000000000004"/>
    <n v="-286.42"/>
    <n v="0"/>
    <n v="446.96353299999998"/>
    <n v="3885.1435329999999"/>
  </r>
  <r>
    <x v="2"/>
    <s v="Q2"/>
    <x v="0"/>
    <x v="20"/>
    <s v="KEPL/00351/82-83"/>
    <s v="SAKSHAM ENTERPRISES"/>
    <x v="51"/>
    <n v="1"/>
    <n v="50"/>
    <n v="89.39"/>
    <n v="4469.5"/>
    <n v="-343.7"/>
    <n v="0"/>
    <n v="536.35415999999998"/>
    <n v="4662.15416"/>
  </r>
  <r>
    <x v="2"/>
    <s v="Q2"/>
    <x v="0"/>
    <x v="20"/>
    <s v="KEPL/00351/82-83"/>
    <s v="SAKSHAM ENTERPRISES"/>
    <x v="53"/>
    <n v="1"/>
    <n v="40"/>
    <n v="81.94"/>
    <n v="3277.6"/>
    <n v="-252.05"/>
    <n v="0"/>
    <n v="393.321617"/>
    <n v="3418.8716169999998"/>
  </r>
  <r>
    <x v="2"/>
    <s v="Q2"/>
    <x v="0"/>
    <x v="20"/>
    <s v="KEPL/00351/82-83"/>
    <s v="SAKSHAM ENTERPRISES"/>
    <x v="54"/>
    <n v="1"/>
    <n v="20"/>
    <n v="175.06"/>
    <n v="3501.2"/>
    <n v="-269.24"/>
    <n v="0"/>
    <n v="420.15492499999999"/>
    <n v="3652.1149249999999"/>
  </r>
  <r>
    <x v="2"/>
    <s v="Q2"/>
    <x v="0"/>
    <x v="20"/>
    <s v="KEPL/00351/82-83"/>
    <s v="SAKSHAM ENTERPRISES"/>
    <x v="36"/>
    <n v="1"/>
    <n v="40"/>
    <n v="81.94"/>
    <n v="3277.6"/>
    <n v="-252.05"/>
    <n v="0"/>
    <n v="393.321617"/>
    <n v="3418.8716169999998"/>
  </r>
  <r>
    <x v="2"/>
    <s v="Q2"/>
    <x v="0"/>
    <x v="20"/>
    <s v="KEPL/00351/82-83"/>
    <s v="SAKSHAM ENTERPRISES"/>
    <x v="12"/>
    <n v="1"/>
    <n v="130"/>
    <n v="37.25"/>
    <n v="4842.5"/>
    <n v="-372.39"/>
    <n v="0"/>
    <n v="581.11447299999998"/>
    <n v="5051.2244730000002"/>
  </r>
  <r>
    <x v="2"/>
    <s v="Q2"/>
    <x v="0"/>
    <x v="20"/>
    <s v="KEPL/00351/82-83"/>
    <s v="SAKSHAM ENTERPRISES"/>
    <x v="57"/>
    <n v="1"/>
    <n v="40"/>
    <n v="111.74"/>
    <n v="4469.6000000000004"/>
    <n v="-343.71"/>
    <n v="0"/>
    <n v="536.36586"/>
    <n v="4662.2558600000002"/>
  </r>
  <r>
    <x v="2"/>
    <s v="Q2"/>
    <x v="0"/>
    <x v="20"/>
    <s v="KEPL/00351/82-83"/>
    <s v="SAKSHAM ENTERPRISES"/>
    <x v="47"/>
    <n v="2"/>
    <n v="80"/>
    <n v="111.74"/>
    <n v="8939.2000000000007"/>
    <n v="-687.42"/>
    <n v="0"/>
    <n v="1072.73172"/>
    <n v="9324.5117200000004"/>
  </r>
  <r>
    <x v="2"/>
    <s v="Q2"/>
    <x v="0"/>
    <x v="20"/>
    <s v="KEPL/00351/82-83"/>
    <s v="SAKSHAM ENTERPRISES"/>
    <x v="33"/>
    <n v="1"/>
    <n v="40"/>
    <n v="67.040000000000006"/>
    <n v="2681.6"/>
    <n v="-206.22"/>
    <n v="0"/>
    <n v="321.79949599999998"/>
    <n v="2797.1794960000002"/>
  </r>
  <r>
    <x v="2"/>
    <s v="Q2"/>
    <x v="0"/>
    <x v="20"/>
    <s v="KEPL/00351/82-83"/>
    <s v="SAKSHAM ENTERPRISES"/>
    <x v="56"/>
    <n v="1"/>
    <n v="800"/>
    <n v="7.46"/>
    <n v="5968"/>
    <n v="-458.94"/>
    <n v="0"/>
    <n v="716.17801399999996"/>
    <n v="6225.2380139999996"/>
  </r>
  <r>
    <x v="2"/>
    <s v="Q2"/>
    <x v="0"/>
    <x v="20"/>
    <s v="KEPL/00351/82-83"/>
    <s v="SAKSHAM ENTERPRISES"/>
    <x v="35"/>
    <n v="1"/>
    <n v="60"/>
    <n v="145.26"/>
    <n v="8715.6"/>
    <n v="-670.23"/>
    <n v="0"/>
    <n v="1045.898412"/>
    <n v="9091.2684119999994"/>
  </r>
  <r>
    <x v="2"/>
    <s v="Q2"/>
    <x v="0"/>
    <x v="20"/>
    <s v="KEPL/00351/82-83"/>
    <s v="SAKSHAM ENTERPRISES"/>
    <x v="42"/>
    <n v="2"/>
    <n v="60"/>
    <n v="316.58999999999997"/>
    <n v="18995.399999999998"/>
    <n v="-1460.75"/>
    <n v="0"/>
    <n v="2279.5051800000001"/>
    <n v="19814.155180000002"/>
  </r>
  <r>
    <x v="2"/>
    <s v="Q2"/>
    <x v="0"/>
    <x v="20"/>
    <s v="KEPL/00351/82-83"/>
    <s v="SAKSHAM ENTERPRISES"/>
    <x v="37"/>
    <n v="1"/>
    <n v="40"/>
    <n v="81.94"/>
    <n v="3277.6"/>
    <n v="-252.05"/>
    <n v="0"/>
    <n v="393.321617"/>
    <n v="3418.8716169999998"/>
  </r>
  <r>
    <x v="2"/>
    <s v="Q2"/>
    <x v="0"/>
    <x v="20"/>
    <s v="KEPL/00351/82-83"/>
    <s v="SAKSHAM ENTERPRISES"/>
    <x v="41"/>
    <n v="1"/>
    <n v="40"/>
    <n v="67.040000000000006"/>
    <n v="2681.6"/>
    <n v="-206.22"/>
    <n v="0"/>
    <n v="321.79949599999998"/>
    <n v="2797.1794960000002"/>
  </r>
  <r>
    <x v="2"/>
    <s v="Q2"/>
    <x v="0"/>
    <x v="20"/>
    <s v="KEPL/00351/82-83"/>
    <s v="SAKSHAM ENTERPRISES"/>
    <x v="55"/>
    <n v="1"/>
    <n v="20"/>
    <n v="175.06"/>
    <n v="3501.2"/>
    <n v="-269.24"/>
    <n v="0"/>
    <n v="420.15492499999999"/>
    <n v="3652.1149249999999"/>
  </r>
  <r>
    <x v="2"/>
    <s v="Q2"/>
    <x v="0"/>
    <x v="20"/>
    <s v="KEPL/00351/82-83"/>
    <s v="SAKSHAM ENTERPRISES"/>
    <x v="60"/>
    <n v="1"/>
    <n v="1000"/>
    <n v="1.86"/>
    <n v="1860"/>
    <n v="-143.03"/>
    <n v="0"/>
    <n v="223.20616699999999"/>
    <n v="1940.1761670000001"/>
  </r>
  <r>
    <x v="2"/>
    <s v="Q2"/>
    <x v="0"/>
    <x v="20"/>
    <s v="KEPL/00352/82-83"/>
    <s v="SAFAL MART PVT.LTD"/>
    <x v="41"/>
    <n v="1"/>
    <n v="40"/>
    <n v="67.040000000000006"/>
    <n v="2681.6"/>
    <n v="-134.08000000000001"/>
    <n v="-50.950411000000003"/>
    <n v="324.55399500000004"/>
    <n v="2821.1235839999999"/>
  </r>
  <r>
    <x v="2"/>
    <s v="Q2"/>
    <x v="0"/>
    <x v="20"/>
    <s v="KEPL/00352/82-83"/>
    <s v="SAFAL MART PVT.LTD"/>
    <x v="35"/>
    <n v="1"/>
    <n v="60"/>
    <n v="145.26"/>
    <n v="8715.6"/>
    <n v="-435.78"/>
    <n v="-165.59643700000001"/>
    <n v="1054.8488970000001"/>
    <n v="9169.0724599999994"/>
  </r>
  <r>
    <x v="2"/>
    <s v="Q2"/>
    <x v="0"/>
    <x v="20"/>
    <s v="KEPL/00352/82-83"/>
    <s v="SAFAL MART PVT.LTD"/>
    <x v="12"/>
    <n v="1"/>
    <n v="130"/>
    <n v="37.25"/>
    <n v="4842.5"/>
    <n v="-242.13"/>
    <n v="-92.007420999999994"/>
    <n v="586.08704299999999"/>
    <n v="5094.4496220000001"/>
  </r>
  <r>
    <x v="2"/>
    <s v="Q2"/>
    <x v="0"/>
    <x v="20"/>
    <s v="KEPL/00352/82-83"/>
    <s v="SAFAL MART PVT.LTD"/>
    <x v="33"/>
    <n v="1"/>
    <n v="40"/>
    <n v="67.040000000000006"/>
    <n v="2681.6"/>
    <n v="-134.08000000000001"/>
    <n v="-50.950411000000003"/>
    <n v="324.55399500000004"/>
    <n v="2821.1235839999999"/>
  </r>
  <r>
    <x v="2"/>
    <s v="Q2"/>
    <x v="0"/>
    <x v="20"/>
    <s v="KEPL/00352/82-83"/>
    <s v="SAFAL MART PVT.LTD"/>
    <x v="42"/>
    <n v="1"/>
    <n v="30"/>
    <n v="316.58999999999997"/>
    <n v="9497.6999999999989"/>
    <n v="-474.89"/>
    <n v="-180.45624000000001"/>
    <n v="1149.5058079999999"/>
    <n v="9991.8595679999999"/>
  </r>
  <r>
    <x v="2"/>
    <s v="Q2"/>
    <x v="0"/>
    <x v="20"/>
    <s v="KEPL/00352/82-83"/>
    <s v="SAFAL MART PVT.LTD"/>
    <x v="36"/>
    <n v="1"/>
    <n v="40"/>
    <n v="81.94"/>
    <n v="3277.6"/>
    <n v="-163.88"/>
    <n v="-62.274414"/>
    <n v="396.68786400000005"/>
    <n v="3448.1334499999998"/>
  </r>
  <r>
    <x v="2"/>
    <s v="Q2"/>
    <x v="0"/>
    <x v="20"/>
    <s v="KEPL/00352/82-83"/>
    <s v="SAFAL MART PVT.LTD"/>
    <x v="13"/>
    <n v="1"/>
    <n v="24"/>
    <n v="141.54"/>
    <n v="3396.96"/>
    <n v="-169.85"/>
    <n v="-64.542214000000001"/>
    <n v="411.13374699999997"/>
    <n v="3573.7015329999999"/>
  </r>
  <r>
    <x v="2"/>
    <s v="Q2"/>
    <x v="0"/>
    <x v="20"/>
    <s v="KEPL/00352/82-83"/>
    <s v="SAFAL MART PVT.LTD"/>
    <x v="34"/>
    <n v="1"/>
    <n v="40"/>
    <n v="67.040000000000006"/>
    <n v="2681.6"/>
    <n v="-134.08000000000001"/>
    <n v="-50.950411000000003"/>
    <n v="324.55399500000004"/>
    <n v="2821.1235839999999"/>
  </r>
  <r>
    <x v="2"/>
    <s v="Q2"/>
    <x v="0"/>
    <x v="20"/>
    <s v="KEPL/00352/82-83"/>
    <s v="SAFAL MART PVT.LTD"/>
    <x v="22"/>
    <n v="1"/>
    <n v="24"/>
    <n v="204.85"/>
    <n v="4916.4000000000005"/>
    <n v="-245.82"/>
    <n v="-93.411620999999997"/>
    <n v="595.03179499999999"/>
    <n v="5172.2001739999996"/>
  </r>
  <r>
    <x v="2"/>
    <s v="Q2"/>
    <x v="0"/>
    <x v="20"/>
    <s v="KEPL/00352/82-83"/>
    <s v="SAFAL MART PVT.LTD"/>
    <x v="51"/>
    <n v="1"/>
    <n v="50"/>
    <n v="89.39"/>
    <n v="4469.5"/>
    <n v="-223.48"/>
    <n v="-84.92041900000001"/>
    <n v="540.94286"/>
    <n v="4702.0424409999996"/>
  </r>
  <r>
    <x v="2"/>
    <s v="Q2"/>
    <x v="0"/>
    <x v="20"/>
    <s v="KEPL/00353/82-83"/>
    <s v="AASHI TRADERS"/>
    <x v="35"/>
    <n v="3"/>
    <n v="180"/>
    <n v="145.26"/>
    <n v="26146.799999999999"/>
    <n v="-2010.6899999999998"/>
    <n v="0"/>
    <n v="3137.694786"/>
    <n v="27273.804786000001"/>
  </r>
  <r>
    <x v="2"/>
    <s v="Q2"/>
    <x v="0"/>
    <x v="20"/>
    <s v="KEPL/00353/82-83"/>
    <s v="AASHI TRADERS"/>
    <x v="47"/>
    <n v="5"/>
    <n v="200"/>
    <n v="111.74"/>
    <n v="22348"/>
    <n v="-1718.56"/>
    <n v="0"/>
    <n v="2681.8276150000002"/>
    <n v="23311.267615000001"/>
  </r>
  <r>
    <x v="2"/>
    <s v="Q2"/>
    <x v="0"/>
    <x v="20"/>
    <s v="KEPL/00353/82-83"/>
    <s v="AASHI TRADERS"/>
    <x v="50"/>
    <n v="1"/>
    <n v="240"/>
    <n v="14.9"/>
    <n v="3576"/>
    <n v="-274.99"/>
    <n v="0"/>
    <n v="429.13136599999996"/>
    <n v="3730.1413659999998"/>
  </r>
  <r>
    <x v="2"/>
    <s v="Q2"/>
    <x v="0"/>
    <x v="20"/>
    <s v="KEPL/00353/82-83"/>
    <s v="AASHI TRADERS"/>
    <x v="49"/>
    <n v="5"/>
    <n v="75"/>
    <n v="260.72000000000003"/>
    <n v="19554"/>
    <n v="-1503.6999999999998"/>
    <n v="0"/>
    <n v="2346.5393640000002"/>
    <n v="20396.839363999999"/>
  </r>
  <r>
    <x v="2"/>
    <s v="Q2"/>
    <x v="0"/>
    <x v="20"/>
    <s v="KEPL/00353/82-83"/>
    <s v="AASHI TRADERS"/>
    <x v="3"/>
    <n v="5"/>
    <n v="100"/>
    <n v="186.23"/>
    <n v="18623"/>
    <n v="-1432.1100000000001"/>
    <n v="0"/>
    <n v="2234.8160459999999"/>
    <n v="19425.706045999999"/>
  </r>
  <r>
    <x v="2"/>
    <s v="Q2"/>
    <x v="0"/>
    <x v="20"/>
    <s v="KEPL/00353/82-83"/>
    <s v="AASHI TRADERS"/>
    <x v="55"/>
    <n v="5"/>
    <n v="100"/>
    <n v="175.06"/>
    <n v="17506"/>
    <n v="-1346.21"/>
    <n v="0"/>
    <n v="2100.773025"/>
    <n v="18260.563024999999"/>
  </r>
  <r>
    <x v="2"/>
    <s v="Q2"/>
    <x v="0"/>
    <x v="20"/>
    <s v="KEPL/00353/82-83"/>
    <s v="AASHI TRADERS"/>
    <x v="57"/>
    <n v="5"/>
    <n v="200"/>
    <n v="111.74"/>
    <n v="22348"/>
    <n v="-1718.56"/>
    <n v="0"/>
    <n v="2681.8276150000002"/>
    <n v="23311.267615000001"/>
  </r>
  <r>
    <x v="2"/>
    <s v="Q2"/>
    <x v="0"/>
    <x v="20"/>
    <s v="KEPL/00353/82-83"/>
    <s v="AASHI TRADERS"/>
    <x v="46"/>
    <n v="5"/>
    <n v="100"/>
    <n v="175.06"/>
    <n v="17506"/>
    <n v="-1346.21"/>
    <n v="0"/>
    <n v="2100.773025"/>
    <n v="18260.563024999999"/>
  </r>
  <r>
    <x v="2"/>
    <s v="Q2"/>
    <x v="0"/>
    <x v="20"/>
    <s v="KEPL/00353/82-83"/>
    <s v="AASHI TRADERS"/>
    <x v="23"/>
    <n v="1"/>
    <n v="600"/>
    <n v="7.46"/>
    <n v="4476"/>
    <n v="-344.2"/>
    <n v="0"/>
    <n v="537.13408300000003"/>
    <n v="4668.9340830000001"/>
  </r>
  <r>
    <x v="2"/>
    <s v="Q2"/>
    <x v="0"/>
    <x v="20"/>
    <s v="KEPL/00353/82-83"/>
    <s v="AASHI TRADERS"/>
    <x v="32"/>
    <n v="1"/>
    <n v="60"/>
    <n v="111.74"/>
    <n v="6704.4"/>
    <n v="-515.57000000000005"/>
    <n v="0"/>
    <n v="804.54802499999994"/>
    <n v="6993.378025"/>
  </r>
  <r>
    <x v="2"/>
    <s v="Q2"/>
    <x v="0"/>
    <x v="20"/>
    <s v="KEPL/00353/82-83"/>
    <s v="AASHI TRADERS"/>
    <x v="54"/>
    <n v="2"/>
    <n v="40"/>
    <n v="175.06"/>
    <n v="7002.4"/>
    <n v="-538.48"/>
    <n v="0"/>
    <n v="840.30972999999994"/>
    <n v="7304.22973"/>
  </r>
  <r>
    <x v="2"/>
    <s v="Q2"/>
    <x v="0"/>
    <x v="20"/>
    <s v="KEPL/00353/82-83"/>
    <s v="AASHI TRADERS"/>
    <x v="18"/>
    <n v="5"/>
    <n v="75"/>
    <n v="260.72000000000003"/>
    <n v="19554"/>
    <n v="-1503.6999999999998"/>
    <n v="0"/>
    <n v="2346.5393640000002"/>
    <n v="20396.839363999999"/>
  </r>
  <r>
    <x v="2"/>
    <s v="Q2"/>
    <x v="0"/>
    <x v="20"/>
    <s v="KEPL/00353/82-83"/>
    <s v="AASHI TRADERS"/>
    <x v="42"/>
    <n v="3"/>
    <n v="90"/>
    <n v="316.58999999999997"/>
    <n v="28493.1"/>
    <n v="-2191.12"/>
    <n v="0"/>
    <n v="3419.2579300000002"/>
    <n v="29721.237929999999"/>
  </r>
  <r>
    <x v="2"/>
    <s v="Q2"/>
    <x v="0"/>
    <x v="20"/>
    <s v="KEPL/00353/82-83"/>
    <s v="AASHI TRADERS"/>
    <x v="43"/>
    <n v="1"/>
    <n v="60"/>
    <n v="111.74"/>
    <n v="6704.4"/>
    <n v="-515.57000000000005"/>
    <n v="0"/>
    <n v="804.54802499999994"/>
    <n v="6993.378025"/>
  </r>
  <r>
    <x v="2"/>
    <s v="Q2"/>
    <x v="0"/>
    <x v="20"/>
    <s v="KEPL/00354/82-83"/>
    <s v="AASHI TRADERS"/>
    <x v="60"/>
    <n v="1"/>
    <n v="1000"/>
    <n v="1.86"/>
    <n v="1860"/>
    <n v="-143.03"/>
    <n v="0"/>
    <n v="223.20611499999998"/>
    <n v="1940.176115"/>
  </r>
  <r>
    <x v="2"/>
    <s v="Q2"/>
    <x v="0"/>
    <x v="20"/>
    <s v="KEPL/00354/82-83"/>
    <s v="AASHI TRADERS"/>
    <x v="30"/>
    <n v="3"/>
    <n v="60"/>
    <n v="242.1"/>
    <n v="14526"/>
    <n v="-1117.05"/>
    <n v="0"/>
    <n v="1743.1636189999999"/>
    <n v="15152.113619"/>
  </r>
  <r>
    <x v="2"/>
    <s v="Q2"/>
    <x v="0"/>
    <x v="20"/>
    <s v="KEPL/00354/82-83"/>
    <s v="AASHI TRADERS"/>
    <x v="29"/>
    <n v="5"/>
    <n v="100"/>
    <n v="204.85"/>
    <n v="20485"/>
    <n v="-1575.3"/>
    <n v="0"/>
    <n v="2458.2611670000001"/>
    <n v="21367.961167000001"/>
  </r>
  <r>
    <x v="2"/>
    <s v="Q2"/>
    <x v="0"/>
    <x v="20"/>
    <s v="KEPL/00354/82-83"/>
    <s v="AASHI TRADERS"/>
    <x v="51"/>
    <n v="3"/>
    <n v="150"/>
    <n v="89.39"/>
    <n v="13408.500000000002"/>
    <n v="-1031.1100000000001"/>
    <n v="0"/>
    <n v="1609.0608089999998"/>
    <n v="13986.450809"/>
  </r>
  <r>
    <x v="2"/>
    <s v="Q2"/>
    <x v="0"/>
    <x v="20"/>
    <s v="KEPL/00354/82-83"/>
    <s v="AASHI TRADERS"/>
    <x v="48"/>
    <n v="2"/>
    <n v="40"/>
    <n v="204.85"/>
    <n v="8194"/>
    <n v="-630.12"/>
    <n v="0"/>
    <n v="983.30446699999993"/>
    <n v="8547.1844669999991"/>
  </r>
  <r>
    <x v="2"/>
    <s v="Q2"/>
    <x v="0"/>
    <x v="20"/>
    <s v="KEPL/00354/82-83"/>
    <s v="AASHI TRADERS"/>
    <x v="28"/>
    <n v="5"/>
    <n v="100"/>
    <n v="204.85"/>
    <n v="20485"/>
    <n v="-1575.3"/>
    <n v="0"/>
    <n v="2458.2611670000001"/>
    <n v="21367.961167000001"/>
  </r>
  <r>
    <x v="2"/>
    <s v="Q2"/>
    <x v="0"/>
    <x v="20"/>
    <s v="KEPL/00354/82-83"/>
    <s v="AASHI TRADERS"/>
    <x v="21"/>
    <n v="1"/>
    <n v="240"/>
    <n v="18.62"/>
    <n v="4468.8"/>
    <n v="-343.65"/>
    <n v="0"/>
    <n v="536.26953600000002"/>
    <n v="4661.4195360000003"/>
  </r>
  <r>
    <x v="2"/>
    <s v="Q2"/>
    <x v="0"/>
    <x v="20"/>
    <s v="KEPL/00354/82-83"/>
    <s v="AASHI TRADERS"/>
    <x v="13"/>
    <n v="5"/>
    <n v="120"/>
    <n v="141.54"/>
    <n v="16984.8"/>
    <n v="-1306.1299999999999"/>
    <n v="0"/>
    <n v="2038.2272389999998"/>
    <n v="17716.897239000002"/>
  </r>
  <r>
    <x v="2"/>
    <s v="Q2"/>
    <x v="0"/>
    <x v="20"/>
    <s v="KEPL/00354/82-83"/>
    <s v="AASHI TRADERS"/>
    <x v="22"/>
    <n v="2"/>
    <n v="48"/>
    <n v="204.85"/>
    <n v="9832.8000000000011"/>
    <n v="-756.14"/>
    <n v="0"/>
    <n v="1179.96588"/>
    <n v="10256.62588"/>
  </r>
  <r>
    <x v="2"/>
    <s v="Q2"/>
    <x v="0"/>
    <x v="20"/>
    <s v="KEPL/00355/82-83"/>
    <s v="AASHI TRADERS"/>
    <x v="31"/>
    <n v="5"/>
    <n v="300"/>
    <n v="111.74"/>
    <n v="33522"/>
    <n v="-2577.84"/>
    <n v="0"/>
    <n v="4022.7414349999999"/>
    <n v="34966.901435"/>
  </r>
  <r>
    <x v="2"/>
    <s v="Q2"/>
    <x v="0"/>
    <x v="20"/>
    <s v="KEPL/00355/82-83"/>
    <s v="AASHI TRADERS"/>
    <x v="33"/>
    <n v="2"/>
    <n v="80"/>
    <n v="67.040000000000006"/>
    <n v="5363.2"/>
    <n v="-412.43"/>
    <n v="0"/>
    <n v="643.60020199999997"/>
    <n v="5594.3702020000001"/>
  </r>
  <r>
    <x v="2"/>
    <s v="Q2"/>
    <x v="0"/>
    <x v="20"/>
    <s v="KEPL/00355/82-83"/>
    <s v="AASHI TRADERS"/>
    <x v="37"/>
    <n v="2"/>
    <n v="80"/>
    <n v="81.94"/>
    <n v="6555.2"/>
    <n v="-504.09"/>
    <n v="0"/>
    <n v="786.64442399999996"/>
    <n v="6837.7544239999997"/>
  </r>
  <r>
    <x v="2"/>
    <s v="Q2"/>
    <x v="0"/>
    <x v="20"/>
    <s v="KEPL/00355/82-83"/>
    <s v="AASHI TRADERS"/>
    <x v="36"/>
    <n v="2"/>
    <n v="80"/>
    <n v="81.94"/>
    <n v="6555.2"/>
    <n v="-504.09"/>
    <n v="0"/>
    <n v="786.64442399999996"/>
    <n v="6837.7544239999997"/>
  </r>
  <r>
    <x v="2"/>
    <s v="Q2"/>
    <x v="0"/>
    <x v="20"/>
    <s v="KEPL/00355/82-83"/>
    <s v="AASHI TRADERS"/>
    <x v="12"/>
    <n v="3"/>
    <n v="390"/>
    <n v="37.25"/>
    <n v="14527.499999999998"/>
    <n v="-1117.1600000000001"/>
    <n v="0"/>
    <n v="1743.3444749999999"/>
    <n v="15153.684475"/>
  </r>
  <r>
    <x v="2"/>
    <s v="Q2"/>
    <x v="0"/>
    <x v="20"/>
    <s v="KEPL/00355/82-83"/>
    <s v="AASHI TRADERS"/>
    <x v="41"/>
    <n v="2"/>
    <n v="80"/>
    <n v="67.040000000000006"/>
    <n v="5363.2"/>
    <n v="-412.43"/>
    <n v="0"/>
    <n v="643.60020199999997"/>
    <n v="5594.3702020000001"/>
  </r>
  <r>
    <x v="2"/>
    <s v="Q2"/>
    <x v="0"/>
    <x v="20"/>
    <s v="KEPL/00355/82-83"/>
    <s v="AASHI TRADERS"/>
    <x v="17"/>
    <n v="2"/>
    <n v="40"/>
    <n v="201.13"/>
    <n v="8045.2"/>
    <n v="-618.67999999999995"/>
    <n v="0"/>
    <n v="965.44775199999992"/>
    <n v="8391.9677520000005"/>
  </r>
  <r>
    <x v="2"/>
    <s v="Q2"/>
    <x v="0"/>
    <x v="20"/>
    <s v="KEPL/00355/82-83"/>
    <s v="AASHI TRADERS"/>
    <x v="5"/>
    <n v="2"/>
    <n v="360"/>
    <n v="18.62"/>
    <n v="6703.2"/>
    <n v="-515.48"/>
    <n v="0"/>
    <n v="804.403727"/>
    <n v="6992.1237270000001"/>
  </r>
  <r>
    <x v="2"/>
    <s v="Q2"/>
    <x v="0"/>
    <x v="20"/>
    <s v="KEPL/00355/82-83"/>
    <s v="AASHI TRADERS"/>
    <x v="38"/>
    <n v="3"/>
    <n v="72"/>
    <n v="186.23"/>
    <n v="13408.560000000001"/>
    <n v="-1031.1199999999999"/>
    <n v="0"/>
    <n v="1609.0674539999998"/>
    <n v="13986.507454000001"/>
  </r>
  <r>
    <x v="2"/>
    <s v="Q2"/>
    <x v="0"/>
    <x v="20"/>
    <s v="KEPL/00355/82-83"/>
    <s v="AASHI TRADERS"/>
    <x v="52"/>
    <n v="5"/>
    <n v="20"/>
    <n v="595.94000000000005"/>
    <n v="11918.8"/>
    <n v="-916.56"/>
    <n v="0"/>
    <n v="1430.291426"/>
    <n v="12432.531426"/>
  </r>
  <r>
    <x v="2"/>
    <s v="Q2"/>
    <x v="0"/>
    <x v="20"/>
    <s v="KEPL/00355/82-83"/>
    <s v="AASHI TRADERS"/>
    <x v="56"/>
    <n v="1"/>
    <n v="800"/>
    <n v="7.46"/>
    <n v="5968"/>
    <n v="-458.94"/>
    <n v="0"/>
    <n v="716.17791299999999"/>
    <n v="6225.2379129999999"/>
  </r>
  <r>
    <x v="2"/>
    <s v="Q2"/>
    <x v="0"/>
    <x v="20"/>
    <s v="KEPL/00355/82-83"/>
    <s v="AASHI TRADERS"/>
    <x v="34"/>
    <n v="3"/>
    <n v="120"/>
    <n v="67.040000000000006"/>
    <n v="8044.8"/>
    <n v="-618.65"/>
    <n v="0"/>
    <n v="965.39965199999995"/>
    <n v="8391.5496519999997"/>
  </r>
  <r>
    <x v="2"/>
    <s v="Q2"/>
    <x v="0"/>
    <x v="20"/>
    <s v="KEPL/00355/82-83"/>
    <s v="AASHI TRADERS"/>
    <x v="53"/>
    <n v="3"/>
    <n v="120"/>
    <n v="81.94"/>
    <n v="9832.8000000000011"/>
    <n v="-756.14"/>
    <n v="0"/>
    <n v="1179.9659859999999"/>
    <n v="10256.625985999999"/>
  </r>
  <r>
    <x v="2"/>
    <s v="Q2"/>
    <x v="0"/>
    <x v="20"/>
    <s v="KEPL/00355/82-83"/>
    <s v="AASHI TRADERS"/>
    <x v="39"/>
    <n v="5"/>
    <n v="100"/>
    <n v="249.55"/>
    <n v="24955"/>
    <n v="-1919.04"/>
    <n v="0"/>
    <n v="2994.6752729999998"/>
    <n v="26030.635273"/>
  </r>
  <r>
    <x v="2"/>
    <s v="Q2"/>
    <x v="0"/>
    <x v="20"/>
    <s v="KEPL/00355/82-83"/>
    <s v="AASHI TRADERS"/>
    <x v="0"/>
    <n v="2"/>
    <n v="80"/>
    <n v="111.74"/>
    <n v="8939.2000000000007"/>
    <n v="-687.42"/>
    <n v="0"/>
    <n v="1072.731569"/>
    <n v="9324.5115690000002"/>
  </r>
  <r>
    <x v="2"/>
    <s v="Q2"/>
    <x v="0"/>
    <x v="20"/>
    <s v="KEPL/00355/82-83"/>
    <s v="AASHI TRADERS"/>
    <x v="40"/>
    <n v="1"/>
    <n v="600"/>
    <n v="7.46"/>
    <n v="4476"/>
    <n v="-344.2"/>
    <n v="0"/>
    <n v="537.13408500000003"/>
    <n v="4668.9340849999999"/>
  </r>
  <r>
    <x v="2"/>
    <s v="Q2"/>
    <x v="0"/>
    <x v="20"/>
    <s v="KEPL/00356/82-83"/>
    <s v="GORIN TRADING "/>
    <x v="39"/>
    <n v="1"/>
    <n v="20"/>
    <n v="249.55"/>
    <n v="4991"/>
    <n v="-383.81"/>
    <n v="0"/>
    <n v="598.93467299999998"/>
    <n v="5206.1246730000003"/>
  </r>
  <r>
    <x v="2"/>
    <s v="Q2"/>
    <x v="0"/>
    <x v="20"/>
    <s v="KEPL/00356/82-83"/>
    <s v="GORIN TRADING "/>
    <x v="0"/>
    <n v="1"/>
    <n v="40"/>
    <n v="111.74"/>
    <n v="4469.6000000000004"/>
    <n v="-343.71"/>
    <n v="0"/>
    <n v="536.36567600000001"/>
    <n v="4662.2556759999998"/>
  </r>
  <r>
    <x v="2"/>
    <s v="Q2"/>
    <x v="0"/>
    <x v="20"/>
    <s v="KEPL/00356/82-83"/>
    <s v="GORIN TRADING "/>
    <x v="37"/>
    <n v="1"/>
    <n v="40"/>
    <n v="81.94"/>
    <n v="3277.6"/>
    <n v="-252.05"/>
    <n v="0"/>
    <n v="393.321482"/>
    <n v="3418.871482"/>
  </r>
  <r>
    <x v="2"/>
    <s v="Q2"/>
    <x v="0"/>
    <x v="20"/>
    <s v="KEPL/00356/82-83"/>
    <s v="GORIN TRADING "/>
    <x v="31"/>
    <n v="2"/>
    <n v="120"/>
    <n v="111.74"/>
    <n v="13408.8"/>
    <n v="-1031.1400000000001"/>
    <n v="0"/>
    <n v="1609.0957269999999"/>
    <n v="13986.755727"/>
  </r>
  <r>
    <x v="2"/>
    <s v="Q2"/>
    <x v="0"/>
    <x v="20"/>
    <s v="KEPL/00356/82-83"/>
    <s v="GORIN TRADING "/>
    <x v="33"/>
    <n v="1"/>
    <n v="40"/>
    <n v="67.040000000000006"/>
    <n v="2681.6"/>
    <n v="-206.22"/>
    <n v="0"/>
    <n v="321.79938500000003"/>
    <n v="2797.1793849999999"/>
  </r>
  <r>
    <x v="2"/>
    <s v="Q2"/>
    <x v="0"/>
    <x v="20"/>
    <s v="KEPL/00356/82-83"/>
    <s v="GORIN TRADING "/>
    <x v="34"/>
    <n v="1"/>
    <n v="40"/>
    <n v="67.040000000000006"/>
    <n v="2681.6"/>
    <n v="-206.22"/>
    <n v="0"/>
    <n v="321.79938500000003"/>
    <n v="2797.1793849999999"/>
  </r>
  <r>
    <x v="2"/>
    <s v="Q2"/>
    <x v="0"/>
    <x v="20"/>
    <s v="KEPL/00356/82-83"/>
    <s v="GORIN TRADING "/>
    <x v="35"/>
    <n v="2"/>
    <n v="120"/>
    <n v="145.26"/>
    <n v="17431.2"/>
    <n v="-1340.46"/>
    <n v="0"/>
    <n v="2091.7961049999999"/>
    <n v="18182.536104999999"/>
  </r>
  <r>
    <x v="2"/>
    <s v="Q2"/>
    <x v="0"/>
    <x v="20"/>
    <s v="KEPL/00356/82-83"/>
    <s v="GORIN TRADING "/>
    <x v="41"/>
    <n v="1"/>
    <n v="40"/>
    <n v="67.040000000000006"/>
    <n v="2681.6"/>
    <n v="-206.22"/>
    <n v="0"/>
    <n v="321.79938500000003"/>
    <n v="2797.1793849999999"/>
  </r>
  <r>
    <x v="2"/>
    <s v="Q2"/>
    <x v="0"/>
    <x v="20"/>
    <s v="KEPL/00356/82-83"/>
    <s v="GORIN TRADING "/>
    <x v="53"/>
    <n v="1"/>
    <n v="40"/>
    <n v="81.94"/>
    <n v="3277.6"/>
    <n v="-252.05"/>
    <n v="0"/>
    <n v="393.321482"/>
    <n v="3418.871482"/>
  </r>
  <r>
    <x v="2"/>
    <s v="Q2"/>
    <x v="0"/>
    <x v="20"/>
    <s v="KEPL/00356/82-83"/>
    <s v="GORIN TRADING "/>
    <x v="52"/>
    <n v="10"/>
    <n v="40"/>
    <n v="595.94000000000005"/>
    <n v="23837.599999999999"/>
    <n v="-1833.1100000000001"/>
    <n v="0"/>
    <n v="2860.5835710000001"/>
    <n v="24865.073571000001"/>
  </r>
  <r>
    <x v="2"/>
    <s v="Q2"/>
    <x v="0"/>
    <x v="20"/>
    <s v="KEPL/00356/82-83"/>
    <s v="GORIN TRADING "/>
    <x v="36"/>
    <n v="1"/>
    <n v="40"/>
    <n v="81.94"/>
    <n v="3277.6"/>
    <n v="-252.05"/>
    <n v="0"/>
    <n v="393.321482"/>
    <n v="3418.871482"/>
  </r>
  <r>
    <x v="2"/>
    <s v="Q2"/>
    <x v="0"/>
    <x v="20"/>
    <s v="KEPL/00356/82-83"/>
    <s v="GORIN TRADING "/>
    <x v="12"/>
    <n v="2"/>
    <n v="260"/>
    <n v="37.25"/>
    <n v="9685"/>
    <n v="-744.78"/>
    <n v="0"/>
    <n v="1162.2285470000002"/>
    <n v="10102.448547"/>
  </r>
  <r>
    <x v="2"/>
    <s v="Q2"/>
    <x v="0"/>
    <x v="20"/>
    <s v="KEPL/00356/82-83"/>
    <s v="GORIN TRADING "/>
    <x v="42"/>
    <n v="5"/>
    <n v="150"/>
    <n v="316.58999999999997"/>
    <n v="47488.5"/>
    <n v="-3651.87"/>
    <n v="0"/>
    <n v="5698.7616429999998"/>
    <n v="49535.391643000003"/>
  </r>
  <r>
    <x v="2"/>
    <s v="Q2"/>
    <x v="0"/>
    <x v="20"/>
    <s v="KEPL/00356/82-83"/>
    <s v="GORIN TRADING "/>
    <x v="43"/>
    <n v="2"/>
    <n v="120"/>
    <n v="111.74"/>
    <n v="13408.8"/>
    <n v="-1031.1400000000001"/>
    <n v="0"/>
    <n v="1609.0957269999999"/>
    <n v="13986.755727"/>
  </r>
  <r>
    <x v="2"/>
    <s v="Q2"/>
    <x v="0"/>
    <x v="20"/>
    <s v="KEPL/00356/82-83"/>
    <s v="GORIN TRADING "/>
    <x v="32"/>
    <n v="2"/>
    <n v="120"/>
    <n v="111.74"/>
    <n v="13408.8"/>
    <n v="-1031.1400000000001"/>
    <n v="0"/>
    <n v="1609.0957269999999"/>
    <n v="13986.755727"/>
  </r>
  <r>
    <x v="2"/>
    <s v="Q2"/>
    <x v="0"/>
    <x v="20"/>
    <s v="KEPL/00357/82-83"/>
    <s v="GORIN TRADING "/>
    <x v="45"/>
    <n v="1"/>
    <n v="15"/>
    <n v="260.72000000000003"/>
    <n v="3910.8"/>
    <n v="-300.74"/>
    <n v="0"/>
    <n v="469.30807400000003"/>
    <n v="4079.368074"/>
  </r>
  <r>
    <x v="2"/>
    <s v="Q2"/>
    <x v="0"/>
    <x v="20"/>
    <s v="KEPL/00357/82-83"/>
    <s v="GORIN TRADING "/>
    <x v="30"/>
    <n v="1"/>
    <n v="20"/>
    <n v="242.1"/>
    <n v="4841.9999999999991"/>
    <n v="-372.35"/>
    <n v="0"/>
    <n v="581.05484000000001"/>
    <n v="5050.7048400000003"/>
  </r>
  <r>
    <x v="2"/>
    <s v="Q2"/>
    <x v="0"/>
    <x v="20"/>
    <s v="KEPL/00357/82-83"/>
    <s v="GORIN TRADING "/>
    <x v="49"/>
    <n v="2"/>
    <n v="30"/>
    <n v="260.72000000000003"/>
    <n v="7821.6"/>
    <n v="-601.48"/>
    <n v="0"/>
    <n v="938.61614899999995"/>
    <n v="8158.7361490000003"/>
  </r>
  <r>
    <x v="2"/>
    <s v="Q2"/>
    <x v="0"/>
    <x v="20"/>
    <s v="KEPL/00357/82-83"/>
    <s v="GORIN TRADING "/>
    <x v="22"/>
    <n v="1"/>
    <n v="24"/>
    <n v="204.85"/>
    <n v="4916.4000000000005"/>
    <n v="-378.07"/>
    <n v="0"/>
    <n v="589.98324500000001"/>
    <n v="5128.3132450000003"/>
  </r>
  <r>
    <x v="2"/>
    <s v="Q2"/>
    <x v="0"/>
    <x v="20"/>
    <s v="KEPL/00357/82-83"/>
    <s v="GORIN TRADING "/>
    <x v="57"/>
    <n v="1"/>
    <n v="40"/>
    <n v="111.74"/>
    <n v="4469.6000000000004"/>
    <n v="-343.71"/>
    <n v="0"/>
    <n v="536.36601400000006"/>
    <n v="4662.2560139999996"/>
  </r>
  <r>
    <x v="2"/>
    <s v="Q2"/>
    <x v="0"/>
    <x v="20"/>
    <s v="KEPL/00357/82-83"/>
    <s v="GORIN TRADING "/>
    <x v="60"/>
    <n v="1"/>
    <n v="1000"/>
    <n v="1.86"/>
    <n v="1860"/>
    <n v="-143.03"/>
    <n v="0"/>
    <n v="223.20623000000001"/>
    <n v="1940.17623"/>
  </r>
  <r>
    <x v="2"/>
    <s v="Q2"/>
    <x v="0"/>
    <x v="20"/>
    <s v="KEPL/00357/82-83"/>
    <s v="GORIN TRADING "/>
    <x v="55"/>
    <n v="1"/>
    <n v="20"/>
    <n v="175.06"/>
    <n v="3501.2"/>
    <n v="-269.24"/>
    <n v="0"/>
    <n v="420.15504599999997"/>
    <n v="3652.1150459999999"/>
  </r>
  <r>
    <x v="2"/>
    <s v="Q2"/>
    <x v="0"/>
    <x v="20"/>
    <s v="KEPL/00357/82-83"/>
    <s v="GORIN TRADING "/>
    <x v="47"/>
    <n v="2"/>
    <n v="80"/>
    <n v="111.74"/>
    <n v="8939.2000000000007"/>
    <n v="-687.42"/>
    <n v="0"/>
    <n v="1072.732027"/>
    <n v="9324.5120270000007"/>
  </r>
  <r>
    <x v="2"/>
    <s v="Q2"/>
    <x v="0"/>
    <x v="20"/>
    <s v="KEPL/00357/82-83"/>
    <s v="GORIN TRADING "/>
    <x v="13"/>
    <n v="1"/>
    <n v="24"/>
    <n v="141.54"/>
    <n v="3396.96"/>
    <n v="-261.23"/>
    <n v="0"/>
    <n v="407.64513799999997"/>
    <n v="3543.3751379999999"/>
  </r>
  <r>
    <x v="2"/>
    <s v="Q2"/>
    <x v="0"/>
    <x v="20"/>
    <s v="KEPL/00357/82-83"/>
    <s v="GORIN TRADING "/>
    <x v="48"/>
    <n v="1"/>
    <n v="20"/>
    <n v="204.85"/>
    <n v="4097"/>
    <n v="-315.06"/>
    <n v="0"/>
    <n v="491.65248699999995"/>
    <n v="4273.5924869999999"/>
  </r>
  <r>
    <x v="2"/>
    <s v="Q2"/>
    <x v="0"/>
    <x v="20"/>
    <s v="KEPL/00357/82-83"/>
    <s v="GORIN TRADING "/>
    <x v="54"/>
    <n v="2"/>
    <n v="40"/>
    <n v="175.06"/>
    <n v="7002.4"/>
    <n v="-538.48"/>
    <n v="0"/>
    <n v="840.31009100000006"/>
    <n v="7304.2300910000004"/>
  </r>
  <r>
    <x v="2"/>
    <s v="Q2"/>
    <x v="0"/>
    <x v="20"/>
    <s v="KEPL/00357/82-83"/>
    <s v="GORIN TRADING "/>
    <x v="46"/>
    <n v="1"/>
    <n v="20"/>
    <n v="175.06"/>
    <n v="3501.2"/>
    <n v="-269.24"/>
    <n v="0"/>
    <n v="420.15504599999997"/>
    <n v="3652.1150459999999"/>
  </r>
  <r>
    <x v="2"/>
    <s v="Q2"/>
    <x v="0"/>
    <x v="20"/>
    <s v="KEPL/00357/82-83"/>
    <s v="GORIN TRADING "/>
    <x v="44"/>
    <n v="1"/>
    <n v="24"/>
    <n v="186.23"/>
    <n v="4469.5200000000004"/>
    <n v="-343.71"/>
    <n v="0"/>
    <n v="536.35561400000006"/>
    <n v="4662.1656139999996"/>
  </r>
  <r>
    <x v="2"/>
    <s v="Q2"/>
    <x v="0"/>
    <x v="21"/>
    <s v="KEPL/00358/82-83"/>
    <s v="KRISHMA ENTERPRISES"/>
    <x v="42"/>
    <n v="5"/>
    <n v="150"/>
    <n v="316.58999999999997"/>
    <n v="47488.5"/>
    <n v="-3651.87"/>
    <n v="0"/>
    <n v="5698.7599999999993"/>
    <n v="49535.39"/>
  </r>
  <r>
    <x v="2"/>
    <s v="Q2"/>
    <x v="0"/>
    <x v="21"/>
    <s v="KEPL/00359/82-83"/>
    <s v="SHREE EXIM"/>
    <x v="47"/>
    <n v="10"/>
    <n v="400"/>
    <n v="111.74"/>
    <n v="44696"/>
    <n v="-3437.12"/>
    <n v="0"/>
    <n v="5363.6500000000005"/>
    <n v="46622.53"/>
  </r>
  <r>
    <x v="2"/>
    <s v="Q2"/>
    <x v="0"/>
    <x v="21"/>
    <s v="KEPL/00360/82-83"/>
    <s v="NILLONS L&amp;D"/>
    <x v="60"/>
    <n v="1"/>
    <n v="1000"/>
    <n v="1.76"/>
    <n v="1760"/>
    <n v="0"/>
    <n v="0"/>
    <n v="228.8"/>
    <n v="1988.8"/>
  </r>
  <r>
    <x v="2"/>
    <s v="Q2"/>
    <x v="0"/>
    <x v="21"/>
    <s v="KEPL/00360/82-83"/>
    <s v="NILLONS L&amp;D"/>
    <x v="5"/>
    <n v="2"/>
    <n v="360"/>
    <n v="15.35"/>
    <n v="5526.0000000000009"/>
    <n v="0"/>
    <n v="0"/>
    <n v="718.38"/>
    <n v="6244.38"/>
  </r>
  <r>
    <x v="2"/>
    <s v="Q2"/>
    <x v="0"/>
    <x v="22"/>
    <s v="KEPL/00371/82-83"/>
    <s v="BEERA BARJEE INTERNATIONAL PVT.LTD"/>
    <x v="35"/>
    <n v="1"/>
    <n v="60"/>
    <n v="145.26"/>
    <n v="8715.6"/>
    <n v="-670.23"/>
    <n v="0"/>
    <n v="1045.897856"/>
    <n v="9091.2678560000004"/>
  </r>
  <r>
    <x v="2"/>
    <s v="Q2"/>
    <x v="0"/>
    <x v="22"/>
    <s v="KEPL/00371/82-83"/>
    <s v="BEERA BARJEE INTERNATIONAL PVT.LTD"/>
    <x v="32"/>
    <n v="1"/>
    <n v="60"/>
    <n v="111.74"/>
    <n v="6704.4"/>
    <n v="-515.57000000000005"/>
    <n v="0"/>
    <n v="804.54771200000005"/>
    <n v="6993.3777120000004"/>
  </r>
  <r>
    <x v="2"/>
    <s v="Q2"/>
    <x v="0"/>
    <x v="22"/>
    <s v="KEPL/00371/82-83"/>
    <s v="BEERA BARJEE INTERNATIONAL PVT.LTD"/>
    <x v="37"/>
    <n v="1"/>
    <n v="40"/>
    <n v="81.94"/>
    <n v="3277.6"/>
    <n v="-252.05"/>
    <n v="0"/>
    <n v="393.32140800000002"/>
    <n v="3418.871408"/>
  </r>
  <r>
    <x v="2"/>
    <s v="Q2"/>
    <x v="0"/>
    <x v="22"/>
    <s v="KEPL/00371/82-83"/>
    <s v="BEERA BARJEE INTERNATIONAL PVT.LTD"/>
    <x v="42"/>
    <n v="1"/>
    <n v="30"/>
    <n v="316.58999999999997"/>
    <n v="9497.6999999999989"/>
    <n v="-730.36999999999989"/>
    <n v="0"/>
    <n v="1139.7526339999999"/>
    <n v="9907.0826340000003"/>
  </r>
  <r>
    <x v="2"/>
    <s v="Q2"/>
    <x v="0"/>
    <x v="22"/>
    <s v="KEPL/00371/82-83"/>
    <s v="BEERA BARJEE INTERNATIONAL PVT.LTD"/>
    <x v="53"/>
    <n v="1"/>
    <n v="40"/>
    <n v="81.94"/>
    <n v="3277.6"/>
    <n v="-252.05"/>
    <n v="0"/>
    <n v="393.32140800000002"/>
    <n v="3418.871408"/>
  </r>
  <r>
    <x v="2"/>
    <s v="Q2"/>
    <x v="0"/>
    <x v="22"/>
    <s v="KEPL/00371/82-83"/>
    <s v="BEERA BARJEE INTERNATIONAL PVT.LTD"/>
    <x v="39"/>
    <n v="1"/>
    <n v="20"/>
    <n v="249.55"/>
    <n v="4991"/>
    <n v="-383.81"/>
    <n v="0"/>
    <n v="598.93456000000003"/>
    <n v="5206.1245600000002"/>
  </r>
  <r>
    <x v="2"/>
    <s v="Q2"/>
    <x v="0"/>
    <x v="22"/>
    <s v="KEPL/00371/82-83"/>
    <s v="BEERA BARJEE INTERNATIONAL PVT.LTD"/>
    <x v="17"/>
    <n v="1"/>
    <n v="20"/>
    <n v="201.13"/>
    <n v="4022.6"/>
    <n v="-309.33999999999997"/>
    <n v="0"/>
    <n v="482.72368699999998"/>
    <n v="4195.9836869999999"/>
  </r>
  <r>
    <x v="2"/>
    <s v="Q2"/>
    <x v="0"/>
    <x v="22"/>
    <s v="KEPL/00371/82-83"/>
    <s v="BEERA BARJEE INTERNATIONAL PVT.LTD"/>
    <x v="43"/>
    <n v="1"/>
    <n v="60"/>
    <n v="111.74"/>
    <n v="6704.4"/>
    <n v="-515.57000000000005"/>
    <n v="0"/>
    <n v="804.54771200000005"/>
    <n v="6993.3777120000004"/>
  </r>
  <r>
    <x v="2"/>
    <s v="Q2"/>
    <x v="0"/>
    <x v="22"/>
    <s v="KEPL/00371/82-83"/>
    <s v="BEERA BARJEE INTERNATIONAL PVT.LTD"/>
    <x v="56"/>
    <n v="1"/>
    <n v="800"/>
    <n v="7.45"/>
    <n v="5960"/>
    <n v="-458.32"/>
    <n v="0"/>
    <n v="715.21823299999994"/>
    <n v="6216.8982329999999"/>
  </r>
  <r>
    <x v="2"/>
    <s v="Q2"/>
    <x v="0"/>
    <x v="22"/>
    <s v="KEPL/00371/82-83"/>
    <s v="BEERA BARJEE INTERNATIONAL PVT.LTD"/>
    <x v="34"/>
    <n v="1"/>
    <n v="40"/>
    <n v="67.040000000000006"/>
    <n v="2681.6"/>
    <n v="-206.22"/>
    <n v="0"/>
    <n v="321.79932500000001"/>
    <n v="2797.1793250000001"/>
  </r>
  <r>
    <x v="2"/>
    <s v="Q2"/>
    <x v="0"/>
    <x v="22"/>
    <s v="KEPL/00371/82-83"/>
    <s v="BEERA BARJEE INTERNATIONAL PVT.LTD"/>
    <x v="0"/>
    <n v="1"/>
    <n v="40"/>
    <n v="111.74"/>
    <n v="4469.6000000000004"/>
    <n v="-343.71"/>
    <n v="0"/>
    <n v="536.36557499999992"/>
    <n v="4662.2555750000001"/>
  </r>
  <r>
    <x v="2"/>
    <s v="Q2"/>
    <x v="0"/>
    <x v="22"/>
    <s v="KEPL/00371/82-83"/>
    <s v="BEERA BARJEE INTERNATIONAL PVT.LTD"/>
    <x v="40"/>
    <n v="1"/>
    <n v="600"/>
    <n v="7.45"/>
    <n v="4470"/>
    <n v="-343.74"/>
    <n v="0"/>
    <n v="536.41367500000001"/>
    <n v="4662.673675"/>
  </r>
  <r>
    <x v="2"/>
    <s v="Q2"/>
    <x v="0"/>
    <x v="22"/>
    <s v="KEPL/00371/82-83"/>
    <s v="BEERA BARJEE INTERNATIONAL PVT.LTD"/>
    <x v="12"/>
    <n v="1"/>
    <n v="130"/>
    <n v="37.25"/>
    <n v="4842.5"/>
    <n v="-372.39"/>
    <n v="0"/>
    <n v="581.11416399999996"/>
    <n v="5051.2241640000002"/>
  </r>
  <r>
    <x v="2"/>
    <s v="Q2"/>
    <x v="0"/>
    <x v="22"/>
    <s v="KEPL/00371/82-83"/>
    <s v="BEERA BARJEE INTERNATIONAL PVT.LTD"/>
    <x v="41"/>
    <n v="1"/>
    <n v="40"/>
    <n v="67.040000000000006"/>
    <n v="2681.6"/>
    <n v="-206.22"/>
    <n v="0"/>
    <n v="321.79932500000001"/>
    <n v="2797.1793250000001"/>
  </r>
  <r>
    <x v="2"/>
    <s v="Q2"/>
    <x v="0"/>
    <x v="22"/>
    <s v="KEPL/00371/82-83"/>
    <s v="BEERA BARJEE INTERNATIONAL PVT.LTD"/>
    <x v="52"/>
    <n v="1"/>
    <n v="4"/>
    <n v="595.94000000000005"/>
    <n v="2383.7600000000002"/>
    <n v="-183.31"/>
    <n v="0"/>
    <n v="286.05843299999998"/>
    <n v="2486.508433"/>
  </r>
  <r>
    <x v="2"/>
    <s v="Q2"/>
    <x v="0"/>
    <x v="22"/>
    <s v="KEPL/00371/82-83"/>
    <s v="BEERA BARJEE INTERNATIONAL PVT.LTD"/>
    <x v="31"/>
    <n v="1"/>
    <n v="60"/>
    <n v="111.74"/>
    <n v="6704.4"/>
    <n v="-515.57000000000005"/>
    <n v="0"/>
    <n v="804.54771200000005"/>
    <n v="6993.3777120000004"/>
  </r>
  <r>
    <x v="2"/>
    <s v="Q2"/>
    <x v="0"/>
    <x v="22"/>
    <s v="KEPL/00371/82-83"/>
    <s v="BEERA BARJEE INTERNATIONAL PVT.LTD"/>
    <x v="36"/>
    <n v="1"/>
    <n v="40"/>
    <n v="81.94"/>
    <n v="3277.6"/>
    <n v="-252.05"/>
    <n v="0"/>
    <n v="393.32140800000002"/>
    <n v="3418.871408"/>
  </r>
  <r>
    <x v="2"/>
    <s v="Q2"/>
    <x v="0"/>
    <x v="22"/>
    <s v="KEPL/00371/82-83"/>
    <s v="BEERA BARJEE INTERNATIONAL PVT.LTD"/>
    <x v="38"/>
    <n v="1"/>
    <n v="24"/>
    <n v="186.23"/>
    <n v="4469.5200000000004"/>
    <n v="-343.71"/>
    <n v="0"/>
    <n v="536.35517499999992"/>
    <n v="4662.1651750000001"/>
  </r>
  <r>
    <x v="2"/>
    <s v="Q2"/>
    <x v="0"/>
    <x v="22"/>
    <s v="KEPL/00372/82-83"/>
    <s v="BEERA BARJEE INTERNATIONAL PVT.LTD"/>
    <x v="25"/>
    <n v="1"/>
    <n v="18"/>
    <n v="178.78"/>
    <n v="3218.0400000000004"/>
    <n v="-247.47"/>
    <n v="0"/>
    <n v="386.17437800000005"/>
    <n v="3356.7443779999999"/>
  </r>
  <r>
    <x v="2"/>
    <s v="Q2"/>
    <x v="0"/>
    <x v="22"/>
    <s v="KEPL/00372/82-83"/>
    <s v="BEERA BARJEE INTERNATIONAL PVT.LTD"/>
    <x v="22"/>
    <n v="1"/>
    <n v="24"/>
    <n v="204.85"/>
    <n v="4916.4000000000005"/>
    <n v="-378.07"/>
    <n v="0"/>
    <n v="589.98332400000004"/>
    <n v="5128.3133239999997"/>
  </r>
  <r>
    <x v="2"/>
    <s v="Q2"/>
    <x v="0"/>
    <x v="22"/>
    <s v="KEPL/00372/82-83"/>
    <s v="BEERA BARJEE INTERNATIONAL PVT.LTD"/>
    <x v="54"/>
    <n v="1"/>
    <n v="20"/>
    <n v="175.05"/>
    <n v="3500.9999999999995"/>
    <n v="-269.23"/>
    <n v="0"/>
    <n v="420.130402"/>
    <n v="3651.9004020000002"/>
  </r>
  <r>
    <x v="2"/>
    <s v="Q2"/>
    <x v="0"/>
    <x v="22"/>
    <s v="KEPL/00372/82-83"/>
    <s v="BEERA BARJEE INTERNATIONAL PVT.LTD"/>
    <x v="57"/>
    <n v="1"/>
    <n v="40"/>
    <n v="111.74"/>
    <n v="4469.6000000000004"/>
    <n v="-343.71"/>
    <n v="0"/>
    <n v="536.366085"/>
    <n v="4662.256085"/>
  </r>
  <r>
    <x v="2"/>
    <s v="Q2"/>
    <x v="0"/>
    <x v="22"/>
    <s v="KEPL/00372/82-83"/>
    <s v="BEERA BARJEE INTERNATIONAL PVT.LTD"/>
    <x v="18"/>
    <n v="1"/>
    <n v="15"/>
    <n v="260.72000000000003"/>
    <n v="3910.8"/>
    <n v="-300.74"/>
    <n v="0"/>
    <n v="469.30813700000004"/>
    <n v="4079.3681369999999"/>
  </r>
  <r>
    <x v="2"/>
    <s v="Q2"/>
    <x v="0"/>
    <x v="22"/>
    <s v="KEPL/00372/82-83"/>
    <s v="BEERA BARJEE INTERNATIONAL PVT.LTD"/>
    <x v="2"/>
    <n v="1"/>
    <n v="18"/>
    <n v="178.78"/>
    <n v="3218.0400000000004"/>
    <n v="-247.47"/>
    <n v="0"/>
    <n v="386.17437800000005"/>
    <n v="3356.7443779999999"/>
  </r>
  <r>
    <x v="2"/>
    <s v="Q2"/>
    <x v="0"/>
    <x v="22"/>
    <s v="KEPL/00372/82-83"/>
    <s v="BEERA BARJEE INTERNATIONAL PVT.LTD"/>
    <x v="3"/>
    <n v="1"/>
    <n v="20"/>
    <n v="186.23"/>
    <n v="3724.6000000000004"/>
    <n v="-286.42"/>
    <n v="0"/>
    <n v="446.96372100000002"/>
    <n v="3885.1437209999999"/>
  </r>
  <r>
    <x v="2"/>
    <s v="Q2"/>
    <x v="0"/>
    <x v="22"/>
    <s v="KEPL/00372/82-83"/>
    <s v="BEERA BARJEE INTERNATIONAL PVT.LTD"/>
    <x v="26"/>
    <n v="1"/>
    <n v="18"/>
    <n v="178.78"/>
    <n v="3218.0400000000004"/>
    <n v="-247.47"/>
    <n v="0"/>
    <n v="386.17437800000005"/>
    <n v="3356.7443779999999"/>
  </r>
  <r>
    <x v="2"/>
    <s v="Q2"/>
    <x v="0"/>
    <x v="22"/>
    <s v="KEPL/00372/82-83"/>
    <s v="BEERA BARJEE INTERNATIONAL PVT.LTD"/>
    <x v="47"/>
    <n v="1"/>
    <n v="40"/>
    <n v="111.74"/>
    <n v="4469.6000000000004"/>
    <n v="-343.71"/>
    <n v="0"/>
    <n v="536.366085"/>
    <n v="4662.256085"/>
  </r>
  <r>
    <x v="2"/>
    <s v="Q2"/>
    <x v="0"/>
    <x v="22"/>
    <s v="KEPL/00372/82-83"/>
    <s v="BEERA BARJEE INTERNATIONAL PVT.LTD"/>
    <x v="49"/>
    <n v="1"/>
    <n v="15"/>
    <n v="260.72000000000003"/>
    <n v="3910.8"/>
    <n v="-300.74"/>
    <n v="0"/>
    <n v="469.30813700000004"/>
    <n v="4079.3681369999999"/>
  </r>
  <r>
    <x v="2"/>
    <s v="Q2"/>
    <x v="0"/>
    <x v="22"/>
    <s v="KEPL/00372/82-83"/>
    <s v="BEERA BARJEE INTERNATIONAL PVT.LTD"/>
    <x v="55"/>
    <n v="1"/>
    <n v="20"/>
    <n v="175.05"/>
    <n v="3500.9999999999995"/>
    <n v="-269.23"/>
    <n v="0"/>
    <n v="420.130402"/>
    <n v="3651.9004020000002"/>
  </r>
  <r>
    <x v="2"/>
    <s v="Q2"/>
    <x v="0"/>
    <x v="22"/>
    <s v="KEPL/00372/82-83"/>
    <s v="BEERA BARJEE INTERNATIONAL PVT.LTD"/>
    <x v="23"/>
    <n v="1"/>
    <n v="600"/>
    <n v="7.45"/>
    <n v="4470"/>
    <n v="-343.74"/>
    <n v="0"/>
    <n v="536.41418499999997"/>
    <n v="4662.6741849999999"/>
  </r>
  <r>
    <x v="2"/>
    <s v="Q2"/>
    <x v="0"/>
    <x v="22"/>
    <s v="KEPL/00372/82-83"/>
    <s v="BEERA BARJEE INTERNATIONAL PVT.LTD"/>
    <x v="50"/>
    <n v="1"/>
    <n v="240"/>
    <n v="14.9"/>
    <n v="3576"/>
    <n v="-274.99"/>
    <n v="0"/>
    <n v="429.13160800000003"/>
    <n v="3730.1416079999999"/>
  </r>
  <r>
    <x v="2"/>
    <s v="Q2"/>
    <x v="0"/>
    <x v="22"/>
    <s v="KEPL/00372/82-83"/>
    <s v="BEERA BARJEE INTERNATIONAL PVT.LTD"/>
    <x v="46"/>
    <n v="1"/>
    <n v="20"/>
    <n v="175.05"/>
    <n v="3500.9999999999995"/>
    <n v="-269.23"/>
    <n v="0"/>
    <n v="420.130402"/>
    <n v="3651.9004020000002"/>
  </r>
  <r>
    <x v="2"/>
    <s v="Q2"/>
    <x v="0"/>
    <x v="22"/>
    <s v="KEPL/00372/82-83"/>
    <s v="BEERA BARJEE INTERNATIONAL PVT.LTD"/>
    <x v="24"/>
    <n v="1"/>
    <n v="18"/>
    <n v="178.78"/>
    <n v="3218.0400000000004"/>
    <n v="-247.47"/>
    <n v="0"/>
    <n v="386.17437800000005"/>
    <n v="3356.7443779999999"/>
  </r>
  <r>
    <x v="2"/>
    <s v="Q2"/>
    <x v="0"/>
    <x v="22"/>
    <s v="KEPL/00373/82-83"/>
    <s v="BEERA BARJEE INTERNATIONAL PVT.LTD"/>
    <x v="13"/>
    <n v="1"/>
    <n v="24"/>
    <n v="141.54"/>
    <n v="3396.96"/>
    <n v="-261.23"/>
    <n v="0"/>
    <n v="407.64480799999995"/>
    <n v="3543.374808"/>
  </r>
  <r>
    <x v="2"/>
    <s v="Q2"/>
    <x v="0"/>
    <x v="22"/>
    <s v="KEPL/00373/82-83"/>
    <s v="BEERA BARJEE INTERNATIONAL PVT.LTD"/>
    <x v="21"/>
    <n v="1"/>
    <n v="240"/>
    <n v="18.62"/>
    <n v="4468.8"/>
    <n v="-343.65"/>
    <n v="0"/>
    <n v="536.26937899999996"/>
    <n v="4661.4193789999999"/>
  </r>
  <r>
    <x v="2"/>
    <s v="Q2"/>
    <x v="0"/>
    <x v="22"/>
    <s v="KEPL/00373/82-83"/>
    <s v="BEERA BARJEE INTERNATIONAL PVT.LTD"/>
    <x v="30"/>
    <n v="1"/>
    <n v="20"/>
    <n v="242.1"/>
    <n v="4841.9999999999991"/>
    <n v="-372.35"/>
    <n v="0"/>
    <n v="581.05436899999995"/>
    <n v="5050.704369"/>
  </r>
  <r>
    <x v="2"/>
    <s v="Q2"/>
    <x v="0"/>
    <x v="22"/>
    <s v="KEPL/00373/82-83"/>
    <s v="BEERA BARJEE INTERNATIONAL PVT.LTD"/>
    <x v="48"/>
    <n v="1"/>
    <n v="20"/>
    <n v="204.85"/>
    <n v="4097"/>
    <n v="-315.06"/>
    <n v="0"/>
    <n v="491.65208900000005"/>
    <n v="4273.5920889999998"/>
  </r>
  <r>
    <x v="2"/>
    <s v="Q2"/>
    <x v="0"/>
    <x v="22"/>
    <s v="KEPL/00373/82-83"/>
    <s v="BEERA BARJEE INTERNATIONAL PVT.LTD"/>
    <x v="28"/>
    <n v="1"/>
    <n v="20"/>
    <n v="204.85"/>
    <n v="4097"/>
    <n v="-315.06"/>
    <n v="0"/>
    <n v="491.65208900000005"/>
    <n v="4273.5920889999998"/>
  </r>
  <r>
    <x v="2"/>
    <s v="Q2"/>
    <x v="0"/>
    <x v="22"/>
    <s v="KEPL/00373/82-83"/>
    <s v="BEERA BARJEE INTERNATIONAL PVT.LTD"/>
    <x v="44"/>
    <n v="1"/>
    <n v="24"/>
    <n v="186.23"/>
    <n v="4469.5200000000004"/>
    <n v="-343.71"/>
    <n v="0"/>
    <n v="536.35517900000002"/>
    <n v="4662.1651789999996"/>
  </r>
  <r>
    <x v="2"/>
    <s v="Q2"/>
    <x v="0"/>
    <x v="22"/>
    <s v="KEPL/00373/82-83"/>
    <s v="BEERA BARJEE INTERNATIONAL PVT.LTD"/>
    <x v="29"/>
    <n v="1"/>
    <n v="20"/>
    <n v="204.85"/>
    <n v="4097"/>
    <n v="-315.06"/>
    <n v="0"/>
    <n v="491.65208900000005"/>
    <n v="4273.5920889999998"/>
  </r>
  <r>
    <x v="2"/>
    <s v="Q2"/>
    <x v="0"/>
    <x v="22"/>
    <s v="KEPL/00375/82-83"/>
    <s v="SHUBHASHREE MARKETING"/>
    <x v="49"/>
    <n v="3"/>
    <n v="45"/>
    <n v="260.72000000000003"/>
    <n v="11732.4"/>
    <n v="-902.22"/>
    <n v="0"/>
    <n v="1407.923133"/>
    <n v="12238.103133000001"/>
  </r>
  <r>
    <x v="2"/>
    <s v="Q2"/>
    <x v="0"/>
    <x v="22"/>
    <s v="KEPL/00375/82-83"/>
    <s v="SHUBHASHREE MARKETING"/>
    <x v="28"/>
    <n v="2"/>
    <n v="40"/>
    <n v="204.85"/>
    <n v="8194"/>
    <n v="-630.12"/>
    <n v="0"/>
    <n v="983.304213"/>
    <n v="8547.1842130000005"/>
  </r>
  <r>
    <x v="2"/>
    <s v="Q2"/>
    <x v="0"/>
    <x v="22"/>
    <s v="KEPL/00375/82-83"/>
    <s v="SHUBHASHREE MARKETING"/>
    <x v="0"/>
    <n v="1"/>
    <n v="40"/>
    <n v="111.74"/>
    <n v="4469.6000000000004"/>
    <n v="-343.71"/>
    <n v="0"/>
    <n v="536.36559799999998"/>
    <n v="4662.2555979999997"/>
  </r>
  <r>
    <x v="2"/>
    <s v="Q2"/>
    <x v="0"/>
    <x v="22"/>
    <s v="KEPL/00375/82-83"/>
    <s v="SHUBHASHREE MARKETING"/>
    <x v="18"/>
    <n v="2"/>
    <n v="30"/>
    <n v="260.72000000000003"/>
    <n v="7821.6"/>
    <n v="-601.48"/>
    <n v="0"/>
    <n v="938.61542199999997"/>
    <n v="8158.7354219999997"/>
  </r>
  <r>
    <x v="2"/>
    <s v="Q2"/>
    <x v="0"/>
    <x v="22"/>
    <s v="KEPL/00375/82-83"/>
    <s v="SHUBHASHREE MARKETING"/>
    <x v="26"/>
    <n v="1"/>
    <n v="18"/>
    <n v="178.78"/>
    <n v="3218.0400000000004"/>
    <n v="-247.47"/>
    <n v="0"/>
    <n v="386.17402700000002"/>
    <n v="3356.7440270000002"/>
  </r>
  <r>
    <x v="2"/>
    <s v="Q2"/>
    <x v="0"/>
    <x v="22"/>
    <s v="KEPL/00375/82-83"/>
    <s v="SHUBHASHREE MARKETING"/>
    <x v="39"/>
    <n v="10"/>
    <n v="200"/>
    <n v="249.55"/>
    <n v="49910"/>
    <n v="-3838.08"/>
    <n v="0"/>
    <n v="5989.3484619999999"/>
    <n v="52061.268462"/>
  </r>
  <r>
    <x v="2"/>
    <s v="Q2"/>
    <x v="0"/>
    <x v="22"/>
    <s v="KEPL/00375/82-83"/>
    <s v="SHUBHASHREE MARKETING"/>
    <x v="2"/>
    <n v="1"/>
    <n v="18"/>
    <n v="178.78"/>
    <n v="3218.0400000000004"/>
    <n v="-247.47"/>
    <n v="0"/>
    <n v="386.17402700000002"/>
    <n v="3356.7440270000002"/>
  </r>
  <r>
    <x v="2"/>
    <s v="Q2"/>
    <x v="0"/>
    <x v="22"/>
    <s v="KEPL/00375/82-83"/>
    <s v="SHUBHASHREE MARKETING"/>
    <x v="57"/>
    <n v="2"/>
    <n v="80"/>
    <n v="111.74"/>
    <n v="8939.2000000000007"/>
    <n v="-687.42"/>
    <n v="0"/>
    <n v="1072.731196"/>
    <n v="9324.5111959999995"/>
  </r>
  <r>
    <x v="2"/>
    <s v="Q2"/>
    <x v="0"/>
    <x v="22"/>
    <s v="KEPL/00375/82-83"/>
    <s v="SHUBHASHREE MARKETING"/>
    <x v="47"/>
    <n v="3"/>
    <n v="120"/>
    <n v="111.74"/>
    <n v="13408.8"/>
    <n v="-1031.1400000000001"/>
    <n v="0"/>
    <n v="1609.0954940000001"/>
    <n v="13986.755494000001"/>
  </r>
  <r>
    <x v="2"/>
    <s v="Q2"/>
    <x v="0"/>
    <x v="22"/>
    <s v="KEPL/00375/82-83"/>
    <s v="SHUBHASHREE MARKETING"/>
    <x v="17"/>
    <n v="1"/>
    <n v="20"/>
    <n v="201.13"/>
    <n v="4022.6"/>
    <n v="-309.33999999999997"/>
    <n v="0"/>
    <n v="482.72370800000004"/>
    <n v="4195.9837079999998"/>
  </r>
  <r>
    <x v="2"/>
    <s v="Q2"/>
    <x v="0"/>
    <x v="22"/>
    <s v="KEPL/00375/82-83"/>
    <s v="SHUBHASHREE MARKETING"/>
    <x v="54"/>
    <n v="1"/>
    <n v="20"/>
    <n v="175.06"/>
    <n v="3501.2"/>
    <n v="-269.24"/>
    <n v="0"/>
    <n v="420.15472"/>
    <n v="3652.11472"/>
  </r>
  <r>
    <x v="2"/>
    <s v="Q2"/>
    <x v="0"/>
    <x v="22"/>
    <s v="KEPL/00376/82-83"/>
    <s v="KRISHMA ENTERPRISES"/>
    <x v="2"/>
    <n v="3"/>
    <n v="54"/>
    <n v="178.78"/>
    <n v="9654.119999999999"/>
    <n v="-742.4"/>
    <n v="0"/>
    <n v="1158.5249999999999"/>
    <n v="10070.245000000001"/>
  </r>
  <r>
    <x v="2"/>
    <s v="Q2"/>
    <x v="0"/>
    <x v="22"/>
    <s v="KEPL/00376/82-83"/>
    <s v="KRISHMA ENTERPRISES"/>
    <x v="26"/>
    <n v="3"/>
    <n v="54"/>
    <n v="178.78"/>
    <n v="9654.119999999999"/>
    <n v="-742.4"/>
    <n v="0"/>
    <n v="1158.5249999999999"/>
    <n v="10070.245000000001"/>
  </r>
  <r>
    <x v="2"/>
    <s v="Q2"/>
    <x v="0"/>
    <x v="22"/>
    <s v="KEPL/00377/82-83"/>
    <s v="CHHATRA DEV GENERAL SUPPLIERS"/>
    <x v="45"/>
    <n v="2"/>
    <n v="30"/>
    <n v="260.72000000000003"/>
    <n v="7821.6"/>
    <n v="-601.48"/>
    <n v="0"/>
    <n v="938.61517000000003"/>
    <n v="8158.7351699999999"/>
  </r>
  <r>
    <x v="2"/>
    <s v="Q2"/>
    <x v="0"/>
    <x v="22"/>
    <s v="KEPL/00377/82-83"/>
    <s v="CHHATRA DEV GENERAL SUPPLIERS"/>
    <x v="49"/>
    <n v="3"/>
    <n v="45"/>
    <n v="260.72000000000003"/>
    <n v="11732.4"/>
    <n v="-902.22"/>
    <n v="0"/>
    <n v="1407.9227550000001"/>
    <n v="12238.102755"/>
  </r>
  <r>
    <x v="2"/>
    <s v="Q2"/>
    <x v="0"/>
    <x v="22"/>
    <s v="KEPL/00377/82-83"/>
    <s v="CHHATRA DEV GENERAL SUPPLIERS"/>
    <x v="54"/>
    <n v="1"/>
    <n v="20"/>
    <n v="175.05"/>
    <n v="3500.9999999999995"/>
    <n v="-269.23"/>
    <n v="0"/>
    <n v="420.129907"/>
    <n v="3651.899907"/>
  </r>
  <r>
    <x v="2"/>
    <s v="Q2"/>
    <x v="0"/>
    <x v="22"/>
    <s v="KEPL/00377/82-83"/>
    <s v="CHHATRA DEV GENERAL SUPPLIERS"/>
    <x v="46"/>
    <n v="2"/>
    <n v="40"/>
    <n v="175.05"/>
    <n v="7001.9999999999991"/>
    <n v="-538.45000000000005"/>
    <n v="0"/>
    <n v="840.2611149999999"/>
    <n v="7303.8111150000004"/>
  </r>
  <r>
    <x v="2"/>
    <s v="Q2"/>
    <x v="0"/>
    <x v="22"/>
    <s v="KEPL/00377/82-83"/>
    <s v="CHHATRA DEV GENERAL SUPPLIERS"/>
    <x v="56"/>
    <n v="1"/>
    <n v="800"/>
    <n v="7.45"/>
    <n v="5960"/>
    <n v="-458.32"/>
    <n v="0"/>
    <n v="715.21807200000001"/>
    <n v="6216.898072"/>
  </r>
  <r>
    <x v="2"/>
    <s v="Q2"/>
    <x v="0"/>
    <x v="22"/>
    <s v="KEPL/00377/82-83"/>
    <s v="CHHATRA DEV GENERAL SUPPLIERS"/>
    <x v="13"/>
    <n v="5"/>
    <n v="120"/>
    <n v="141.53"/>
    <n v="16983.600000000002"/>
    <n v="-1306.04"/>
    <n v="0"/>
    <n v="2038.081866"/>
    <n v="17715.641866000002"/>
  </r>
  <r>
    <x v="2"/>
    <s v="Q2"/>
    <x v="0"/>
    <x v="22"/>
    <s v="KEPL/00377/82-83"/>
    <s v="CHHATRA DEV GENERAL SUPPLIERS"/>
    <x v="55"/>
    <n v="2"/>
    <n v="40"/>
    <n v="175.05"/>
    <n v="7001.9999999999991"/>
    <n v="-538.45000000000005"/>
    <n v="0"/>
    <n v="840.2611149999999"/>
    <n v="7303.8111150000004"/>
  </r>
  <r>
    <x v="2"/>
    <s v="Q2"/>
    <x v="0"/>
    <x v="23"/>
    <s v="KEPL/00397/82-83"/>
    <s v="SHUBHASHREE MARKETING"/>
    <x v="32"/>
    <n v="3"/>
    <n v="180"/>
    <n v="111.74"/>
    <n v="20113.2"/>
    <n v="-1546.71"/>
    <n v="0"/>
    <n v="2413.6443689999996"/>
    <n v="20980.134368999999"/>
  </r>
  <r>
    <x v="2"/>
    <s v="Q2"/>
    <x v="0"/>
    <x v="23"/>
    <s v="KEPL/00397/82-83"/>
    <s v="SHUBHASHREE MARKETING"/>
    <x v="39"/>
    <n v="5"/>
    <n v="100"/>
    <n v="249.55"/>
    <n v="24955"/>
    <n v="-1919.04"/>
    <n v="0"/>
    <n v="2994.6756310000001"/>
    <n v="26030.635631000001"/>
  </r>
  <r>
    <x v="2"/>
    <s v="Q2"/>
    <x v="0"/>
    <x v="24"/>
    <s v="KEPL/00405/82-83"/>
    <s v="SHUBHASHREE MARKETING"/>
    <x v="27"/>
    <n v="5"/>
    <n v="350"/>
    <n v="32.78"/>
    <n v="11473"/>
    <n v="-882.2700000000001"/>
    <n v="0"/>
    <n v="1376.7941970000002"/>
    <n v="11967.524197000001"/>
  </r>
  <r>
    <x v="2"/>
    <s v="Q2"/>
    <x v="0"/>
    <x v="24"/>
    <s v="KEPL/00405/82-83"/>
    <s v="SHUBHASHREE MARKETING"/>
    <x v="33"/>
    <n v="2"/>
    <n v="80"/>
    <n v="67.040000000000006"/>
    <n v="5363.2"/>
    <n v="-412.43"/>
    <n v="0"/>
    <n v="643.59977200000003"/>
    <n v="5594.369772"/>
  </r>
  <r>
    <x v="2"/>
    <s v="Q2"/>
    <x v="0"/>
    <x v="24"/>
    <s v="KEPL/00405/82-83"/>
    <s v="SHUBHASHREE MARKETING"/>
    <x v="51"/>
    <n v="5"/>
    <n v="250"/>
    <n v="89.39"/>
    <n v="22347.5"/>
    <n v="-1718.52"/>
    <n v="0"/>
    <n v="2681.7660309999997"/>
    <n v="23310.746030999999"/>
  </r>
  <r>
    <x v="2"/>
    <s v="Q2"/>
    <x v="0"/>
    <x v="24"/>
    <s v="KEPL/00406/82-83"/>
    <s v="GORIN TRADING "/>
    <x v="46"/>
    <n v="5"/>
    <n v="100"/>
    <n v="175.06"/>
    <n v="17506"/>
    <n v="-1346.21"/>
    <n v="0"/>
    <n v="2100.772371"/>
    <n v="18260.562371"/>
  </r>
  <r>
    <x v="2"/>
    <s v="Q2"/>
    <x v="0"/>
    <x v="24"/>
    <s v="KEPL/00406/82-83"/>
    <s v="GORIN TRADING "/>
    <x v="27"/>
    <n v="1"/>
    <n v="70"/>
    <n v="32.78"/>
    <n v="2294.6"/>
    <n v="-176.45"/>
    <n v="0"/>
    <n v="275.35945700000002"/>
    <n v="2393.5094570000001"/>
  </r>
  <r>
    <x v="2"/>
    <s v="Q2"/>
    <x v="0"/>
    <x v="24"/>
    <s v="KEPL/00406/82-83"/>
    <s v="GORIN TRADING "/>
    <x v="49"/>
    <n v="5"/>
    <n v="75"/>
    <n v="260.72000000000003"/>
    <n v="19554"/>
    <n v="-1503.6999999999998"/>
    <n v="0"/>
    <n v="2346.5386330000001"/>
    <n v="20396.838632999999"/>
  </r>
  <r>
    <x v="2"/>
    <s v="Q2"/>
    <x v="0"/>
    <x v="24"/>
    <s v="KEPL/00406/82-83"/>
    <s v="GORIN TRADING "/>
    <x v="39"/>
    <n v="2"/>
    <n v="40"/>
    <n v="249.55"/>
    <n v="9982"/>
    <n v="-767.62"/>
    <n v="0"/>
    <n v="1197.8692130000002"/>
    <n v="10412.249212999999"/>
  </r>
  <r>
    <x v="2"/>
    <s v="Q2"/>
    <x v="0"/>
    <x v="24"/>
    <s v="KEPL/00406/82-83"/>
    <s v="GORIN TRADING "/>
    <x v="52"/>
    <n v="5"/>
    <n v="20"/>
    <n v="595.94000000000005"/>
    <n v="11918.8"/>
    <n v="-916.56"/>
    <n v="0"/>
    <n v="1430.2909759999998"/>
    <n v="12432.530976"/>
  </r>
  <r>
    <x v="2"/>
    <s v="Q2"/>
    <x v="0"/>
    <x v="24"/>
    <s v="KEPL/00406/82-83"/>
    <s v="GORIN TRADING "/>
    <x v="33"/>
    <n v="1"/>
    <n v="40"/>
    <n v="67.040000000000006"/>
    <n v="2681.6"/>
    <n v="-206.22"/>
    <n v="0"/>
    <n v="321.79934999999995"/>
    <n v="2797.1793499999999"/>
  </r>
  <r>
    <x v="2"/>
    <s v="Q2"/>
    <x v="0"/>
    <x v="25"/>
    <s v="KEPL/00408/82-83"/>
    <s v="BEERA BARJEE INTERNATIONAL PVT.LTD"/>
    <x v="27"/>
    <n v="2"/>
    <n v="140"/>
    <n v="32.78"/>
    <n v="4589.2"/>
    <n v="-352.91"/>
    <n v="0"/>
    <n v="550.71767699999998"/>
    <n v="4787.0076769999996"/>
  </r>
  <r>
    <x v="2"/>
    <s v="Q2"/>
    <x v="0"/>
    <x v="25"/>
    <s v="KEPL/00408/82-83"/>
    <s v="BEERA BARJEE INTERNATIONAL PVT.LTD"/>
    <x v="33"/>
    <n v="2"/>
    <n v="80"/>
    <n v="67.040000000000006"/>
    <n v="5363.2"/>
    <n v="-412.43"/>
    <n v="0"/>
    <n v="643.60007300000007"/>
    <n v="5594.370073"/>
  </r>
  <r>
    <x v="2"/>
    <s v="Q2"/>
    <x v="0"/>
    <x v="25"/>
    <s v="KEPL/00408/82-83"/>
    <s v="BEERA BARJEE INTERNATIONAL PVT.LTD"/>
    <x v="26"/>
    <n v="1"/>
    <n v="18"/>
    <n v="178.78"/>
    <n v="3218.0400000000004"/>
    <n v="-247.47"/>
    <n v="0"/>
    <n v="386.17408399999999"/>
    <n v="3356.7440839999999"/>
  </r>
  <r>
    <x v="2"/>
    <s v="Q2"/>
    <x v="0"/>
    <x v="25"/>
    <s v="KEPL/00408/82-83"/>
    <s v="BEERA BARJEE INTERNATIONAL PVT.LTD"/>
    <x v="25"/>
    <n v="1"/>
    <n v="18"/>
    <n v="178.78"/>
    <n v="3218.0400000000004"/>
    <n v="-247.47"/>
    <n v="0"/>
    <n v="386.17408399999999"/>
    <n v="3356.7440839999999"/>
  </r>
  <r>
    <x v="2"/>
    <s v="Q2"/>
    <x v="0"/>
    <x v="25"/>
    <s v="KEPL/00408/82-83"/>
    <s v="BEERA BARJEE INTERNATIONAL PVT.LTD"/>
    <x v="2"/>
    <n v="1"/>
    <n v="18"/>
    <n v="178.78"/>
    <n v="3218.0400000000004"/>
    <n v="-247.47"/>
    <n v="0"/>
    <n v="386.17408399999999"/>
    <n v="3356.7440839999999"/>
  </r>
  <r>
    <x v="2"/>
    <s v="Q2"/>
    <x v="0"/>
    <x v="26"/>
    <s v="KEPL/00433/82-83"/>
    <s v="B G TRADING CONCERN"/>
    <x v="48"/>
    <n v="1"/>
    <n v="20"/>
    <n v="204.85"/>
    <n v="4097"/>
    <n v="-315.06"/>
    <n v="0"/>
    <n v="491.65192000000002"/>
    <n v="4273.5919199999998"/>
  </r>
  <r>
    <x v="2"/>
    <s v="Q2"/>
    <x v="0"/>
    <x v="26"/>
    <s v="KEPL/00433/82-83"/>
    <s v="B G TRADING CONCERN"/>
    <x v="33"/>
    <n v="1"/>
    <n v="40"/>
    <n v="67.040000000000006"/>
    <n v="2681.6"/>
    <n v="-206.22"/>
    <n v="0"/>
    <n v="321.799216"/>
    <n v="2797.179216"/>
  </r>
  <r>
    <x v="2"/>
    <s v="Q2"/>
    <x v="0"/>
    <x v="26"/>
    <s v="KEPL/00433/82-83"/>
    <s v="B G TRADING CONCERN"/>
    <x v="27"/>
    <n v="1"/>
    <n v="70"/>
    <n v="32.78"/>
    <n v="2294.6"/>
    <n v="-176.45"/>
    <n v="0"/>
    <n v="275.35934300000002"/>
    <n v="2393.5093430000002"/>
  </r>
  <r>
    <x v="2"/>
    <s v="Q2"/>
    <x v="0"/>
    <x v="26"/>
    <s v="KEPL/00433/82-83"/>
    <s v="B G TRADING CONCERN"/>
    <x v="37"/>
    <n v="1"/>
    <n v="40"/>
    <n v="81.94"/>
    <n v="3277.6"/>
    <n v="-252.05"/>
    <n v="0"/>
    <n v="393.32127600000001"/>
    <n v="3418.8712759999999"/>
  </r>
  <r>
    <x v="2"/>
    <s v="Q2"/>
    <x v="0"/>
    <x v="26"/>
    <s v="KEPL/00433/82-83"/>
    <s v="B G TRADING CONCERN"/>
    <x v="36"/>
    <n v="1"/>
    <n v="40"/>
    <n v="81.94"/>
    <n v="3277.6"/>
    <n v="-252.05"/>
    <n v="0"/>
    <n v="393.32127600000001"/>
    <n v="3418.8712759999999"/>
  </r>
  <r>
    <x v="2"/>
    <s v="Q2"/>
    <x v="0"/>
    <x v="26"/>
    <s v="KEPL/00433/82-83"/>
    <s v="B G TRADING CONCERN"/>
    <x v="39"/>
    <n v="1"/>
    <n v="20"/>
    <n v="249.55"/>
    <n v="4991"/>
    <n v="-383.81"/>
    <n v="0"/>
    <n v="598.93435800000009"/>
    <n v="5206.124358"/>
  </r>
  <r>
    <x v="2"/>
    <s v="Q2"/>
    <x v="0"/>
    <x v="26"/>
    <s v="KEPL/00433/82-83"/>
    <s v="B G TRADING CONCERN"/>
    <x v="3"/>
    <n v="1"/>
    <n v="20"/>
    <n v="186.23"/>
    <n v="3724.6000000000004"/>
    <n v="-286.42"/>
    <n v="0"/>
    <n v="446.96314500000005"/>
    <n v="3885.143145"/>
  </r>
  <r>
    <x v="2"/>
    <s v="Q2"/>
    <x v="0"/>
    <x v="26"/>
    <s v="KEPL/00433/82-83"/>
    <s v="B G TRADING CONCERN"/>
    <x v="34"/>
    <n v="2"/>
    <n v="80"/>
    <n v="67.040000000000006"/>
    <n v="5363.2"/>
    <n v="-412.43"/>
    <n v="0"/>
    <n v="643.59973300000001"/>
    <n v="5594.3697330000005"/>
  </r>
  <r>
    <x v="2"/>
    <s v="Q2"/>
    <x v="0"/>
    <x v="26"/>
    <s v="KEPL/00433/82-83"/>
    <s v="B G TRADING CONCERN"/>
    <x v="41"/>
    <n v="2"/>
    <n v="80"/>
    <n v="67.040000000000006"/>
    <n v="5363.2"/>
    <n v="-412.43"/>
    <n v="0"/>
    <n v="643.59973300000001"/>
    <n v="5594.3697330000005"/>
  </r>
  <r>
    <x v="2"/>
    <s v="Q2"/>
    <x v="0"/>
    <x v="26"/>
    <s v="KEPL/00434/82-83"/>
    <s v="SHUBHASHREE MARKETING"/>
    <x v="32"/>
    <n v="2"/>
    <n v="120"/>
    <n v="111.74"/>
    <n v="13408.8"/>
    <n v="-1031.1400000000001"/>
    <n v="0"/>
    <n v="1609.0956120000001"/>
    <n v="13986.755612000001"/>
  </r>
  <r>
    <x v="2"/>
    <s v="Q2"/>
    <x v="0"/>
    <x v="26"/>
    <s v="KEPL/00434/82-83"/>
    <s v="SHUBHASHREE MARKETING"/>
    <x v="49"/>
    <n v="3"/>
    <n v="45"/>
    <n v="260.72000000000003"/>
    <n v="11732.4"/>
    <n v="-902.22"/>
    <n v="0"/>
    <n v="1407.9232360000001"/>
    <n v="12238.103236000001"/>
  </r>
  <r>
    <x v="2"/>
    <s v="Q2"/>
    <x v="0"/>
    <x v="26"/>
    <s v="KEPL/00434/82-83"/>
    <s v="SHUBHASHREE MARKETING"/>
    <x v="22"/>
    <n v="2"/>
    <n v="48"/>
    <n v="204.85"/>
    <n v="9832.8000000000011"/>
    <n v="-756.14"/>
    <n v="0"/>
    <n v="1179.9656620000001"/>
    <n v="10256.625662"/>
  </r>
  <r>
    <x v="2"/>
    <s v="Q2"/>
    <x v="0"/>
    <x v="26"/>
    <s v="KEPL/00434/82-83"/>
    <s v="SHUBHASHREE MARKETING"/>
    <x v="45"/>
    <n v="2"/>
    <n v="30"/>
    <n v="260.72000000000003"/>
    <n v="7821.6"/>
    <n v="-601.48"/>
    <n v="0"/>
    <n v="938.61549000000002"/>
    <n v="8158.73549"/>
  </r>
  <r>
    <x v="2"/>
    <s v="Q2"/>
    <x v="0"/>
    <x v="26"/>
    <s v="KEPL/00435/82-83"/>
    <s v="NEW CHANDESHWARI SUPPLIERS"/>
    <x v="47"/>
    <n v="1"/>
    <n v="40"/>
    <n v="111.74"/>
    <n v="4469.6000000000004"/>
    <n v="-343.71"/>
    <n v="0"/>
    <n v="536.36596899999995"/>
    <n v="4662.2559689999998"/>
  </r>
  <r>
    <x v="2"/>
    <s v="Q2"/>
    <x v="0"/>
    <x v="26"/>
    <s v="KEPL/00435/82-83"/>
    <s v="NEW CHANDESHWARI SUPPLIERS"/>
    <x v="35"/>
    <n v="1"/>
    <n v="60"/>
    <n v="145.26"/>
    <n v="8715.6"/>
    <n v="-670.23"/>
    <n v="0"/>
    <n v="1045.8986239999999"/>
    <n v="9091.2686240000003"/>
  </r>
  <r>
    <x v="2"/>
    <s v="Q2"/>
    <x v="0"/>
    <x v="26"/>
    <s v="KEPL/00435/82-83"/>
    <s v="NEW CHANDESHWARI SUPPLIERS"/>
    <x v="57"/>
    <n v="1"/>
    <n v="40"/>
    <n v="111.74"/>
    <n v="4469.6000000000004"/>
    <n v="-343.71"/>
    <n v="0"/>
    <n v="536.36596899999995"/>
    <n v="4662.2559689999998"/>
  </r>
  <r>
    <x v="2"/>
    <s v="Q2"/>
    <x v="0"/>
    <x v="26"/>
    <s v="KEPL/00435/82-83"/>
    <s v="NEW CHANDESHWARI SUPPLIERS"/>
    <x v="42"/>
    <n v="1"/>
    <n v="30"/>
    <n v="316.58999999999997"/>
    <n v="9497.6999999999989"/>
    <n v="-730.36999999999989"/>
    <n v="0"/>
    <n v="1139.753471"/>
    <n v="9907.0834709999999"/>
  </r>
  <r>
    <x v="2"/>
    <s v="Q2"/>
    <x v="0"/>
    <x v="26"/>
    <s v="KEPL/00435/82-83"/>
    <s v="NEW CHANDESHWARI SUPPLIERS"/>
    <x v="0"/>
    <n v="1"/>
    <n v="40"/>
    <n v="111.74"/>
    <n v="4469.6000000000004"/>
    <n v="-343.71"/>
    <n v="0"/>
    <n v="536.36596899999995"/>
    <n v="4662.2559689999998"/>
  </r>
  <r>
    <x v="2"/>
    <s v="Q2"/>
    <x v="0"/>
    <x v="26"/>
    <s v="KEPL/00436/82-83"/>
    <s v="WELSON TRADE &amp; RASAN MART"/>
    <x v="47"/>
    <n v="2"/>
    <n v="80"/>
    <n v="111.74"/>
    <n v="8939.2000000000007"/>
    <n v="-687.42"/>
    <n v="0"/>
    <n v="1072.7310499999999"/>
    <n v="9324.5110499999992"/>
  </r>
  <r>
    <x v="2"/>
    <s v="Q2"/>
    <x v="0"/>
    <x v="26"/>
    <s v="KEPL/00436/82-83"/>
    <s v="WELSON TRADE &amp; RASAN MART"/>
    <x v="48"/>
    <n v="1"/>
    <n v="20"/>
    <n v="204.85"/>
    <n v="4097"/>
    <n v="-315.06"/>
    <n v="0"/>
    <n v="491.65203899999995"/>
    <n v="4273.5920390000001"/>
  </r>
  <r>
    <x v="2"/>
    <s v="Q2"/>
    <x v="0"/>
    <x v="26"/>
    <s v="KEPL/00436/82-83"/>
    <s v="WELSON TRADE &amp; RASAN MART"/>
    <x v="3"/>
    <n v="2"/>
    <n v="40"/>
    <n v="186.23"/>
    <n v="7449.2000000000007"/>
    <n v="-572.84"/>
    <n v="0"/>
    <n v="893.9265079999999"/>
    <n v="7770.2865080000001"/>
  </r>
  <r>
    <x v="2"/>
    <s v="Q2"/>
    <x v="0"/>
    <x v="26"/>
    <s v="KEPL/00436/82-83"/>
    <s v="WELSON TRADE &amp; RASAN MART"/>
    <x v="44"/>
    <n v="1"/>
    <n v="24"/>
    <n v="186.23"/>
    <n v="4469.5200000000004"/>
    <n v="-343.71"/>
    <n v="0"/>
    <n v="536.35512499999993"/>
    <n v="4662.1651250000004"/>
  </r>
  <r>
    <x v="2"/>
    <s v="Q2"/>
    <x v="0"/>
    <x v="26"/>
    <s v="KEPL/00436/82-83"/>
    <s v="WELSON TRADE &amp; RASAN MART"/>
    <x v="24"/>
    <n v="1"/>
    <n v="18"/>
    <n v="178.78"/>
    <n v="3218.0400000000004"/>
    <n v="-247.47"/>
    <n v="0"/>
    <n v="386.17397399999999"/>
    <n v="3356.743974"/>
  </r>
  <r>
    <x v="2"/>
    <s v="Q2"/>
    <x v="0"/>
    <x v="26"/>
    <s v="KEPL/00436/82-83"/>
    <s v="WELSON TRADE &amp; RASAN MART"/>
    <x v="22"/>
    <n v="1"/>
    <n v="24"/>
    <n v="204.85"/>
    <n v="4916.4000000000005"/>
    <n v="-378.07"/>
    <n v="0"/>
    <n v="589.982707"/>
    <n v="5128.312707"/>
  </r>
  <r>
    <x v="2"/>
    <s v="Q2"/>
    <x v="0"/>
    <x v="26"/>
    <s v="KEPL/00436/82-83"/>
    <s v="WELSON TRADE &amp; RASAN MART"/>
    <x v="49"/>
    <n v="2"/>
    <n v="30"/>
    <n v="260.72000000000003"/>
    <n v="7821.6"/>
    <n v="-601.48"/>
    <n v="0"/>
    <n v="938.61529400000006"/>
    <n v="8158.7352940000001"/>
  </r>
  <r>
    <x v="2"/>
    <s v="Q2"/>
    <x v="0"/>
    <x v="26"/>
    <s v="KEPL/00436/82-83"/>
    <s v="WELSON TRADE &amp; RASAN MART"/>
    <x v="59"/>
    <n v="1"/>
    <n v="20"/>
    <n v="204.85"/>
    <n v="4097"/>
    <n v="-315.06"/>
    <n v="0"/>
    <n v="491.65203899999995"/>
    <n v="4273.5920390000001"/>
  </r>
  <r>
    <x v="2"/>
    <s v="Q2"/>
    <x v="0"/>
    <x v="26"/>
    <s v="KEPL/00436/82-83"/>
    <s v="WELSON TRADE &amp; RASAN MART"/>
    <x v="57"/>
    <n v="1"/>
    <n v="40"/>
    <n v="111.74"/>
    <n v="4469.6000000000004"/>
    <n v="-343.71"/>
    <n v="0"/>
    <n v="536.36552499999993"/>
    <n v="4662.2555249999996"/>
  </r>
  <r>
    <x v="2"/>
    <s v="Q2"/>
    <x v="0"/>
    <x v="26"/>
    <s v="KEPL/00436/82-83"/>
    <s v="WELSON TRADE &amp; RASAN MART"/>
    <x v="45"/>
    <n v="1"/>
    <n v="15"/>
    <n v="260.72000000000003"/>
    <n v="3910.8"/>
    <n v="-300.74"/>
    <n v="0"/>
    <n v="469.30764700000003"/>
    <n v="4079.367647"/>
  </r>
  <r>
    <x v="2"/>
    <s v="Q2"/>
    <x v="0"/>
    <x v="26"/>
    <s v="KEPL/00436/82-83"/>
    <s v="WELSON TRADE &amp; RASAN MART"/>
    <x v="54"/>
    <n v="1"/>
    <n v="20"/>
    <n v="175.05"/>
    <n v="3500.9999999999995"/>
    <n v="-269.23"/>
    <n v="0"/>
    <n v="420.12996300000003"/>
    <n v="3651.8999629999998"/>
  </r>
  <r>
    <x v="2"/>
    <s v="Q2"/>
    <x v="0"/>
    <x v="26"/>
    <s v="KEPL/00436/82-83"/>
    <s v="WELSON TRADE &amp; RASAN MART"/>
    <x v="55"/>
    <n v="1"/>
    <n v="20"/>
    <n v="175.05"/>
    <n v="3500.9999999999995"/>
    <n v="-269.23"/>
    <n v="0"/>
    <n v="420.12996300000003"/>
    <n v="3651.8999629999998"/>
  </r>
  <r>
    <x v="2"/>
    <s v="Q2"/>
    <x v="0"/>
    <x v="26"/>
    <s v="KEPL/00436/82-83"/>
    <s v="WELSON TRADE &amp; RASAN MART"/>
    <x v="28"/>
    <n v="2"/>
    <n v="40"/>
    <n v="204.85"/>
    <n v="8194"/>
    <n v="-630.12"/>
    <n v="0"/>
    <n v="983.304079"/>
    <n v="8547.1840790000006"/>
  </r>
  <r>
    <x v="2"/>
    <s v="Q2"/>
    <x v="0"/>
    <x v="26"/>
    <s v="KEPL/00436/82-83"/>
    <s v="WELSON TRADE &amp; RASAN MART"/>
    <x v="60"/>
    <n v="1"/>
    <n v="1000"/>
    <n v="1.86"/>
    <n v="1860"/>
    <n v="-143.03"/>
    <n v="0"/>
    <n v="223.20602699999998"/>
    <n v="1940.176027"/>
  </r>
  <r>
    <x v="2"/>
    <s v="Q2"/>
    <x v="0"/>
    <x v="26"/>
    <s v="KEPL/00436/82-83"/>
    <s v="WELSON TRADE &amp; RASAN MART"/>
    <x v="46"/>
    <n v="2"/>
    <n v="40"/>
    <n v="175.05"/>
    <n v="7001.9999999999991"/>
    <n v="-538.45000000000005"/>
    <n v="0"/>
    <n v="840.26122599999997"/>
    <n v="7303.8112259999998"/>
  </r>
  <r>
    <x v="2"/>
    <s v="Q2"/>
    <x v="0"/>
    <x v="26"/>
    <s v="KEPL/00436/82-83"/>
    <s v="WELSON TRADE &amp; RASAN MART"/>
    <x v="50"/>
    <n v="1"/>
    <n v="240"/>
    <n v="14.9"/>
    <n v="3576"/>
    <n v="-274.99"/>
    <n v="0"/>
    <n v="429.13116000000002"/>
    <n v="3730.1411600000001"/>
  </r>
  <r>
    <x v="2"/>
    <s v="Q2"/>
    <x v="0"/>
    <x v="26"/>
    <s v="KEPL/00436/82-83"/>
    <s v="WELSON TRADE &amp; RASAN MART"/>
    <x v="21"/>
    <n v="1"/>
    <n v="240"/>
    <n v="18.62"/>
    <n v="4468.8"/>
    <n v="-343.65"/>
    <n v="0"/>
    <n v="536.26932499999998"/>
    <n v="4661.4193249999998"/>
  </r>
  <r>
    <x v="2"/>
    <s v="Q2"/>
    <x v="0"/>
    <x v="26"/>
    <s v="KEPL/00436/82-83"/>
    <s v="WELSON TRADE &amp; RASAN MART"/>
    <x v="30"/>
    <n v="1"/>
    <n v="20"/>
    <n v="242.1"/>
    <n v="4841.9999999999991"/>
    <n v="-372.35"/>
    <n v="0"/>
    <n v="581.05430999999999"/>
    <n v="5050.7043100000001"/>
  </r>
  <r>
    <x v="2"/>
    <s v="Q2"/>
    <x v="0"/>
    <x v="26"/>
    <s v="KEPL/00436/82-83"/>
    <s v="WELSON TRADE &amp; RASAN MART"/>
    <x v="29"/>
    <n v="1"/>
    <n v="20"/>
    <n v="204.85"/>
    <n v="4097"/>
    <n v="-315.06"/>
    <n v="0"/>
    <n v="491.65203899999995"/>
    <n v="4273.5920390000001"/>
  </r>
  <r>
    <x v="2"/>
    <s v="Q2"/>
    <x v="0"/>
    <x v="26"/>
    <s v="KEPL/00437/82-83"/>
    <s v="WELSON TRADE &amp; RASAN MART"/>
    <x v="40"/>
    <n v="1"/>
    <n v="600"/>
    <n v="7.45"/>
    <n v="4470"/>
    <n v="-343.74"/>
    <n v="0"/>
    <n v="536.413995"/>
    <n v="4662.6739950000001"/>
  </r>
  <r>
    <x v="2"/>
    <s v="Q2"/>
    <x v="0"/>
    <x v="26"/>
    <s v="KEPL/00437/82-83"/>
    <s v="WELSON TRADE &amp; RASAN MART"/>
    <x v="52"/>
    <n v="5"/>
    <n v="20"/>
    <n v="595.92999999999995"/>
    <n v="11918.6"/>
    <n v="-916.54"/>
    <n v="0"/>
    <n v="1430.268321"/>
    <n v="12432.328321000001"/>
  </r>
  <r>
    <x v="2"/>
    <s v="Q2"/>
    <x v="0"/>
    <x v="26"/>
    <s v="KEPL/00437/82-83"/>
    <s v="WELSON TRADE &amp; RASAN MART"/>
    <x v="34"/>
    <n v="1"/>
    <n v="40"/>
    <n v="67.040000000000006"/>
    <n v="2681.6"/>
    <n v="-206.22"/>
    <n v="0"/>
    <n v="321.79951700000004"/>
    <n v="2797.179517"/>
  </r>
  <r>
    <x v="2"/>
    <s v="Q2"/>
    <x v="0"/>
    <x v="26"/>
    <s v="KEPL/00437/82-83"/>
    <s v="WELSON TRADE &amp; RASAN MART"/>
    <x v="5"/>
    <n v="1"/>
    <n v="180"/>
    <n v="18.62"/>
    <n v="3351.6"/>
    <n v="-257.74"/>
    <n v="0"/>
    <n v="402.20194600000002"/>
    <n v="3496.0619459999998"/>
  </r>
  <r>
    <x v="2"/>
    <s v="Q2"/>
    <x v="0"/>
    <x v="26"/>
    <s v="KEPL/00437/82-83"/>
    <s v="WELSON TRADE &amp; RASAN MART"/>
    <x v="42"/>
    <n v="2"/>
    <n v="60"/>
    <n v="316.58999999999997"/>
    <n v="18995.399999999998"/>
    <n v="-1460.75"/>
    <n v="0"/>
    <n v="2279.50533"/>
    <n v="19814.155330000001"/>
  </r>
  <r>
    <x v="2"/>
    <s v="Q2"/>
    <x v="0"/>
    <x v="26"/>
    <s v="KEPL/00437/82-83"/>
    <s v="WELSON TRADE &amp; RASAN MART"/>
    <x v="39"/>
    <n v="1"/>
    <n v="20"/>
    <n v="249.55"/>
    <n v="4991"/>
    <n v="-383.81"/>
    <n v="0"/>
    <n v="598.93491799999993"/>
    <n v="5206.1249180000004"/>
  </r>
  <r>
    <x v="2"/>
    <s v="Q2"/>
    <x v="0"/>
    <x v="26"/>
    <s v="KEPL/00437/82-83"/>
    <s v="WELSON TRADE &amp; RASAN MART"/>
    <x v="0"/>
    <n v="1"/>
    <n v="40"/>
    <n v="111.74"/>
    <n v="4469.6000000000004"/>
    <n v="-343.71"/>
    <n v="0"/>
    <n v="536.36589500000002"/>
    <n v="4662.2558950000002"/>
  </r>
  <r>
    <x v="2"/>
    <s v="Q2"/>
    <x v="0"/>
    <x v="26"/>
    <s v="KEPL/00437/82-83"/>
    <s v="WELSON TRADE &amp; RASAN MART"/>
    <x v="37"/>
    <n v="1"/>
    <n v="40"/>
    <n v="81.94"/>
    <n v="3277.6"/>
    <n v="-252.05"/>
    <n v="0"/>
    <n v="393.32164299999999"/>
    <n v="3418.8716429999999"/>
  </r>
  <r>
    <x v="2"/>
    <s v="Q2"/>
    <x v="0"/>
    <x v="26"/>
    <s v="KEPL/00437/82-83"/>
    <s v="WELSON TRADE &amp; RASAN MART"/>
    <x v="41"/>
    <n v="1"/>
    <n v="40"/>
    <n v="67.040000000000006"/>
    <n v="2681.6"/>
    <n v="-206.22"/>
    <n v="0"/>
    <n v="321.79951700000004"/>
    <n v="2797.179517"/>
  </r>
  <r>
    <x v="2"/>
    <s v="Q2"/>
    <x v="0"/>
    <x v="26"/>
    <s v="KEPL/00437/82-83"/>
    <s v="WELSON TRADE &amp; RASAN MART"/>
    <x v="35"/>
    <n v="2"/>
    <n v="120"/>
    <n v="145.26"/>
    <n v="17431.2"/>
    <n v="-1340.46"/>
    <n v="0"/>
    <n v="2091.7969619999999"/>
    <n v="18182.536961999998"/>
  </r>
  <r>
    <x v="2"/>
    <s v="Q2"/>
    <x v="0"/>
    <x v="26"/>
    <s v="KEPL/00437/82-83"/>
    <s v="WELSON TRADE &amp; RASAN MART"/>
    <x v="12"/>
    <n v="1"/>
    <n v="130"/>
    <n v="37.25"/>
    <n v="4842.5"/>
    <n v="-372.39"/>
    <n v="0"/>
    <n v="581.11451199999999"/>
    <n v="5051.2245119999998"/>
  </r>
  <r>
    <x v="2"/>
    <s v="Q2"/>
    <x v="0"/>
    <x v="26"/>
    <s v="KEPL/00437/82-83"/>
    <s v="WELSON TRADE &amp; RASAN MART"/>
    <x v="36"/>
    <n v="1"/>
    <n v="40"/>
    <n v="81.94"/>
    <n v="3277.6"/>
    <n v="-252.05"/>
    <n v="0"/>
    <n v="393.32164299999999"/>
    <n v="3418.8716429999999"/>
  </r>
  <r>
    <x v="2"/>
    <s v="Q2"/>
    <x v="0"/>
    <x v="26"/>
    <s v="KEPL/00437/82-83"/>
    <s v="WELSON TRADE &amp; RASAN MART"/>
    <x v="56"/>
    <n v="1"/>
    <n v="800"/>
    <n v="7.45"/>
    <n v="5960"/>
    <n v="-458.32"/>
    <n v="0"/>
    <n v="715.21866"/>
    <n v="6216.8986599999998"/>
  </r>
  <r>
    <x v="2"/>
    <s v="Q2"/>
    <x v="0"/>
    <x v="26"/>
    <s v="KEPL/00437/82-83"/>
    <s v="WELSON TRADE &amp; RASAN MART"/>
    <x v="53"/>
    <n v="1"/>
    <n v="40"/>
    <n v="81.94"/>
    <n v="3277.6"/>
    <n v="-252.05"/>
    <n v="0"/>
    <n v="393.32164299999999"/>
    <n v="3418.8716429999999"/>
  </r>
  <r>
    <x v="2"/>
    <s v="Q2"/>
    <x v="0"/>
    <x v="26"/>
    <s v="KEPL/00437/82-83"/>
    <s v="WELSON TRADE &amp; RASAN MART"/>
    <x v="38"/>
    <n v="1"/>
    <n v="24"/>
    <n v="186.23"/>
    <n v="4469.5200000000004"/>
    <n v="-343.71"/>
    <n v="0"/>
    <n v="536.35549500000002"/>
    <n v="4662.1654950000002"/>
  </r>
  <r>
    <x v="2"/>
    <s v="Q2"/>
    <x v="0"/>
    <x v="26"/>
    <s v="KEPL/00438/82-83"/>
    <s v="AAFNAI PASAL PVT.LTD"/>
    <x v="30"/>
    <n v="2"/>
    <n v="40"/>
    <n v="242.1"/>
    <n v="9683.9999999999982"/>
    <n v="-744.7"/>
    <n v="0"/>
    <n v="1162.1085579999999"/>
    <n v="10101.408557999999"/>
  </r>
  <r>
    <x v="2"/>
    <s v="Q2"/>
    <x v="0"/>
    <x v="26"/>
    <s v="KEPL/00438/82-83"/>
    <s v="AAFNAI PASAL PVT.LTD"/>
    <x v="39"/>
    <n v="2"/>
    <n v="40"/>
    <n v="249.55"/>
    <n v="9982"/>
    <n v="-767.62"/>
    <n v="0"/>
    <n v="1197.8689439999998"/>
    <n v="10412.248944000001"/>
  </r>
  <r>
    <x v="2"/>
    <s v="Q2"/>
    <x v="0"/>
    <x v="26"/>
    <s v="KEPL/00438/82-83"/>
    <s v="AAFNAI PASAL PVT.LTD"/>
    <x v="49"/>
    <n v="2"/>
    <n v="30"/>
    <n v="260.72000000000003"/>
    <n v="7821.6"/>
    <n v="-601.48"/>
    <n v="0"/>
    <n v="938.61524299999996"/>
    <n v="8158.7352430000001"/>
  </r>
  <r>
    <x v="2"/>
    <s v="Q2"/>
    <x v="0"/>
    <x v="26"/>
    <s v="KEPL/00438/82-83"/>
    <s v="AAFNAI PASAL PVT.LTD"/>
    <x v="52"/>
    <n v="5"/>
    <n v="20"/>
    <n v="595.92999999999995"/>
    <n v="11918.6"/>
    <n v="-916.54"/>
    <n v="0"/>
    <n v="1430.2672560000001"/>
    <n v="12432.327256"/>
  </r>
  <r>
    <x v="2"/>
    <s v="Q2"/>
    <x v="0"/>
    <x v="26"/>
    <s v="KEPL/00439/82-83"/>
    <s v="KRISHMA ENTERPRISES"/>
    <x v="33"/>
    <n v="4"/>
    <n v="160"/>
    <n v="67.040000000000006"/>
    <n v="10726.4"/>
    <n v="-824.86"/>
    <n v="0"/>
    <n v="1287.2"/>
    <n v="11188.74"/>
  </r>
  <r>
    <x v="2"/>
    <s v="Q2"/>
    <x v="0"/>
    <x v="26"/>
    <s v="KEPL/00440/82-83"/>
    <s v="NEW YASHISH TRADERS"/>
    <x v="26"/>
    <n v="4"/>
    <n v="72"/>
    <n v="178.78"/>
    <n v="12872.160000000002"/>
    <n v="-989.87000000000012"/>
    <n v="0"/>
    <n v="1544.6977530000001"/>
    <n v="13426.987752999999"/>
  </r>
  <r>
    <x v="2"/>
    <s v="Q2"/>
    <x v="0"/>
    <x v="26"/>
    <s v="KEPL/00440/82-83"/>
    <s v="NEW YASHISH TRADERS"/>
    <x v="2"/>
    <n v="4"/>
    <n v="72"/>
    <n v="178.78"/>
    <n v="12872.160000000002"/>
    <n v="-989.87000000000012"/>
    <n v="0"/>
    <n v="1544.6977530000001"/>
    <n v="13426.987752999999"/>
  </r>
  <r>
    <x v="2"/>
    <s v="Q2"/>
    <x v="0"/>
    <x v="26"/>
    <s v="KEPL/00440/82-83"/>
    <s v="NEW YASHISH TRADERS"/>
    <x v="24"/>
    <n v="349"/>
    <n v="6282"/>
    <n v="178.78"/>
    <n v="1123095.96"/>
    <n v="-86366.080000000002"/>
    <n v="0"/>
    <n v="134774.88899000001"/>
    <n v="1171504.76899"/>
  </r>
  <r>
    <x v="2"/>
    <s v="Q2"/>
    <x v="0"/>
    <x v="26"/>
    <s v="KEPL/00440/82-83"/>
    <s v="NEW YASHISH TRADERS"/>
    <x v="25"/>
    <n v="8"/>
    <n v="144"/>
    <n v="178.78"/>
    <n v="25744.320000000003"/>
    <n v="-1979.7400000000002"/>
    <n v="0"/>
    <n v="3089.395505"/>
    <n v="26853.975504999999"/>
  </r>
  <r>
    <x v="2"/>
    <s v="Q2"/>
    <x v="0"/>
    <x v="26"/>
    <s v="KEPL/00441/82-83"/>
    <s v="NEW YASHISH TRADERS"/>
    <x v="52"/>
    <n v="10"/>
    <n v="40"/>
    <n v="595.92999999999995"/>
    <n v="23837.200000000001"/>
    <n v="-1833.08"/>
    <n v="0"/>
    <n v="2860.54"/>
    <n v="24864.66"/>
  </r>
  <r>
    <x v="2"/>
    <s v="Q2"/>
    <x v="0"/>
    <x v="26"/>
    <s v="KEPL/00443/82-83"/>
    <s v="ABIRAL SUPPLIERS AND TRADERS"/>
    <x v="35"/>
    <n v="2"/>
    <n v="120"/>
    <n v="145.26"/>
    <n v="17431.2"/>
    <n v="-1340.46"/>
    <n v="0"/>
    <n v="2091.7945629999999"/>
    <n v="18182.534563000001"/>
  </r>
  <r>
    <x v="2"/>
    <s v="Q2"/>
    <x v="0"/>
    <x v="26"/>
    <s v="KEPL/00443/82-83"/>
    <s v="ABIRAL SUPPLIERS AND TRADERS"/>
    <x v="52"/>
    <n v="2"/>
    <n v="8"/>
    <n v="595.92999999999995"/>
    <n v="4767.4399999999996"/>
    <n v="-366.62"/>
    <n v="0"/>
    <n v="572.10615199999995"/>
    <n v="4972.926152"/>
  </r>
  <r>
    <x v="2"/>
    <s v="Q2"/>
    <x v="0"/>
    <x v="26"/>
    <s v="KEPL/00443/82-83"/>
    <s v="ABIRAL SUPPLIERS AND TRADERS"/>
    <x v="27"/>
    <n v="1"/>
    <n v="70"/>
    <n v="32.78"/>
    <n v="2294.6"/>
    <n v="-176.45"/>
    <n v="0"/>
    <n v="275.359285"/>
    <n v="2393.5092850000001"/>
  </r>
  <r>
    <x v="2"/>
    <s v="Q2"/>
    <x v="0"/>
    <x v="26"/>
    <s v="KEPL/00445/82-83"/>
    <s v="SHUBHASHREE MARKETING"/>
    <x v="60"/>
    <n v="2"/>
    <n v="2000"/>
    <n v="1.86"/>
    <n v="3720"/>
    <n v="-286.07"/>
    <n v="0"/>
    <n v="446.41"/>
    <n v="3880.34"/>
  </r>
  <r>
    <x v="2"/>
    <s v="Q2"/>
    <x v="0"/>
    <x v="26"/>
    <s v="KEPL/00453/82-83"/>
    <s v="DURGA LAXMI AND SONS"/>
    <x v="42"/>
    <n v="2"/>
    <n v="60"/>
    <n v="316.58999999999997"/>
    <n v="18995.399999999998"/>
    <n v="-1460.75"/>
    <n v="0"/>
    <n v="2279.5035550000002"/>
    <n v="19814.153555000001"/>
  </r>
  <r>
    <x v="2"/>
    <s v="Q2"/>
    <x v="0"/>
    <x v="26"/>
    <s v="KEPL/00453/82-83"/>
    <s v="DURGA LAXMI AND SONS"/>
    <x v="39"/>
    <n v="1"/>
    <n v="20"/>
    <n v="249.55"/>
    <n v="4991"/>
    <n v="-383.81"/>
    <n v="0"/>
    <n v="598.93445200000008"/>
    <n v="5206.124452"/>
  </r>
  <r>
    <x v="2"/>
    <s v="Q2"/>
    <x v="0"/>
    <x v="26"/>
    <s v="KEPL/00453/82-83"/>
    <s v="DURGA LAXMI AND SONS"/>
    <x v="36"/>
    <n v="1"/>
    <n v="40"/>
    <n v="81.94"/>
    <n v="3277.6"/>
    <n v="-252.05"/>
    <n v="0"/>
    <n v="393.32133700000003"/>
    <n v="3418.871337"/>
  </r>
  <r>
    <x v="2"/>
    <s v="Q2"/>
    <x v="0"/>
    <x v="26"/>
    <s v="KEPL/00453/82-83"/>
    <s v="DURGA LAXMI AND SONS"/>
    <x v="40"/>
    <n v="1"/>
    <n v="600"/>
    <n v="7.45"/>
    <n v="4470"/>
    <n v="-343.74"/>
    <n v="0"/>
    <n v="536.41357800000003"/>
    <n v="4662.6735779999999"/>
  </r>
  <r>
    <x v="2"/>
    <s v="Q2"/>
    <x v="0"/>
    <x v="26"/>
    <s v="KEPL/00453/82-83"/>
    <s v="DURGA LAXMI AND SONS"/>
    <x v="35"/>
    <n v="2"/>
    <n v="120"/>
    <n v="145.26"/>
    <n v="17431.2"/>
    <n v="-1340.46"/>
    <n v="0"/>
    <n v="2091.795333"/>
    <n v="18182.535333"/>
  </r>
  <r>
    <x v="2"/>
    <s v="Q2"/>
    <x v="0"/>
    <x v="26"/>
    <s v="KEPL/00453/82-83"/>
    <s v="DURGA LAXMI AND SONS"/>
    <x v="37"/>
    <n v="1"/>
    <n v="40"/>
    <n v="81.94"/>
    <n v="3277.6"/>
    <n v="-252.05"/>
    <n v="0"/>
    <n v="393.32133700000003"/>
    <n v="3418.871337"/>
  </r>
  <r>
    <x v="2"/>
    <s v="Q2"/>
    <x v="0"/>
    <x v="26"/>
    <s v="KEPL/00453/82-83"/>
    <s v="DURGA LAXMI AND SONS"/>
    <x v="53"/>
    <n v="1"/>
    <n v="40"/>
    <n v="81.94"/>
    <n v="3277.6"/>
    <n v="-252.05"/>
    <n v="0"/>
    <n v="393.32133700000003"/>
    <n v="3418.871337"/>
  </r>
  <r>
    <x v="2"/>
    <s v="Q2"/>
    <x v="0"/>
    <x v="26"/>
    <s v="KEPL/00453/82-83"/>
    <s v="DURGA LAXMI AND SONS"/>
    <x v="34"/>
    <n v="1"/>
    <n v="40"/>
    <n v="67.040000000000006"/>
    <n v="2681.6"/>
    <n v="-206.22"/>
    <n v="0"/>
    <n v="321.79926699999999"/>
    <n v="2797.179267"/>
  </r>
  <r>
    <x v="2"/>
    <s v="Q2"/>
    <x v="0"/>
    <x v="26"/>
    <s v="KEPL/00453/82-83"/>
    <s v="DURGA LAXMI AND SONS"/>
    <x v="0"/>
    <n v="1"/>
    <n v="40"/>
    <n v="111.74"/>
    <n v="4469.6000000000004"/>
    <n v="-343.71"/>
    <n v="0"/>
    <n v="536.36547799999994"/>
    <n v="4662.255478"/>
  </r>
  <r>
    <x v="2"/>
    <s v="Q2"/>
    <x v="0"/>
    <x v="26"/>
    <s v="KEPL/00453/82-83"/>
    <s v="DURGA LAXMI AND SONS"/>
    <x v="5"/>
    <n v="1"/>
    <n v="180"/>
    <n v="18.62"/>
    <n v="3351.6"/>
    <n v="-257.74"/>
    <n v="0"/>
    <n v="402.20163300000002"/>
    <n v="3496.0616329999998"/>
  </r>
  <r>
    <x v="2"/>
    <s v="Q2"/>
    <x v="0"/>
    <x v="26"/>
    <s v="KEPL/00453/82-83"/>
    <s v="DURGA LAXMI AND SONS"/>
    <x v="52"/>
    <n v="5"/>
    <n v="20"/>
    <n v="595.92999999999995"/>
    <n v="11918.6"/>
    <n v="-916.54"/>
    <n v="0"/>
    <n v="1430.2672070000001"/>
    <n v="12432.327207"/>
  </r>
  <r>
    <x v="2"/>
    <s v="Q2"/>
    <x v="0"/>
    <x v="26"/>
    <s v="KEPL/00453/82-83"/>
    <s v="DURGA LAXMI AND SONS"/>
    <x v="12"/>
    <n v="2"/>
    <n v="260"/>
    <n v="37.25"/>
    <n v="9685"/>
    <n v="-744.78"/>
    <n v="0"/>
    <n v="1162.228118"/>
    <n v="10102.448118"/>
  </r>
  <r>
    <x v="2"/>
    <s v="Q2"/>
    <x v="0"/>
    <x v="26"/>
    <s v="KEPL/00453/82-83"/>
    <s v="DURGA LAXMI AND SONS"/>
    <x v="56"/>
    <n v="1"/>
    <n v="800"/>
    <n v="7.45"/>
    <n v="5960"/>
    <n v="-458.32"/>
    <n v="0"/>
    <n v="715.21810299999993"/>
    <n v="6216.8981030000004"/>
  </r>
  <r>
    <x v="2"/>
    <s v="Q2"/>
    <x v="0"/>
    <x v="26"/>
    <s v="KEPL/00453/82-83"/>
    <s v="DURGA LAXMI AND SONS"/>
    <x v="41"/>
    <n v="1"/>
    <n v="40"/>
    <n v="67.040000000000006"/>
    <n v="2681.6"/>
    <n v="-206.22"/>
    <n v="0"/>
    <n v="321.79926699999999"/>
    <n v="2797.179267"/>
  </r>
  <r>
    <x v="2"/>
    <s v="Q2"/>
    <x v="0"/>
    <x v="26"/>
    <s v="KEPL/00454/82-83"/>
    <s v="DURGA LAXMI AND SONS"/>
    <x v="57"/>
    <n v="1"/>
    <n v="40"/>
    <n v="111.74"/>
    <n v="4469.6000000000004"/>
    <n v="-343.71"/>
    <n v="0"/>
    <n v="536.365588"/>
    <n v="4662.255588"/>
  </r>
  <r>
    <x v="2"/>
    <s v="Q2"/>
    <x v="0"/>
    <x v="26"/>
    <s v="KEPL/00454/82-83"/>
    <s v="DURGA LAXMI AND SONS"/>
    <x v="54"/>
    <n v="1"/>
    <n v="20"/>
    <n v="175.05"/>
    <n v="3500.9999999999995"/>
    <n v="-269.23"/>
    <n v="0"/>
    <n v="420.13001300000002"/>
    <n v="3651.9000129999999"/>
  </r>
  <r>
    <x v="2"/>
    <s v="Q2"/>
    <x v="0"/>
    <x v="26"/>
    <s v="KEPL/00454/82-83"/>
    <s v="DURGA LAXMI AND SONS"/>
    <x v="49"/>
    <n v="2"/>
    <n v="30"/>
    <n v="260.72000000000003"/>
    <n v="7821.6"/>
    <n v="-601.48"/>
    <n v="0"/>
    <n v="938.61540500000001"/>
    <n v="8158.7354050000004"/>
  </r>
  <r>
    <x v="2"/>
    <s v="Q2"/>
    <x v="0"/>
    <x v="26"/>
    <s v="KEPL/00454/82-83"/>
    <s v="DURGA LAXMI AND SONS"/>
    <x v="22"/>
    <n v="1"/>
    <n v="24"/>
    <n v="204.85"/>
    <n v="4916.4000000000005"/>
    <n v="-378.07"/>
    <n v="0"/>
    <n v="589.98277700000006"/>
    <n v="5128.3127770000001"/>
  </r>
  <r>
    <x v="2"/>
    <s v="Q2"/>
    <x v="0"/>
    <x v="26"/>
    <s v="KEPL/00454/82-83"/>
    <s v="DURGA LAXMI AND SONS"/>
    <x v="3"/>
    <n v="1"/>
    <n v="20"/>
    <n v="186.23"/>
    <n v="3724.6000000000004"/>
    <n v="-286.42"/>
    <n v="0"/>
    <n v="446.96330700000004"/>
    <n v="3885.1433069999998"/>
  </r>
  <r>
    <x v="2"/>
    <s v="Q2"/>
    <x v="0"/>
    <x v="26"/>
    <s v="KEPL/00454/82-83"/>
    <s v="DURGA LAXMI AND SONS"/>
    <x v="13"/>
    <n v="1"/>
    <n v="24"/>
    <n v="141.53"/>
    <n v="3396.72"/>
    <n v="-261.20999999999998"/>
    <n v="0"/>
    <n v="407.61621499999995"/>
    <n v="3543.1262149999998"/>
  </r>
  <r>
    <x v="2"/>
    <s v="Q2"/>
    <x v="0"/>
    <x v="26"/>
    <s v="KEPL/00454/82-83"/>
    <s v="DURGA LAXMI AND SONS"/>
    <x v="48"/>
    <n v="1"/>
    <n v="20"/>
    <n v="204.85"/>
    <n v="4097"/>
    <n v="-315.06"/>
    <n v="0"/>
    <n v="491.65209799999997"/>
    <n v="4273.5920980000001"/>
  </r>
  <r>
    <x v="2"/>
    <s v="Q2"/>
    <x v="0"/>
    <x v="26"/>
    <s v="KEPL/00454/82-83"/>
    <s v="DURGA LAXMI AND SONS"/>
    <x v="46"/>
    <n v="2"/>
    <n v="40"/>
    <n v="175.05"/>
    <n v="7001.9999999999991"/>
    <n v="-538.45000000000005"/>
    <n v="0"/>
    <n v="840.26132500000006"/>
    <n v="7303.8113249999997"/>
  </r>
  <r>
    <x v="2"/>
    <s v="Q2"/>
    <x v="0"/>
    <x v="26"/>
    <s v="KEPL/00454/82-83"/>
    <s v="DURGA LAXMI AND SONS"/>
    <x v="55"/>
    <n v="1"/>
    <n v="20"/>
    <n v="175.05"/>
    <n v="3500.9999999999995"/>
    <n v="-269.23"/>
    <n v="0"/>
    <n v="420.13001300000002"/>
    <n v="3651.9000129999999"/>
  </r>
  <r>
    <x v="2"/>
    <s v="Q2"/>
    <x v="0"/>
    <x v="26"/>
    <s v="KEPL/00454/82-83"/>
    <s v="DURGA LAXMI AND SONS"/>
    <x v="47"/>
    <n v="2"/>
    <n v="80"/>
    <n v="111.74"/>
    <n v="8939.2000000000007"/>
    <n v="-687.42"/>
    <n v="0"/>
    <n v="1072.7311770000001"/>
    <n v="9324.5111770000003"/>
  </r>
  <r>
    <x v="2"/>
    <s v="Q2"/>
    <x v="0"/>
    <x v="26"/>
    <s v="KEPL/00454/82-83"/>
    <s v="DURGA LAXMI AND SONS"/>
    <x v="45"/>
    <n v="1"/>
    <n v="15"/>
    <n v="260.72000000000003"/>
    <n v="3910.8"/>
    <n v="-300.74"/>
    <n v="0"/>
    <n v="469.30770199999995"/>
    <n v="4079.367702"/>
  </r>
  <r>
    <x v="2"/>
    <s v="Q2"/>
    <x v="0"/>
    <x v="26"/>
    <s v="KEPL/00454/82-83"/>
    <s v="DURGA LAXMI AND SONS"/>
    <x v="30"/>
    <n v="1"/>
    <n v="20"/>
    <n v="242.1"/>
    <n v="4841.9999999999991"/>
    <n v="-372.35"/>
    <n v="0"/>
    <n v="581.05437900000004"/>
    <n v="5050.7043789999998"/>
  </r>
  <r>
    <x v="2"/>
    <s v="Q2"/>
    <x v="0"/>
    <x v="26"/>
    <s v="KEPL/00455/82-83"/>
    <s v="KRISHMA ENTERPRISES"/>
    <x v="52"/>
    <n v="50"/>
    <n v="200"/>
    <n v="595.92999999999995"/>
    <n v="119186"/>
    <n v="-9165.4"/>
    <n v="0"/>
    <n v="14302.68"/>
    <n v="124323.28"/>
  </r>
  <r>
    <x v="2"/>
    <s v="Q2"/>
    <x v="0"/>
    <x v="26"/>
    <s v="KEPL/00456/82-83"/>
    <s v="MITHASH TRADE CONCERN PVT LTD"/>
    <x v="57"/>
    <n v="3"/>
    <n v="120"/>
    <n v="111.74"/>
    <n v="13408.8"/>
    <n v="-1031.1400000000001"/>
    <n v="0"/>
    <n v="1609.096648"/>
    <n v="13986.756648"/>
  </r>
  <r>
    <x v="2"/>
    <s v="Q2"/>
    <x v="0"/>
    <x v="26"/>
    <s v="KEPL/00456/82-83"/>
    <s v="MITHASH TRADE CONCERN PVT LTD"/>
    <x v="55"/>
    <n v="2"/>
    <n v="40"/>
    <n v="175.05"/>
    <n v="7001.9999999999991"/>
    <n v="-538.45000000000005"/>
    <n v="0"/>
    <n v="840.26194299999997"/>
    <n v="7303.8119429999997"/>
  </r>
  <r>
    <x v="2"/>
    <s v="Q2"/>
    <x v="0"/>
    <x v="26"/>
    <s v="KEPL/00456/82-83"/>
    <s v="MITHASH TRADE CONCERN PVT LTD"/>
    <x v="47"/>
    <n v="4"/>
    <n v="160"/>
    <n v="111.74"/>
    <n v="17878.400000000001"/>
    <n v="-1374.85"/>
    <n v="0"/>
    <n v="2145.4626309999999"/>
    <n v="18649.012631000001"/>
  </r>
  <r>
    <x v="2"/>
    <s v="Q2"/>
    <x v="0"/>
    <x v="26"/>
    <s v="KEPL/00456/82-83"/>
    <s v="MITHASH TRADE CONCERN PVT LTD"/>
    <x v="56"/>
    <n v="1"/>
    <n v="800"/>
    <n v="7.45"/>
    <n v="5960"/>
    <n v="-458.32"/>
    <n v="0"/>
    <n v="715.21877699999993"/>
    <n v="6216.8987770000003"/>
  </r>
  <r>
    <x v="3"/>
    <s v="Q2"/>
    <x v="0"/>
    <x v="27"/>
    <s v="KEPL/00522/82-83"/>
    <s v="SHREE EXIM"/>
    <x v="39"/>
    <n v="15"/>
    <n v="300"/>
    <n v="249.55"/>
    <n v="74865"/>
    <n v="-5757.12"/>
    <n v="0"/>
    <n v="8984.02"/>
    <n v="78091.899999999994"/>
  </r>
  <r>
    <x v="3"/>
    <s v="Q2"/>
    <x v="0"/>
    <x v="28"/>
    <s v="KEPL/00532/82-83"/>
    <s v="ISHWORI SUPPLIERS"/>
    <x v="36"/>
    <n v="1"/>
    <n v="40"/>
    <n v="81.94"/>
    <n v="3277.6"/>
    <n v="-252.05"/>
    <n v="0"/>
    <n v="393.32166100000001"/>
    <n v="3418.8716610000001"/>
  </r>
  <r>
    <x v="3"/>
    <s v="Q2"/>
    <x v="0"/>
    <x v="28"/>
    <s v="KEPL/00532/82-83"/>
    <s v="ISHWORI SUPPLIERS"/>
    <x v="35"/>
    <n v="1"/>
    <n v="60"/>
    <n v="145.26"/>
    <n v="8715.6"/>
    <n v="-670.23"/>
    <n v="0"/>
    <n v="1045.8985269999998"/>
    <n v="9091.2685270000002"/>
  </r>
  <r>
    <x v="3"/>
    <s v="Q2"/>
    <x v="0"/>
    <x v="28"/>
    <s v="KEPL/00532/82-83"/>
    <s v="ISHWORI SUPPLIERS"/>
    <x v="34"/>
    <n v="1"/>
    <n v="40"/>
    <n v="67.040000000000006"/>
    <n v="2681.6"/>
    <n v="-206.22"/>
    <n v="0"/>
    <n v="321.799531"/>
    <n v="2797.1795310000002"/>
  </r>
  <r>
    <x v="3"/>
    <s v="Q2"/>
    <x v="0"/>
    <x v="28"/>
    <s v="KEPL/00532/82-83"/>
    <s v="ISHWORI SUPPLIERS"/>
    <x v="37"/>
    <n v="1"/>
    <n v="40"/>
    <n v="81.94"/>
    <n v="3277.6"/>
    <n v="-252.05"/>
    <n v="0"/>
    <n v="393.32166100000001"/>
    <n v="3418.8716610000001"/>
  </r>
  <r>
    <x v="3"/>
    <s v="Q2"/>
    <x v="0"/>
    <x v="28"/>
    <s v="KEPL/00532/82-83"/>
    <s v="ISHWORI SUPPLIERS"/>
    <x v="0"/>
    <n v="1"/>
    <n v="40"/>
    <n v="111.74"/>
    <n v="4469.6000000000004"/>
    <n v="-343.71"/>
    <n v="0"/>
    <n v="536.36591899999996"/>
    <n v="4662.2559190000002"/>
  </r>
  <r>
    <x v="3"/>
    <s v="Q2"/>
    <x v="0"/>
    <x v="28"/>
    <s v="KEPL/00532/82-83"/>
    <s v="ISHWORI SUPPLIERS"/>
    <x v="43"/>
    <n v="1"/>
    <n v="60"/>
    <n v="111.74"/>
    <n v="6704.4"/>
    <n v="-515.57000000000005"/>
    <n v="0"/>
    <n v="804.54822799999999"/>
    <n v="6993.3782279999996"/>
  </r>
  <r>
    <x v="3"/>
    <s v="Q2"/>
    <x v="0"/>
    <x v="28"/>
    <s v="KEPL/00532/82-83"/>
    <s v="ISHWORI SUPPLIERS"/>
    <x v="38"/>
    <n v="1"/>
    <n v="24"/>
    <n v="186.23"/>
    <n v="4469.5200000000004"/>
    <n v="-343.71"/>
    <n v="0"/>
    <n v="536.35551899999996"/>
    <n v="4662.1655190000001"/>
  </r>
  <r>
    <x v="3"/>
    <s v="Q2"/>
    <x v="0"/>
    <x v="28"/>
    <s v="KEPL/00532/82-83"/>
    <s v="ISHWORI SUPPLIERS"/>
    <x v="12"/>
    <n v="1"/>
    <n v="130"/>
    <n v="37.25"/>
    <n v="4842.5"/>
    <n v="-372.39"/>
    <n v="0"/>
    <n v="581.11453700000004"/>
    <n v="5051.2245370000001"/>
  </r>
  <r>
    <x v="3"/>
    <s v="Q2"/>
    <x v="0"/>
    <x v="28"/>
    <s v="KEPL/00532/82-83"/>
    <s v="ISHWORI SUPPLIERS"/>
    <x v="53"/>
    <n v="1"/>
    <n v="40"/>
    <n v="81.94"/>
    <n v="3277.6"/>
    <n v="-252.05"/>
    <n v="0"/>
    <n v="393.32166100000001"/>
    <n v="3418.8716610000001"/>
  </r>
  <r>
    <x v="3"/>
    <s v="Q2"/>
    <x v="0"/>
    <x v="28"/>
    <s v="KEPL/00532/82-83"/>
    <s v="ISHWORI SUPPLIERS"/>
    <x v="52"/>
    <n v="10"/>
    <n v="40"/>
    <n v="595.92999999999995"/>
    <n v="23837.200000000001"/>
    <n v="-1833.08"/>
    <n v="0"/>
    <n v="2860.5367680000004"/>
    <n v="24864.656768000001"/>
  </r>
  <r>
    <x v="3"/>
    <s v="Q2"/>
    <x v="0"/>
    <x v="28"/>
    <s v="KEPL/00532/82-83"/>
    <s v="ISHWORI SUPPLIERS"/>
    <x v="31"/>
    <n v="1"/>
    <n v="60"/>
    <n v="111.74"/>
    <n v="6704.4"/>
    <n v="-515.57000000000005"/>
    <n v="0"/>
    <n v="804.54822799999999"/>
    <n v="6993.3782279999996"/>
  </r>
  <r>
    <x v="3"/>
    <s v="Q2"/>
    <x v="0"/>
    <x v="28"/>
    <s v="KEPL/00532/82-83"/>
    <s v="ISHWORI SUPPLIERS"/>
    <x v="41"/>
    <n v="1"/>
    <n v="40"/>
    <n v="67.040000000000006"/>
    <n v="2681.6"/>
    <n v="-206.22"/>
    <n v="0"/>
    <n v="321.799531"/>
    <n v="2797.1795310000002"/>
  </r>
  <r>
    <x v="3"/>
    <s v="Q2"/>
    <x v="0"/>
    <x v="28"/>
    <s v="KEPL/00532/82-83"/>
    <s v="ISHWORI SUPPLIERS"/>
    <x v="32"/>
    <n v="1"/>
    <n v="60"/>
    <n v="111.74"/>
    <n v="6704.4"/>
    <n v="-515.57000000000005"/>
    <n v="0"/>
    <n v="804.54822799999999"/>
    <n v="6993.3782279999996"/>
  </r>
  <r>
    <x v="3"/>
    <s v="Q2"/>
    <x v="0"/>
    <x v="28"/>
    <s v="KEPL/00533/82-83"/>
    <s v="ISHWORI SUPPLIERS"/>
    <x v="49"/>
    <n v="1"/>
    <n v="15"/>
    <n v="260.72000000000003"/>
    <n v="3910.8"/>
    <n v="-300.74"/>
    <n v="0"/>
    <n v="469.30803499999996"/>
    <n v="4079.368035"/>
  </r>
  <r>
    <x v="3"/>
    <s v="Q2"/>
    <x v="0"/>
    <x v="28"/>
    <s v="KEPL/00533/82-83"/>
    <s v="ISHWORI SUPPLIERS"/>
    <x v="29"/>
    <n v="1"/>
    <n v="20"/>
    <n v="204.85"/>
    <n v="4097"/>
    <n v="-315.06"/>
    <n v="0"/>
    <n v="491.652446"/>
    <n v="4273.5924459999997"/>
  </r>
  <r>
    <x v="3"/>
    <s v="Q2"/>
    <x v="0"/>
    <x v="28"/>
    <s v="KEPL/00533/82-83"/>
    <s v="ISHWORI SUPPLIERS"/>
    <x v="48"/>
    <n v="1"/>
    <n v="20"/>
    <n v="204.85"/>
    <n v="4097"/>
    <n v="-315.06"/>
    <n v="0"/>
    <n v="491.652446"/>
    <n v="4273.5924459999997"/>
  </r>
  <r>
    <x v="3"/>
    <s v="Q2"/>
    <x v="0"/>
    <x v="28"/>
    <s v="KEPL/00533/82-83"/>
    <s v="ISHWORI SUPPLIERS"/>
    <x v="46"/>
    <n v="1"/>
    <n v="20"/>
    <n v="175.06"/>
    <n v="3501.2"/>
    <n v="-269.24"/>
    <n v="0"/>
    <n v="420.15501"/>
    <n v="3652.11501"/>
  </r>
  <r>
    <x v="3"/>
    <s v="Q2"/>
    <x v="0"/>
    <x v="28"/>
    <s v="KEPL/00533/82-83"/>
    <s v="ISHWORI SUPPLIERS"/>
    <x v="3"/>
    <n v="1"/>
    <n v="20"/>
    <n v="186.23"/>
    <n v="3724.6000000000004"/>
    <n v="-286.42"/>
    <n v="0"/>
    <n v="446.96362399999998"/>
    <n v="3885.1436239999998"/>
  </r>
  <r>
    <x v="3"/>
    <s v="Q2"/>
    <x v="0"/>
    <x v="28"/>
    <s v="KEPL/00533/82-83"/>
    <s v="ISHWORI SUPPLIERS"/>
    <x v="44"/>
    <n v="1"/>
    <n v="24"/>
    <n v="186.23"/>
    <n v="4469.5200000000004"/>
    <n v="-343.71"/>
    <n v="0"/>
    <n v="536.35556799999995"/>
    <n v="4662.1655680000003"/>
  </r>
  <r>
    <x v="3"/>
    <s v="Q2"/>
    <x v="0"/>
    <x v="28"/>
    <s v="KEPL/00533/82-83"/>
    <s v="ISHWORI SUPPLIERS"/>
    <x v="30"/>
    <n v="1"/>
    <n v="20"/>
    <n v="242.1"/>
    <n v="4841.9999999999991"/>
    <n v="-372.35"/>
    <n v="0"/>
    <n v="581.05479100000002"/>
    <n v="5050.7047910000001"/>
  </r>
  <r>
    <x v="3"/>
    <s v="Q2"/>
    <x v="0"/>
    <x v="28"/>
    <s v="KEPL/00533/82-83"/>
    <s v="ISHWORI SUPPLIERS"/>
    <x v="47"/>
    <n v="1"/>
    <n v="40"/>
    <n v="111.74"/>
    <n v="4469.6000000000004"/>
    <n v="-343.71"/>
    <n v="0"/>
    <n v="536.36596799999995"/>
    <n v="4662.2559680000004"/>
  </r>
  <r>
    <x v="3"/>
    <s v="Q2"/>
    <x v="0"/>
    <x v="28"/>
    <s v="KEPL/00533/82-83"/>
    <s v="ISHWORI SUPPLIERS"/>
    <x v="28"/>
    <n v="1"/>
    <n v="20"/>
    <n v="204.85"/>
    <n v="4097"/>
    <n v="-315.06"/>
    <n v="0"/>
    <n v="491.652446"/>
    <n v="4273.5924459999997"/>
  </r>
  <r>
    <x v="3"/>
    <s v="Q2"/>
    <x v="0"/>
    <x v="28"/>
    <s v="KEPL/00533/82-83"/>
    <s v="ISHWORI SUPPLIERS"/>
    <x v="54"/>
    <n v="1"/>
    <n v="20"/>
    <n v="175.06"/>
    <n v="3501.2"/>
    <n v="-269.24"/>
    <n v="0"/>
    <n v="420.15501"/>
    <n v="3652.11501"/>
  </r>
  <r>
    <x v="3"/>
    <s v="Q2"/>
    <x v="0"/>
    <x v="28"/>
    <s v="KEPL/00533/82-83"/>
    <s v="ISHWORI SUPPLIERS"/>
    <x v="57"/>
    <n v="1"/>
    <n v="40"/>
    <n v="111.74"/>
    <n v="4469.6000000000004"/>
    <n v="-343.71"/>
    <n v="0"/>
    <n v="536.36596799999995"/>
    <n v="4662.2559680000004"/>
  </r>
  <r>
    <x v="3"/>
    <s v="Q2"/>
    <x v="0"/>
    <x v="28"/>
    <s v="KEPL/00533/82-83"/>
    <s v="ISHWORI SUPPLIERS"/>
    <x v="22"/>
    <n v="1"/>
    <n v="24"/>
    <n v="204.85"/>
    <n v="4916.4000000000005"/>
    <n v="-378.07"/>
    <n v="0"/>
    <n v="589.98319500000002"/>
    <n v="5128.3131949999997"/>
  </r>
  <r>
    <x v="3"/>
    <s v="Q2"/>
    <x v="0"/>
    <x v="28"/>
    <s v="KEPL/00533/82-83"/>
    <s v="ISHWORI SUPPLIERS"/>
    <x v="59"/>
    <n v="1"/>
    <n v="20"/>
    <n v="204.85"/>
    <n v="4097"/>
    <n v="-315.06"/>
    <n v="0"/>
    <n v="491.652446"/>
    <n v="4273.5924459999997"/>
  </r>
  <r>
    <x v="3"/>
    <s v="Q2"/>
    <x v="0"/>
    <x v="28"/>
    <s v="KEPL/00533/82-83"/>
    <s v="ISHWORI SUPPLIERS"/>
    <x v="55"/>
    <n v="1"/>
    <n v="20"/>
    <n v="175.06"/>
    <n v="3501.2"/>
    <n v="-269.24"/>
    <n v="0"/>
    <n v="420.15501"/>
    <n v="3652.11501"/>
  </r>
  <r>
    <x v="3"/>
    <s v="Q2"/>
    <x v="0"/>
    <x v="28"/>
    <s v="KEPL/00533/82-83"/>
    <s v="ISHWORI SUPPLIERS"/>
    <x v="45"/>
    <n v="1"/>
    <n v="15"/>
    <n v="260.72000000000003"/>
    <n v="3910.8"/>
    <n v="-300.74"/>
    <n v="0"/>
    <n v="469.30803499999996"/>
    <n v="4079.368035"/>
  </r>
  <r>
    <x v="3"/>
    <s v="Q2"/>
    <x v="0"/>
    <x v="29"/>
    <s v="KEPL/00542/82-83"/>
    <s v="NEW MATA RANI SUPPLIERS"/>
    <x v="3"/>
    <n v="3"/>
    <n v="60"/>
    <n v="186.23"/>
    <n v="11173.8"/>
    <n v="-859.2700000000001"/>
    <n v="0"/>
    <n v="1340.8881249999999"/>
    <n v="11655.418125"/>
  </r>
  <r>
    <x v="3"/>
    <s v="Q2"/>
    <x v="0"/>
    <x v="29"/>
    <s v="KEPL/00542/82-83"/>
    <s v="NEW MATA RANI SUPPLIERS"/>
    <x v="52"/>
    <n v="10"/>
    <n v="40"/>
    <n v="595.92999999999995"/>
    <n v="23837.200000000001"/>
    <n v="-1833.08"/>
    <n v="0"/>
    <n v="2860.5339469999999"/>
    <n v="24864.653946999999"/>
  </r>
  <r>
    <x v="3"/>
    <s v="Q2"/>
    <x v="0"/>
    <x v="29"/>
    <s v="KEPL/00542/82-83"/>
    <s v="NEW MATA RANI SUPPLIERS"/>
    <x v="12"/>
    <n v="2"/>
    <n v="260"/>
    <n v="37.25"/>
    <n v="9685"/>
    <n v="-744.78"/>
    <n v="0"/>
    <n v="1162.227928"/>
    <n v="10102.447928"/>
  </r>
  <r>
    <x v="3"/>
    <s v="Q2"/>
    <x v="0"/>
    <x v="30"/>
    <s v="KEPL/00548/82-83"/>
    <s v="NILLONS L&amp;D"/>
    <x v="52"/>
    <n v="1"/>
    <n v="4"/>
    <n v="378.91"/>
    <n v="1515.64"/>
    <n v="0"/>
    <n v="0"/>
    <n v="197.03479899999999"/>
    <n v="1712.6747989999999"/>
  </r>
  <r>
    <x v="3"/>
    <s v="Q2"/>
    <x v="0"/>
    <x v="30"/>
    <s v="KEPL/00548/82-83"/>
    <s v="NILLONS L&amp;D"/>
    <x v="30"/>
    <n v="1"/>
    <n v="20"/>
    <n v="151.66999999999999"/>
    <n v="3033.4"/>
    <n v="0"/>
    <n v="0"/>
    <n v="394.34520099999997"/>
    <n v="3427.7452010000002"/>
  </r>
  <r>
    <x v="3"/>
    <s v="Q2"/>
    <x v="0"/>
    <x v="30"/>
    <s v="KEPL/00549/82-83"/>
    <s v="NILLONS L&amp;D"/>
    <x v="30"/>
    <n v="0.1"/>
    <n v="2"/>
    <n v="151.66999999999999"/>
    <n v="303.33999999999997"/>
    <n v="0"/>
    <n v="0"/>
    <n v="39.433816999999998"/>
    <n v="342.77381700000001"/>
  </r>
  <r>
    <x v="3"/>
    <s v="Q2"/>
    <x v="0"/>
    <x v="30"/>
    <s v="KEPL/00549/82-83"/>
    <s v="NILLONS L&amp;D"/>
    <x v="52"/>
    <n v="1"/>
    <n v="4"/>
    <n v="378.91"/>
    <n v="1515.64"/>
    <n v="0"/>
    <n v="0"/>
    <n v="197.03128699999999"/>
    <n v="1712.6712869999999"/>
  </r>
  <r>
    <x v="3"/>
    <s v="Q2"/>
    <x v="0"/>
    <x v="30"/>
    <s v="KEPL/00549/82-83"/>
    <s v="NILLONS L&amp;D"/>
    <x v="33"/>
    <n v="0.05"/>
    <n v="2"/>
    <n v="41.25"/>
    <n v="82.5"/>
    <n v="0"/>
    <n v="0"/>
    <n v="10.724895999999999"/>
    <n v="93.224896000000001"/>
  </r>
  <r>
    <x v="3"/>
    <s v="Q2"/>
    <x v="0"/>
    <x v="30"/>
    <s v="KEPL/00550/82-83"/>
    <s v="NILLONS L&amp;D"/>
    <x v="52"/>
    <n v="1"/>
    <n v="4"/>
    <n v="378.91"/>
    <n v="1515.64"/>
    <n v="0"/>
    <n v="0"/>
    <n v="197.03537699999998"/>
    <n v="1712.675377"/>
  </r>
  <r>
    <x v="3"/>
    <s v="Q2"/>
    <x v="0"/>
    <x v="30"/>
    <s v="KEPL/00550/82-83"/>
    <s v="NILLONS L&amp;D"/>
    <x v="39"/>
    <n v="0.1"/>
    <n v="2"/>
    <n v="216.9"/>
    <n v="433.8"/>
    <n v="0"/>
    <n v="0"/>
    <n v="56.394623000000003"/>
    <n v="490.19462299999998"/>
  </r>
  <r>
    <x v="3"/>
    <s v="Q2"/>
    <x v="0"/>
    <x v="30"/>
    <s v="KEPL/00552/82-83"/>
    <s v="R.P DISTRIBUTOR TRADE CENTER"/>
    <x v="34"/>
    <n v="1"/>
    <n v="40"/>
    <n v="67.040000000000006"/>
    <n v="2681.6"/>
    <n v="-206.22"/>
    <n v="0"/>
    <n v="321.79945500000002"/>
    <n v="2797.179455"/>
  </r>
  <r>
    <x v="3"/>
    <s v="Q2"/>
    <x v="0"/>
    <x v="30"/>
    <s v="KEPL/00552/82-83"/>
    <s v="R.P DISTRIBUTOR TRADE CENTER"/>
    <x v="27"/>
    <n v="10"/>
    <n v="700"/>
    <n v="32.78"/>
    <n v="22946"/>
    <n v="-1764.55"/>
    <n v="0"/>
    <n v="2753.5889749999997"/>
    <n v="23935.038974999999"/>
  </r>
  <r>
    <x v="3"/>
    <s v="Q2"/>
    <x v="0"/>
    <x v="30"/>
    <s v="KEPL/00552/82-83"/>
    <s v="R.P DISTRIBUTOR TRADE CENTER"/>
    <x v="12"/>
    <n v="1"/>
    <n v="130"/>
    <n v="37.25"/>
    <n v="4842.5"/>
    <n v="-372.39"/>
    <n v="0"/>
    <n v="581.11440000000005"/>
    <n v="5051.2244000000001"/>
  </r>
  <r>
    <x v="3"/>
    <s v="Q2"/>
    <x v="0"/>
    <x v="30"/>
    <s v="KEPL/00552/82-83"/>
    <s v="R.P DISTRIBUTOR TRADE CENTER"/>
    <x v="41"/>
    <n v="1"/>
    <n v="40"/>
    <n v="67.040000000000006"/>
    <n v="2681.6"/>
    <n v="-206.22"/>
    <n v="0"/>
    <n v="321.79945500000002"/>
    <n v="2797.179455"/>
  </r>
  <r>
    <x v="3"/>
    <s v="Q2"/>
    <x v="0"/>
    <x v="30"/>
    <s v="KEPL/00552/82-83"/>
    <s v="R.P DISTRIBUTOR TRADE CENTER"/>
    <x v="56"/>
    <n v="1"/>
    <n v="800"/>
    <n v="7.45"/>
    <n v="5960"/>
    <n v="-458.32"/>
    <n v="0"/>
    <n v="715.218523"/>
    <n v="6216.8985229999998"/>
  </r>
  <r>
    <x v="3"/>
    <s v="Q2"/>
    <x v="0"/>
    <x v="30"/>
    <s v="KEPL/00552/82-83"/>
    <s v="R.P DISTRIBUTOR TRADE CENTER"/>
    <x v="42"/>
    <n v="2"/>
    <n v="60"/>
    <n v="316.58999999999997"/>
    <n v="18995.399999999998"/>
    <n v="-1460.75"/>
    <n v="0"/>
    <n v="2279.5048929999998"/>
    <n v="19814.154892999999"/>
  </r>
  <r>
    <x v="3"/>
    <s v="Q2"/>
    <x v="0"/>
    <x v="30"/>
    <s v="KEPL/00552/82-83"/>
    <s v="R.P DISTRIBUTOR TRADE CENTER"/>
    <x v="46"/>
    <n v="10"/>
    <n v="200"/>
    <n v="175.06"/>
    <n v="35012"/>
    <n v="-2692.42"/>
    <n v="0"/>
    <n v="4201.5461240000004"/>
    <n v="36521.126124000002"/>
  </r>
  <r>
    <x v="3"/>
    <s v="Q2"/>
    <x v="0"/>
    <x v="30"/>
    <s v="KEPL/00552/82-83"/>
    <s v="R.P DISTRIBUTOR TRADE CENTER"/>
    <x v="52"/>
    <n v="5"/>
    <n v="20"/>
    <n v="595.92999999999995"/>
    <n v="11918.6"/>
    <n v="-916.54"/>
    <n v="0"/>
    <n v="1430.268047"/>
    <n v="12432.328047000001"/>
  </r>
  <r>
    <x v="3"/>
    <s v="Q2"/>
    <x v="0"/>
    <x v="30"/>
    <s v="KEPL/00552/82-83"/>
    <s v="R.P DISTRIBUTOR TRADE CENTER"/>
    <x v="47"/>
    <n v="15"/>
    <n v="600"/>
    <n v="111.74"/>
    <n v="67044"/>
    <n v="-5155.68"/>
    <n v="0"/>
    <n v="8045.4829869999994"/>
    <n v="69933.802987000003"/>
  </r>
  <r>
    <x v="3"/>
    <s v="Q2"/>
    <x v="0"/>
    <x v="30"/>
    <s v="KEPL/00552/82-83"/>
    <s v="R.P DISTRIBUTOR TRADE CENTER"/>
    <x v="49"/>
    <n v="5"/>
    <n v="75"/>
    <n v="260.72000000000003"/>
    <n v="19554"/>
    <n v="-1503.6999999999998"/>
    <n v="0"/>
    <n v="2346.539405"/>
    <n v="20396.839404999999"/>
  </r>
  <r>
    <x v="3"/>
    <s v="Q2"/>
    <x v="0"/>
    <x v="30"/>
    <s v="KEPL/00552/82-83"/>
    <s v="R.P DISTRIBUTOR TRADE CENTER"/>
    <x v="33"/>
    <n v="1"/>
    <n v="40"/>
    <n v="67.040000000000006"/>
    <n v="2681.6"/>
    <n v="-206.22"/>
    <n v="0"/>
    <n v="321.79945500000002"/>
    <n v="2797.179455"/>
  </r>
  <r>
    <x v="3"/>
    <s v="Q2"/>
    <x v="0"/>
    <x v="30"/>
    <s v="KEPL/00552/82-83"/>
    <s v="R.P DISTRIBUTOR TRADE CENTER"/>
    <x v="35"/>
    <n v="1"/>
    <n v="60"/>
    <n v="145.26"/>
    <n v="8715.6"/>
    <n v="-670.23"/>
    <n v="0"/>
    <n v="1045.8982799999999"/>
    <n v="9091.2682800000002"/>
  </r>
  <r>
    <x v="3"/>
    <s v="Q2"/>
    <x v="0"/>
    <x v="30"/>
    <s v="KEPL/00553/82-83"/>
    <s v="BEERA BARJEE INTERNATIONAL PVT.LTD"/>
    <x v="23"/>
    <n v="1"/>
    <n v="600"/>
    <n v="7.46"/>
    <n v="4476"/>
    <n v="-344.2"/>
    <n v="0"/>
    <n v="537.13405699999998"/>
    <n v="4668.9340570000004"/>
  </r>
  <r>
    <x v="3"/>
    <s v="Q2"/>
    <x v="0"/>
    <x v="30"/>
    <s v="KEPL/00553/82-83"/>
    <s v="BEERA BARJEE INTERNATIONAL PVT.LTD"/>
    <x v="34"/>
    <n v="3"/>
    <n v="120"/>
    <n v="67.040000000000006"/>
    <n v="8044.8"/>
    <n v="-618.65"/>
    <n v="0"/>
    <n v="965.39960299999996"/>
    <n v="8391.5496029999995"/>
  </r>
  <r>
    <x v="3"/>
    <s v="Q2"/>
    <x v="0"/>
    <x v="30"/>
    <s v="KEPL/00553/82-83"/>
    <s v="BEERA BARJEE INTERNATIONAL PVT.LTD"/>
    <x v="37"/>
    <n v="2"/>
    <n v="80"/>
    <n v="81.94"/>
    <n v="6555.2"/>
    <n v="-504.09"/>
    <n v="0"/>
    <n v="786.64438399999995"/>
    <n v="6837.7543839999998"/>
  </r>
  <r>
    <x v="3"/>
    <s v="Q2"/>
    <x v="0"/>
    <x v="30"/>
    <s v="KEPL/00553/82-83"/>
    <s v="BEERA BARJEE INTERNATIONAL PVT.LTD"/>
    <x v="55"/>
    <n v="1"/>
    <n v="20"/>
    <n v="175.06"/>
    <n v="3501.2"/>
    <n v="-269.24"/>
    <n v="0"/>
    <n v="420.15484500000002"/>
    <n v="3652.1148450000001"/>
  </r>
  <r>
    <x v="3"/>
    <s v="Q2"/>
    <x v="0"/>
    <x v="30"/>
    <s v="KEPL/00553/82-83"/>
    <s v="BEERA BARJEE INTERNATIONAL PVT.LTD"/>
    <x v="50"/>
    <n v="2"/>
    <n v="480"/>
    <n v="14.9"/>
    <n v="7152"/>
    <n v="-549.99"/>
    <n v="0"/>
    <n v="858.26139199999989"/>
    <n v="7460.2713919999997"/>
  </r>
  <r>
    <x v="3"/>
    <s v="Q2"/>
    <x v="0"/>
    <x v="30"/>
    <s v="KEPL/00553/82-83"/>
    <s v="BEERA BARJEE INTERNATIONAL PVT.LTD"/>
    <x v="3"/>
    <n v="3"/>
    <n v="60"/>
    <n v="186.23"/>
    <n v="11173.8"/>
    <n v="-859.2700000000001"/>
    <n v="0"/>
    <n v="1340.8890429999999"/>
    <n v="11655.419043"/>
  </r>
  <r>
    <x v="3"/>
    <s v="Q2"/>
    <x v="0"/>
    <x v="30"/>
    <s v="KEPL/00553/82-83"/>
    <s v="BEERA BARJEE INTERNATIONAL PVT.LTD"/>
    <x v="22"/>
    <n v="3"/>
    <n v="72"/>
    <n v="204.85"/>
    <n v="14749.199999999999"/>
    <n v="-1134.21"/>
    <n v="0"/>
    <n v="1769.948889"/>
    <n v="15384.938888999999"/>
  </r>
  <r>
    <x v="3"/>
    <s v="Q2"/>
    <x v="0"/>
    <x v="30"/>
    <s v="KEPL/00553/82-83"/>
    <s v="BEERA BARJEE INTERNATIONAL PVT.LTD"/>
    <x v="41"/>
    <n v="3"/>
    <n v="120"/>
    <n v="67.040000000000006"/>
    <n v="8044.8"/>
    <n v="-618.65"/>
    <n v="0"/>
    <n v="965.39960299999996"/>
    <n v="8391.5496029999995"/>
  </r>
  <r>
    <x v="3"/>
    <s v="Q2"/>
    <x v="0"/>
    <x v="30"/>
    <s v="KEPL/00553/82-83"/>
    <s v="BEERA BARJEE INTERNATIONAL PVT.LTD"/>
    <x v="33"/>
    <n v="3"/>
    <n v="120"/>
    <n v="67.040000000000006"/>
    <n v="8044.8"/>
    <n v="-618.65"/>
    <n v="0"/>
    <n v="965.39960299999996"/>
    <n v="8391.5496029999995"/>
  </r>
  <r>
    <x v="3"/>
    <s v="Q2"/>
    <x v="0"/>
    <x v="30"/>
    <s v="KEPL/00553/82-83"/>
    <s v="BEERA BARJEE INTERNATIONAL PVT.LTD"/>
    <x v="38"/>
    <n v="1"/>
    <n v="24"/>
    <n v="186.23"/>
    <n v="4469.5200000000004"/>
    <n v="-343.71"/>
    <n v="0"/>
    <n v="536.35535700000003"/>
    <n v="4662.1653569999999"/>
  </r>
  <r>
    <x v="3"/>
    <s v="Q2"/>
    <x v="0"/>
    <x v="30"/>
    <s v="KEPL/00553/82-83"/>
    <s v="BEERA BARJEE INTERNATIONAL PVT.LTD"/>
    <x v="36"/>
    <n v="2"/>
    <n v="80"/>
    <n v="81.94"/>
    <n v="6555.2"/>
    <n v="-504.09"/>
    <n v="0"/>
    <n v="786.64438399999995"/>
    <n v="6837.7543839999998"/>
  </r>
  <r>
    <x v="3"/>
    <s v="Q2"/>
    <x v="0"/>
    <x v="30"/>
    <s v="KEPL/00553/82-83"/>
    <s v="BEERA BARJEE INTERNATIONAL PVT.LTD"/>
    <x v="53"/>
    <n v="2"/>
    <n v="80"/>
    <n v="81.94"/>
    <n v="6555.2"/>
    <n v="-504.09"/>
    <n v="0"/>
    <n v="786.64438399999995"/>
    <n v="6837.7543839999998"/>
  </r>
  <r>
    <x v="3"/>
    <s v="Q2"/>
    <x v="0"/>
    <x v="30"/>
    <s v="KEPL/00553/82-83"/>
    <s v="BEERA BARJEE INTERNATIONAL PVT.LTD"/>
    <x v="46"/>
    <n v="1"/>
    <n v="20"/>
    <n v="175.06"/>
    <n v="3501.2"/>
    <n v="-269.24"/>
    <n v="0"/>
    <n v="420.15484500000002"/>
    <n v="3652.1148450000001"/>
  </r>
  <r>
    <x v="3"/>
    <s v="Q2"/>
    <x v="0"/>
    <x v="30"/>
    <s v="KEPL/00553/82-83"/>
    <s v="BEERA BARJEE INTERNATIONAL PVT.LTD"/>
    <x v="39"/>
    <n v="1"/>
    <n v="20"/>
    <n v="249.55"/>
    <n v="4991"/>
    <n v="-383.81"/>
    <n v="0"/>
    <n v="598.93476399999997"/>
    <n v="5206.1247640000001"/>
  </r>
  <r>
    <x v="3"/>
    <s v="Q2"/>
    <x v="0"/>
    <x v="30"/>
    <s v="KEPL/00553/82-83"/>
    <s v="BEERA BARJEE INTERNATIONAL PVT.LTD"/>
    <x v="54"/>
    <n v="1"/>
    <n v="20"/>
    <n v="175.06"/>
    <n v="3501.2"/>
    <n v="-269.24"/>
    <n v="0"/>
    <n v="420.15484500000002"/>
    <n v="3652.1148450000001"/>
  </r>
  <r>
    <x v="3"/>
    <s v="Q2"/>
    <x v="0"/>
    <x v="30"/>
    <s v="KEPL/00554/82-83"/>
    <s v="BEERA BARJEE INTERNATIONAL PVT.LTD"/>
    <x v="48"/>
    <n v="1"/>
    <n v="20"/>
    <n v="204.85"/>
    <n v="4097"/>
    <n v="-315.06"/>
    <n v="0"/>
    <n v="491.65198400000003"/>
    <n v="4273.5919839999997"/>
  </r>
  <r>
    <x v="3"/>
    <s v="Q2"/>
    <x v="0"/>
    <x v="30"/>
    <s v="KEPL/00554/82-83"/>
    <s v="BEERA BARJEE INTERNATIONAL PVT.LTD"/>
    <x v="13"/>
    <n v="3"/>
    <n v="72"/>
    <n v="141.54"/>
    <n v="10190.879999999999"/>
    <n v="-783.68"/>
    <n v="0"/>
    <n v="1222.9354640000001"/>
    <n v="10630.135464000001"/>
  </r>
  <r>
    <x v="3"/>
    <s v="Q2"/>
    <x v="0"/>
    <x v="30"/>
    <s v="KEPL/00554/82-83"/>
    <s v="BEERA BARJEE INTERNATIONAL PVT.LTD"/>
    <x v="59"/>
    <n v="1"/>
    <n v="20"/>
    <n v="204.85"/>
    <n v="4097"/>
    <n v="-315.06"/>
    <n v="0"/>
    <n v="491.65198400000003"/>
    <n v="4273.5919839999997"/>
  </r>
  <r>
    <x v="3"/>
    <s v="Q2"/>
    <x v="0"/>
    <x v="30"/>
    <s v="KEPL/00554/82-83"/>
    <s v="BEERA BARJEE INTERNATIONAL PVT.LTD"/>
    <x v="21"/>
    <n v="2"/>
    <n v="480"/>
    <n v="14.9"/>
    <n v="7152"/>
    <n v="-549.99"/>
    <n v="0"/>
    <n v="858.26092400000005"/>
    <n v="7460.2709240000004"/>
  </r>
  <r>
    <x v="3"/>
    <s v="Q2"/>
    <x v="0"/>
    <x v="30"/>
    <s v="KEPL/00554/82-83"/>
    <s v="BEERA BARJEE INTERNATIONAL PVT.LTD"/>
    <x v="28"/>
    <n v="1"/>
    <n v="20"/>
    <n v="204.85"/>
    <n v="4097"/>
    <n v="-315.06"/>
    <n v="0"/>
    <n v="491.65198400000003"/>
    <n v="4273.5919839999997"/>
  </r>
  <r>
    <x v="3"/>
    <s v="Q2"/>
    <x v="0"/>
    <x v="30"/>
    <s v="KEPL/00554/82-83"/>
    <s v="BEERA BARJEE INTERNATIONAL PVT.LTD"/>
    <x v="29"/>
    <n v="1"/>
    <n v="20"/>
    <n v="204.85"/>
    <n v="4097"/>
    <n v="-315.06"/>
    <n v="0"/>
    <n v="491.65198400000003"/>
    <n v="4273.5919839999997"/>
  </r>
  <r>
    <x v="3"/>
    <s v="Q2"/>
    <x v="0"/>
    <x v="30"/>
    <s v="KEPL/00554/82-83"/>
    <s v="BEERA BARJEE INTERNATIONAL PVT.LTD"/>
    <x v="44"/>
    <n v="2"/>
    <n v="48"/>
    <n v="186.23"/>
    <n v="8939.0400000000009"/>
    <n v="-687.41"/>
    <n v="0"/>
    <n v="1072.7114300000001"/>
    <n v="9324.3414300000004"/>
  </r>
  <r>
    <x v="3"/>
    <s v="Q2"/>
    <x v="0"/>
    <x v="30"/>
    <s v="KEPL/00554/82-83"/>
    <s v="BEERA BARJEE INTERNATIONAL PVT.LTD"/>
    <x v="30"/>
    <n v="1"/>
    <n v="20"/>
    <n v="242.1"/>
    <n v="4841.9999999999991"/>
    <n v="-372.35"/>
    <n v="0"/>
    <n v="581.05424499999992"/>
    <n v="5050.7042449999999"/>
  </r>
  <r>
    <x v="3"/>
    <s v="Q2"/>
    <x v="0"/>
    <x v="30"/>
    <s v="KEPL/00555/82-83"/>
    <s v="AASHI TRADERS"/>
    <x v="36"/>
    <n v="5"/>
    <n v="200"/>
    <n v="81.94"/>
    <n v="16388"/>
    <n v="-1260.24"/>
    <n v="0"/>
    <n v="1966.6065859999999"/>
    <n v="17094.366586"/>
  </r>
  <r>
    <x v="3"/>
    <s v="Q2"/>
    <x v="0"/>
    <x v="30"/>
    <s v="KEPL/00555/82-83"/>
    <s v="AASHI TRADERS"/>
    <x v="37"/>
    <n v="2"/>
    <n v="80"/>
    <n v="81.94"/>
    <n v="6555.2"/>
    <n v="-504.09"/>
    <n v="0"/>
    <n v="786.64341400000001"/>
    <n v="6837.7534139999998"/>
  </r>
  <r>
    <x v="3"/>
    <s v="Q2"/>
    <x v="0"/>
    <x v="30"/>
    <s v="KEPL/00556/82-83"/>
    <s v="SHREE EXIM"/>
    <x v="37"/>
    <n v="2"/>
    <n v="80"/>
    <n v="81.94"/>
    <n v="6555.2"/>
    <n v="-504.09"/>
    <n v="0"/>
    <n v="786.644136"/>
    <n v="6837.7541359999996"/>
  </r>
  <r>
    <x v="3"/>
    <s v="Q2"/>
    <x v="0"/>
    <x v="30"/>
    <s v="KEPL/00556/82-83"/>
    <s v="SHREE EXIM"/>
    <x v="12"/>
    <n v="1"/>
    <n v="130"/>
    <n v="37.25"/>
    <n v="4842.5"/>
    <n v="-372.39"/>
    <n v="0"/>
    <n v="581.11417900000004"/>
    <n v="5051.2241789999998"/>
  </r>
  <r>
    <x v="3"/>
    <s v="Q2"/>
    <x v="0"/>
    <x v="30"/>
    <s v="KEPL/00556/82-83"/>
    <s v="SHREE EXIM"/>
    <x v="3"/>
    <n v="3"/>
    <n v="60"/>
    <n v="186.23"/>
    <n v="11173.8"/>
    <n v="-859.2700000000001"/>
    <n v="0"/>
    <n v="1340.8886200000002"/>
    <n v="11655.41862"/>
  </r>
  <r>
    <x v="3"/>
    <s v="Q2"/>
    <x v="0"/>
    <x v="30"/>
    <s v="KEPL/00556/82-83"/>
    <s v="SHREE EXIM"/>
    <x v="23"/>
    <n v="2"/>
    <n v="1200"/>
    <n v="7.46"/>
    <n v="8952"/>
    <n v="-688.41"/>
    <n v="0"/>
    <n v="1074.266476"/>
    <n v="9337.8564760000008"/>
  </r>
  <r>
    <x v="3"/>
    <s v="Q2"/>
    <x v="0"/>
    <x v="30"/>
    <s v="KEPL/00556/82-83"/>
    <s v="SHREE EXIM"/>
    <x v="55"/>
    <n v="2"/>
    <n v="40"/>
    <n v="175.06"/>
    <n v="7002.4"/>
    <n v="-538.48"/>
    <n v="0"/>
    <n v="840.30942500000003"/>
    <n v="7304.2294250000004"/>
  </r>
  <r>
    <x v="3"/>
    <s v="Q2"/>
    <x v="0"/>
    <x v="30"/>
    <s v="KEPL/00556/82-83"/>
    <s v="SHREE EXIM"/>
    <x v="24"/>
    <n v="1"/>
    <n v="18"/>
    <n v="178.78"/>
    <n v="3218.0400000000004"/>
    <n v="-247.47"/>
    <n v="0"/>
    <n v="386.17401899999999"/>
    <n v="3356.7440190000002"/>
  </r>
  <r>
    <x v="3"/>
    <s v="Q2"/>
    <x v="0"/>
    <x v="30"/>
    <s v="KEPL/00556/82-83"/>
    <s v="SHREE EXIM"/>
    <x v="13"/>
    <n v="1"/>
    <n v="24"/>
    <n v="141.54"/>
    <n v="3396.96"/>
    <n v="-261.23"/>
    <n v="0"/>
    <n v="407.64481499999999"/>
    <n v="3543.3748150000001"/>
  </r>
  <r>
    <x v="3"/>
    <s v="Q2"/>
    <x v="0"/>
    <x v="30"/>
    <s v="KEPL/00556/82-83"/>
    <s v="SHREE EXIM"/>
    <x v="36"/>
    <n v="2"/>
    <n v="80"/>
    <n v="81.94"/>
    <n v="6555.2"/>
    <n v="-504.09"/>
    <n v="0"/>
    <n v="786.644136"/>
    <n v="6837.7541359999996"/>
  </r>
  <r>
    <x v="3"/>
    <s v="Q2"/>
    <x v="0"/>
    <x v="30"/>
    <s v="KEPL/00556/82-83"/>
    <s v="SHREE EXIM"/>
    <x v="48"/>
    <n v="1"/>
    <n v="20"/>
    <n v="204.85"/>
    <n v="4097"/>
    <n v="-315.06"/>
    <n v="0"/>
    <n v="491.65209699999997"/>
    <n v="4273.5920969999997"/>
  </r>
  <r>
    <x v="3"/>
    <s v="Q2"/>
    <x v="0"/>
    <x v="30"/>
    <s v="KEPL/00556/82-83"/>
    <s v="SHREE EXIM"/>
    <x v="28"/>
    <n v="1"/>
    <n v="20"/>
    <n v="204.85"/>
    <n v="4097"/>
    <n v="-315.06"/>
    <n v="0"/>
    <n v="491.65209699999997"/>
    <n v="4273.5920969999997"/>
  </r>
  <r>
    <x v="3"/>
    <s v="Q2"/>
    <x v="0"/>
    <x v="30"/>
    <s v="KEPL/00557/82-83"/>
    <s v="NEW MATA RANI SUPPLIERS"/>
    <x v="36"/>
    <n v="2"/>
    <n v="80"/>
    <n v="81.94"/>
    <n v="6555.2"/>
    <n v="-504.09"/>
    <n v="0"/>
    <n v="786.64321199999995"/>
    <n v="6837.7532119999996"/>
  </r>
  <r>
    <x v="3"/>
    <s v="Q2"/>
    <x v="0"/>
    <x v="30"/>
    <s v="KEPL/00557/82-83"/>
    <s v="NEW MATA RANI SUPPLIERS"/>
    <x v="32"/>
    <n v="1"/>
    <n v="60"/>
    <n v="111.74"/>
    <n v="6704.4"/>
    <n v="-515.57000000000005"/>
    <n v="0"/>
    <n v="804.54678799999999"/>
    <n v="6993.3767879999996"/>
  </r>
  <r>
    <x v="3"/>
    <s v="Q2"/>
    <x v="0"/>
    <x v="30"/>
    <s v="KEPL/00558/82-83"/>
    <s v="ISHWORI SUPPLIERS"/>
    <x v="39"/>
    <n v="10"/>
    <n v="200"/>
    <n v="249.55"/>
    <n v="49910"/>
    <n v="-3838.08"/>
    <n v="0"/>
    <n v="5989.3499999999995"/>
    <n v="52061.27"/>
  </r>
  <r>
    <x v="3"/>
    <s v="Q2"/>
    <x v="0"/>
    <x v="31"/>
    <s v="KEPL/00562/82-83"/>
    <s v="MEGA MART PVT.LTD"/>
    <x v="42"/>
    <n v="9"/>
    <n v="270"/>
    <n v="282.08"/>
    <n v="76161.600000000006"/>
    <n v="0"/>
    <n v="0"/>
    <n v="9901.0087909999984"/>
    <n v="86062.608791000006"/>
  </r>
  <r>
    <x v="3"/>
    <s v="Q2"/>
    <x v="0"/>
    <x v="31"/>
    <s v="KEPL/00562/82-83"/>
    <s v="MEGA MART PVT.LTD"/>
    <x v="35"/>
    <n v="15"/>
    <n v="900"/>
    <n v="129.41999999999999"/>
    <n v="116478"/>
    <n v="0"/>
    <n v="0"/>
    <n v="15142.141208999999"/>
    <n v="131620.14120899999"/>
  </r>
  <r>
    <x v="3"/>
    <s v="Q2"/>
    <x v="0"/>
    <x v="32"/>
    <s v="KEPL/00566/82-83"/>
    <s v="NEW HORIZON DISTRIBUTORS"/>
    <x v="47"/>
    <n v="1"/>
    <n v="40"/>
    <n v="111.74"/>
    <n v="4469.6000000000004"/>
    <n v="-343.71"/>
    <n v="0"/>
    <n v="536.36584300000004"/>
    <n v="4662.2558429999999"/>
  </r>
  <r>
    <x v="3"/>
    <s v="Q2"/>
    <x v="0"/>
    <x v="32"/>
    <s v="KEPL/00566/82-83"/>
    <s v="NEW HORIZON DISTRIBUTORS"/>
    <x v="21"/>
    <n v="1"/>
    <n v="240"/>
    <n v="14.9"/>
    <n v="3576"/>
    <n v="-274.99"/>
    <n v="0"/>
    <n v="429.13141399999995"/>
    <n v="3730.1414140000002"/>
  </r>
  <r>
    <x v="3"/>
    <s v="Q2"/>
    <x v="0"/>
    <x v="32"/>
    <s v="KEPL/00566/82-83"/>
    <s v="NEW HORIZON DISTRIBUTORS"/>
    <x v="49"/>
    <n v="1"/>
    <n v="15"/>
    <n v="260.72000000000003"/>
    <n v="3910.8"/>
    <n v="-300.74"/>
    <n v="0"/>
    <n v="469.30792499999995"/>
    <n v="4079.367925"/>
  </r>
  <r>
    <x v="3"/>
    <s v="Q2"/>
    <x v="0"/>
    <x v="32"/>
    <s v="KEPL/00566/82-83"/>
    <s v="NEW HORIZON DISTRIBUTORS"/>
    <x v="22"/>
    <n v="1"/>
    <n v="24"/>
    <n v="204.85"/>
    <n v="4916.4000000000005"/>
    <n v="-378.07"/>
    <n v="0"/>
    <n v="589.98305700000003"/>
    <n v="5128.3130570000003"/>
  </r>
  <r>
    <x v="3"/>
    <s v="Q2"/>
    <x v="0"/>
    <x v="32"/>
    <s v="KEPL/00566/82-83"/>
    <s v="NEW HORIZON DISTRIBUTORS"/>
    <x v="13"/>
    <n v="1"/>
    <n v="24"/>
    <n v="141.54"/>
    <n v="3396.96"/>
    <n v="-261.23"/>
    <n v="0"/>
    <n v="407.64500900000002"/>
    <n v="3543.3750089999999"/>
  </r>
  <r>
    <x v="3"/>
    <s v="Q2"/>
    <x v="0"/>
    <x v="32"/>
    <s v="KEPL/00566/82-83"/>
    <s v="NEW HORIZON DISTRIBUTORS"/>
    <x v="45"/>
    <n v="1"/>
    <n v="15"/>
    <n v="260.72000000000003"/>
    <n v="3910.8"/>
    <n v="-300.74"/>
    <n v="0"/>
    <n v="469.30792499999995"/>
    <n v="4079.367925"/>
  </r>
  <r>
    <x v="3"/>
    <s v="Q2"/>
    <x v="0"/>
    <x v="32"/>
    <s v="KEPL/00566/82-83"/>
    <s v="NEW HORIZON DISTRIBUTORS"/>
    <x v="46"/>
    <n v="1"/>
    <n v="20"/>
    <n v="175.06"/>
    <n v="3501.2"/>
    <n v="-269.24"/>
    <n v="0"/>
    <n v="420.15491200000002"/>
    <n v="3652.114912"/>
  </r>
  <r>
    <x v="3"/>
    <s v="Q2"/>
    <x v="0"/>
    <x v="32"/>
    <s v="KEPL/00566/82-83"/>
    <s v="NEW HORIZON DISTRIBUTORS"/>
    <x v="44"/>
    <n v="1"/>
    <n v="24"/>
    <n v="186.23"/>
    <n v="4469.5200000000004"/>
    <n v="-343.71"/>
    <n v="0"/>
    <n v="536.35544300000004"/>
    <n v="4662.1654429999999"/>
  </r>
  <r>
    <x v="3"/>
    <s v="Q2"/>
    <x v="0"/>
    <x v="32"/>
    <s v="KEPL/00566/82-83"/>
    <s v="NEW HORIZON DISTRIBUTORS"/>
    <x v="26"/>
    <n v="1"/>
    <n v="18"/>
    <n v="178.78"/>
    <n v="3218.0400000000004"/>
    <n v="-247.47"/>
    <n v="0"/>
    <n v="386.17420300000003"/>
    <n v="3356.7442030000002"/>
  </r>
  <r>
    <x v="3"/>
    <s v="Q2"/>
    <x v="0"/>
    <x v="32"/>
    <s v="KEPL/00566/82-83"/>
    <s v="NEW HORIZON DISTRIBUTORS"/>
    <x v="24"/>
    <n v="1"/>
    <n v="18"/>
    <n v="178.78"/>
    <n v="3218.0400000000004"/>
    <n v="-247.47"/>
    <n v="0"/>
    <n v="386.17420300000003"/>
    <n v="3356.7442030000002"/>
  </r>
  <r>
    <x v="3"/>
    <s v="Q2"/>
    <x v="0"/>
    <x v="32"/>
    <s v="KEPL/00566/82-83"/>
    <s v="NEW HORIZON DISTRIBUTORS"/>
    <x v="3"/>
    <n v="1"/>
    <n v="20"/>
    <n v="186.23"/>
    <n v="3724.6000000000004"/>
    <n v="-286.42"/>
    <n v="0"/>
    <n v="446.96351900000002"/>
    <n v="3885.1435190000002"/>
  </r>
  <r>
    <x v="3"/>
    <s v="Q2"/>
    <x v="0"/>
    <x v="32"/>
    <s v="KEPL/00566/82-83"/>
    <s v="NEW HORIZON DISTRIBUTORS"/>
    <x v="23"/>
    <n v="1"/>
    <n v="600"/>
    <n v="7.46"/>
    <n v="4476"/>
    <n v="-344.2"/>
    <n v="0"/>
    <n v="537.13414299999999"/>
    <n v="4668.9341430000004"/>
  </r>
  <r>
    <x v="3"/>
    <s v="Q2"/>
    <x v="0"/>
    <x v="32"/>
    <s v="KEPL/00566/82-83"/>
    <s v="NEW HORIZON DISTRIBUTORS"/>
    <x v="55"/>
    <n v="1"/>
    <n v="20"/>
    <n v="175.06"/>
    <n v="3501.2"/>
    <n v="-269.24"/>
    <n v="0"/>
    <n v="420.15491200000002"/>
    <n v="3652.114912"/>
  </r>
  <r>
    <x v="3"/>
    <s v="Q2"/>
    <x v="0"/>
    <x v="32"/>
    <s v="KEPL/00566/82-83"/>
    <s v="NEW HORIZON DISTRIBUTORS"/>
    <x v="59"/>
    <n v="1"/>
    <n v="20"/>
    <n v="204.85"/>
    <n v="4097"/>
    <n v="-315.06"/>
    <n v="0"/>
    <n v="491.652331"/>
    <n v="4273.5923309999998"/>
  </r>
  <r>
    <x v="3"/>
    <s v="Q2"/>
    <x v="0"/>
    <x v="32"/>
    <s v="KEPL/00566/82-83"/>
    <s v="NEW HORIZON DISTRIBUTORS"/>
    <x v="57"/>
    <n v="1"/>
    <n v="40"/>
    <n v="111.74"/>
    <n v="4469.6000000000004"/>
    <n v="-343.71"/>
    <n v="0"/>
    <n v="536.36584300000004"/>
    <n v="4662.2558429999999"/>
  </r>
  <r>
    <x v="3"/>
    <s v="Q2"/>
    <x v="0"/>
    <x v="32"/>
    <s v="KEPL/00566/82-83"/>
    <s v="NEW HORIZON DISTRIBUTORS"/>
    <x v="30"/>
    <n v="1"/>
    <n v="20"/>
    <n v="242.1"/>
    <n v="4841.9999999999991"/>
    <n v="-372.35"/>
    <n v="0"/>
    <n v="581.05465500000003"/>
    <n v="5050.7046549999995"/>
  </r>
  <r>
    <x v="3"/>
    <s v="Q2"/>
    <x v="0"/>
    <x v="32"/>
    <s v="KEPL/00566/82-83"/>
    <s v="NEW HORIZON DISTRIBUTORS"/>
    <x v="29"/>
    <n v="1"/>
    <n v="20"/>
    <n v="204.85"/>
    <n v="4097"/>
    <n v="-315.06"/>
    <n v="0"/>
    <n v="491.652331"/>
    <n v="4273.5923309999998"/>
  </r>
  <r>
    <x v="3"/>
    <s v="Q2"/>
    <x v="0"/>
    <x v="32"/>
    <s v="KEPL/00566/82-83"/>
    <s v="NEW HORIZON DISTRIBUTORS"/>
    <x v="48"/>
    <n v="1"/>
    <n v="20"/>
    <n v="204.85"/>
    <n v="4097"/>
    <n v="-315.06"/>
    <n v="0"/>
    <n v="491.652331"/>
    <n v="4273.5923309999998"/>
  </r>
  <r>
    <x v="3"/>
    <s v="Q2"/>
    <x v="0"/>
    <x v="32"/>
    <s v="KEPL/00567/82-83"/>
    <s v="NEW HORIZON DISTRIBUTORS"/>
    <x v="43"/>
    <n v="1"/>
    <n v="60"/>
    <n v="111.74"/>
    <n v="6704.4"/>
    <n v="-515.57000000000005"/>
    <n v="0"/>
    <n v="804.54807500000004"/>
    <n v="6993.3780749999996"/>
  </r>
  <r>
    <x v="3"/>
    <s v="Q2"/>
    <x v="0"/>
    <x v="32"/>
    <s v="KEPL/00567/82-83"/>
    <s v="NEW HORIZON DISTRIBUTORS"/>
    <x v="28"/>
    <n v="1"/>
    <n v="20"/>
    <n v="204.85"/>
    <n v="4097"/>
    <n v="-315.06"/>
    <n v="0"/>
    <n v="491.65230700000001"/>
    <n v="4273.5923069999999"/>
  </r>
  <r>
    <x v="3"/>
    <s v="Q2"/>
    <x v="0"/>
    <x v="32"/>
    <s v="KEPL/00567/82-83"/>
    <s v="NEW HORIZON DISTRIBUTORS"/>
    <x v="38"/>
    <n v="1"/>
    <n v="24"/>
    <n v="186.23"/>
    <n v="4469.5200000000004"/>
    <n v="-343.71"/>
    <n v="0"/>
    <n v="536.35541699999999"/>
    <n v="4662.1654170000002"/>
  </r>
  <r>
    <x v="3"/>
    <s v="Q2"/>
    <x v="0"/>
    <x v="32"/>
    <s v="KEPL/00567/82-83"/>
    <s v="NEW HORIZON DISTRIBUTORS"/>
    <x v="0"/>
    <n v="1"/>
    <n v="40"/>
    <n v="111.74"/>
    <n v="4469.6000000000004"/>
    <n v="-343.71"/>
    <n v="0"/>
    <n v="536.36581699999999"/>
    <n v="4662.2558170000002"/>
  </r>
  <r>
    <x v="3"/>
    <s v="Q2"/>
    <x v="0"/>
    <x v="32"/>
    <s v="KEPL/00567/82-83"/>
    <s v="NEW HORIZON DISTRIBUTORS"/>
    <x v="37"/>
    <n v="1"/>
    <n v="40"/>
    <n v="81.94"/>
    <n v="3277.6"/>
    <n v="-252.05"/>
    <n v="0"/>
    <n v="393.32158599999997"/>
    <n v="3418.8715860000002"/>
  </r>
  <r>
    <x v="3"/>
    <s v="Q2"/>
    <x v="0"/>
    <x v="32"/>
    <s v="KEPL/00567/82-83"/>
    <s v="NEW HORIZON DISTRIBUTORS"/>
    <x v="33"/>
    <n v="0.95"/>
    <n v="38"/>
    <n v="67.040000000000006"/>
    <n v="2547.52"/>
    <n v="-195.9"/>
    <n v="0"/>
    <n v="305.710667"/>
    <n v="2657.3306670000002"/>
  </r>
  <r>
    <x v="3"/>
    <s v="Q2"/>
    <x v="0"/>
    <x v="32"/>
    <s v="KEPL/00567/82-83"/>
    <s v="NEW HORIZON DISTRIBUTORS"/>
    <x v="12"/>
    <n v="1"/>
    <n v="130"/>
    <n v="33.520000000000003"/>
    <n v="4357.6000000000004"/>
    <n v="-335.1"/>
    <n v="0"/>
    <n v="522.92511400000001"/>
    <n v="4545.4251139999997"/>
  </r>
  <r>
    <x v="3"/>
    <s v="Q2"/>
    <x v="0"/>
    <x v="32"/>
    <s v="KEPL/00567/82-83"/>
    <s v="NEW HORIZON DISTRIBUTORS"/>
    <x v="34"/>
    <n v="1"/>
    <n v="40"/>
    <n v="67.040000000000006"/>
    <n v="2681.6"/>
    <n v="-206.22"/>
    <n v="0"/>
    <n v="321.79946999999999"/>
    <n v="2797.17947"/>
  </r>
  <r>
    <x v="3"/>
    <s v="Q2"/>
    <x v="0"/>
    <x v="32"/>
    <s v="KEPL/00567/82-83"/>
    <s v="NEW HORIZON DISTRIBUTORS"/>
    <x v="36"/>
    <n v="1"/>
    <n v="40"/>
    <n v="81.94"/>
    <n v="3277.6"/>
    <n v="-252.05"/>
    <n v="0"/>
    <n v="393.32158599999997"/>
    <n v="3418.8715860000002"/>
  </r>
  <r>
    <x v="3"/>
    <s v="Q2"/>
    <x v="0"/>
    <x v="32"/>
    <s v="KEPL/00567/82-83"/>
    <s v="NEW HORIZON DISTRIBUTORS"/>
    <x v="56"/>
    <n v="1"/>
    <n v="800"/>
    <n v="7.45"/>
    <n v="5960"/>
    <n v="-458.32"/>
    <n v="0"/>
    <n v="715.21855600000004"/>
    <n v="6216.8985560000001"/>
  </r>
  <r>
    <x v="3"/>
    <s v="Q2"/>
    <x v="0"/>
    <x v="32"/>
    <s v="KEPL/00567/82-83"/>
    <s v="NEW HORIZON DISTRIBUTORS"/>
    <x v="53"/>
    <n v="1"/>
    <n v="40"/>
    <n v="81.94"/>
    <n v="3277.6"/>
    <n v="-252.05"/>
    <n v="0"/>
    <n v="393.32158599999997"/>
    <n v="3418.8715860000002"/>
  </r>
  <r>
    <x v="3"/>
    <s v="Q2"/>
    <x v="0"/>
    <x v="32"/>
    <s v="KEPL/00567/82-83"/>
    <s v="NEW HORIZON DISTRIBUTORS"/>
    <x v="32"/>
    <n v="1"/>
    <n v="60"/>
    <n v="111.74"/>
    <n v="6704.4"/>
    <n v="-515.57000000000005"/>
    <n v="0"/>
    <n v="804.54807500000004"/>
    <n v="6993.3780749999996"/>
  </r>
  <r>
    <x v="3"/>
    <s v="Q2"/>
    <x v="0"/>
    <x v="32"/>
    <s v="KEPL/00567/82-83"/>
    <s v="NEW HORIZON DISTRIBUTORS"/>
    <x v="54"/>
    <n v="1"/>
    <n v="20"/>
    <n v="175.06"/>
    <n v="3501.2"/>
    <n v="-269.24"/>
    <n v="0"/>
    <n v="420.15489200000002"/>
    <n v="3652.1148920000001"/>
  </r>
  <r>
    <x v="3"/>
    <s v="Q2"/>
    <x v="0"/>
    <x v="32"/>
    <s v="KEPL/00567/82-83"/>
    <s v="NEW HORIZON DISTRIBUTORS"/>
    <x v="31"/>
    <n v="1"/>
    <n v="60"/>
    <n v="111.74"/>
    <n v="6704.4"/>
    <n v="-515.57000000000005"/>
    <n v="0"/>
    <n v="804.54807500000004"/>
    <n v="6993.3780749999996"/>
  </r>
  <r>
    <x v="3"/>
    <s v="Q2"/>
    <x v="0"/>
    <x v="32"/>
    <s v="KEPL/00567/82-83"/>
    <s v="NEW HORIZON DISTRIBUTORS"/>
    <x v="60"/>
    <n v="1"/>
    <n v="1000"/>
    <n v="1.86"/>
    <n v="1860"/>
    <n v="-143.03"/>
    <n v="0"/>
    <n v="223.20614900000001"/>
    <n v="1940.1761489999999"/>
  </r>
  <r>
    <x v="3"/>
    <s v="Q2"/>
    <x v="0"/>
    <x v="32"/>
    <s v="KEPL/00567/82-83"/>
    <s v="NEW HORIZON DISTRIBUTORS"/>
    <x v="39"/>
    <n v="1"/>
    <n v="20"/>
    <n v="249.55"/>
    <n v="4991"/>
    <n v="-383.81"/>
    <n v="0"/>
    <n v="598.93483100000003"/>
    <n v="5206.1248310000001"/>
  </r>
  <r>
    <x v="3"/>
    <s v="Q2"/>
    <x v="0"/>
    <x v="32"/>
    <s v="KEPL/00567/82-83"/>
    <s v="NEW HORIZON DISTRIBUTORS"/>
    <x v="41"/>
    <n v="1"/>
    <n v="40"/>
    <n v="67.040000000000006"/>
    <n v="2681.6"/>
    <n v="-206.22"/>
    <n v="0"/>
    <n v="321.79946999999999"/>
    <n v="2797.17947"/>
  </r>
  <r>
    <x v="3"/>
    <s v="Q2"/>
    <x v="0"/>
    <x v="32"/>
    <s v="KEPL/00567/82-83"/>
    <s v="NEW HORIZON DISTRIBUTORS"/>
    <x v="35"/>
    <n v="1"/>
    <n v="60"/>
    <n v="145.26"/>
    <n v="8715.6"/>
    <n v="-670.23"/>
    <n v="0"/>
    <n v="1045.898328"/>
    <n v="9091.2683280000001"/>
  </r>
  <r>
    <x v="3"/>
    <s v="Q2"/>
    <x v="0"/>
    <x v="33"/>
    <s v="KEPL/00577/82-83"/>
    <s v="ISHWORI SUPPLIERS"/>
    <x v="24"/>
    <n v="1"/>
    <n v="18"/>
    <n v="178.78"/>
    <n v="3218.0400000000004"/>
    <n v="-247.47"/>
    <n v="0"/>
    <n v="386.17500000000001"/>
    <n v="3356.7449999999999"/>
  </r>
  <r>
    <x v="3"/>
    <s v="Q2"/>
    <x v="0"/>
    <x v="33"/>
    <s v="KEPL/00577/82-83"/>
    <s v="ISHWORI SUPPLIERS"/>
    <x v="26"/>
    <n v="1"/>
    <n v="18"/>
    <n v="178.78"/>
    <n v="3218.0400000000004"/>
    <n v="-247.47"/>
    <n v="0"/>
    <n v="386.17500000000001"/>
    <n v="3356.7449999999999"/>
  </r>
  <r>
    <x v="3"/>
    <s v="Q2"/>
    <x v="0"/>
    <x v="33"/>
    <s v="KEPL/00589/82-83"/>
    <s v="GORIN TRADING "/>
    <x v="3"/>
    <n v="2"/>
    <n v="40"/>
    <n v="186.23"/>
    <n v="7449.2000000000007"/>
    <n v="-572.84"/>
    <n v="0"/>
    <n v="893.9271"/>
    <n v="7770.2870999999996"/>
  </r>
  <r>
    <x v="3"/>
    <s v="Q2"/>
    <x v="0"/>
    <x v="33"/>
    <s v="KEPL/00589/82-83"/>
    <s v="GORIN TRADING "/>
    <x v="52"/>
    <n v="10"/>
    <n v="40"/>
    <n v="595.92999999999995"/>
    <n v="23837.200000000001"/>
    <n v="-1833.08"/>
    <n v="0"/>
    <n v="2860.53656"/>
    <n v="24864.656559999999"/>
  </r>
  <r>
    <x v="3"/>
    <s v="Q2"/>
    <x v="0"/>
    <x v="33"/>
    <s v="KEPL/00589/82-83"/>
    <s v="GORIN TRADING "/>
    <x v="47"/>
    <n v="3"/>
    <n v="120"/>
    <n v="111.74"/>
    <n v="13408.8"/>
    <n v="-1031.1400000000001"/>
    <n v="0"/>
    <n v="1609.0963399999998"/>
    <n v="13986.75634"/>
  </r>
  <r>
    <x v="3"/>
    <s v="Q2"/>
    <x v="0"/>
    <x v="33"/>
    <s v="KEPL/00590/82-83"/>
    <s v="SHUBHASHREE MARKETING"/>
    <x v="30"/>
    <n v="2"/>
    <n v="40"/>
    <n v="242.1"/>
    <n v="9683.9999999999982"/>
    <n v="-744.7"/>
    <n v="0"/>
    <n v="1162.1091060000001"/>
    <n v="10101.409105999999"/>
  </r>
  <r>
    <x v="3"/>
    <s v="Q2"/>
    <x v="0"/>
    <x v="33"/>
    <s v="KEPL/00590/82-83"/>
    <s v="SHUBHASHREE MARKETING"/>
    <x v="52"/>
    <n v="25"/>
    <n v="100"/>
    <n v="595.92999999999995"/>
    <n v="59593"/>
    <n v="-4582.7"/>
    <n v="0"/>
    <n v="7151.3396499999999"/>
    <n v="62161.639649999997"/>
  </r>
  <r>
    <x v="3"/>
    <s v="Q2"/>
    <x v="0"/>
    <x v="33"/>
    <s v="KEPL/00590/82-83"/>
    <s v="SHUBHASHREE MARKETING"/>
    <x v="26"/>
    <n v="5"/>
    <n v="90"/>
    <n v="178.78"/>
    <n v="16090.2"/>
    <n v="-1237.3400000000001"/>
    <n v="0"/>
    <n v="1930.8719749999998"/>
    <n v="16783.731974999999"/>
  </r>
  <r>
    <x v="3"/>
    <s v="Q2"/>
    <x v="0"/>
    <x v="33"/>
    <s v="KEPL/00590/82-83"/>
    <s v="SHUBHASHREE MARKETING"/>
    <x v="32"/>
    <n v="6"/>
    <n v="360"/>
    <n v="111.74"/>
    <n v="40226.400000000001"/>
    <n v="-3093.4100000000003"/>
    <n v="0"/>
    <n v="4827.2891380000001"/>
    <n v="41960.279137999998"/>
  </r>
  <r>
    <x v="3"/>
    <s v="Q2"/>
    <x v="0"/>
    <x v="33"/>
    <s v="KEPL/00590/82-83"/>
    <s v="SHUBHASHREE MARKETING"/>
    <x v="45"/>
    <n v="2"/>
    <n v="30"/>
    <n v="260.72000000000003"/>
    <n v="7821.6"/>
    <n v="-601.48"/>
    <n v="0"/>
    <n v="938.6156850000001"/>
    <n v="8158.7356849999996"/>
  </r>
  <r>
    <x v="3"/>
    <s v="Q2"/>
    <x v="0"/>
    <x v="33"/>
    <s v="KEPL/00590/82-83"/>
    <s v="SHUBHASHREE MARKETING"/>
    <x v="55"/>
    <n v="2"/>
    <n v="40"/>
    <n v="175.06"/>
    <n v="7002.4"/>
    <n v="-538.48"/>
    <n v="0"/>
    <n v="840.30967599999997"/>
    <n v="7304.2296759999999"/>
  </r>
  <r>
    <x v="3"/>
    <s v="Q2"/>
    <x v="0"/>
    <x v="33"/>
    <s v="KEPL/00590/82-83"/>
    <s v="SHUBHASHREE MARKETING"/>
    <x v="46"/>
    <n v="3"/>
    <n v="60"/>
    <n v="175.06"/>
    <n v="10503.6"/>
    <n v="-807.7299999999999"/>
    <n v="0"/>
    <n v="1260.4632139999999"/>
    <n v="10956.333214"/>
  </r>
  <r>
    <x v="3"/>
    <s v="Q2"/>
    <x v="0"/>
    <x v="33"/>
    <s v="KEPL/00590/82-83"/>
    <s v="SHUBHASHREE MARKETING"/>
    <x v="49"/>
    <n v="3"/>
    <n v="45"/>
    <n v="260.72000000000003"/>
    <n v="11732.4"/>
    <n v="-902.22"/>
    <n v="0"/>
    <n v="1407.923528"/>
    <n v="12238.103528"/>
  </r>
  <r>
    <x v="3"/>
    <s v="Q2"/>
    <x v="0"/>
    <x v="33"/>
    <s v="KEPL/00590/82-83"/>
    <s v="SHUBHASHREE MARKETING"/>
    <x v="39"/>
    <n v="0.5"/>
    <n v="10"/>
    <n v="249.55"/>
    <n v="2495.5"/>
    <n v="-191.9"/>
    <n v="0"/>
    <n v="299.46802700000001"/>
    <n v="2603.0680269999998"/>
  </r>
  <r>
    <x v="3"/>
    <s v="Q2"/>
    <x v="0"/>
    <x v="34"/>
    <s v="KEPL/00593/82-83"/>
    <s v="NEW MATA RANI SUPPLIERS"/>
    <x v="55"/>
    <n v="2"/>
    <n v="40"/>
    <n v="175.05"/>
    <n v="7001.9999999999991"/>
    <n v="-538.45000000000005"/>
    <n v="0"/>
    <n v="840.26186700000005"/>
    <n v="7303.8118670000003"/>
  </r>
  <r>
    <x v="3"/>
    <s v="Q2"/>
    <x v="0"/>
    <x v="34"/>
    <s v="KEPL/00593/82-83"/>
    <s v="NEW MATA RANI SUPPLIERS"/>
    <x v="46"/>
    <n v="2"/>
    <n v="40"/>
    <n v="175.05"/>
    <n v="7001.9999999999991"/>
    <n v="-538.45000000000005"/>
    <n v="0"/>
    <n v="840.26186700000005"/>
    <n v="7303.8118670000003"/>
  </r>
  <r>
    <x v="3"/>
    <s v="Q2"/>
    <x v="0"/>
    <x v="34"/>
    <s v="KEPL/00593/82-83"/>
    <s v="NEW MATA RANI SUPPLIERS"/>
    <x v="49"/>
    <n v="1"/>
    <n v="15"/>
    <n v="260.72000000000003"/>
    <n v="3910.8"/>
    <n v="-300.74"/>
    <n v="0"/>
    <n v="469.30800499999998"/>
    <n v="4079.3680049999998"/>
  </r>
  <r>
    <x v="3"/>
    <s v="Q2"/>
    <x v="0"/>
    <x v="34"/>
    <s v="KEPL/00593/82-83"/>
    <s v="NEW MATA RANI SUPPLIERS"/>
    <x v="30"/>
    <n v="1"/>
    <n v="20"/>
    <n v="242.1"/>
    <n v="4841.9999999999991"/>
    <n v="-372.35"/>
    <n v="0"/>
    <n v="581.054754"/>
    <n v="5050.7047540000003"/>
  </r>
  <r>
    <x v="3"/>
    <s v="Q2"/>
    <x v="0"/>
    <x v="34"/>
    <s v="KEPL/00593/82-83"/>
    <s v="NEW MATA RANI SUPPLIERS"/>
    <x v="0"/>
    <n v="2"/>
    <n v="80"/>
    <n v="111.74"/>
    <n v="8939.2000000000007"/>
    <n v="-687.42"/>
    <n v="0"/>
    <n v="1072.7318680000001"/>
    <n v="9324.5118679999996"/>
  </r>
  <r>
    <x v="3"/>
    <s v="Q2"/>
    <x v="0"/>
    <x v="34"/>
    <s v="KEPL/00593/82-83"/>
    <s v="NEW MATA RANI SUPPLIERS"/>
    <x v="54"/>
    <n v="2"/>
    <n v="40"/>
    <n v="175.05"/>
    <n v="7001.9999999999991"/>
    <n v="-538.45000000000005"/>
    <n v="0"/>
    <n v="840.26186700000005"/>
    <n v="7303.8118670000003"/>
  </r>
  <r>
    <x v="3"/>
    <s v="Q2"/>
    <x v="0"/>
    <x v="34"/>
    <s v="KEPL/00593/82-83"/>
    <s v="NEW MATA RANI SUPPLIERS"/>
    <x v="57"/>
    <n v="3"/>
    <n v="120"/>
    <n v="111.74"/>
    <n v="13408.8"/>
    <n v="-1031.1400000000001"/>
    <n v="0"/>
    <n v="1609.0965019999999"/>
    <n v="13986.756502"/>
  </r>
  <r>
    <x v="3"/>
    <s v="Q2"/>
    <x v="0"/>
    <x v="34"/>
    <s v="KEPL/00593/82-83"/>
    <s v="NEW MATA RANI SUPPLIERS"/>
    <x v="23"/>
    <n v="2"/>
    <n v="1200"/>
    <n v="7.45"/>
    <n v="8940"/>
    <n v="-687.4899999999999"/>
    <n v="0"/>
    <n v="1072.8267679999999"/>
    <n v="9325.3367679999992"/>
  </r>
  <r>
    <x v="3"/>
    <s v="Q2"/>
    <x v="0"/>
    <x v="34"/>
    <s v="KEPL/00593/82-83"/>
    <s v="NEW MATA RANI SUPPLIERS"/>
    <x v="47"/>
    <n v="3"/>
    <n v="120"/>
    <n v="111.74"/>
    <n v="13408.8"/>
    <n v="-1031.1400000000001"/>
    <n v="0"/>
    <n v="1609.0965019999999"/>
    <n v="13986.756502"/>
  </r>
  <r>
    <x v="3"/>
    <s v="Q2"/>
    <x v="0"/>
    <x v="34"/>
    <s v="KEPL/00594/82-83"/>
    <s v="BIJAYA TRADERS"/>
    <x v="13"/>
    <n v="3"/>
    <n v="72"/>
    <n v="141.54"/>
    <n v="10190.879999999999"/>
    <n v="-783.68"/>
    <n v="0"/>
    <n v="1222.9352200000001"/>
    <n v="10630.13522"/>
  </r>
  <r>
    <x v="3"/>
    <s v="Q2"/>
    <x v="0"/>
    <x v="34"/>
    <s v="KEPL/00594/82-83"/>
    <s v="BIJAYA TRADERS"/>
    <x v="44"/>
    <n v="10"/>
    <n v="240"/>
    <n v="186.23"/>
    <n v="44695.199999999997"/>
    <n v="-3437.06"/>
    <n v="0"/>
    <n v="5363.5547800000004"/>
    <n v="46621.694779999998"/>
  </r>
  <r>
    <x v="3"/>
    <s v="Q2"/>
    <x v="0"/>
    <x v="34"/>
    <s v="KEPL/00595/82-83"/>
    <s v="P and B Traders"/>
    <x v="12"/>
    <n v="1"/>
    <n v="130"/>
    <n v="37.25"/>
    <n v="4842.5"/>
    <n v="-372.39"/>
    <n v="0"/>
    <n v="581.11399500000005"/>
    <n v="5051.2239950000003"/>
  </r>
  <r>
    <x v="3"/>
    <s v="Q2"/>
    <x v="0"/>
    <x v="34"/>
    <s v="KEPL/00595/82-83"/>
    <s v="P and B Traders"/>
    <x v="45"/>
    <n v="1"/>
    <n v="15"/>
    <n v="260.72000000000003"/>
    <n v="3910.8"/>
    <n v="-300.74"/>
    <n v="0"/>
    <n v="469.30755399999998"/>
    <n v="4079.3675539999999"/>
  </r>
  <r>
    <x v="3"/>
    <s v="Q2"/>
    <x v="0"/>
    <x v="34"/>
    <s v="KEPL/00595/82-83"/>
    <s v="P and B Traders"/>
    <x v="47"/>
    <n v="4"/>
    <n v="160"/>
    <n v="111.74"/>
    <n v="17878.400000000001"/>
    <n v="-1374.85"/>
    <n v="0"/>
    <n v="2145.4603750000001"/>
    <n v="18649.010375000002"/>
  </r>
  <r>
    <x v="3"/>
    <s v="Q2"/>
    <x v="0"/>
    <x v="34"/>
    <s v="KEPL/00595/82-83"/>
    <s v="P and B Traders"/>
    <x v="49"/>
    <n v="1"/>
    <n v="15"/>
    <n v="260.72000000000003"/>
    <n v="3910.8"/>
    <n v="-300.74"/>
    <n v="0"/>
    <n v="469.30755399999998"/>
    <n v="4079.3675539999999"/>
  </r>
  <r>
    <x v="3"/>
    <s v="Q2"/>
    <x v="0"/>
    <x v="34"/>
    <s v="KEPL/00595/82-83"/>
    <s v="P and B Traders"/>
    <x v="0"/>
    <n v="2"/>
    <n v="80"/>
    <n v="111.74"/>
    <n v="8939.2000000000007"/>
    <n v="-687.42"/>
    <n v="0"/>
    <n v="1072.7308379999999"/>
    <n v="9324.5108380000001"/>
  </r>
  <r>
    <x v="3"/>
    <s v="Q2"/>
    <x v="0"/>
    <x v="34"/>
    <s v="KEPL/00595/82-83"/>
    <s v="P and B Traders"/>
    <x v="57"/>
    <n v="2"/>
    <n v="80"/>
    <n v="111.74"/>
    <n v="8939.2000000000007"/>
    <n v="-687.42"/>
    <n v="0"/>
    <n v="1072.7308379999999"/>
    <n v="9324.5108380000001"/>
  </r>
  <r>
    <x v="3"/>
    <s v="Q2"/>
    <x v="0"/>
    <x v="34"/>
    <s v="KEPL/00595/82-83"/>
    <s v="P and B Traders"/>
    <x v="53"/>
    <n v="1"/>
    <n v="40"/>
    <n v="81.94"/>
    <n v="3277.6"/>
    <n v="-252.05"/>
    <n v="0"/>
    <n v="393.32129400000002"/>
    <n v="3418.871294"/>
  </r>
  <r>
    <x v="3"/>
    <s v="Q2"/>
    <x v="0"/>
    <x v="34"/>
    <s v="KEPL/00595/82-83"/>
    <s v="P and B Traders"/>
    <x v="35"/>
    <n v="1"/>
    <n v="60"/>
    <n v="145.26"/>
    <n v="8715.6"/>
    <n v="-670.23"/>
    <n v="0"/>
    <n v="1045.8975519999999"/>
    <n v="9091.2675519999993"/>
  </r>
  <r>
    <x v="3"/>
    <s v="Q2"/>
    <x v="0"/>
    <x v="35"/>
    <s v="KEPL/00601/82-83"/>
    <s v="AASHI TRADERS"/>
    <x v="36"/>
    <n v="7"/>
    <n v="280"/>
    <n v="81.94"/>
    <n v="22943.200000000001"/>
    <n v="-1764.33"/>
    <n v="0"/>
    <n v="2753.2527100000002"/>
    <n v="23932.12271"/>
  </r>
  <r>
    <x v="3"/>
    <s v="Q2"/>
    <x v="0"/>
    <x v="35"/>
    <s v="KEPL/00601/82-83"/>
    <s v="AASHI TRADERS"/>
    <x v="22"/>
    <n v="5"/>
    <n v="120"/>
    <n v="204.85"/>
    <n v="24582"/>
    <n v="-1890.36"/>
    <n v="0"/>
    <n v="2949.9127819999999"/>
    <n v="25641.552781999999"/>
  </r>
  <r>
    <x v="3"/>
    <s v="Q2"/>
    <x v="0"/>
    <x v="35"/>
    <s v="KEPL/00601/82-83"/>
    <s v="AASHI TRADERS"/>
    <x v="54"/>
    <n v="2"/>
    <n v="40"/>
    <n v="175.06"/>
    <n v="7002.4"/>
    <n v="-538.48"/>
    <n v="0"/>
    <n v="840.30948100000001"/>
    <n v="7304.2294810000003"/>
  </r>
  <r>
    <x v="3"/>
    <s v="Q2"/>
    <x v="0"/>
    <x v="35"/>
    <s v="KEPL/00601/82-83"/>
    <s v="AASHI TRADERS"/>
    <x v="21"/>
    <n v="2"/>
    <n v="480"/>
    <n v="14.9"/>
    <n v="7152"/>
    <n v="-549.99"/>
    <n v="0"/>
    <n v="858.26117799999997"/>
    <n v="7460.271178"/>
  </r>
  <r>
    <x v="3"/>
    <s v="Q2"/>
    <x v="0"/>
    <x v="35"/>
    <s v="KEPL/00601/82-83"/>
    <s v="AASHI TRADERS"/>
    <x v="13"/>
    <n v="5"/>
    <n v="120"/>
    <n v="141.54"/>
    <n v="16984.8"/>
    <n v="-1306.1299999999999"/>
    <n v="0"/>
    <n v="2038.226811"/>
    <n v="17716.896810999999"/>
  </r>
  <r>
    <x v="3"/>
    <s v="Q2"/>
    <x v="0"/>
    <x v="35"/>
    <s v="KEPL/00601/82-83"/>
    <s v="AASHI TRADERS"/>
    <x v="60"/>
    <n v="1"/>
    <n v="1000"/>
    <n v="1.86"/>
    <n v="1860"/>
    <n v="-143.03"/>
    <n v="0"/>
    <n v="223.20606799999999"/>
    <n v="1940.176068"/>
  </r>
  <r>
    <x v="3"/>
    <s v="Q2"/>
    <x v="0"/>
    <x v="35"/>
    <s v="KEPL/00601/82-83"/>
    <s v="AASHI TRADERS"/>
    <x v="49"/>
    <n v="5"/>
    <n v="75"/>
    <n v="260.72000000000003"/>
    <n v="19554"/>
    <n v="-1503.6999999999998"/>
    <n v="0"/>
    <n v="2346.5386680000001"/>
    <n v="20396.838668"/>
  </r>
  <r>
    <x v="3"/>
    <s v="Q2"/>
    <x v="0"/>
    <x v="35"/>
    <s v="KEPL/00601/82-83"/>
    <s v="AASHI TRADERS"/>
    <x v="3"/>
    <n v="3"/>
    <n v="60"/>
    <n v="186.23"/>
    <n v="11173.8"/>
    <n v="-859.2700000000001"/>
    <n v="0"/>
    <n v="1340.8887100000002"/>
    <n v="11655.41871"/>
  </r>
  <r>
    <x v="3"/>
    <s v="Q2"/>
    <x v="0"/>
    <x v="35"/>
    <s v="KEPL/00601/82-83"/>
    <s v="AASHI TRADERS"/>
    <x v="50"/>
    <n v="2"/>
    <n v="480"/>
    <n v="14.9"/>
    <n v="7152"/>
    <n v="-549.99"/>
    <n v="0"/>
    <n v="858.26117799999997"/>
    <n v="7460.271178"/>
  </r>
  <r>
    <x v="3"/>
    <s v="Q2"/>
    <x v="0"/>
    <x v="35"/>
    <s v="KEPL/00601/82-83"/>
    <s v="AASHI TRADERS"/>
    <x v="23"/>
    <n v="1"/>
    <n v="599"/>
    <n v="7.46"/>
    <n v="4468.54"/>
    <n v="-343.63"/>
    <n v="0"/>
    <n v="536.23822399999995"/>
    <n v="4661.1482239999996"/>
  </r>
  <r>
    <x v="3"/>
    <s v="Q2"/>
    <x v="0"/>
    <x v="35"/>
    <s v="KEPL/00601/82-83"/>
    <s v="AASHI TRADERS"/>
    <x v="53"/>
    <n v="2"/>
    <n v="80"/>
    <n v="81.94"/>
    <n v="6555.2"/>
    <n v="-504.09"/>
    <n v="0"/>
    <n v="786.64418899999998"/>
    <n v="6837.7541890000002"/>
  </r>
  <r>
    <x v="3"/>
    <s v="Q2"/>
    <x v="0"/>
    <x v="35"/>
    <s v="KEPL/00605/82-83"/>
    <s v="GORIN TRADING "/>
    <x v="45"/>
    <n v="5"/>
    <n v="75"/>
    <n v="260.72000000000003"/>
    <n v="19554"/>
    <n v="-1503.6999999999998"/>
    <n v="0"/>
    <n v="2346.5385000000001"/>
    <n v="20396.838500000002"/>
  </r>
  <r>
    <x v="3"/>
    <s v="Q2"/>
    <x v="0"/>
    <x v="35"/>
    <s v="KEPL/00605/82-83"/>
    <s v="GORIN TRADING "/>
    <x v="52"/>
    <n v="5"/>
    <n v="20"/>
    <n v="595.94000000000005"/>
    <n v="11918.8"/>
    <n v="-916.56"/>
    <n v="0"/>
    <n v="1430.2908950000001"/>
    <n v="12432.530895"/>
  </r>
  <r>
    <x v="3"/>
    <s v="Q2"/>
    <x v="0"/>
    <x v="35"/>
    <s v="KEPL/00605/82-83"/>
    <s v="GORIN TRADING "/>
    <x v="49"/>
    <n v="5"/>
    <n v="75"/>
    <n v="260.72000000000003"/>
    <n v="19554"/>
    <n v="-1503.6999999999998"/>
    <n v="0"/>
    <n v="2346.5385000000001"/>
    <n v="20396.838500000002"/>
  </r>
  <r>
    <x v="3"/>
    <s v="Q2"/>
    <x v="0"/>
    <x v="35"/>
    <s v="KEPL/00605/82-83"/>
    <s v="GORIN TRADING "/>
    <x v="30"/>
    <n v="2"/>
    <n v="40"/>
    <n v="242.1"/>
    <n v="9683.9999999999982"/>
    <n v="-744.7"/>
    <n v="0"/>
    <n v="1162.1087519999999"/>
    <n v="10101.408751999999"/>
  </r>
  <r>
    <x v="3"/>
    <s v="Q2"/>
    <x v="0"/>
    <x v="35"/>
    <s v="KEPL/00605/82-83"/>
    <s v="GORIN TRADING "/>
    <x v="26"/>
    <n v="1"/>
    <n v="18"/>
    <n v="178.78"/>
    <n v="3218.0400000000004"/>
    <n v="-247.47"/>
    <n v="0"/>
    <n v="386.17401799999999"/>
    <n v="3356.7440179999999"/>
  </r>
  <r>
    <x v="3"/>
    <s v="Q2"/>
    <x v="0"/>
    <x v="35"/>
    <s v="KEPL/00605/82-83"/>
    <s v="GORIN TRADING "/>
    <x v="24"/>
    <n v="2"/>
    <n v="36"/>
    <n v="178.78"/>
    <n v="6436.0800000000008"/>
    <n v="-494.93"/>
    <n v="0"/>
    <n v="772.349335"/>
    <n v="6713.4993350000004"/>
  </r>
  <r>
    <x v="3"/>
    <s v="Q2"/>
    <x v="0"/>
    <x v="36"/>
    <s v="KEPL/00613/82-83"/>
    <s v="GORIN TRADING "/>
    <x v="55"/>
    <n v="2"/>
    <n v="40"/>
    <n v="175.06"/>
    <n v="7002.4"/>
    <n v="-538.48"/>
    <n v="0"/>
    <n v="840.309617"/>
    <n v="7304.229617"/>
  </r>
  <r>
    <x v="3"/>
    <s v="Q2"/>
    <x v="0"/>
    <x v="36"/>
    <s v="KEPL/00613/82-83"/>
    <s v="GORIN TRADING "/>
    <x v="38"/>
    <n v="1"/>
    <n v="24"/>
    <n v="186.23"/>
    <n v="4469.5200000000004"/>
    <n v="-343.71"/>
    <n v="0"/>
    <n v="536.35531100000003"/>
    <n v="4662.1653109999997"/>
  </r>
  <r>
    <x v="3"/>
    <s v="Q2"/>
    <x v="0"/>
    <x v="36"/>
    <s v="KEPL/00613/82-83"/>
    <s v="GORIN TRADING "/>
    <x v="49"/>
    <n v="1"/>
    <n v="15"/>
    <n v="260.72000000000003"/>
    <n v="3910.8"/>
    <n v="-300.74"/>
    <n v="0"/>
    <n v="469.30781000000002"/>
    <n v="4079.3678100000002"/>
  </r>
  <r>
    <x v="3"/>
    <s v="Q2"/>
    <x v="0"/>
    <x v="36"/>
    <s v="KEPL/00613/82-83"/>
    <s v="GORIN TRADING "/>
    <x v="52"/>
    <n v="5"/>
    <n v="20"/>
    <n v="595.92999999999995"/>
    <n v="11918.6"/>
    <n v="-916.54"/>
    <n v="0"/>
    <n v="1430.2678289999999"/>
    <n v="12432.327829"/>
  </r>
  <r>
    <x v="3"/>
    <s v="Q2"/>
    <x v="0"/>
    <x v="36"/>
    <s v="KEPL/00613/82-83"/>
    <s v="GORIN TRADING "/>
    <x v="37"/>
    <n v="1"/>
    <n v="40"/>
    <n v="81.94"/>
    <n v="3277.6"/>
    <n v="-252.05"/>
    <n v="0"/>
    <n v="393.32150799999999"/>
    <n v="3418.8715080000002"/>
  </r>
  <r>
    <x v="3"/>
    <s v="Q2"/>
    <x v="0"/>
    <x v="36"/>
    <s v="KEPL/00613/82-83"/>
    <s v="GORIN TRADING "/>
    <x v="53"/>
    <n v="1"/>
    <n v="40"/>
    <n v="81.94"/>
    <n v="3277.6"/>
    <n v="-252.05"/>
    <n v="0"/>
    <n v="393.32150799999999"/>
    <n v="3418.8715080000002"/>
  </r>
  <r>
    <x v="3"/>
    <s v="Q2"/>
    <x v="0"/>
    <x v="36"/>
    <s v="KEPL/00613/82-83"/>
    <s v="GORIN TRADING "/>
    <x v="13"/>
    <n v="1"/>
    <n v="24"/>
    <n v="141.54"/>
    <n v="3396.96"/>
    <n v="-261.23"/>
    <n v="0"/>
    <n v="407.64490800000004"/>
    <n v="3543.3749079999998"/>
  </r>
  <r>
    <x v="3"/>
    <s v="Q2"/>
    <x v="0"/>
    <x v="36"/>
    <s v="KEPL/00613/82-83"/>
    <s v="GORIN TRADING "/>
    <x v="36"/>
    <n v="1"/>
    <n v="40"/>
    <n v="81.94"/>
    <n v="3277.6"/>
    <n v="-252.05"/>
    <n v="0"/>
    <n v="393.32150799999999"/>
    <n v="3418.8715080000002"/>
  </r>
  <r>
    <x v="3"/>
    <s v="Q2"/>
    <x v="0"/>
    <x v="36"/>
    <s v="KEPL/00616/82-83"/>
    <s v="NEW YASHISH TRADERS"/>
    <x v="24"/>
    <n v="95"/>
    <n v="1710"/>
    <n v="178.78"/>
    <n v="305713.80000000005"/>
    <n v="-23509.39"/>
    <n v="0"/>
    <n v="36686.570557999999"/>
    <n v="318890.98055799998"/>
  </r>
  <r>
    <x v="3"/>
    <s v="Q2"/>
    <x v="0"/>
    <x v="36"/>
    <s v="KEPL/00616/82-83"/>
    <s v="NEW YASHISH TRADERS"/>
    <x v="26"/>
    <n v="2"/>
    <n v="36"/>
    <n v="178.78"/>
    <n v="6436.0800000000008"/>
    <n v="-494.93"/>
    <n v="0"/>
    <n v="772.34944199999995"/>
    <n v="6713.4994420000003"/>
  </r>
  <r>
    <x v="3"/>
    <s v="Q2"/>
    <x v="0"/>
    <x v="36"/>
    <s v="KEPL/00627/82-83"/>
    <s v="SHUBHASHREE MARKETING"/>
    <x v="27"/>
    <n v="15"/>
    <n v="1050"/>
    <n v="37.25"/>
    <n v="39112.5"/>
    <n v="-3007.75"/>
    <n v="0"/>
    <n v="4693.616027"/>
    <n v="40798.366026999996"/>
  </r>
  <r>
    <x v="3"/>
    <s v="Q2"/>
    <x v="0"/>
    <x v="36"/>
    <s v="KEPL/00627/82-83"/>
    <s v="SHUBHASHREE MARKETING"/>
    <x v="21"/>
    <n v="2"/>
    <n v="480"/>
    <n v="14.9"/>
    <n v="7152"/>
    <n v="-549.99"/>
    <n v="0"/>
    <n v="858.261031"/>
    <n v="7460.2710310000002"/>
  </r>
  <r>
    <x v="3"/>
    <s v="Q2"/>
    <x v="0"/>
    <x v="36"/>
    <s v="KEPL/00627/82-83"/>
    <s v="SHUBHASHREE MARKETING"/>
    <x v="32"/>
    <n v="3"/>
    <n v="180"/>
    <n v="111.74"/>
    <n v="20113.2"/>
    <n v="-1546.71"/>
    <n v="0"/>
    <n v="2413.6429419999999"/>
    <n v="20980.132942"/>
  </r>
  <r>
    <x v="3"/>
    <s v="Q2"/>
    <x v="0"/>
    <x v="36"/>
    <s v="KEPL/00628/82-83"/>
    <s v="BEERA BARJEE INTERNATIONAL PVT.LTD"/>
    <x v="46"/>
    <n v="1"/>
    <n v="20"/>
    <n v="175.06"/>
    <n v="3501.2"/>
    <n v="-269.24"/>
    <n v="0"/>
    <n v="420.15472799999998"/>
    <n v="3652.114728"/>
  </r>
  <r>
    <x v="3"/>
    <s v="Q2"/>
    <x v="0"/>
    <x v="36"/>
    <s v="KEPL/00628/82-83"/>
    <s v="BEERA BARJEE INTERNATIONAL PVT.LTD"/>
    <x v="49"/>
    <n v="1"/>
    <n v="15"/>
    <n v="260.72000000000003"/>
    <n v="3910.8"/>
    <n v="-300.74"/>
    <n v="0"/>
    <n v="469.30771999999996"/>
    <n v="4079.3677200000002"/>
  </r>
  <r>
    <x v="3"/>
    <s v="Q2"/>
    <x v="0"/>
    <x v="36"/>
    <s v="KEPL/00628/82-83"/>
    <s v="BEERA BARJEE INTERNATIONAL PVT.LTD"/>
    <x v="29"/>
    <n v="1"/>
    <n v="20"/>
    <n v="204.85"/>
    <n v="4097"/>
    <n v="-315.06"/>
    <n v="0"/>
    <n v="491.65211599999998"/>
    <n v="4273.5921159999998"/>
  </r>
  <r>
    <x v="3"/>
    <s v="Q2"/>
    <x v="0"/>
    <x v="36"/>
    <s v="KEPL/00628/82-83"/>
    <s v="BEERA BARJEE INTERNATIONAL PVT.LTD"/>
    <x v="3"/>
    <n v="3"/>
    <n v="60"/>
    <n v="186.23"/>
    <n v="11173.8"/>
    <n v="-859.2700000000001"/>
    <n v="0"/>
    <n v="1340.888672"/>
    <n v="11655.418672"/>
  </r>
  <r>
    <x v="3"/>
    <s v="Q2"/>
    <x v="0"/>
    <x v="36"/>
    <s v="KEPL/00628/82-83"/>
    <s v="BEERA BARJEE INTERNATIONAL PVT.LTD"/>
    <x v="27"/>
    <n v="5"/>
    <n v="350"/>
    <n v="37.25"/>
    <n v="13037.5"/>
    <n v="-1002.58"/>
    <n v="0"/>
    <n v="1564.5393340000001"/>
    <n v="13599.459333999999"/>
  </r>
  <r>
    <x v="3"/>
    <s v="Q2"/>
    <x v="0"/>
    <x v="36"/>
    <s v="KEPL/00628/82-83"/>
    <s v="BEERA BARJEE INTERNATIONAL PVT.LTD"/>
    <x v="34"/>
    <n v="2"/>
    <n v="80"/>
    <n v="67.040000000000006"/>
    <n v="5363.2"/>
    <n v="-412.43"/>
    <n v="0"/>
    <n v="643.59999000000005"/>
    <n v="5594.3699900000001"/>
  </r>
  <r>
    <x v="3"/>
    <s v="Q2"/>
    <x v="0"/>
    <x v="36"/>
    <s v="KEPL/00628/82-83"/>
    <s v="BEERA BARJEE INTERNATIONAL PVT.LTD"/>
    <x v="0"/>
    <n v="2"/>
    <n v="80"/>
    <n v="111.74"/>
    <n v="8939.2000000000007"/>
    <n v="-687.42"/>
    <n v="0"/>
    <n v="1072.731217"/>
    <n v="9324.5112169999993"/>
  </r>
  <r>
    <x v="3"/>
    <s v="Q2"/>
    <x v="0"/>
    <x v="36"/>
    <s v="KEPL/00628/82-83"/>
    <s v="BEERA BARJEE INTERNATIONAL PVT.LTD"/>
    <x v="41"/>
    <n v="2"/>
    <n v="80"/>
    <n v="67.040000000000006"/>
    <n v="5363.2"/>
    <n v="-412.43"/>
    <n v="0"/>
    <n v="643.59999000000005"/>
    <n v="5594.3699900000001"/>
  </r>
  <r>
    <x v="3"/>
    <s v="Q2"/>
    <x v="0"/>
    <x v="36"/>
    <s v="KEPL/00628/82-83"/>
    <s v="BEERA BARJEE INTERNATIONAL PVT.LTD"/>
    <x v="47"/>
    <n v="2"/>
    <n v="80"/>
    <n v="111.74"/>
    <n v="8939.2000000000007"/>
    <n v="-687.42"/>
    <n v="0"/>
    <n v="1072.731217"/>
    <n v="9324.5112169999993"/>
  </r>
  <r>
    <x v="3"/>
    <s v="Q2"/>
    <x v="0"/>
    <x v="36"/>
    <s v="KEPL/00628/82-83"/>
    <s v="BEERA BARJEE INTERNATIONAL PVT.LTD"/>
    <x v="55"/>
    <n v="1"/>
    <n v="20"/>
    <n v="175.06"/>
    <n v="3501.2"/>
    <n v="-269.24"/>
    <n v="0"/>
    <n v="420.15472799999998"/>
    <n v="3652.114728"/>
  </r>
  <r>
    <x v="3"/>
    <s v="Q2"/>
    <x v="0"/>
    <x v="36"/>
    <s v="KEPL/00628/82-83"/>
    <s v="BEERA BARJEE INTERNATIONAL PVT.LTD"/>
    <x v="13"/>
    <n v="1"/>
    <n v="24"/>
    <n v="141.54"/>
    <n v="3396.96"/>
    <n v="-261.23"/>
    <n v="0"/>
    <n v="407.64483100000001"/>
    <n v="3543.3748310000001"/>
  </r>
  <r>
    <x v="3"/>
    <s v="Q2"/>
    <x v="0"/>
    <x v="36"/>
    <s v="KEPL/00628/82-83"/>
    <s v="BEERA BARJEE INTERNATIONAL PVT.LTD"/>
    <x v="57"/>
    <n v="2"/>
    <n v="80"/>
    <n v="111.74"/>
    <n v="8939.2000000000007"/>
    <n v="-687.42"/>
    <n v="0"/>
    <n v="1072.731217"/>
    <n v="9324.5112169999993"/>
  </r>
  <r>
    <x v="3"/>
    <s v="Q2"/>
    <x v="0"/>
    <x v="36"/>
    <s v="KEPL/00628/82-83"/>
    <s v="BEERA BARJEE INTERNATIONAL PVT.LTD"/>
    <x v="45"/>
    <n v="1"/>
    <n v="15"/>
    <n v="260.72000000000003"/>
    <n v="3910.8"/>
    <n v="-300.74"/>
    <n v="0"/>
    <n v="469.30771999999996"/>
    <n v="4079.3677200000002"/>
  </r>
  <r>
    <x v="3"/>
    <s v="Q2"/>
    <x v="0"/>
    <x v="36"/>
    <s v="KEPL/00628/82-83"/>
    <s v="BEERA BARJEE INTERNATIONAL PVT.LTD"/>
    <x v="30"/>
    <n v="1"/>
    <n v="20"/>
    <n v="242.1"/>
    <n v="4841.9999999999991"/>
    <n v="-372.35"/>
    <n v="0"/>
    <n v="581.05440099999998"/>
    <n v="5050.704401"/>
  </r>
  <r>
    <x v="3"/>
    <s v="Q2"/>
    <x v="0"/>
    <x v="36"/>
    <s v="KEPL/00628/82-83"/>
    <s v="BEERA BARJEE INTERNATIONAL PVT.LTD"/>
    <x v="28"/>
    <n v="1"/>
    <n v="20"/>
    <n v="204.85"/>
    <n v="4097"/>
    <n v="-315.06"/>
    <n v="0"/>
    <n v="491.65211599999998"/>
    <n v="4273.5921159999998"/>
  </r>
  <r>
    <x v="3"/>
    <s v="Q2"/>
    <x v="0"/>
    <x v="36"/>
    <s v="KEPL/00629/82-83"/>
    <s v="NEW MATA RANI SUPPLIERS"/>
    <x v="27"/>
    <n v="10"/>
    <n v="700"/>
    <n v="37.25"/>
    <n v="26075"/>
    <n v="-2005.1699999999998"/>
    <n v="0"/>
    <n v="3129.0800000000004"/>
    <n v="27198.91"/>
  </r>
  <r>
    <x v="3"/>
    <s v="Q2"/>
    <x v="0"/>
    <x v="36"/>
    <s v="KEPL/00630/82-83"/>
    <s v="GORIN TRADING "/>
    <x v="27"/>
    <n v="10"/>
    <n v="700"/>
    <n v="37.25"/>
    <n v="26075"/>
    <n v="-2005.1699999999998"/>
    <n v="0"/>
    <n v="3129.0800000000004"/>
    <n v="27198.91"/>
  </r>
  <r>
    <x v="3"/>
    <s v="Q2"/>
    <x v="0"/>
    <x v="36"/>
    <s v="KEPL/00631/82-83"/>
    <s v="NEW YASHISH TRADERS"/>
    <x v="27"/>
    <n v="25"/>
    <n v="1750"/>
    <n v="37.25"/>
    <n v="65187.5"/>
    <n v="-5012.92"/>
    <n v="0"/>
    <n v="7822.7"/>
    <n v="67997.279999999999"/>
  </r>
  <r>
    <x v="3"/>
    <s v="Q2"/>
    <x v="0"/>
    <x v="36"/>
    <s v="KEPL/00632/82-83"/>
    <s v="SHREE EXIM"/>
    <x v="27"/>
    <n v="25"/>
    <n v="1750"/>
    <n v="37.25"/>
    <n v="65187.5"/>
    <n v="-5012.92"/>
    <n v="0"/>
    <n v="7822.7"/>
    <n v="67997.279999999999"/>
  </r>
  <r>
    <x v="3"/>
    <s v="Q2"/>
    <x v="0"/>
    <x v="36"/>
    <s v="KEPL/00633/82-83"/>
    <s v="KRISHMA ENTERPRISES"/>
    <x v="27"/>
    <n v="30"/>
    <n v="2100"/>
    <n v="37.25"/>
    <n v="78225"/>
    <n v="-6015.5"/>
    <n v="0"/>
    <n v="9387.24"/>
    <n v="81596.740000000005"/>
  </r>
  <r>
    <x v="3"/>
    <s v="Q2"/>
    <x v="0"/>
    <x v="36"/>
    <s v="KEPL/00634/82-83"/>
    <s v="ISHWORI SUPPLIERS"/>
    <x v="27"/>
    <n v="25"/>
    <n v="1750"/>
    <n v="37.25"/>
    <n v="65187.5"/>
    <n v="-5012.92"/>
    <n v="0"/>
    <n v="7822.7"/>
    <n v="67997.279999999999"/>
  </r>
  <r>
    <x v="3"/>
    <s v="Q2"/>
    <x v="0"/>
    <x v="36"/>
    <s v="KEPL/00635/82-83"/>
    <s v="P and B Traders"/>
    <x v="27"/>
    <n v="2"/>
    <n v="140"/>
    <n v="37.25"/>
    <n v="5215"/>
    <n v="-401.03"/>
    <n v="0"/>
    <n v="625.82000000000005"/>
    <n v="5439.79"/>
  </r>
  <r>
    <x v="3"/>
    <s v="Q2"/>
    <x v="0"/>
    <x v="36"/>
    <s v="KEPL/00636/82-83"/>
    <s v="ABIRAL SUPPLIERS AND TRADERS"/>
    <x v="27"/>
    <n v="20"/>
    <n v="1400"/>
    <n v="37.25"/>
    <n v="52150"/>
    <n v="-4010.3399999999997"/>
    <n v="0"/>
    <n v="6258.1600000000008"/>
    <n v="54397.82"/>
  </r>
  <r>
    <x v="3"/>
    <s v="Q2"/>
    <x v="0"/>
    <x v="36"/>
    <s v="KEPL/00637/82-83"/>
    <s v="NEW CHANDESHWARI SUPPLIERS"/>
    <x v="27"/>
    <n v="10"/>
    <n v="700"/>
    <n v="37.25"/>
    <n v="26075"/>
    <n v="-2005.1699999999998"/>
    <n v="0"/>
    <n v="3129.0800000000004"/>
    <n v="27198.91"/>
  </r>
  <r>
    <x v="3"/>
    <s v="Q2"/>
    <x v="0"/>
    <x v="36"/>
    <s v="KEPL/00638/82-83"/>
    <s v="B G TRADING CONCERN"/>
    <x v="27"/>
    <n v="10"/>
    <n v="700"/>
    <n v="37.25"/>
    <n v="26075"/>
    <n v="-2005.1699999999998"/>
    <n v="0"/>
    <n v="3129.0800000000004"/>
    <n v="27198.91"/>
  </r>
  <r>
    <x v="3"/>
    <s v="Q2"/>
    <x v="0"/>
    <x v="36"/>
    <s v="KEPL/00639/82-83"/>
    <s v="CHHATRA DEV GENERAL SUPPLIERS"/>
    <x v="27"/>
    <n v="15"/>
    <n v="1050"/>
    <n v="37.25"/>
    <n v="39112.5"/>
    <n v="-3007.75"/>
    <n v="0"/>
    <n v="4693.62"/>
    <n v="40798.370000000003"/>
  </r>
  <r>
    <x v="3"/>
    <s v="Q2"/>
    <x v="0"/>
    <x v="36"/>
    <s v="KEPL/00640/82-83"/>
    <s v="R.P DISTRIBUTOR TRADE CENTER"/>
    <x v="27"/>
    <n v="25"/>
    <n v="1750"/>
    <n v="37.25"/>
    <n v="65187.5"/>
    <n v="-5012.92"/>
    <n v="0"/>
    <n v="7822.7"/>
    <n v="67997.279999999999"/>
  </r>
  <r>
    <x v="3"/>
    <s v="Q2"/>
    <x v="0"/>
    <x v="36"/>
    <s v="KEPL/00641/82-83"/>
    <s v="NAWA ATITHI STORES"/>
    <x v="27"/>
    <n v="5"/>
    <n v="350"/>
    <n v="37.25"/>
    <n v="13037.5"/>
    <n v="-1002.58"/>
    <n v="0"/>
    <n v="1564.5400000000002"/>
    <n v="13599.46"/>
  </r>
  <r>
    <x v="3"/>
    <s v="Q2"/>
    <x v="0"/>
    <x v="36"/>
    <s v="KEPL/00642/82-83"/>
    <s v="AASHI TRADERS"/>
    <x v="27"/>
    <n v="20"/>
    <n v="1400"/>
    <n v="37.25"/>
    <n v="52150"/>
    <n v="-4010.3399999999997"/>
    <n v="0"/>
    <n v="6258.1600000000008"/>
    <n v="54397.82"/>
  </r>
  <r>
    <x v="3"/>
    <s v="Q2"/>
    <x v="0"/>
    <x v="36"/>
    <s v="KEPL/00643/82-83"/>
    <s v="NEW HORIZON DISTRIBUTORS"/>
    <x v="27"/>
    <n v="10"/>
    <n v="700"/>
    <n v="37.25"/>
    <n v="26075"/>
    <n v="-2005.1699999999998"/>
    <n v="0"/>
    <n v="3129.0800000000004"/>
    <n v="27198.91"/>
  </r>
  <r>
    <x v="3"/>
    <s v="Q2"/>
    <x v="0"/>
    <x v="36"/>
    <s v="KEPL/00645/82-83"/>
    <s v="WELSON TRADE &amp; RASAN MART"/>
    <x v="27"/>
    <n v="10"/>
    <n v="700"/>
    <n v="37.25"/>
    <n v="26075"/>
    <n v="-2005.1699999999998"/>
    <n v="0"/>
    <n v="3129.0800000000004"/>
    <n v="27198.91"/>
  </r>
  <r>
    <x v="3"/>
    <s v="Q2"/>
    <x v="0"/>
    <x v="36"/>
    <s v="KEPL/00646/82-83"/>
    <s v="DURGA LAXMI AND SONS"/>
    <x v="27"/>
    <n v="10"/>
    <n v="700"/>
    <n v="37.25"/>
    <n v="26075"/>
    <n v="-2005.1699999999998"/>
    <n v="0"/>
    <n v="3129.0800000000004"/>
    <n v="27198.91"/>
  </r>
  <r>
    <x v="3"/>
    <s v="Q2"/>
    <x v="0"/>
    <x v="36"/>
    <s v="KEPL/00647/82-83"/>
    <s v="NEW MATA RANI SUPPLIERS"/>
    <x v="12"/>
    <n v="2"/>
    <n v="260"/>
    <n v="37.25"/>
    <n v="9685"/>
    <n v="-744.78"/>
    <n v="0"/>
    <n v="1162.23"/>
    <n v="10102.450000000001"/>
  </r>
  <r>
    <x v="3"/>
    <s v="Q2"/>
    <x v="0"/>
    <x v="37"/>
    <s v="KESR/0013/82-83"/>
    <s v="NEW MATA RANI SUPPLIERS"/>
    <x v="7"/>
    <n v="-1"/>
    <n v="-42"/>
    <n v="74.489999999999995"/>
    <n v="-3128.58"/>
    <n v="240.59"/>
    <n v="0"/>
    <n v="-375.44"/>
    <n v="-3263.43"/>
  </r>
  <r>
    <x v="3"/>
    <s v="Q2"/>
    <x v="0"/>
    <x v="38"/>
    <s v="KEPL/00669/82-83"/>
    <s v="NEW MATA RANI SUPPLIERS"/>
    <x v="37"/>
    <n v="2"/>
    <n v="80"/>
    <n v="81.94"/>
    <n v="6555.2"/>
    <n v="-504.09"/>
    <n v="0"/>
    <n v="786.64369299999998"/>
    <n v="6837.7536929999997"/>
  </r>
  <r>
    <x v="3"/>
    <s v="Q2"/>
    <x v="0"/>
    <x v="38"/>
    <s v="KEPL/00669/82-83"/>
    <s v="NEW MATA RANI SUPPLIERS"/>
    <x v="53"/>
    <n v="2"/>
    <n v="80"/>
    <n v="81.94"/>
    <n v="6555.2"/>
    <n v="-504.09"/>
    <n v="0"/>
    <n v="786.64369299999998"/>
    <n v="6837.7536929999997"/>
  </r>
  <r>
    <x v="3"/>
    <s v="Q2"/>
    <x v="0"/>
    <x v="38"/>
    <s v="KEPL/00669/82-83"/>
    <s v="NEW MATA RANI SUPPLIERS"/>
    <x v="38"/>
    <n v="2"/>
    <n v="48"/>
    <n v="186.23"/>
    <n v="8939.0400000000009"/>
    <n v="-687.41"/>
    <n v="0"/>
    <n v="1072.7110720000001"/>
    <n v="9324.3410719999993"/>
  </r>
  <r>
    <x v="3"/>
    <s v="Q2"/>
    <x v="0"/>
    <x v="38"/>
    <s v="KEPL/00669/82-83"/>
    <s v="NEW MATA RANI SUPPLIERS"/>
    <x v="44"/>
    <n v="2"/>
    <n v="48"/>
    <n v="186.23"/>
    <n v="8939.0400000000009"/>
    <n v="-687.41"/>
    <n v="0"/>
    <n v="1072.7110720000001"/>
    <n v="9324.3410719999993"/>
  </r>
  <r>
    <x v="3"/>
    <s v="Q2"/>
    <x v="0"/>
    <x v="38"/>
    <s v="KEPL/00669/82-83"/>
    <s v="NEW MATA RANI SUPPLIERS"/>
    <x v="13"/>
    <n v="2"/>
    <n v="48"/>
    <n v="141.54"/>
    <n v="6793.92"/>
    <n v="-522.45000000000005"/>
    <n v="0"/>
    <n v="815.29047100000003"/>
    <n v="7086.7604709999996"/>
  </r>
  <r>
    <x v="3"/>
    <s v="Q2"/>
    <x v="0"/>
    <x v="38"/>
    <s v="KEPL/00670/82-83"/>
    <s v="ABIRAL SUPPLIERS AND TRADERS"/>
    <x v="55"/>
    <n v="5"/>
    <n v="100"/>
    <n v="175.05"/>
    <n v="17505"/>
    <n v="-1346.1299999999999"/>
    <n v="0"/>
    <n v="2100.65353"/>
    <n v="18259.523529999999"/>
  </r>
  <r>
    <x v="3"/>
    <s v="Q2"/>
    <x v="0"/>
    <x v="38"/>
    <s v="KEPL/00670/82-83"/>
    <s v="ABIRAL SUPPLIERS AND TRADERS"/>
    <x v="5"/>
    <n v="5"/>
    <n v="900"/>
    <n v="18.62"/>
    <n v="16758"/>
    <n v="-1288.6899999999998"/>
    <n v="0"/>
    <n v="2011.0107109999999"/>
    <n v="17480.320711"/>
  </r>
  <r>
    <x v="3"/>
    <s v="Q2"/>
    <x v="0"/>
    <x v="38"/>
    <s v="KEPL/00670/82-83"/>
    <s v="ABIRAL SUPPLIERS AND TRADERS"/>
    <x v="46"/>
    <n v="10"/>
    <n v="200"/>
    <n v="175.05"/>
    <n v="35010"/>
    <n v="-2692.27"/>
    <n v="0"/>
    <n v="4201.3057589999999"/>
    <n v="36519.035758999999"/>
  </r>
  <r>
    <x v="3"/>
    <s v="Q2"/>
    <x v="0"/>
    <x v="39"/>
    <s v="KEPL/00705/82-83"/>
    <s v="SHREE BHOLEY SHANKAR KIRANA STORE"/>
    <x v="52"/>
    <n v="25"/>
    <n v="100"/>
    <n v="595.92999999999995"/>
    <n v="59593"/>
    <n v="-4582.7"/>
    <n v="0"/>
    <n v="7151.34"/>
    <n v="62161.64"/>
  </r>
  <r>
    <x v="3"/>
    <s v="Q2"/>
    <x v="0"/>
    <x v="40"/>
    <s v="KEPL/00797/82-83"/>
    <s v="NEW MATA RANI SUPPLIERS"/>
    <x v="33"/>
    <n v="5"/>
    <n v="200"/>
    <n v="67.040000000000006"/>
    <n v="13408"/>
    <n v="-1031.08"/>
    <n v="0"/>
    <n v="1608.9980619999999"/>
    <n v="13985.918062000001"/>
  </r>
  <r>
    <x v="3"/>
    <s v="Q2"/>
    <x v="0"/>
    <x v="40"/>
    <s v="KEPL/00797/82-83"/>
    <s v="NEW MATA RANI SUPPLIERS"/>
    <x v="39"/>
    <n v="5"/>
    <n v="100"/>
    <n v="249.55"/>
    <n v="24955"/>
    <n v="-1919.04"/>
    <n v="0"/>
    <n v="2994.671938"/>
    <n v="26030.631937999999"/>
  </r>
  <r>
    <x v="3"/>
    <s v="Q2"/>
    <x v="0"/>
    <x v="40"/>
    <s v="KEPL/00798/82-83"/>
    <s v="SHUBHASHREE MARKETING"/>
    <x v="2"/>
    <n v="10"/>
    <n v="180"/>
    <n v="178.78"/>
    <n v="32180.400000000001"/>
    <n v="-2474.6699999999996"/>
    <n v="0"/>
    <n v="3861.743136"/>
    <n v="33567.473136000001"/>
  </r>
  <r>
    <x v="3"/>
    <s v="Q2"/>
    <x v="0"/>
    <x v="40"/>
    <s v="KEPL/00798/82-83"/>
    <s v="SHUBHASHREE MARKETING"/>
    <x v="39"/>
    <n v="10"/>
    <n v="200"/>
    <n v="249.55"/>
    <n v="49910"/>
    <n v="-3838.08"/>
    <n v="0"/>
    <n v="5989.3468640000001"/>
    <n v="52061.266863999997"/>
  </r>
  <r>
    <x v="3"/>
    <s v="Q2"/>
    <x v="0"/>
    <x v="40"/>
    <s v="KEPL/00799/82-83"/>
    <s v="BEERA BARJEE INTERNATIONAL PVT.LTD"/>
    <x v="33"/>
    <n v="3"/>
    <n v="120"/>
    <n v="67.040000000000006"/>
    <n v="8044.8"/>
    <n v="-618.65"/>
    <n v="0"/>
    <n v="965.39830999999992"/>
    <n v="8391.5483100000001"/>
  </r>
  <r>
    <x v="3"/>
    <s v="Q2"/>
    <x v="0"/>
    <x v="40"/>
    <s v="KEPL/00799/82-83"/>
    <s v="BEERA BARJEE INTERNATIONAL PVT.LTD"/>
    <x v="42"/>
    <n v="2"/>
    <n v="60"/>
    <n v="316.58999999999997"/>
    <n v="18995.399999999998"/>
    <n v="-1460.75"/>
    <n v="0"/>
    <n v="2279.5016900000001"/>
    <n v="19814.151689999999"/>
  </r>
  <r>
    <x v="3"/>
    <s v="Q2"/>
    <x v="0"/>
    <x v="40"/>
    <s v="KEPL/00800/82-83"/>
    <s v="GORIN TRADING "/>
    <x v="39"/>
    <n v="5"/>
    <n v="100"/>
    <n v="249.55"/>
    <n v="24955"/>
    <n v="-1919.04"/>
    <n v="0"/>
    <n v="2994.6715479999998"/>
    <n v="26030.631548000001"/>
  </r>
  <r>
    <x v="3"/>
    <s v="Q2"/>
    <x v="0"/>
    <x v="40"/>
    <s v="KEPL/00800/82-83"/>
    <s v="GORIN TRADING "/>
    <x v="33"/>
    <n v="3"/>
    <n v="120"/>
    <n v="67.040000000000006"/>
    <n v="8044.8"/>
    <n v="-618.65"/>
    <n v="0"/>
    <n v="965.39845200000002"/>
    <n v="8391.5484520000009"/>
  </r>
  <r>
    <x v="3"/>
    <s v="Q2"/>
    <x v="0"/>
    <x v="40"/>
    <s v="KEPL/00801/82-83"/>
    <s v="P and B Traders"/>
    <x v="33"/>
    <n v="2"/>
    <n v="80"/>
    <n v="67.040000000000006"/>
    <n v="5363.2"/>
    <n v="-412.43"/>
    <n v="0"/>
    <n v="643.6"/>
    <n v="5594.37"/>
  </r>
  <r>
    <x v="3"/>
    <s v="Q2"/>
    <x v="0"/>
    <x v="40"/>
    <s v="KEPL/00802/82-83"/>
    <s v="KRISHMA ENTERPRISES"/>
    <x v="3"/>
    <n v="10"/>
    <n v="200"/>
    <n v="186.22"/>
    <n v="37244"/>
    <n v="-2864.06"/>
    <n v="0"/>
    <n v="4469.3899999999994"/>
    <n v="38849.33"/>
  </r>
  <r>
    <x v="3"/>
    <s v="Q2"/>
    <x v="0"/>
    <x v="40"/>
    <s v="KEPL/00803/82-83"/>
    <s v="NEW YASHISH TRADERS"/>
    <x v="26"/>
    <n v="50"/>
    <n v="900"/>
    <n v="178.78"/>
    <n v="160902"/>
    <n v="-12373.36"/>
    <n v="0"/>
    <n v="19308.723236000002"/>
    <n v="167837.363236"/>
  </r>
  <r>
    <x v="3"/>
    <s v="Q2"/>
    <x v="0"/>
    <x v="40"/>
    <s v="KEPL/00803/82-83"/>
    <s v="NEW YASHISH TRADERS"/>
    <x v="25"/>
    <n v="25"/>
    <n v="450"/>
    <n v="178.78"/>
    <n v="80451"/>
    <n v="-6186.68"/>
    <n v="0"/>
    <n v="9654.3616180000008"/>
    <n v="83918.681618000002"/>
  </r>
  <r>
    <x v="3"/>
    <s v="Q2"/>
    <x v="0"/>
    <x v="40"/>
    <s v="KEPL/00803/82-83"/>
    <s v="NEW YASHISH TRADERS"/>
    <x v="2"/>
    <n v="90"/>
    <n v="1620"/>
    <n v="178.78"/>
    <n v="289623.59999999998"/>
    <n v="-22272.05"/>
    <n v="0"/>
    <n v="34755.701565000003"/>
    <n v="302107.25156499998"/>
  </r>
  <r>
    <x v="3"/>
    <s v="Q2"/>
    <x v="0"/>
    <x v="40"/>
    <s v="KEPL/00803/82-83"/>
    <s v="NEW YASHISH TRADERS"/>
    <x v="24"/>
    <n v="250"/>
    <n v="4500"/>
    <n v="178.78"/>
    <n v="804510"/>
    <n v="-61866.82"/>
    <n v="0"/>
    <n v="96543.613580999998"/>
    <n v="839186.79358099995"/>
  </r>
  <r>
    <x v="4"/>
    <s v="Q3"/>
    <x v="0"/>
    <x v="41"/>
    <s v="KEPL/00809/82-83"/>
    <s v="SHUBHASHREE MARKETING"/>
    <x v="49"/>
    <n v="6"/>
    <n v="90"/>
    <n v="260.72000000000003"/>
    <n v="23464.799999999999"/>
    <n v="-1804.44"/>
    <n v="0"/>
    <n v="2815.85"/>
    <n v="24476.21"/>
  </r>
  <r>
    <x v="4"/>
    <s v="Q3"/>
    <x v="0"/>
    <x v="42"/>
    <s v="KEPL/00811/82-83"/>
    <s v="MEGA MART PVT.LTD"/>
    <x v="42"/>
    <n v="11"/>
    <n v="330"/>
    <n v="282.08"/>
    <n v="93086.400000000009"/>
    <n v="0"/>
    <n v="0"/>
    <n v="12101.23"/>
    <n v="105187.63"/>
  </r>
  <r>
    <x v="4"/>
    <s v="Q3"/>
    <x v="0"/>
    <x v="43"/>
    <s v="KEPL/00812/82-83"/>
    <s v="MEGA MART PVT.LTD"/>
    <x v="33"/>
    <n v="30"/>
    <n v="1200"/>
    <n v="59.73"/>
    <n v="71676"/>
    <n v="0"/>
    <n v="0"/>
    <n v="9317.880000000001"/>
    <n v="80993.88"/>
  </r>
  <r>
    <x v="4"/>
    <s v="Q3"/>
    <x v="0"/>
    <x v="43"/>
    <s v="KEPL/00813/82-83"/>
    <s v="BEERA BARJEE INTERNATIONAL PVT.LTD"/>
    <x v="33"/>
    <n v="4"/>
    <n v="160"/>
    <n v="67.040000000000006"/>
    <n v="10726.4"/>
    <n v="-824.86"/>
    <n v="0"/>
    <n v="1287.2003380000001"/>
    <n v="11188.740338"/>
  </r>
  <r>
    <x v="4"/>
    <s v="Q3"/>
    <x v="0"/>
    <x v="43"/>
    <s v="KEPL/00813/82-83"/>
    <s v="BEERA BARJEE INTERNATIONAL PVT.LTD"/>
    <x v="29"/>
    <n v="1"/>
    <n v="20"/>
    <n v="204.85"/>
    <n v="4097"/>
    <n v="-315.06"/>
    <n v="0"/>
    <n v="491.65225300000003"/>
    <n v="4273.5922529999998"/>
  </r>
  <r>
    <x v="4"/>
    <s v="Q3"/>
    <x v="0"/>
    <x v="43"/>
    <s v="KEPL/00813/82-83"/>
    <s v="BEERA BARJEE INTERNATIONAL PVT.LTD"/>
    <x v="37"/>
    <n v="2"/>
    <n v="80"/>
    <n v="81.94"/>
    <n v="6555.2"/>
    <n v="-504.09"/>
    <n v="0"/>
    <n v="786.64438399999995"/>
    <n v="6837.7543839999998"/>
  </r>
  <r>
    <x v="4"/>
    <s v="Q3"/>
    <x v="0"/>
    <x v="43"/>
    <s v="KEPL/00813/82-83"/>
    <s v="BEERA BARJEE INTERNATIONAL PVT.LTD"/>
    <x v="53"/>
    <n v="2"/>
    <n v="80"/>
    <n v="81.94"/>
    <n v="6555.2"/>
    <n v="-504.09"/>
    <n v="0"/>
    <n v="786.64438399999995"/>
    <n v="6837.7543839999998"/>
  </r>
  <r>
    <x v="4"/>
    <s v="Q3"/>
    <x v="0"/>
    <x v="43"/>
    <s v="KEPL/00813/82-83"/>
    <s v="BEERA BARJEE INTERNATIONAL PVT.LTD"/>
    <x v="46"/>
    <n v="1"/>
    <n v="20"/>
    <n v="175.06"/>
    <n v="3501.2"/>
    <n v="-269.24"/>
    <n v="0"/>
    <n v="420.15484500000002"/>
    <n v="3652.1148450000001"/>
  </r>
  <r>
    <x v="4"/>
    <s v="Q3"/>
    <x v="0"/>
    <x v="43"/>
    <s v="KEPL/00813/82-83"/>
    <s v="BEERA BARJEE INTERNATIONAL PVT.LTD"/>
    <x v="52"/>
    <n v="2"/>
    <n v="8"/>
    <n v="595.92999999999995"/>
    <n v="4767.4399999999996"/>
    <n v="-366.62"/>
    <n v="0"/>
    <n v="572.10666100000003"/>
    <n v="4972.9266610000004"/>
  </r>
  <r>
    <x v="4"/>
    <s v="Q3"/>
    <x v="0"/>
    <x v="43"/>
    <s v="KEPL/00813/82-83"/>
    <s v="BEERA BARJEE INTERNATIONAL PVT.LTD"/>
    <x v="54"/>
    <n v="1"/>
    <n v="20"/>
    <n v="175.06"/>
    <n v="3501.2"/>
    <n v="-269.24"/>
    <n v="0"/>
    <n v="420.15484500000002"/>
    <n v="3652.1148450000001"/>
  </r>
  <r>
    <x v="4"/>
    <s v="Q3"/>
    <x v="0"/>
    <x v="43"/>
    <s v="KEPL/00813/82-83"/>
    <s v="BEERA BARJEE INTERNATIONAL PVT.LTD"/>
    <x v="13"/>
    <n v="3"/>
    <n v="72"/>
    <n v="141.54"/>
    <n v="10190.879999999999"/>
    <n v="-783.68"/>
    <n v="0"/>
    <n v="1222.9361310000002"/>
    <n v="10630.136130999999"/>
  </r>
  <r>
    <x v="4"/>
    <s v="Q3"/>
    <x v="0"/>
    <x v="43"/>
    <s v="KEPL/00813/82-83"/>
    <s v="BEERA BARJEE INTERNATIONAL PVT.LTD"/>
    <x v="42"/>
    <n v="1"/>
    <n v="30"/>
    <n v="316.58999999999997"/>
    <n v="9497.6999999999989"/>
    <n v="-730.36999999999989"/>
    <n v="0"/>
    <n v="1139.7530220000001"/>
    <n v="9907.0830220000007"/>
  </r>
  <r>
    <x v="4"/>
    <s v="Q3"/>
    <x v="0"/>
    <x v="43"/>
    <s v="KEPL/00813/82-83"/>
    <s v="BEERA BARJEE INTERNATIONAL PVT.LTD"/>
    <x v="55"/>
    <n v="1"/>
    <n v="20"/>
    <n v="175.06"/>
    <n v="3501.2"/>
    <n v="-269.24"/>
    <n v="0"/>
    <n v="420.15484500000002"/>
    <n v="3652.1148450000001"/>
  </r>
  <r>
    <x v="4"/>
    <s v="Q3"/>
    <x v="0"/>
    <x v="43"/>
    <s v="KEPL/00813/82-83"/>
    <s v="BEERA BARJEE INTERNATIONAL PVT.LTD"/>
    <x v="22"/>
    <n v="2"/>
    <n v="48"/>
    <n v="204.85"/>
    <n v="9832.8000000000011"/>
    <n v="-756.14"/>
    <n v="0"/>
    <n v="1179.965927"/>
    <n v="10256.625926999999"/>
  </r>
  <r>
    <x v="4"/>
    <s v="Q3"/>
    <x v="0"/>
    <x v="43"/>
    <s v="KEPL/00813/82-83"/>
    <s v="BEERA BARJEE INTERNATIONAL PVT.LTD"/>
    <x v="59"/>
    <n v="1"/>
    <n v="20"/>
    <n v="204.85"/>
    <n v="4097"/>
    <n v="-315.06"/>
    <n v="0"/>
    <n v="491.65225300000003"/>
    <n v="4273.5922529999998"/>
  </r>
  <r>
    <x v="4"/>
    <s v="Q3"/>
    <x v="0"/>
    <x v="43"/>
    <s v="KEPL/00813/82-83"/>
    <s v="BEERA BARJEE INTERNATIONAL PVT.LTD"/>
    <x v="49"/>
    <n v="1"/>
    <n v="15"/>
    <n v="260.72000000000003"/>
    <n v="3910.8"/>
    <n v="-300.74"/>
    <n v="0"/>
    <n v="469.30785000000003"/>
    <n v="4079.3678500000001"/>
  </r>
  <r>
    <x v="4"/>
    <s v="Q3"/>
    <x v="0"/>
    <x v="43"/>
    <s v="KEPL/00813/82-83"/>
    <s v="BEERA BARJEE INTERNATIONAL PVT.LTD"/>
    <x v="48"/>
    <n v="1"/>
    <n v="20"/>
    <n v="204.85"/>
    <n v="4097"/>
    <n v="-315.06"/>
    <n v="0"/>
    <n v="491.65225300000003"/>
    <n v="4273.5922529999998"/>
  </r>
  <r>
    <x v="4"/>
    <s v="Q3"/>
    <x v="0"/>
    <x v="43"/>
    <s v="KEPL/00813/82-83"/>
    <s v="BEERA BARJEE INTERNATIONAL PVT.LTD"/>
    <x v="41"/>
    <n v="2"/>
    <n v="80"/>
    <n v="67.040000000000006"/>
    <n v="5363.2"/>
    <n v="-412.43"/>
    <n v="0"/>
    <n v="643.60016900000005"/>
    <n v="5594.3701689999998"/>
  </r>
  <r>
    <x v="4"/>
    <s v="Q3"/>
    <x v="0"/>
    <x v="43"/>
    <s v="KEPL/00813/82-83"/>
    <s v="BEERA BARJEE INTERNATIONAL PVT.LTD"/>
    <x v="39"/>
    <n v="1"/>
    <n v="20"/>
    <n v="249.55"/>
    <n v="4991"/>
    <n v="-383.81"/>
    <n v="0"/>
    <n v="598.93476399999997"/>
    <n v="5206.1247640000001"/>
  </r>
  <r>
    <x v="4"/>
    <s v="Q3"/>
    <x v="0"/>
    <x v="43"/>
    <s v="KEPL/00813/82-83"/>
    <s v="BEERA BARJEE INTERNATIONAL PVT.LTD"/>
    <x v="28"/>
    <n v="1"/>
    <n v="20"/>
    <n v="204.85"/>
    <n v="4097"/>
    <n v="-315.06"/>
    <n v="0"/>
    <n v="491.65225300000003"/>
    <n v="4273.5922529999998"/>
  </r>
  <r>
    <x v="4"/>
    <s v="Q3"/>
    <x v="0"/>
    <x v="43"/>
    <s v="KEPL/00813/82-83"/>
    <s v="BEERA BARJEE INTERNATIONAL PVT.LTD"/>
    <x v="36"/>
    <n v="3"/>
    <n v="120"/>
    <n v="81.94"/>
    <n v="9832.8000000000011"/>
    <n v="-756.14"/>
    <n v="0"/>
    <n v="1179.965927"/>
    <n v="10256.625926999999"/>
  </r>
  <r>
    <x v="4"/>
    <s v="Q3"/>
    <x v="0"/>
    <x v="43"/>
    <s v="KEPL/00813/82-83"/>
    <s v="BEERA BARJEE INTERNATIONAL PVT.LTD"/>
    <x v="35"/>
    <n v="1"/>
    <n v="60"/>
    <n v="145.26"/>
    <n v="8715.6"/>
    <n v="-670.23"/>
    <n v="0"/>
    <n v="1045.8982120000001"/>
    <n v="9091.2682120000009"/>
  </r>
  <r>
    <x v="4"/>
    <s v="Q3"/>
    <x v="0"/>
    <x v="43"/>
    <s v="KEPL/00813/82-83"/>
    <s v="BEERA BARJEE INTERNATIONAL PVT.LTD"/>
    <x v="30"/>
    <n v="1"/>
    <n v="20"/>
    <n v="242.1"/>
    <n v="4841.9999999999991"/>
    <n v="-372.35"/>
    <n v="0"/>
    <n v="581.05456200000003"/>
    <n v="5050.7045619999999"/>
  </r>
  <r>
    <x v="4"/>
    <s v="Q3"/>
    <x v="0"/>
    <x v="43"/>
    <s v="KEPL/00813/82-83"/>
    <s v="BEERA BARJEE INTERNATIONAL PVT.LTD"/>
    <x v="12"/>
    <n v="2"/>
    <n v="260"/>
    <n v="37.25"/>
    <n v="9685"/>
    <n v="-744.78"/>
    <n v="0"/>
    <n v="1162.2287249999999"/>
    <n v="10102.448725"/>
  </r>
  <r>
    <x v="4"/>
    <s v="Q3"/>
    <x v="0"/>
    <x v="43"/>
    <s v="KEPL/00813/82-83"/>
    <s v="BEERA BARJEE INTERNATIONAL PVT.LTD"/>
    <x v="45"/>
    <n v="1"/>
    <n v="15"/>
    <n v="260.72000000000003"/>
    <n v="3910.8"/>
    <n v="-300.74"/>
    <n v="0"/>
    <n v="469.30785000000003"/>
    <n v="4079.3678500000001"/>
  </r>
  <r>
    <x v="4"/>
    <s v="Q3"/>
    <x v="0"/>
    <x v="43"/>
    <s v="KEPL/00813/82-83"/>
    <s v="BEERA BARJEE INTERNATIONAL PVT.LTD"/>
    <x v="3"/>
    <n v="3"/>
    <n v="60"/>
    <n v="186.22"/>
    <n v="11173.199999999999"/>
    <n v="-859.22"/>
    <n v="0"/>
    <n v="1340.817544"/>
    <n v="11654.797543999999"/>
  </r>
  <r>
    <x v="4"/>
    <s v="Q3"/>
    <x v="0"/>
    <x v="44"/>
    <s v="KEPL/00814/82-83"/>
    <s v="MEGA MART PVT.LTD"/>
    <x v="35"/>
    <n v="5"/>
    <n v="300"/>
    <n v="129.41999999999999"/>
    <n v="38826"/>
    <n v="0"/>
    <n v="0"/>
    <n v="5047.3772140000001"/>
    <n v="43873.377214"/>
  </r>
  <r>
    <x v="4"/>
    <s v="Q3"/>
    <x v="0"/>
    <x v="44"/>
    <s v="KEPL/00814/82-83"/>
    <s v="MEGA MART PVT.LTD"/>
    <x v="42"/>
    <n v="2"/>
    <n v="60"/>
    <n v="282.08"/>
    <n v="16924.8"/>
    <n v="0"/>
    <n v="0"/>
    <n v="2200.2227860000003"/>
    <n v="19125.022786000001"/>
  </r>
  <r>
    <x v="4"/>
    <s v="Q3"/>
    <x v="0"/>
    <x v="44"/>
    <s v="KEPL/00815/82-83"/>
    <s v="KRISHMA ENTERPRISES"/>
    <x v="41"/>
    <n v="10"/>
    <n v="400"/>
    <n v="67.040000000000006"/>
    <n v="26816"/>
    <n v="-2062.15"/>
    <n v="0"/>
    <n v="3218.000462"/>
    <n v="27971.850461999999"/>
  </r>
  <r>
    <x v="4"/>
    <s v="Q3"/>
    <x v="0"/>
    <x v="44"/>
    <s v="KEPL/00815/82-83"/>
    <s v="KRISHMA ENTERPRISES"/>
    <x v="35"/>
    <n v="15"/>
    <n v="900"/>
    <n v="145.26"/>
    <n v="130734"/>
    <n v="-10053.44"/>
    <n v="0"/>
    <n v="15688.472613"/>
    <n v="136369.03261299999"/>
  </r>
  <r>
    <x v="4"/>
    <s v="Q3"/>
    <x v="0"/>
    <x v="44"/>
    <s v="KEPL/00815/82-83"/>
    <s v="KRISHMA ENTERPRISES"/>
    <x v="30"/>
    <n v="2"/>
    <n v="40"/>
    <n v="242.1"/>
    <n v="9683.9999999999982"/>
    <n v="-744.7"/>
    <n v="0"/>
    <n v="1162.108986"/>
    <n v="10101.408986"/>
  </r>
  <r>
    <x v="4"/>
    <s v="Q3"/>
    <x v="0"/>
    <x v="44"/>
    <s v="KEPL/00815/82-83"/>
    <s v="KRISHMA ENTERPRISES"/>
    <x v="46"/>
    <n v="5"/>
    <n v="100"/>
    <n v="175.06"/>
    <n v="17506"/>
    <n v="-1346.21"/>
    <n v="0"/>
    <n v="2100.7726750000002"/>
    <n v="18260.562675000001"/>
  </r>
  <r>
    <x v="4"/>
    <s v="Q3"/>
    <x v="0"/>
    <x v="44"/>
    <s v="KEPL/00815/82-83"/>
    <s v="KRISHMA ENTERPRISES"/>
    <x v="3"/>
    <n v="35"/>
    <n v="700"/>
    <n v="186.22"/>
    <n v="130354.00000000001"/>
    <n v="-10024.220000000001"/>
    <n v="0"/>
    <n v="15642.871213"/>
    <n v="135972.651213"/>
  </r>
  <r>
    <x v="4"/>
    <s v="Q3"/>
    <x v="0"/>
    <x v="44"/>
    <s v="KEPL/00815/82-83"/>
    <s v="KRISHMA ENTERPRISES"/>
    <x v="33"/>
    <n v="10"/>
    <n v="400"/>
    <n v="67.040000000000006"/>
    <n v="26816"/>
    <n v="-2062.15"/>
    <n v="0"/>
    <n v="3218.000462"/>
    <n v="27971.850461999999"/>
  </r>
  <r>
    <x v="4"/>
    <s v="Q3"/>
    <x v="0"/>
    <x v="44"/>
    <s v="KEPL/00815/82-83"/>
    <s v="KRISHMA ENTERPRISES"/>
    <x v="27"/>
    <n v="30"/>
    <n v="2100"/>
    <n v="37.25"/>
    <n v="78225"/>
    <n v="-6015.5"/>
    <n v="0"/>
    <n v="9387.2348880000009"/>
    <n v="81596.734888000006"/>
  </r>
  <r>
    <x v="4"/>
    <s v="Q3"/>
    <x v="0"/>
    <x v="44"/>
    <s v="KEPL/00815/82-83"/>
    <s v="KRISHMA ENTERPRISES"/>
    <x v="57"/>
    <n v="3"/>
    <n v="120"/>
    <n v="111.74"/>
    <n v="13408.8"/>
    <n v="-1031.1400000000001"/>
    <n v="0"/>
    <n v="1609.095781"/>
    <n v="13986.755781"/>
  </r>
  <r>
    <x v="4"/>
    <s v="Q3"/>
    <x v="0"/>
    <x v="44"/>
    <s v="KEPL/00815/82-83"/>
    <s v="KRISHMA ENTERPRISES"/>
    <x v="55"/>
    <n v="5"/>
    <n v="100"/>
    <n v="175.06"/>
    <n v="17506"/>
    <n v="-1346.21"/>
    <n v="0"/>
    <n v="2100.7726750000002"/>
    <n v="18260.562675000001"/>
  </r>
  <r>
    <x v="4"/>
    <s v="Q3"/>
    <x v="0"/>
    <x v="44"/>
    <s v="KEPL/00815/82-83"/>
    <s v="KRISHMA ENTERPRISES"/>
    <x v="42"/>
    <n v="4"/>
    <n v="120"/>
    <n v="316.58999999999997"/>
    <n v="37990.799999999996"/>
    <n v="-2921.4900000000002"/>
    <n v="0"/>
    <n v="4559.0102459999998"/>
    <n v="39628.320246000003"/>
  </r>
  <r>
    <x v="4"/>
    <s v="Q3"/>
    <x v="0"/>
    <x v="45"/>
    <s v="KEPL/00842/82-83"/>
    <s v="NEW CHANDESHWARI SUPPLIERS"/>
    <x v="57"/>
    <n v="2"/>
    <n v="80"/>
    <n v="111.74"/>
    <n v="8939.2000000000007"/>
    <n v="-687.42"/>
    <n v="0"/>
    <n v="1072.7312429999999"/>
    <n v="9324.5112430000008"/>
  </r>
  <r>
    <x v="4"/>
    <s v="Q3"/>
    <x v="0"/>
    <x v="45"/>
    <s v="KEPL/00842/82-83"/>
    <s v="NEW CHANDESHWARI SUPPLIERS"/>
    <x v="49"/>
    <n v="3"/>
    <n v="45"/>
    <n v="260.72000000000003"/>
    <n v="11732.4"/>
    <n v="-902.22"/>
    <n v="0"/>
    <n v="1407.9231929999999"/>
    <n v="12238.103193000001"/>
  </r>
  <r>
    <x v="4"/>
    <s v="Q3"/>
    <x v="0"/>
    <x v="45"/>
    <s v="KEPL/00842/82-83"/>
    <s v="NEW CHANDESHWARI SUPPLIERS"/>
    <x v="47"/>
    <n v="3"/>
    <n v="120"/>
    <n v="111.74"/>
    <n v="13408.8"/>
    <n v="-1031.1400000000001"/>
    <n v="0"/>
    <n v="1609.095564"/>
    <n v="13986.755563999999"/>
  </r>
  <r>
    <x v="4"/>
    <s v="Q3"/>
    <x v="0"/>
    <x v="45"/>
    <s v="KEPL/00843/82-83"/>
    <s v="NEW HORIZON DISTRIBUTORS"/>
    <x v="55"/>
    <n v="2"/>
    <n v="40"/>
    <n v="175.06"/>
    <n v="7002.4"/>
    <n v="-538.48"/>
    <n v="0"/>
    <n v="840.30968200000007"/>
    <n v="7304.2296820000001"/>
  </r>
  <r>
    <x v="4"/>
    <s v="Q3"/>
    <x v="0"/>
    <x v="45"/>
    <s v="KEPL/00843/82-83"/>
    <s v="NEW HORIZON DISTRIBUTORS"/>
    <x v="47"/>
    <n v="3"/>
    <n v="120"/>
    <n v="111.74"/>
    <n v="13408.8"/>
    <n v="-1031.1400000000001"/>
    <n v="0"/>
    <n v="1609.0959559999999"/>
    <n v="13986.755956000001"/>
  </r>
  <r>
    <x v="4"/>
    <s v="Q3"/>
    <x v="0"/>
    <x v="45"/>
    <s v="KEPL/00843/82-83"/>
    <s v="NEW HORIZON DISTRIBUTORS"/>
    <x v="35"/>
    <n v="3"/>
    <n v="180"/>
    <n v="145.26"/>
    <n v="26146.799999999999"/>
    <n v="-2010.6899999999998"/>
    <n v="0"/>
    <n v="3137.6946040000003"/>
    <n v="27273.804604000001"/>
  </r>
  <r>
    <x v="4"/>
    <s v="Q3"/>
    <x v="0"/>
    <x v="45"/>
    <s v="KEPL/00843/82-83"/>
    <s v="NEW HORIZON DISTRIBUTORS"/>
    <x v="59"/>
    <n v="2"/>
    <n v="40"/>
    <n v="204.85"/>
    <n v="8194"/>
    <n v="-630.12"/>
    <n v="0"/>
    <n v="983.30449499999997"/>
    <n v="8547.1844949999995"/>
  </r>
  <r>
    <x v="4"/>
    <s v="Q3"/>
    <x v="0"/>
    <x v="45"/>
    <s v="KEPL/00843/82-83"/>
    <s v="NEW HORIZON DISTRIBUTORS"/>
    <x v="57"/>
    <n v="2"/>
    <n v="80"/>
    <n v="111.74"/>
    <n v="8939.2000000000007"/>
    <n v="-687.42"/>
    <n v="0"/>
    <n v="1072.7315040000001"/>
    <n v="9324.5115040000001"/>
  </r>
  <r>
    <x v="4"/>
    <s v="Q3"/>
    <x v="0"/>
    <x v="45"/>
    <s v="KEPL/00843/82-83"/>
    <s v="NEW HORIZON DISTRIBUTORS"/>
    <x v="46"/>
    <n v="4"/>
    <n v="80"/>
    <n v="175.06"/>
    <n v="14004.8"/>
    <n v="-1076.97"/>
    <n v="0"/>
    <n v="1680.6180629999999"/>
    <n v="14608.448063"/>
  </r>
  <r>
    <x v="4"/>
    <s v="Q3"/>
    <x v="0"/>
    <x v="45"/>
    <s v="KEPL/00843/82-83"/>
    <s v="NEW HORIZON DISTRIBUTORS"/>
    <x v="29"/>
    <n v="2"/>
    <n v="40"/>
    <n v="204.85"/>
    <n v="8194"/>
    <n v="-630.12"/>
    <n v="0"/>
    <n v="983.30449499999997"/>
    <n v="8547.1844949999995"/>
  </r>
  <r>
    <x v="4"/>
    <s v="Q3"/>
    <x v="0"/>
    <x v="45"/>
    <s v="KEPL/00843/82-83"/>
    <s v="NEW HORIZON DISTRIBUTORS"/>
    <x v="54"/>
    <n v="2"/>
    <n v="40"/>
    <n v="175.06"/>
    <n v="7002.4"/>
    <n v="-538.48"/>
    <n v="0"/>
    <n v="840.30968200000007"/>
    <n v="7304.2296820000001"/>
  </r>
  <r>
    <x v="4"/>
    <s v="Q3"/>
    <x v="0"/>
    <x v="45"/>
    <s v="KEPL/00843/82-83"/>
    <s v="NEW HORIZON DISTRIBUTORS"/>
    <x v="49"/>
    <n v="3"/>
    <n v="45"/>
    <n v="260.72000000000003"/>
    <n v="11732.4"/>
    <n v="-902.22"/>
    <n v="0"/>
    <n v="1407.9235370000001"/>
    <n v="12238.103537000001"/>
  </r>
  <r>
    <x v="4"/>
    <s v="Q3"/>
    <x v="0"/>
    <x v="45"/>
    <s v="KEPL/00843/82-83"/>
    <s v="NEW HORIZON DISTRIBUTORS"/>
    <x v="48"/>
    <n v="5"/>
    <n v="100"/>
    <n v="204.85"/>
    <n v="20485"/>
    <n v="-1575.3"/>
    <n v="0"/>
    <n v="2458.2612389999999"/>
    <n v="21367.961239"/>
  </r>
  <r>
    <x v="4"/>
    <s v="Q3"/>
    <x v="0"/>
    <x v="45"/>
    <s v="KEPL/00843/82-83"/>
    <s v="NEW HORIZON DISTRIBUTORS"/>
    <x v="28"/>
    <n v="3"/>
    <n v="60"/>
    <n v="204.85"/>
    <n v="12291"/>
    <n v="-945.18"/>
    <n v="0"/>
    <n v="1474.956743"/>
    <n v="12820.776743"/>
  </r>
  <r>
    <x v="4"/>
    <s v="Q3"/>
    <x v="0"/>
    <x v="46"/>
    <s v="KEPL/00884/82-83"/>
    <s v="NILLONS L&amp;D"/>
    <x v="12"/>
    <n v="0.01"/>
    <n v="1"/>
    <n v="21.05"/>
    <n v="21.05"/>
    <n v="0"/>
    <n v="0"/>
    <n v="2.7365469999999998"/>
    <n v="23.786546999999999"/>
  </r>
  <r>
    <x v="4"/>
    <s v="Q3"/>
    <x v="0"/>
    <x v="46"/>
    <s v="KEPL/00884/82-83"/>
    <s v="NILLONS L&amp;D"/>
    <x v="32"/>
    <n v="0.02"/>
    <n v="1"/>
    <n v="71.260000000000005"/>
    <n v="71.260000000000005"/>
    <n v="0"/>
    <n v="0"/>
    <n v="9.2639589999999998"/>
    <n v="80.523959000000005"/>
  </r>
  <r>
    <x v="4"/>
    <s v="Q3"/>
    <x v="0"/>
    <x v="46"/>
    <s v="KEPL/00884/82-83"/>
    <s v="NILLONS L&amp;D"/>
    <x v="44"/>
    <n v="0.04"/>
    <n v="1"/>
    <n v="84.19"/>
    <n v="84.19"/>
    <n v="0"/>
    <n v="0"/>
    <n v="10.944888000000001"/>
    <n v="95.134888000000004"/>
  </r>
  <r>
    <x v="4"/>
    <s v="Q3"/>
    <x v="0"/>
    <x v="46"/>
    <s v="KEPL/00884/82-83"/>
    <s v="NILLONS L&amp;D"/>
    <x v="38"/>
    <n v="0.04"/>
    <n v="1"/>
    <n v="87.01"/>
    <n v="87.01"/>
    <n v="0"/>
    <n v="0"/>
    <n v="11.311494"/>
    <n v="98.321494000000001"/>
  </r>
  <r>
    <x v="4"/>
    <s v="Q3"/>
    <x v="0"/>
    <x v="46"/>
    <s v="KEPL/00884/82-83"/>
    <s v="NILLONS L&amp;D"/>
    <x v="31"/>
    <n v="0.02"/>
    <n v="1"/>
    <n v="71.260000000000005"/>
    <n v="71.260000000000005"/>
    <n v="0"/>
    <n v="0"/>
    <n v="9.2639589999999998"/>
    <n v="80.523959000000005"/>
  </r>
  <r>
    <x v="4"/>
    <s v="Q3"/>
    <x v="0"/>
    <x v="46"/>
    <s v="KEPL/00884/82-83"/>
    <s v="NILLONS L&amp;D"/>
    <x v="33"/>
    <n v="0.03"/>
    <n v="1"/>
    <n v="41.25"/>
    <n v="41.25"/>
    <n v="0"/>
    <n v="0"/>
    <n v="5.3625920000000002"/>
    <n v="46.612591999999999"/>
  </r>
  <r>
    <x v="4"/>
    <s v="Q3"/>
    <x v="0"/>
    <x v="46"/>
    <s v="KEPL/00884/82-83"/>
    <s v="NILLONS L&amp;D"/>
    <x v="35"/>
    <n v="0.02"/>
    <n v="1"/>
    <n v="72.040000000000006"/>
    <n v="72.040000000000006"/>
    <n v="0"/>
    <n v="0"/>
    <n v="9.3653600000000008"/>
    <n v="81.405360000000002"/>
  </r>
  <r>
    <x v="4"/>
    <s v="Q3"/>
    <x v="0"/>
    <x v="46"/>
    <s v="KEPL/00884/82-83"/>
    <s v="NILLONS L&amp;D"/>
    <x v="41"/>
    <n v="0.03"/>
    <n v="1"/>
    <n v="41.24"/>
    <n v="41.24"/>
    <n v="0"/>
    <n v="0"/>
    <n v="5.3612919999999997"/>
    <n v="46.601292000000001"/>
  </r>
  <r>
    <x v="4"/>
    <s v="Q3"/>
    <x v="0"/>
    <x v="46"/>
    <s v="KEPL/00884/82-83"/>
    <s v="NILLONS L&amp;D"/>
    <x v="3"/>
    <n v="0.05"/>
    <n v="1"/>
    <n v="136.68"/>
    <n v="136.68"/>
    <n v="0"/>
    <n v="0"/>
    <n v="17.768704"/>
    <n v="154.44870399999999"/>
  </r>
  <r>
    <x v="4"/>
    <s v="Q3"/>
    <x v="0"/>
    <x v="46"/>
    <s v="KEPL/00884/82-83"/>
    <s v="NILLONS L&amp;D"/>
    <x v="53"/>
    <n v="0.03"/>
    <n v="1"/>
    <n v="59.45"/>
    <n v="59.45"/>
    <n v="0"/>
    <n v="0"/>
    <n v="7.7286320000000002"/>
    <n v="67.178631999999993"/>
  </r>
  <r>
    <x v="4"/>
    <s v="Q3"/>
    <x v="0"/>
    <x v="46"/>
    <s v="KEPL/00884/82-83"/>
    <s v="NILLONS L&amp;D"/>
    <x v="27"/>
    <n v="0.01"/>
    <n v="1"/>
    <n v="24.3"/>
    <n v="24.3"/>
    <n v="0"/>
    <n v="0"/>
    <n v="3.1590539999999998"/>
    <n v="27.459053999999998"/>
  </r>
  <r>
    <x v="4"/>
    <s v="Q3"/>
    <x v="0"/>
    <x v="46"/>
    <s v="KEPL/00884/82-83"/>
    <s v="NILLONS L&amp;D"/>
    <x v="13"/>
    <n v="0.13"/>
    <n v="3"/>
    <n v="92.1"/>
    <n v="276.3"/>
    <n v="0"/>
    <n v="0"/>
    <n v="35.919615"/>
    <n v="312.21961499999998"/>
  </r>
  <r>
    <x v="4"/>
    <s v="Q3"/>
    <x v="0"/>
    <x v="46"/>
    <s v="KEPL/00884/82-83"/>
    <s v="NILLONS L&amp;D"/>
    <x v="42"/>
    <n v="0.03"/>
    <n v="1"/>
    <n v="195.39"/>
    <n v="195.39"/>
    <n v="0"/>
    <n v="0"/>
    <n v="25.401135"/>
    <n v="220.791135"/>
  </r>
  <r>
    <x v="4"/>
    <s v="Q3"/>
    <x v="0"/>
    <x v="46"/>
    <s v="KEPL/00884/82-83"/>
    <s v="NILLONS L&amp;D"/>
    <x v="43"/>
    <n v="0.02"/>
    <n v="1"/>
    <n v="71.260000000000005"/>
    <n v="71.260000000000005"/>
    <n v="0"/>
    <n v="0"/>
    <n v="9.2639589999999998"/>
    <n v="80.523959000000005"/>
  </r>
  <r>
    <x v="4"/>
    <s v="Q3"/>
    <x v="0"/>
    <x v="46"/>
    <s v="KEPL/00884/82-83"/>
    <s v="NILLONS L&amp;D"/>
    <x v="22"/>
    <n v="0.04"/>
    <n v="1"/>
    <n v="146.82"/>
    <n v="146.82"/>
    <n v="0"/>
    <n v="0"/>
    <n v="19.086926999999999"/>
    <n v="165.906927"/>
  </r>
  <r>
    <x v="4"/>
    <s v="Q3"/>
    <x v="0"/>
    <x v="46"/>
    <s v="KEPL/00884/82-83"/>
    <s v="NILLONS L&amp;D"/>
    <x v="39"/>
    <n v="0.1"/>
    <n v="2"/>
    <n v="173.67"/>
    <n v="347.34"/>
    <n v="0"/>
    <n v="0"/>
    <n v="45.154974000000003"/>
    <n v="392.49497400000001"/>
  </r>
  <r>
    <x v="4"/>
    <s v="Q3"/>
    <x v="0"/>
    <x v="46"/>
    <s v="KEPL/00884/82-83"/>
    <s v="NILLONS L&amp;D"/>
    <x v="56"/>
    <n v="0"/>
    <n v="1"/>
    <n v="4.13"/>
    <n v="4.13"/>
    <n v="0"/>
    <n v="0"/>
    <n v="0.53690899999999997"/>
    <n v="4.6669090000000004"/>
  </r>
  <r>
    <x v="4"/>
    <s v="Q3"/>
    <x v="0"/>
    <x v="46"/>
    <s v="KEPL/00902/82-83"/>
    <s v="MEGA MART PVT.LTD"/>
    <x v="35"/>
    <n v="1"/>
    <n v="60"/>
    <n v="129.41999999999999"/>
    <n v="7765.2"/>
    <n v="0"/>
    <n v="0"/>
    <n v="1009.48"/>
    <n v="8774.68"/>
  </r>
  <r>
    <x v="4"/>
    <s v="Q3"/>
    <x v="0"/>
    <x v="47"/>
    <s v="KEPL/00904/82-83"/>
    <s v="SHUBHASHREE MARKETING"/>
    <x v="41"/>
    <n v="2"/>
    <n v="80"/>
    <n v="67.040000000000006"/>
    <n v="5363.2"/>
    <n v="-412.43"/>
    <n v="0"/>
    <n v="643.6"/>
    <n v="5594.37"/>
  </r>
  <r>
    <x v="4"/>
    <s v="Q3"/>
    <x v="0"/>
    <x v="47"/>
    <s v="KEPL/00904/82-83"/>
    <s v="SHUBHASHREE MARKETING"/>
    <x v="33"/>
    <n v="4"/>
    <n v="160"/>
    <n v="67.040000000000006"/>
    <n v="10726.4"/>
    <n v="-824.86"/>
    <n v="0"/>
    <n v="1287.2"/>
    <n v="11188.74"/>
  </r>
  <r>
    <x v="4"/>
    <s v="Q3"/>
    <x v="0"/>
    <x v="48"/>
    <s v="KEPL/00933/82-83"/>
    <s v="CHHATRA DEV GENERAL SUPPLIERS"/>
    <x v="39"/>
    <n v="3"/>
    <n v="60"/>
    <n v="249.55"/>
    <n v="14973"/>
    <n v="-1151.42"/>
    <n v="0"/>
    <n v="1796.8055689999999"/>
    <n v="15618.385569"/>
  </r>
  <r>
    <x v="4"/>
    <s v="Q3"/>
    <x v="0"/>
    <x v="48"/>
    <s v="KEPL/00933/82-83"/>
    <s v="CHHATRA DEV GENERAL SUPPLIERS"/>
    <x v="33"/>
    <n v="2"/>
    <n v="80"/>
    <n v="67.040000000000006"/>
    <n v="5363.2"/>
    <n v="-412.43"/>
    <n v="0"/>
    <n v="643.60015999999996"/>
    <n v="5594.3701600000004"/>
  </r>
  <r>
    <x v="4"/>
    <s v="Q3"/>
    <x v="0"/>
    <x v="48"/>
    <s v="KEPL/00933/82-83"/>
    <s v="CHHATRA DEV GENERAL SUPPLIERS"/>
    <x v="49"/>
    <n v="3"/>
    <n v="45"/>
    <n v="260.72000000000003"/>
    <n v="11732.4"/>
    <n v="-902.22"/>
    <n v="0"/>
    <n v="1407.923532"/>
    <n v="12238.103531999999"/>
  </r>
  <r>
    <x v="4"/>
    <s v="Q3"/>
    <x v="0"/>
    <x v="48"/>
    <s v="KEPL/00933/82-83"/>
    <s v="CHHATRA DEV GENERAL SUPPLIERS"/>
    <x v="30"/>
    <n v="3"/>
    <n v="60"/>
    <n v="242.1"/>
    <n v="14526"/>
    <n v="-1117.05"/>
    <n v="0"/>
    <n v="1743.1636639999999"/>
    <n v="15152.113664"/>
  </r>
  <r>
    <x v="4"/>
    <s v="Q3"/>
    <x v="0"/>
    <x v="48"/>
    <s v="KEPL/00933/82-83"/>
    <s v="CHHATRA DEV GENERAL SUPPLIERS"/>
    <x v="52"/>
    <n v="3"/>
    <n v="12"/>
    <n v="595.92999999999995"/>
    <n v="7151.16"/>
    <n v="-549.91999999999996"/>
    <n v="0"/>
    <n v="858.16128100000003"/>
    <n v="7459.4012810000004"/>
  </r>
  <r>
    <x v="4"/>
    <s v="Q3"/>
    <x v="0"/>
    <x v="48"/>
    <s v="KEPL/00933/82-83"/>
    <s v="CHHATRA DEV GENERAL SUPPLIERS"/>
    <x v="46"/>
    <n v="3"/>
    <n v="60"/>
    <n v="175.05"/>
    <n v="10503"/>
    <n v="-807.68"/>
    <n v="0"/>
    <n v="1260.3917180000001"/>
    <n v="10955.711718"/>
  </r>
  <r>
    <x v="4"/>
    <s v="Q3"/>
    <x v="0"/>
    <x v="48"/>
    <s v="KEPL/00933/82-83"/>
    <s v="CHHATRA DEV GENERAL SUPPLIERS"/>
    <x v="56"/>
    <n v="2"/>
    <n v="1600"/>
    <n v="7.45"/>
    <n v="11920"/>
    <n v="-916.65"/>
    <n v="0"/>
    <n v="1430.4356339999999"/>
    <n v="12433.785634"/>
  </r>
  <r>
    <x v="4"/>
    <s v="Q3"/>
    <x v="0"/>
    <x v="48"/>
    <s v="KEPL/00933/82-83"/>
    <s v="CHHATRA DEV GENERAL SUPPLIERS"/>
    <x v="22"/>
    <n v="3"/>
    <n v="72"/>
    <n v="204.85"/>
    <n v="14749.199999999999"/>
    <n v="-1134.21"/>
    <n v="0"/>
    <n v="1769.9488660000002"/>
    <n v="15384.938866"/>
  </r>
  <r>
    <x v="4"/>
    <s v="Q3"/>
    <x v="0"/>
    <x v="48"/>
    <s v="KEPL/00933/82-83"/>
    <s v="CHHATRA DEV GENERAL SUPPLIERS"/>
    <x v="55"/>
    <n v="2"/>
    <n v="40"/>
    <n v="175.05"/>
    <n v="7001.9999999999991"/>
    <n v="-538.45000000000005"/>
    <n v="0"/>
    <n v="840.26157899999998"/>
    <n v="7303.8115790000002"/>
  </r>
  <r>
    <x v="4"/>
    <s v="Q3"/>
    <x v="0"/>
    <x v="48"/>
    <s v="KEPL/00933/82-83"/>
    <s v="CHHATRA DEV GENERAL SUPPLIERS"/>
    <x v="47"/>
    <n v="5"/>
    <n v="200"/>
    <n v="111.74"/>
    <n v="22348"/>
    <n v="-1718.56"/>
    <n v="0"/>
    <n v="2681.8274519999995"/>
    <n v="23311.267452"/>
  </r>
  <r>
    <x v="4"/>
    <s v="Q3"/>
    <x v="0"/>
    <x v="48"/>
    <s v="KEPL/00933/82-83"/>
    <s v="CHHATRA DEV GENERAL SUPPLIERS"/>
    <x v="35"/>
    <n v="3"/>
    <n v="180"/>
    <n v="145.26"/>
    <n v="26146.799999999999"/>
    <n v="-2010.6899999999998"/>
    <n v="0"/>
    <n v="3137.6945940000001"/>
    <n v="27273.804594000001"/>
  </r>
  <r>
    <x v="4"/>
    <s v="Q3"/>
    <x v="0"/>
    <x v="48"/>
    <s v="KEPL/00933/82-83"/>
    <s v="CHHATRA DEV GENERAL SUPPLIERS"/>
    <x v="57"/>
    <n v="3"/>
    <n v="120"/>
    <n v="111.74"/>
    <n v="13408.8"/>
    <n v="-1031.1400000000001"/>
    <n v="0"/>
    <n v="1609.095951"/>
    <n v="13986.755950999999"/>
  </r>
  <r>
    <x v="4"/>
    <s v="Q3"/>
    <x v="0"/>
    <x v="48"/>
    <s v="KEPL/00934/82-83"/>
    <s v="B G TRADING CONCERN"/>
    <x v="41"/>
    <n v="3"/>
    <n v="120"/>
    <n v="67.040000000000006"/>
    <n v="8044.8"/>
    <n v="-618.65"/>
    <n v="0"/>
    <n v="965.39865199999997"/>
    <n v="8391.5486519999995"/>
  </r>
  <r>
    <x v="4"/>
    <s v="Q3"/>
    <x v="0"/>
    <x v="48"/>
    <s v="KEPL/00934/82-83"/>
    <s v="B G TRADING CONCERN"/>
    <x v="35"/>
    <n v="3"/>
    <n v="180"/>
    <n v="145.26"/>
    <n v="26146.799999999999"/>
    <n v="-2010.6899999999998"/>
    <n v="0"/>
    <n v="3137.6915430000004"/>
    <n v="27273.801543000001"/>
  </r>
  <r>
    <x v="4"/>
    <s v="Q3"/>
    <x v="0"/>
    <x v="48"/>
    <s v="KEPL/00934/82-83"/>
    <s v="B G TRADING CONCERN"/>
    <x v="53"/>
    <n v="1"/>
    <n v="40"/>
    <n v="81.94"/>
    <n v="3277.6"/>
    <n v="-252.05"/>
    <n v="0"/>
    <n v="393.32115399999998"/>
    <n v="3418.8711539999999"/>
  </r>
  <r>
    <x v="4"/>
    <s v="Q3"/>
    <x v="0"/>
    <x v="48"/>
    <s v="KEPL/00934/82-83"/>
    <s v="B G TRADING CONCERN"/>
    <x v="33"/>
    <n v="3"/>
    <n v="120"/>
    <n v="67.040000000000006"/>
    <n v="8044.8"/>
    <n v="-618.65"/>
    <n v="0"/>
    <n v="965.39865199999997"/>
    <n v="8391.5486519999995"/>
  </r>
  <r>
    <x v="4"/>
    <s v="Q3"/>
    <x v="0"/>
    <x v="48"/>
    <s v="KEPL/00935/82-83"/>
    <s v="NEW CHANDESHWARI SUPPLIERS"/>
    <x v="5"/>
    <n v="3"/>
    <n v="540"/>
    <n v="18.62"/>
    <n v="10054.799999999999"/>
    <n v="-773.20999999999992"/>
    <n v="0"/>
    <n v="1206.6041290000001"/>
    <n v="10488.194129"/>
  </r>
  <r>
    <x v="4"/>
    <s v="Q3"/>
    <x v="0"/>
    <x v="48"/>
    <s v="KEPL/00935/82-83"/>
    <s v="NEW CHANDESHWARI SUPPLIERS"/>
    <x v="35"/>
    <n v="1"/>
    <n v="60"/>
    <n v="145.26"/>
    <n v="8715.6"/>
    <n v="-670.23"/>
    <n v="0"/>
    <n v="1045.8958709999999"/>
    <n v="9091.2658709999996"/>
  </r>
  <r>
    <x v="4"/>
    <s v="Q3"/>
    <x v="0"/>
    <x v="48"/>
    <s v="KEPL/00946/82-83"/>
    <s v="NEW MATA RANI SUPPLIERS"/>
    <x v="43"/>
    <n v="3"/>
    <n v="180"/>
    <n v="111.74"/>
    <n v="20113.2"/>
    <n v="-1546.71"/>
    <n v="0"/>
    <n v="2413.6442320000001"/>
    <n v="20980.134232"/>
  </r>
  <r>
    <x v="4"/>
    <s v="Q3"/>
    <x v="0"/>
    <x v="48"/>
    <s v="KEPL/00946/82-83"/>
    <s v="NEW MATA RANI SUPPLIERS"/>
    <x v="58"/>
    <n v="2"/>
    <n v="80"/>
    <n v="111.74"/>
    <n v="8939.2000000000007"/>
    <n v="-687.42"/>
    <n v="0"/>
    <n v="1072.7316370000001"/>
    <n v="9324.5116369999996"/>
  </r>
  <r>
    <x v="4"/>
    <s v="Q3"/>
    <x v="0"/>
    <x v="48"/>
    <s v="KEPL/00946/82-83"/>
    <s v="NEW MATA RANI SUPPLIERS"/>
    <x v="22"/>
    <n v="3"/>
    <n v="72"/>
    <n v="204.85"/>
    <n v="14749.199999999999"/>
    <n v="-1134.21"/>
    <n v="0"/>
    <n v="1769.9490900000001"/>
    <n v="15384.93909"/>
  </r>
  <r>
    <x v="4"/>
    <s v="Q3"/>
    <x v="0"/>
    <x v="48"/>
    <s v="KEPL/00946/82-83"/>
    <s v="NEW MATA RANI SUPPLIERS"/>
    <x v="59"/>
    <n v="4"/>
    <n v="80"/>
    <n v="204.85"/>
    <n v="16388"/>
    <n v="-1260.24"/>
    <n v="0"/>
    <n v="1966.609234"/>
    <n v="17094.369234000002"/>
  </r>
  <r>
    <x v="4"/>
    <s v="Q3"/>
    <x v="0"/>
    <x v="48"/>
    <s v="KEPL/00946/82-83"/>
    <s v="NEW MATA RANI SUPPLIERS"/>
    <x v="49"/>
    <n v="2"/>
    <n v="30"/>
    <n v="260.72000000000003"/>
    <n v="7821.6"/>
    <n v="-601.48"/>
    <n v="0"/>
    <n v="938.6158069999999"/>
    <n v="8158.735807"/>
  </r>
  <r>
    <x v="4"/>
    <s v="Q3"/>
    <x v="0"/>
    <x v="49"/>
    <s v="KEPL/00978/82-83"/>
    <s v="NILLONS L&amp;D"/>
    <x v="5"/>
    <n v="1.94"/>
    <n v="350"/>
    <n v="15.35"/>
    <n v="5372.5"/>
    <n v="0"/>
    <n v="0"/>
    <n v="698.43000000000006"/>
    <n v="6070.93"/>
  </r>
  <r>
    <x v="4"/>
    <s v="Q3"/>
    <x v="0"/>
    <x v="50"/>
    <s v="KEPL/00994/82-83"/>
    <s v="KRISHMA ENTERPRISES"/>
    <x v="41"/>
    <n v="10"/>
    <n v="400"/>
    <n v="67.040000000000006"/>
    <n v="26816"/>
    <n v="-2062.15"/>
    <n v="0"/>
    <n v="3218.00072"/>
    <n v="27971.850719999999"/>
  </r>
  <r>
    <x v="4"/>
    <s v="Q3"/>
    <x v="0"/>
    <x v="50"/>
    <s v="KEPL/00994/82-83"/>
    <s v="KRISHMA ENTERPRISES"/>
    <x v="45"/>
    <n v="15"/>
    <n v="225"/>
    <n v="260.72000000000003"/>
    <n v="58662"/>
    <n v="-4511.1099999999997"/>
    <n v="0"/>
    <n v="7039.6161820000007"/>
    <n v="61190.506181999997"/>
  </r>
  <r>
    <x v="4"/>
    <s v="Q3"/>
    <x v="0"/>
    <x v="50"/>
    <s v="KEPL/00994/82-83"/>
    <s v="KRISHMA ENTERPRISES"/>
    <x v="8"/>
    <n v="8"/>
    <n v="336"/>
    <n v="74.489999999999995"/>
    <n v="25028.639999999999"/>
    <n v="-1924.7"/>
    <n v="0"/>
    <n v="3003.5124059999998"/>
    <n v="26107.452406"/>
  </r>
  <r>
    <x v="4"/>
    <s v="Q3"/>
    <x v="0"/>
    <x v="50"/>
    <s v="KEPL/00994/82-83"/>
    <s v="KRISHMA ENTERPRISES"/>
    <x v="3"/>
    <n v="50"/>
    <n v="1000"/>
    <n v="186.22"/>
    <n v="186220"/>
    <n v="-14320.32"/>
    <n v="0"/>
    <n v="22346.959930999998"/>
    <n v="194246.63993100001"/>
  </r>
  <r>
    <x v="4"/>
    <s v="Q3"/>
    <x v="0"/>
    <x v="50"/>
    <s v="KEPL/00994/82-83"/>
    <s v="KRISHMA ENTERPRISES"/>
    <x v="49"/>
    <n v="20"/>
    <n v="300"/>
    <n v="260.72000000000003"/>
    <n v="78216"/>
    <n v="-6014.81"/>
    <n v="0"/>
    <n v="9386.1553430000004"/>
    <n v="81587.345342999994"/>
  </r>
  <r>
    <x v="4"/>
    <s v="Q3"/>
    <x v="0"/>
    <x v="50"/>
    <s v="KEPL/00994/82-83"/>
    <s v="KRISHMA ENTERPRISES"/>
    <x v="7"/>
    <n v="8.1199999999999992"/>
    <n v="341"/>
    <n v="74.489999999999995"/>
    <n v="25401.09"/>
    <n v="-1953.3400000000001"/>
    <n v="0"/>
    <n v="3048.2077090000002"/>
    <n v="26495.957708999998"/>
  </r>
  <r>
    <x v="4"/>
    <s v="Q3"/>
    <x v="0"/>
    <x v="50"/>
    <s v="KEPL/00994/82-83"/>
    <s v="KRISHMA ENTERPRISES"/>
    <x v="10"/>
    <n v="8.1199999999999992"/>
    <n v="341"/>
    <n v="74.489999999999995"/>
    <n v="25401.09"/>
    <n v="-1953.3400000000001"/>
    <n v="0"/>
    <n v="3048.2077090000002"/>
    <n v="26495.957708999998"/>
  </r>
  <r>
    <x v="4"/>
    <s v="Q3"/>
    <x v="0"/>
    <x v="50"/>
    <s v="KESR/0018/82-83"/>
    <s v="SHREE EXIM"/>
    <x v="8"/>
    <n v="-8"/>
    <n v="-336"/>
    <n v="68.760000000000005"/>
    <n v="-23103.360000000001"/>
    <n v="0"/>
    <n v="0"/>
    <n v="-3003.437328"/>
    <n v="-26106.797328000001"/>
  </r>
  <r>
    <x v="4"/>
    <s v="Q3"/>
    <x v="0"/>
    <x v="50"/>
    <s v="KESR/0018/82-83"/>
    <s v="SHREE EXIM"/>
    <x v="7"/>
    <n v="-8.1199999999999992"/>
    <n v="-341"/>
    <n v="68.760000000000005"/>
    <n v="-23447.16"/>
    <n v="0"/>
    <n v="0"/>
    <n v="-3048.1313359999999"/>
    <n v="-26495.291335999998"/>
  </r>
  <r>
    <x v="4"/>
    <s v="Q3"/>
    <x v="0"/>
    <x v="50"/>
    <s v="KESR/0018/82-83"/>
    <s v="SHREE EXIM"/>
    <x v="10"/>
    <n v="-8.1199999999999992"/>
    <n v="-341"/>
    <n v="68.760000000000005"/>
    <n v="-23447.16"/>
    <n v="0"/>
    <n v="0"/>
    <n v="-3048.1313359999999"/>
    <n v="-26495.291335999998"/>
  </r>
  <r>
    <x v="4"/>
    <s v="Q3"/>
    <x v="0"/>
    <x v="51"/>
    <s v="KEPL/00997/82-83"/>
    <s v="KATYANI DARSHAN PVT. LTD."/>
    <x v="5"/>
    <n v="1.67"/>
    <n v="300"/>
    <n v="15.35"/>
    <n v="4605"/>
    <n v="0"/>
    <n v="0"/>
    <n v="598.65"/>
    <n v="5203.6499999999996"/>
  </r>
  <r>
    <x v="4"/>
    <s v="Q3"/>
    <x v="0"/>
    <x v="51"/>
    <s v="KEPL/01001/82-83"/>
    <s v="NILLONS L&amp;D"/>
    <x v="5"/>
    <n v="8.17"/>
    <n v="1470"/>
    <n v="15.35"/>
    <n v="22564.5"/>
    <n v="0"/>
    <n v="0"/>
    <n v="2933.39"/>
    <n v="25497.89"/>
  </r>
  <r>
    <x v="4"/>
    <s v="Q3"/>
    <x v="0"/>
    <x v="51"/>
    <s v="KEPL/01004/82-83"/>
    <s v="KRISHMA ENTERPRISES"/>
    <x v="27"/>
    <n v="50"/>
    <n v="3500"/>
    <n v="37.25"/>
    <n v="130375"/>
    <n v="-10025.84"/>
    <n v="0"/>
    <n v="15645.389285000001"/>
    <n v="135994.54928499999"/>
  </r>
  <r>
    <x v="4"/>
    <s v="Q3"/>
    <x v="0"/>
    <x v="51"/>
    <s v="KEPL/01004/82-83"/>
    <s v="KRISHMA ENTERPRISES"/>
    <x v="33"/>
    <n v="28"/>
    <n v="1120"/>
    <n v="67.040000000000006"/>
    <n v="75084.800000000003"/>
    <n v="-5774.02"/>
    <n v="0"/>
    <n v="9010.4005269999998"/>
    <n v="78321.180527000004"/>
  </r>
  <r>
    <x v="4"/>
    <s v="Q3"/>
    <x v="0"/>
    <x v="51"/>
    <s v="KEPL/01004/82-83"/>
    <s v="KRISHMA ENTERPRISES"/>
    <x v="41"/>
    <n v="10"/>
    <n v="400"/>
    <n v="67.040000000000006"/>
    <n v="26816"/>
    <n v="-2062.15"/>
    <n v="0"/>
    <n v="3218.000188"/>
    <n v="27971.850188"/>
  </r>
  <r>
    <x v="4"/>
    <s v="Q3"/>
    <x v="0"/>
    <x v="52"/>
    <s v="KEPL/01006/82-83"/>
    <s v="MEGA MART PVT.LTD"/>
    <x v="35"/>
    <n v="6"/>
    <n v="360"/>
    <n v="129.41999999999999"/>
    <n v="46591.199999999997"/>
    <n v="0"/>
    <n v="0"/>
    <n v="6056.86"/>
    <n v="52648.06"/>
  </r>
  <r>
    <x v="4"/>
    <s v="Q3"/>
    <x v="0"/>
    <x v="53"/>
    <s v="KEPL/01010/82-83"/>
    <s v="NILLONS L&amp;D"/>
    <x v="4"/>
    <n v="0.05"/>
    <n v="1"/>
    <n v="175.05"/>
    <n v="175.05"/>
    <n v="-13.46"/>
    <n v="0"/>
    <n v="21.006668999999999"/>
    <n v="182.59666899999999"/>
  </r>
  <r>
    <x v="4"/>
    <s v="Q3"/>
    <x v="0"/>
    <x v="53"/>
    <s v="KEPL/01010/82-83"/>
    <s v="NILLONS L&amp;D"/>
    <x v="53"/>
    <n v="0.03"/>
    <n v="1"/>
    <n v="81.94"/>
    <n v="81.94"/>
    <n v="-6.3"/>
    <n v="0"/>
    <n v="9.8331850000000003"/>
    <n v="85.473185000000001"/>
  </r>
  <r>
    <x v="4"/>
    <s v="Q3"/>
    <x v="0"/>
    <x v="53"/>
    <s v="KEPL/01010/82-83"/>
    <s v="NILLONS L&amp;D"/>
    <x v="3"/>
    <n v="0.05"/>
    <n v="1"/>
    <n v="186.23"/>
    <n v="186.23"/>
    <n v="-14.32"/>
    <n v="0"/>
    <n v="22.348267"/>
    <n v="194.25826699999999"/>
  </r>
  <r>
    <x v="4"/>
    <s v="Q3"/>
    <x v="0"/>
    <x v="53"/>
    <s v="KEPL/01010/82-83"/>
    <s v="NILLONS L&amp;D"/>
    <x v="9"/>
    <n v="0.05"/>
    <n v="1"/>
    <n v="175.05"/>
    <n v="175.05"/>
    <n v="-13.46"/>
    <n v="0"/>
    <n v="21.006668999999999"/>
    <n v="182.59666899999999"/>
  </r>
  <r>
    <x v="4"/>
    <s v="Q3"/>
    <x v="0"/>
    <x v="53"/>
    <s v="KEPL/01010/82-83"/>
    <s v="NILLONS L&amp;D"/>
    <x v="31"/>
    <n v="0.02"/>
    <n v="1"/>
    <n v="111.74"/>
    <n v="111.74"/>
    <n v="-8.59"/>
    <n v="0"/>
    <n v="13.40948"/>
    <n v="116.55947999999999"/>
  </r>
  <r>
    <x v="4"/>
    <s v="Q3"/>
    <x v="0"/>
    <x v="53"/>
    <s v="KEPL/01010/82-83"/>
    <s v="NILLONS L&amp;D"/>
    <x v="18"/>
    <n v="7.0000000000000007E-2"/>
    <n v="1"/>
    <n v="260.72000000000003"/>
    <n v="260.72000000000003"/>
    <n v="-20.05"/>
    <n v="0"/>
    <n v="31.287054000000001"/>
    <n v="271.95705400000003"/>
  </r>
  <r>
    <x v="4"/>
    <s v="Q3"/>
    <x v="0"/>
    <x v="53"/>
    <s v="KEPL/01010/82-83"/>
    <s v="NILLONS L&amp;D"/>
    <x v="0"/>
    <n v="0.03"/>
    <n v="1"/>
    <n v="111.74"/>
    <n v="111.74"/>
    <n v="-8.59"/>
    <n v="0"/>
    <n v="13.40948"/>
    <n v="116.55947999999999"/>
  </r>
  <r>
    <x v="4"/>
    <s v="Q3"/>
    <x v="0"/>
    <x v="53"/>
    <s v="KEPL/01010/82-83"/>
    <s v="NILLONS L&amp;D"/>
    <x v="43"/>
    <n v="0.02"/>
    <n v="1"/>
    <n v="111.74"/>
    <n v="111.74"/>
    <n v="-8.59"/>
    <n v="0"/>
    <n v="13.40948"/>
    <n v="116.55947999999999"/>
  </r>
  <r>
    <x v="4"/>
    <s v="Q3"/>
    <x v="0"/>
    <x v="53"/>
    <s v="KEPL/01010/82-83"/>
    <s v="NILLONS L&amp;D"/>
    <x v="38"/>
    <n v="0.04"/>
    <n v="1"/>
    <n v="186.23"/>
    <n v="186.23"/>
    <n v="-14.32"/>
    <n v="0"/>
    <n v="22.348267"/>
    <n v="194.25826699999999"/>
  </r>
  <r>
    <x v="4"/>
    <s v="Q3"/>
    <x v="0"/>
    <x v="53"/>
    <s v="KEPL/01010/82-83"/>
    <s v="NILLONS L&amp;D"/>
    <x v="1"/>
    <n v="0.03"/>
    <n v="1"/>
    <n v="111.74"/>
    <n v="111.74"/>
    <n v="-8.59"/>
    <n v="0"/>
    <n v="13.40948"/>
    <n v="116.55947999999999"/>
  </r>
  <r>
    <x v="4"/>
    <s v="Q3"/>
    <x v="0"/>
    <x v="53"/>
    <s v="KEPL/01010/82-83"/>
    <s v="NILLONS L&amp;D"/>
    <x v="12"/>
    <n v="0.01"/>
    <n v="1"/>
    <n v="37.25"/>
    <n v="37.25"/>
    <n v="-2.86"/>
    <n v="0"/>
    <n v="4.4706929999999998"/>
    <n v="38.860692999999998"/>
  </r>
  <r>
    <x v="4"/>
    <s v="Q3"/>
    <x v="0"/>
    <x v="53"/>
    <s v="KEPL/01010/82-83"/>
    <s v="NILLONS L&amp;D"/>
    <x v="16"/>
    <n v="0.05"/>
    <n v="1"/>
    <n v="204.85"/>
    <n v="204.85"/>
    <n v="-15.75"/>
    <n v="0"/>
    <n v="24.582964"/>
    <n v="213.682964"/>
  </r>
  <r>
    <x v="4"/>
    <s v="Q3"/>
    <x v="0"/>
    <x v="53"/>
    <s v="KEPL/01010/82-83"/>
    <s v="NILLONS L&amp;D"/>
    <x v="13"/>
    <n v="0.04"/>
    <n v="1"/>
    <n v="141.54"/>
    <n v="141.54"/>
    <n v="-10.88"/>
    <n v="0"/>
    <n v="16.985775"/>
    <n v="147.64577499999999"/>
  </r>
  <r>
    <x v="4"/>
    <s v="Q3"/>
    <x v="0"/>
    <x v="53"/>
    <s v="KEPL/01010/82-83"/>
    <s v="NILLONS L&amp;D"/>
    <x v="22"/>
    <n v="0.04"/>
    <n v="1"/>
    <n v="204.85"/>
    <n v="204.85"/>
    <n v="-15.75"/>
    <n v="0"/>
    <n v="24.582964"/>
    <n v="213.682964"/>
  </r>
  <r>
    <x v="4"/>
    <s v="Q3"/>
    <x v="0"/>
    <x v="53"/>
    <s v="KEPL/01010/82-83"/>
    <s v="NILLONS L&amp;D"/>
    <x v="44"/>
    <n v="0.04"/>
    <n v="1"/>
    <n v="186.23"/>
    <n v="186.23"/>
    <n v="-14.32"/>
    <n v="0"/>
    <n v="22.348267"/>
    <n v="194.25826699999999"/>
  </r>
  <r>
    <x v="4"/>
    <s v="Q3"/>
    <x v="0"/>
    <x v="53"/>
    <s v="KEPL/01010/82-83"/>
    <s v="NILLONS L&amp;D"/>
    <x v="14"/>
    <n v="0.04"/>
    <n v="1"/>
    <n v="186.23"/>
    <n v="186.23"/>
    <n v="-14.32"/>
    <n v="0"/>
    <n v="22.348267"/>
    <n v="194.25826699999999"/>
  </r>
  <r>
    <x v="4"/>
    <s v="Q3"/>
    <x v="0"/>
    <x v="53"/>
    <s v="KEPL/01010/82-83"/>
    <s v="NILLONS L&amp;D"/>
    <x v="15"/>
    <n v="0.05"/>
    <n v="1"/>
    <n v="175.05"/>
    <n v="175.05"/>
    <n v="-13.46"/>
    <n v="0"/>
    <n v="21.006668999999999"/>
    <n v="182.59666899999999"/>
  </r>
  <r>
    <x v="4"/>
    <s v="Q3"/>
    <x v="0"/>
    <x v="53"/>
    <s v="KEPL/01010/82-83"/>
    <s v="NILLONS L&amp;D"/>
    <x v="36"/>
    <n v="0.03"/>
    <n v="1"/>
    <n v="81.94"/>
    <n v="81.94"/>
    <n v="-6.3"/>
    <n v="0"/>
    <n v="9.8331850000000003"/>
    <n v="85.473185000000001"/>
  </r>
  <r>
    <x v="4"/>
    <s v="Q3"/>
    <x v="0"/>
    <x v="53"/>
    <s v="KEPL/01010/82-83"/>
    <s v="NILLONS L&amp;D"/>
    <x v="37"/>
    <n v="0.03"/>
    <n v="1"/>
    <n v="81.94"/>
    <n v="81.94"/>
    <n v="-6.3"/>
    <n v="0"/>
    <n v="9.8331850000000003"/>
    <n v="85.473185000000001"/>
  </r>
  <r>
    <x v="4"/>
    <s v="Q3"/>
    <x v="0"/>
    <x v="53"/>
    <s v="KEPL/01011/82-83"/>
    <s v="NILLONS L&amp;D"/>
    <x v="39"/>
    <n v="0.05"/>
    <n v="1"/>
    <n v="249.55"/>
    <n v="249.55"/>
    <n v="-19.190000000000001"/>
    <n v="0"/>
    <n v="29.947030999999999"/>
    <n v="260.30703099999999"/>
  </r>
  <r>
    <x v="4"/>
    <s v="Q3"/>
    <x v="0"/>
    <x v="53"/>
    <s v="KEPL/01011/82-83"/>
    <s v="NILLONS L&amp;D"/>
    <x v="55"/>
    <n v="0.05"/>
    <n v="1"/>
    <n v="175.06"/>
    <n v="175.06"/>
    <n v="-13.46"/>
    <n v="0"/>
    <n v="21.008161999999999"/>
    <n v="182.60816199999999"/>
  </r>
  <r>
    <x v="4"/>
    <s v="Q3"/>
    <x v="0"/>
    <x v="53"/>
    <s v="KEPL/01011/82-83"/>
    <s v="NILLONS L&amp;D"/>
    <x v="58"/>
    <n v="0.03"/>
    <n v="1"/>
    <n v="111.74"/>
    <n v="111.74"/>
    <n v="-8.59"/>
    <n v="0"/>
    <n v="13.409604"/>
    <n v="116.55960399999999"/>
  </r>
  <r>
    <x v="4"/>
    <s v="Q3"/>
    <x v="0"/>
    <x v="53"/>
    <s v="KEPL/01011/82-83"/>
    <s v="NILLONS L&amp;D"/>
    <x v="57"/>
    <n v="0.03"/>
    <n v="1"/>
    <n v="111.74"/>
    <n v="111.74"/>
    <n v="-8.59"/>
    <n v="0"/>
    <n v="13.409604"/>
    <n v="116.55960399999999"/>
  </r>
  <r>
    <x v="4"/>
    <s v="Q3"/>
    <x v="0"/>
    <x v="53"/>
    <s v="KEPL/01011/82-83"/>
    <s v="NILLONS L&amp;D"/>
    <x v="28"/>
    <n v="0.05"/>
    <n v="1"/>
    <n v="204.85"/>
    <n v="204.85"/>
    <n v="-15.75"/>
    <n v="0"/>
    <n v="24.583189999999998"/>
    <n v="213.68319"/>
  </r>
  <r>
    <x v="4"/>
    <s v="Q3"/>
    <x v="0"/>
    <x v="53"/>
    <s v="KEPL/01011/82-83"/>
    <s v="NILLONS L&amp;D"/>
    <x v="54"/>
    <n v="0.05"/>
    <n v="1"/>
    <n v="175.06"/>
    <n v="175.06"/>
    <n v="-13.46"/>
    <n v="0"/>
    <n v="21.008161999999999"/>
    <n v="182.60816199999999"/>
  </r>
  <r>
    <x v="4"/>
    <s v="Q3"/>
    <x v="0"/>
    <x v="53"/>
    <s v="KEPL/01011/82-83"/>
    <s v="NILLONS L&amp;D"/>
    <x v="59"/>
    <n v="0.05"/>
    <n v="1"/>
    <n v="204.85"/>
    <n v="204.85"/>
    <n v="-15.75"/>
    <n v="0"/>
    <n v="24.583189999999998"/>
    <n v="213.68319"/>
  </r>
  <r>
    <x v="4"/>
    <s v="Q3"/>
    <x v="0"/>
    <x v="53"/>
    <s v="KEPL/01011/82-83"/>
    <s v="NILLONS L&amp;D"/>
    <x v="48"/>
    <n v="0.05"/>
    <n v="1"/>
    <n v="204.85"/>
    <n v="204.85"/>
    <n v="-15.75"/>
    <n v="0"/>
    <n v="24.583189999999998"/>
    <n v="213.68319"/>
  </r>
  <r>
    <x v="4"/>
    <s v="Q3"/>
    <x v="0"/>
    <x v="53"/>
    <s v="KEPL/01011/82-83"/>
    <s v="NILLONS L&amp;D"/>
    <x v="30"/>
    <n v="0.05"/>
    <n v="1"/>
    <n v="242.1"/>
    <n v="242.1"/>
    <n v="-18.62"/>
    <n v="0"/>
    <n v="29.052624000000002"/>
    <n v="252.532624"/>
  </r>
  <r>
    <x v="4"/>
    <s v="Q3"/>
    <x v="0"/>
    <x v="53"/>
    <s v="KEPL/01011/82-83"/>
    <s v="NILLONS L&amp;D"/>
    <x v="46"/>
    <n v="0.05"/>
    <n v="1"/>
    <n v="175.06"/>
    <n v="175.06"/>
    <n v="-13.46"/>
    <n v="0"/>
    <n v="21.008161999999999"/>
    <n v="182.60816199999999"/>
  </r>
  <r>
    <x v="4"/>
    <s v="Q3"/>
    <x v="0"/>
    <x v="53"/>
    <s v="KEPL/01011/82-83"/>
    <s v="NILLONS L&amp;D"/>
    <x v="45"/>
    <n v="7.0000000000000007E-2"/>
    <n v="1"/>
    <n v="260.72000000000003"/>
    <n v="260.72000000000003"/>
    <n v="-20.05"/>
    <n v="0"/>
    <n v="31.287341999999999"/>
    <n v="271.95734199999998"/>
  </r>
  <r>
    <x v="4"/>
    <s v="Q3"/>
    <x v="0"/>
    <x v="53"/>
    <s v="KEPL/01011/82-83"/>
    <s v="NILLONS L&amp;D"/>
    <x v="32"/>
    <n v="0.02"/>
    <n v="1"/>
    <n v="111.74"/>
    <n v="111.74"/>
    <n v="-8.59"/>
    <n v="0"/>
    <n v="13.409604"/>
    <n v="116.55960399999999"/>
  </r>
  <r>
    <x v="4"/>
    <s v="Q3"/>
    <x v="0"/>
    <x v="53"/>
    <s v="KEPL/01011/82-83"/>
    <s v="NILLONS L&amp;D"/>
    <x v="47"/>
    <n v="0.03"/>
    <n v="1"/>
    <n v="111.74"/>
    <n v="111.74"/>
    <n v="-8.59"/>
    <n v="0"/>
    <n v="13.409604"/>
    <n v="116.55960399999999"/>
  </r>
  <r>
    <x v="4"/>
    <s v="Q3"/>
    <x v="0"/>
    <x v="53"/>
    <s v="KEPL/01011/82-83"/>
    <s v="NILLONS L&amp;D"/>
    <x v="29"/>
    <n v="0.05"/>
    <n v="1"/>
    <n v="204.85"/>
    <n v="204.85"/>
    <n v="-15.75"/>
    <n v="0"/>
    <n v="24.583189999999998"/>
    <n v="213.68319"/>
  </r>
  <r>
    <x v="4"/>
    <s v="Q3"/>
    <x v="0"/>
    <x v="53"/>
    <s v="KEPL/01011/82-83"/>
    <s v="NILLONS L&amp;D"/>
    <x v="49"/>
    <n v="7.0000000000000007E-2"/>
    <n v="1"/>
    <n v="260.72000000000003"/>
    <n v="260.72000000000003"/>
    <n v="-20.05"/>
    <n v="0"/>
    <n v="31.287341999999999"/>
    <n v="271.95734199999998"/>
  </r>
  <r>
    <x v="4"/>
    <s v="Q3"/>
    <x v="0"/>
    <x v="53"/>
    <s v="KEPL/01012/82-83"/>
    <s v="R.P DISTRIBUTOR TRADE CENTER"/>
    <x v="54"/>
    <n v="2"/>
    <n v="40"/>
    <n v="175.06"/>
    <n v="7002.4"/>
    <n v="-538.48"/>
    <n v="0"/>
    <n v="840.30961600000012"/>
    <n v="7304.2296159999996"/>
  </r>
  <r>
    <x v="4"/>
    <s v="Q3"/>
    <x v="0"/>
    <x v="53"/>
    <s v="KEPL/01012/82-83"/>
    <s v="R.P DISTRIBUTOR TRADE CENTER"/>
    <x v="55"/>
    <n v="2"/>
    <n v="40"/>
    <n v="175.06"/>
    <n v="7002.4"/>
    <n v="-538.48"/>
    <n v="0"/>
    <n v="840.30961600000012"/>
    <n v="7304.2296159999996"/>
  </r>
  <r>
    <x v="4"/>
    <s v="Q3"/>
    <x v="0"/>
    <x v="53"/>
    <s v="KEPL/01012/82-83"/>
    <s v="R.P DISTRIBUTOR TRADE CENTER"/>
    <x v="45"/>
    <n v="2"/>
    <n v="30"/>
    <n v="260.72000000000003"/>
    <n v="7821.6"/>
    <n v="-601.48"/>
    <n v="0"/>
    <n v="938.61561800000004"/>
    <n v="8158.7356179999997"/>
  </r>
  <r>
    <x v="4"/>
    <s v="Q3"/>
    <x v="0"/>
    <x v="53"/>
    <s v="KEPL/01012/82-83"/>
    <s v="R.P DISTRIBUTOR TRADE CENTER"/>
    <x v="57"/>
    <n v="2"/>
    <n v="80"/>
    <n v="111.74"/>
    <n v="8939.2000000000007"/>
    <n v="-687.42"/>
    <n v="0"/>
    <n v="1072.7314200000001"/>
    <n v="9324.5114200000007"/>
  </r>
  <r>
    <x v="4"/>
    <s v="Q3"/>
    <x v="0"/>
    <x v="53"/>
    <s v="KEPL/01012/82-83"/>
    <s v="R.P DISTRIBUTOR TRADE CENTER"/>
    <x v="52"/>
    <n v="3"/>
    <n v="12"/>
    <n v="595.92999999999995"/>
    <n v="7151.16"/>
    <n v="-549.91999999999996"/>
    <n v="0"/>
    <n v="858.16121599999997"/>
    <n v="7459.4012160000002"/>
  </r>
  <r>
    <x v="4"/>
    <s v="Q3"/>
    <x v="0"/>
    <x v="53"/>
    <s v="KEPL/01012/82-83"/>
    <s v="R.P DISTRIBUTOR TRADE CENTER"/>
    <x v="33"/>
    <n v="1"/>
    <n v="40"/>
    <n v="67.040000000000006"/>
    <n v="2681.6"/>
    <n v="-206.22"/>
    <n v="0"/>
    <n v="321.79940600000003"/>
    <n v="2797.1794060000002"/>
  </r>
  <r>
    <x v="4"/>
    <s v="Q3"/>
    <x v="0"/>
    <x v="53"/>
    <s v="KEPL/01012/82-83"/>
    <s v="R.P DISTRIBUTOR TRADE CENTER"/>
    <x v="58"/>
    <n v="2"/>
    <n v="80"/>
    <n v="111.74"/>
    <n v="8939.2000000000007"/>
    <n v="-687.42"/>
    <n v="0"/>
    <n v="1072.7314200000001"/>
    <n v="9324.5114200000007"/>
  </r>
  <r>
    <x v="4"/>
    <s v="Q3"/>
    <x v="0"/>
    <x v="53"/>
    <s v="KEPL/01012/82-83"/>
    <s v="R.P DISTRIBUTOR TRADE CENTER"/>
    <x v="35"/>
    <n v="2"/>
    <n v="120"/>
    <n v="145.26"/>
    <n v="17431.2"/>
    <n v="-1340.46"/>
    <n v="0"/>
    <n v="2091.7962389999998"/>
    <n v="18182.536239000001"/>
  </r>
  <r>
    <x v="4"/>
    <s v="Q3"/>
    <x v="0"/>
    <x v="53"/>
    <s v="KEPL/01012/82-83"/>
    <s v="R.P DISTRIBUTOR TRADE CENTER"/>
    <x v="47"/>
    <n v="10"/>
    <n v="400"/>
    <n v="111.74"/>
    <n v="44696"/>
    <n v="-3437.12"/>
    <n v="0"/>
    <n v="5363.654501"/>
    <n v="46622.534501000002"/>
  </r>
  <r>
    <x v="4"/>
    <s v="Q3"/>
    <x v="0"/>
    <x v="53"/>
    <s v="KEPL/01012/82-83"/>
    <s v="R.P DISTRIBUTOR TRADE CENTER"/>
    <x v="49"/>
    <n v="5"/>
    <n v="75"/>
    <n v="260.72000000000003"/>
    <n v="19554"/>
    <n v="-1503.6999999999998"/>
    <n v="0"/>
    <n v="2346.5390440000001"/>
    <n v="20396.839044"/>
  </r>
  <r>
    <x v="4"/>
    <s v="Q3"/>
    <x v="0"/>
    <x v="53"/>
    <s v="KEPL/01012/82-83"/>
    <s v="R.P DISTRIBUTOR TRADE CENTER"/>
    <x v="59"/>
    <n v="2"/>
    <n v="40"/>
    <n v="204.85"/>
    <n v="8194"/>
    <n v="-630.12"/>
    <n v="0"/>
    <n v="983.30441799999994"/>
    <n v="8547.1844180000007"/>
  </r>
  <r>
    <x v="4"/>
    <s v="Q3"/>
    <x v="0"/>
    <x v="53"/>
    <s v="KEPL/01012/82-83"/>
    <s v="R.P DISTRIBUTOR TRADE CENTER"/>
    <x v="29"/>
    <n v="2"/>
    <n v="40"/>
    <n v="204.85"/>
    <n v="8194"/>
    <n v="-630.12"/>
    <n v="0"/>
    <n v="983.30441799999994"/>
    <n v="8547.1844180000007"/>
  </r>
  <r>
    <x v="4"/>
    <s v="Q3"/>
    <x v="0"/>
    <x v="53"/>
    <s v="KEPL/01012/82-83"/>
    <s v="R.P DISTRIBUTOR TRADE CENTER"/>
    <x v="46"/>
    <n v="10"/>
    <n v="200"/>
    <n v="175.06"/>
    <n v="35012"/>
    <n v="-2692.42"/>
    <n v="0"/>
    <n v="4201.5454789999994"/>
    <n v="36521.125479000002"/>
  </r>
  <r>
    <x v="4"/>
    <s v="Q3"/>
    <x v="0"/>
    <x v="53"/>
    <s v="KEPL/01012/82-83"/>
    <s v="R.P DISTRIBUTOR TRADE CENTER"/>
    <x v="27"/>
    <n v="15"/>
    <n v="1050"/>
    <n v="37.25"/>
    <n v="39112.5"/>
    <n v="-3007.75"/>
    <n v="0"/>
    <n v="4693.6175880000001"/>
    <n v="40798.367588000001"/>
  </r>
  <r>
    <x v="4"/>
    <s v="Q3"/>
    <x v="0"/>
    <x v="53"/>
    <s v="KEPL/01023/82-83"/>
    <s v="SIMPEX SOLUTION PVT. LTD"/>
    <x v="32"/>
    <n v="0.08"/>
    <n v="5"/>
    <n v="106.19"/>
    <n v="530.95000000000005"/>
    <n v="0"/>
    <n v="0"/>
    <n v="69.023409999999998"/>
    <n v="599.97340999999994"/>
  </r>
  <r>
    <x v="4"/>
    <s v="Q3"/>
    <x v="0"/>
    <x v="53"/>
    <s v="KEPL/01023/82-83"/>
    <s v="SIMPEX SOLUTION PVT. LTD"/>
    <x v="41"/>
    <n v="0.38"/>
    <n v="15"/>
    <n v="63.72"/>
    <n v="955.8"/>
    <n v="0"/>
    <n v="0"/>
    <n v="124.253839"/>
    <n v="1080.0538389999999"/>
  </r>
  <r>
    <x v="4"/>
    <s v="Q3"/>
    <x v="0"/>
    <x v="53"/>
    <s v="KEPL/01023/82-83"/>
    <s v="SIMPEX SOLUTION PVT. LTD"/>
    <x v="35"/>
    <n v="0.08"/>
    <n v="5"/>
    <n v="138.05000000000001"/>
    <n v="690.24999999999989"/>
    <n v="0"/>
    <n v="0"/>
    <n v="89.732383999999996"/>
    <n v="779.98238400000002"/>
  </r>
  <r>
    <x v="4"/>
    <s v="Q3"/>
    <x v="0"/>
    <x v="53"/>
    <s v="KEPL/01023/82-83"/>
    <s v="SIMPEX SOLUTION PVT. LTD"/>
    <x v="43"/>
    <n v="0.08"/>
    <n v="5"/>
    <n v="106.19"/>
    <n v="530.95000000000005"/>
    <n v="0"/>
    <n v="0"/>
    <n v="69.023409999999998"/>
    <n v="599.97340999999994"/>
  </r>
  <r>
    <x v="4"/>
    <s v="Q3"/>
    <x v="0"/>
    <x v="53"/>
    <s v="KEPL/01023/82-83"/>
    <s v="SIMPEX SOLUTION PVT. LTD"/>
    <x v="39"/>
    <n v="0.25"/>
    <n v="5"/>
    <n v="237.17"/>
    <n v="1185.8499999999999"/>
    <n v="0"/>
    <n v="0"/>
    <n v="154.16030000000001"/>
    <n v="1340.0102999999999"/>
  </r>
  <r>
    <x v="4"/>
    <s v="Q3"/>
    <x v="0"/>
    <x v="53"/>
    <s v="KEPL/01023/82-83"/>
    <s v="SIMPEX SOLUTION PVT. LTD"/>
    <x v="34"/>
    <n v="0.13"/>
    <n v="5"/>
    <n v="63.72"/>
    <n v="318.60000000000002"/>
    <n v="0"/>
    <n v="0"/>
    <n v="41.417946000000001"/>
    <n v="360.01794599999999"/>
  </r>
  <r>
    <x v="4"/>
    <s v="Q3"/>
    <x v="0"/>
    <x v="53"/>
    <s v="KEPL/01023/82-83"/>
    <s v="SIMPEX SOLUTION PVT. LTD"/>
    <x v="37"/>
    <n v="0.25"/>
    <n v="10"/>
    <n v="77.88"/>
    <n v="778.8"/>
    <n v="0"/>
    <n v="0"/>
    <n v="101.24386899999999"/>
    <n v="880.04386899999997"/>
  </r>
  <r>
    <x v="4"/>
    <s v="Q3"/>
    <x v="0"/>
    <x v="53"/>
    <s v="KEPL/01023/82-83"/>
    <s v="SIMPEX SOLUTION PVT. LTD"/>
    <x v="53"/>
    <n v="0.25"/>
    <n v="10"/>
    <n v="77.88"/>
    <n v="778.8"/>
    <n v="0"/>
    <n v="0"/>
    <n v="101.24386899999999"/>
    <n v="880.04386899999997"/>
  </r>
  <r>
    <x v="4"/>
    <s v="Q3"/>
    <x v="0"/>
    <x v="53"/>
    <s v="KEPL/01023/82-83"/>
    <s v="SIMPEX SOLUTION PVT. LTD"/>
    <x v="58"/>
    <n v="0.13"/>
    <n v="5"/>
    <n v="106.19"/>
    <n v="530.95000000000005"/>
    <n v="0"/>
    <n v="0"/>
    <n v="69.023409999999998"/>
    <n v="599.97340999999994"/>
  </r>
  <r>
    <x v="4"/>
    <s v="Q3"/>
    <x v="0"/>
    <x v="53"/>
    <s v="KEPL/01023/82-83"/>
    <s v="SIMPEX SOLUTION PVT. LTD"/>
    <x v="31"/>
    <n v="0.17"/>
    <n v="10"/>
    <n v="106.19"/>
    <n v="1061.9000000000001"/>
    <n v="0"/>
    <n v="0"/>
    <n v="138.04682099999999"/>
    <n v="1199.946821"/>
  </r>
  <r>
    <x v="4"/>
    <s v="Q3"/>
    <x v="0"/>
    <x v="53"/>
    <s v="KEPL/01023/82-83"/>
    <s v="SIMPEX SOLUTION PVT. LTD"/>
    <x v="47"/>
    <n v="0.13"/>
    <n v="5"/>
    <n v="106.19"/>
    <n v="530.95000000000005"/>
    <n v="0"/>
    <n v="0"/>
    <n v="69.023409999999998"/>
    <n v="599.97340999999994"/>
  </r>
  <r>
    <x v="4"/>
    <s v="Q3"/>
    <x v="0"/>
    <x v="53"/>
    <s v="KEPL/01023/82-83"/>
    <s v="SIMPEX SOLUTION PVT. LTD"/>
    <x v="36"/>
    <n v="0.25"/>
    <n v="10"/>
    <n v="77.88"/>
    <n v="778.8"/>
    <n v="0"/>
    <n v="0"/>
    <n v="101.24386899999999"/>
    <n v="880.04386899999997"/>
  </r>
  <r>
    <x v="4"/>
    <s v="Q3"/>
    <x v="0"/>
    <x v="53"/>
    <s v="KEPL/01023/82-83"/>
    <s v="SIMPEX SOLUTION PVT. LTD"/>
    <x v="38"/>
    <n v="0.21"/>
    <n v="5"/>
    <n v="176.99"/>
    <n v="884.95"/>
    <n v="0"/>
    <n v="0"/>
    <n v="115.043351"/>
    <n v="999.99335099999996"/>
  </r>
  <r>
    <x v="4"/>
    <s v="Q3"/>
    <x v="0"/>
    <x v="53"/>
    <s v="KEPL/01023/82-83"/>
    <s v="SIMPEX SOLUTION PVT. LTD"/>
    <x v="57"/>
    <n v="0.13"/>
    <n v="5"/>
    <n v="106.19"/>
    <n v="530.95000000000005"/>
    <n v="0"/>
    <n v="0"/>
    <n v="69.023409999999998"/>
    <n v="599.97340999999994"/>
  </r>
  <r>
    <x v="4"/>
    <s v="Q3"/>
    <x v="0"/>
    <x v="53"/>
    <s v="KEPL/01023/82-83"/>
    <s v="SIMPEX SOLUTION PVT. LTD"/>
    <x v="3"/>
    <n v="0.5"/>
    <n v="10"/>
    <n v="176.99"/>
    <n v="1769.9"/>
    <n v="0"/>
    <n v="0"/>
    <n v="230.08670100000001"/>
    <n v="1999.986701"/>
  </r>
  <r>
    <x v="4"/>
    <s v="Q3"/>
    <x v="0"/>
    <x v="53"/>
    <s v="KEPL/01024/82-83"/>
    <s v="SIMPEX SOLUTION PVT. LTD"/>
    <x v="44"/>
    <n v="0.21"/>
    <n v="5"/>
    <n v="176.99"/>
    <n v="884.95"/>
    <n v="0"/>
    <n v="0"/>
    <n v="115.04373799999999"/>
    <n v="999.99373800000001"/>
  </r>
  <r>
    <x v="4"/>
    <s v="Q3"/>
    <x v="0"/>
    <x v="53"/>
    <s v="KEPL/01024/82-83"/>
    <s v="SIMPEX SOLUTION PVT. LTD"/>
    <x v="59"/>
    <n v="0.25"/>
    <n v="5"/>
    <n v="194.69"/>
    <n v="973.44999999999993"/>
    <n v="0"/>
    <n v="0"/>
    <n v="126.548762"/>
    <n v="1099.9987619999999"/>
  </r>
  <r>
    <x v="4"/>
    <s v="Q3"/>
    <x v="0"/>
    <x v="53"/>
    <s v="KEPL/01024/82-83"/>
    <s v="SIMPEX SOLUTION PVT. LTD"/>
    <x v="26"/>
    <n v="0.28000000000000003"/>
    <n v="5"/>
    <n v="169.91"/>
    <n v="849.55000000000007"/>
    <n v="0"/>
    <n v="0"/>
    <n v="110.441729"/>
    <n v="959.99172899999996"/>
  </r>
  <r>
    <x v="4"/>
    <s v="Q3"/>
    <x v="0"/>
    <x v="53"/>
    <s v="KEPL/01024/82-83"/>
    <s v="SIMPEX SOLUTION PVT. LTD"/>
    <x v="25"/>
    <n v="0.28000000000000003"/>
    <n v="5"/>
    <n v="169.91"/>
    <n v="849.55000000000007"/>
    <n v="0"/>
    <n v="0"/>
    <n v="110.441729"/>
    <n v="959.99172899999996"/>
  </r>
  <r>
    <x v="4"/>
    <s v="Q3"/>
    <x v="0"/>
    <x v="53"/>
    <s v="KEPL/01024/82-83"/>
    <s v="SIMPEX SOLUTION PVT. LTD"/>
    <x v="48"/>
    <n v="0.25"/>
    <n v="5"/>
    <n v="194.69"/>
    <n v="973.44999999999993"/>
    <n v="0"/>
    <n v="0"/>
    <n v="126.548762"/>
    <n v="1099.9987619999999"/>
  </r>
  <r>
    <x v="4"/>
    <s v="Q3"/>
    <x v="0"/>
    <x v="53"/>
    <s v="KEPL/01024/82-83"/>
    <s v="SIMPEX SOLUTION PVT. LTD"/>
    <x v="28"/>
    <n v="0.25"/>
    <n v="5"/>
    <n v="194.69"/>
    <n v="973.44999999999993"/>
    <n v="0"/>
    <n v="0"/>
    <n v="126.548762"/>
    <n v="1099.9987619999999"/>
  </r>
  <r>
    <x v="4"/>
    <s v="Q3"/>
    <x v="0"/>
    <x v="53"/>
    <s v="KEPL/01024/82-83"/>
    <s v="SIMPEX SOLUTION PVT. LTD"/>
    <x v="22"/>
    <n v="0.42"/>
    <n v="10"/>
    <n v="194.69"/>
    <n v="1946.8999999999999"/>
    <n v="0"/>
    <n v="0"/>
    <n v="253.09752500000002"/>
    <n v="2199.9975250000002"/>
  </r>
  <r>
    <x v="4"/>
    <s v="Q3"/>
    <x v="0"/>
    <x v="53"/>
    <s v="KEPL/01024/82-83"/>
    <s v="SIMPEX SOLUTION PVT. LTD"/>
    <x v="13"/>
    <n v="0.83"/>
    <n v="20"/>
    <n v="134.51"/>
    <n v="2690.2000000000003"/>
    <n v="0"/>
    <n v="0"/>
    <n v="349.72672499999999"/>
    <n v="3039.9267249999998"/>
  </r>
  <r>
    <x v="4"/>
    <s v="Q3"/>
    <x v="0"/>
    <x v="53"/>
    <s v="KEPL/01024/82-83"/>
    <s v="SIMPEX SOLUTION PVT. LTD"/>
    <x v="30"/>
    <n v="0.25"/>
    <n v="5"/>
    <n v="230.09"/>
    <n v="1150.45"/>
    <n v="0"/>
    <n v="0"/>
    <n v="149.55880999999999"/>
    <n v="1300.00881"/>
  </r>
  <r>
    <x v="4"/>
    <s v="Q3"/>
    <x v="0"/>
    <x v="53"/>
    <s v="KEPL/01024/82-83"/>
    <s v="SIMPEX SOLUTION PVT. LTD"/>
    <x v="2"/>
    <n v="0.28000000000000003"/>
    <n v="5"/>
    <n v="169.91"/>
    <n v="849.55000000000007"/>
    <n v="0"/>
    <n v="0"/>
    <n v="110.441729"/>
    <n v="959.99172899999996"/>
  </r>
  <r>
    <x v="4"/>
    <s v="Q3"/>
    <x v="0"/>
    <x v="53"/>
    <s v="KEPL/01024/82-83"/>
    <s v="SIMPEX SOLUTION PVT. LTD"/>
    <x v="24"/>
    <n v="0.28000000000000003"/>
    <n v="5"/>
    <n v="169.91"/>
    <n v="849.55000000000007"/>
    <n v="0"/>
    <n v="0"/>
    <n v="110.441729"/>
    <n v="959.99172899999996"/>
  </r>
  <r>
    <x v="4"/>
    <s v="Q3"/>
    <x v="0"/>
    <x v="53"/>
    <s v="KEPL/01025/82-83"/>
    <s v="SHUBHASHREE MARKETING"/>
    <x v="36"/>
    <n v="1"/>
    <n v="40"/>
    <n v="81.94"/>
    <n v="3277.6"/>
    <n v="-252.05"/>
    <n v="0"/>
    <n v="393.32158599999997"/>
    <n v="3418.8715860000002"/>
  </r>
  <r>
    <x v="4"/>
    <s v="Q3"/>
    <x v="0"/>
    <x v="53"/>
    <s v="KEPL/01025/82-83"/>
    <s v="SHUBHASHREE MARKETING"/>
    <x v="33"/>
    <n v="4"/>
    <n v="160"/>
    <n v="67.040000000000006"/>
    <n v="10726.4"/>
    <n v="-824.86"/>
    <n v="0"/>
    <n v="1287.200482"/>
    <n v="11188.740481999999"/>
  </r>
  <r>
    <x v="4"/>
    <s v="Q3"/>
    <x v="0"/>
    <x v="53"/>
    <s v="KEPL/01025/82-83"/>
    <s v="SHUBHASHREE MARKETING"/>
    <x v="55"/>
    <n v="1"/>
    <n v="20"/>
    <n v="175.06"/>
    <n v="3501.2"/>
    <n v="-269.24"/>
    <n v="0"/>
    <n v="420.15489200000002"/>
    <n v="3652.1148920000001"/>
  </r>
  <r>
    <x v="4"/>
    <s v="Q3"/>
    <x v="0"/>
    <x v="53"/>
    <s v="KEPL/01025/82-83"/>
    <s v="SHUBHASHREE MARKETING"/>
    <x v="49"/>
    <n v="6"/>
    <n v="90"/>
    <n v="260.72000000000003"/>
    <n v="23464.799999999999"/>
    <n v="-1804.44"/>
    <n v="0"/>
    <n v="2815.8474179999998"/>
    <n v="24476.207418000002"/>
  </r>
  <r>
    <x v="4"/>
    <s v="Q3"/>
    <x v="0"/>
    <x v="53"/>
    <s v="KEPL/01025/82-83"/>
    <s v="SHUBHASHREE MARKETING"/>
    <x v="46"/>
    <n v="2"/>
    <n v="40"/>
    <n v="175.06"/>
    <n v="7002.4"/>
    <n v="-538.48"/>
    <n v="0"/>
    <n v="840.30978400000004"/>
    <n v="7304.2297840000001"/>
  </r>
  <r>
    <x v="4"/>
    <s v="Q3"/>
    <x v="0"/>
    <x v="53"/>
    <s v="KEPL/01025/82-83"/>
    <s v="SHUBHASHREE MARKETING"/>
    <x v="22"/>
    <n v="2"/>
    <n v="48"/>
    <n v="204.85"/>
    <n v="9832.8000000000011"/>
    <n v="-756.14"/>
    <n v="0"/>
    <n v="1179.9660590000001"/>
    <n v="10256.626059"/>
  </r>
  <r>
    <x v="4"/>
    <s v="Q3"/>
    <x v="0"/>
    <x v="53"/>
    <s v="KEPL/01025/82-83"/>
    <s v="SHUBHASHREE MARKETING"/>
    <x v="37"/>
    <n v="1"/>
    <n v="40"/>
    <n v="81.94"/>
    <n v="3277.6"/>
    <n v="-252.05"/>
    <n v="0"/>
    <n v="393.32158599999997"/>
    <n v="3418.8715860000002"/>
  </r>
  <r>
    <x v="4"/>
    <s v="Q3"/>
    <x v="0"/>
    <x v="53"/>
    <s v="KEPL/01025/82-83"/>
    <s v="SHUBHASHREE MARKETING"/>
    <x v="34"/>
    <n v="2"/>
    <n v="80"/>
    <n v="67.040000000000006"/>
    <n v="5363.2"/>
    <n v="-412.43"/>
    <n v="0"/>
    <n v="643.60024099999998"/>
    <n v="5594.3702409999996"/>
  </r>
  <r>
    <x v="4"/>
    <s v="Q3"/>
    <x v="0"/>
    <x v="53"/>
    <s v="KEPL/01025/82-83"/>
    <s v="SHUBHASHREE MARKETING"/>
    <x v="59"/>
    <n v="1"/>
    <n v="20"/>
    <n v="204.85"/>
    <n v="4097"/>
    <n v="-315.06"/>
    <n v="0"/>
    <n v="491.652308"/>
    <n v="4273.5923080000002"/>
  </r>
  <r>
    <x v="4"/>
    <s v="Q3"/>
    <x v="0"/>
    <x v="53"/>
    <s v="KEPL/01025/82-83"/>
    <s v="SHUBHASHREE MARKETING"/>
    <x v="28"/>
    <n v="3"/>
    <n v="60"/>
    <n v="204.85"/>
    <n v="12291"/>
    <n v="-945.18"/>
    <n v="0"/>
    <n v="1474.9569230000002"/>
    <n v="12820.776922999999"/>
  </r>
  <r>
    <x v="4"/>
    <s v="Q3"/>
    <x v="0"/>
    <x v="53"/>
    <s v="KEPL/01025/82-83"/>
    <s v="SHUBHASHREE MARKETING"/>
    <x v="54"/>
    <n v="1"/>
    <n v="20"/>
    <n v="175.06"/>
    <n v="3501.2"/>
    <n v="-269.24"/>
    <n v="0"/>
    <n v="420.15489200000002"/>
    <n v="3652.1148920000001"/>
  </r>
  <r>
    <x v="4"/>
    <s v="Q3"/>
    <x v="0"/>
    <x v="53"/>
    <s v="KEPL/01025/82-83"/>
    <s v="SHUBHASHREE MARKETING"/>
    <x v="48"/>
    <n v="1"/>
    <n v="20"/>
    <n v="204.85"/>
    <n v="4097"/>
    <n v="-315.06"/>
    <n v="0"/>
    <n v="491.652308"/>
    <n v="4273.5923080000002"/>
  </r>
  <r>
    <x v="4"/>
    <s v="Q3"/>
    <x v="0"/>
    <x v="53"/>
    <s v="KEPL/01025/82-83"/>
    <s v="SHUBHASHREE MARKETING"/>
    <x v="41"/>
    <n v="2"/>
    <n v="80"/>
    <n v="67.040000000000006"/>
    <n v="5363.2"/>
    <n v="-412.43"/>
    <n v="0"/>
    <n v="643.60024099999998"/>
    <n v="5594.3702409999996"/>
  </r>
  <r>
    <x v="4"/>
    <s v="Q3"/>
    <x v="0"/>
    <x v="53"/>
    <s v="KEPL/01025/82-83"/>
    <s v="SHUBHASHREE MARKETING"/>
    <x v="13"/>
    <n v="2"/>
    <n v="48"/>
    <n v="141.54"/>
    <n v="6793.92"/>
    <n v="-522.45000000000005"/>
    <n v="0"/>
    <n v="815.29127900000003"/>
    <n v="7086.7612790000003"/>
  </r>
  <r>
    <x v="4"/>
    <s v="Q3"/>
    <x v="0"/>
    <x v="54"/>
    <s v="KEPL/01028/82-83"/>
    <s v="GORIN TRADING "/>
    <x v="55"/>
    <n v="2"/>
    <n v="40"/>
    <n v="175.06"/>
    <n v="7002.4"/>
    <n v="-538.48"/>
    <n v="0"/>
    <n v="840.30952100000002"/>
    <n v="7304.2295210000002"/>
  </r>
  <r>
    <x v="4"/>
    <s v="Q3"/>
    <x v="0"/>
    <x v="54"/>
    <s v="KEPL/01028/82-83"/>
    <s v="GORIN TRADING "/>
    <x v="41"/>
    <n v="1"/>
    <n v="40"/>
    <n v="67.040000000000006"/>
    <n v="2681.6"/>
    <n v="-206.22"/>
    <n v="0"/>
    <n v="321.79937000000001"/>
    <n v="2797.1793699999998"/>
  </r>
  <r>
    <x v="4"/>
    <s v="Q3"/>
    <x v="0"/>
    <x v="54"/>
    <s v="KEPL/01028/82-83"/>
    <s v="GORIN TRADING "/>
    <x v="0"/>
    <n v="1"/>
    <n v="40"/>
    <n v="111.74"/>
    <n v="4469.6000000000004"/>
    <n v="-343.71"/>
    <n v="0"/>
    <n v="536.36564999999996"/>
    <n v="4662.2556500000001"/>
  </r>
  <r>
    <x v="4"/>
    <s v="Q3"/>
    <x v="0"/>
    <x v="54"/>
    <s v="KEPL/01028/82-83"/>
    <s v="GORIN TRADING "/>
    <x v="36"/>
    <n v="1"/>
    <n v="40"/>
    <n v="81.94"/>
    <n v="3277.6"/>
    <n v="-252.05"/>
    <n v="0"/>
    <n v="393.32146299999999"/>
    <n v="3418.8714629999999"/>
  </r>
  <r>
    <x v="4"/>
    <s v="Q3"/>
    <x v="0"/>
    <x v="54"/>
    <s v="KEPL/01028/82-83"/>
    <s v="GORIN TRADING "/>
    <x v="57"/>
    <n v="2"/>
    <n v="80"/>
    <n v="111.74"/>
    <n v="8939.2000000000007"/>
    <n v="-687.42"/>
    <n v="0"/>
    <n v="1072.7312999999999"/>
    <n v="9324.5113000000001"/>
  </r>
  <r>
    <x v="4"/>
    <s v="Q3"/>
    <x v="0"/>
    <x v="54"/>
    <s v="KEPL/01028/82-83"/>
    <s v="GORIN TRADING "/>
    <x v="46"/>
    <n v="3"/>
    <n v="60"/>
    <n v="175.06"/>
    <n v="10503.6"/>
    <n v="-807.7299999999999"/>
    <n v="0"/>
    <n v="1260.462982"/>
    <n v="10956.332982"/>
  </r>
  <r>
    <x v="4"/>
    <s v="Q3"/>
    <x v="0"/>
    <x v="54"/>
    <s v="KEPL/01028/82-83"/>
    <s v="GORIN TRADING "/>
    <x v="49"/>
    <n v="5"/>
    <n v="75"/>
    <n v="260.72000000000003"/>
    <n v="19554"/>
    <n v="-1503.6999999999998"/>
    <n v="0"/>
    <n v="2346.5387799999999"/>
    <n v="20396.838779999998"/>
  </r>
  <r>
    <x v="4"/>
    <s v="Q3"/>
    <x v="0"/>
    <x v="54"/>
    <s v="KEPL/01028/82-83"/>
    <s v="GORIN TRADING "/>
    <x v="53"/>
    <n v="1"/>
    <n v="40"/>
    <n v="81.94"/>
    <n v="3277.6"/>
    <n v="-252.05"/>
    <n v="0"/>
    <n v="393.32146299999999"/>
    <n v="3418.8714629999999"/>
  </r>
  <r>
    <x v="4"/>
    <s v="Q3"/>
    <x v="0"/>
    <x v="54"/>
    <s v="KEPL/01028/82-83"/>
    <s v="GORIN TRADING "/>
    <x v="22"/>
    <n v="1"/>
    <n v="24"/>
    <n v="204.85"/>
    <n v="4916.4000000000005"/>
    <n v="-378.07"/>
    <n v="0"/>
    <n v="589.982845"/>
    <n v="5128.3128450000004"/>
  </r>
  <r>
    <x v="4"/>
    <s v="Q3"/>
    <x v="0"/>
    <x v="54"/>
    <s v="KEPL/01028/82-83"/>
    <s v="GORIN TRADING "/>
    <x v="37"/>
    <n v="1"/>
    <n v="40"/>
    <n v="81.94"/>
    <n v="3277.6"/>
    <n v="-252.05"/>
    <n v="0"/>
    <n v="393.32146299999999"/>
    <n v="3418.8714629999999"/>
  </r>
  <r>
    <x v="4"/>
    <s v="Q3"/>
    <x v="0"/>
    <x v="54"/>
    <s v="KEPL/01028/82-83"/>
    <s v="GORIN TRADING "/>
    <x v="3"/>
    <n v="2"/>
    <n v="40"/>
    <n v="186.22"/>
    <n v="7448.8"/>
    <n v="-572.80999999999995"/>
    <n v="0"/>
    <n v="893.87861600000008"/>
    <n v="7769.8686159999997"/>
  </r>
  <r>
    <x v="4"/>
    <s v="Q3"/>
    <x v="0"/>
    <x v="54"/>
    <s v="KEPL/01028/82-83"/>
    <s v="GORIN TRADING "/>
    <x v="47"/>
    <n v="5"/>
    <n v="200"/>
    <n v="111.74"/>
    <n v="22348"/>
    <n v="-1718.56"/>
    <n v="0"/>
    <n v="2681.8269489999998"/>
    <n v="23311.266949000001"/>
  </r>
  <r>
    <x v="4"/>
    <s v="Q3"/>
    <x v="0"/>
    <x v="54"/>
    <s v="KEPL/01028/82-83"/>
    <s v="GORIN TRADING "/>
    <x v="48"/>
    <n v="2"/>
    <n v="40"/>
    <n v="204.85"/>
    <n v="8194"/>
    <n v="-630.12"/>
    <n v="0"/>
    <n v="983.30430800000011"/>
    <n v="8547.1843079999999"/>
  </r>
  <r>
    <x v="4"/>
    <s v="Q3"/>
    <x v="0"/>
    <x v="54"/>
    <s v="KEPL/01028/82-83"/>
    <s v="GORIN TRADING "/>
    <x v="52"/>
    <n v="10"/>
    <n v="40"/>
    <n v="595.92999999999995"/>
    <n v="23837.200000000001"/>
    <n v="-1833.08"/>
    <n v="0"/>
    <n v="2860.5353319999999"/>
    <n v="24864.655331999998"/>
  </r>
  <r>
    <x v="4"/>
    <s v="Q3"/>
    <x v="0"/>
    <x v="54"/>
    <s v="KEPL/01028/82-83"/>
    <s v="GORIN TRADING "/>
    <x v="32"/>
    <n v="2"/>
    <n v="120"/>
    <n v="111.74"/>
    <n v="13408.8"/>
    <n v="-1031.1400000000001"/>
    <n v="0"/>
    <n v="1609.0956490000001"/>
    <n v="13986.755649000001"/>
  </r>
  <r>
    <x v="4"/>
    <s v="Q3"/>
    <x v="0"/>
    <x v="54"/>
    <s v="KEPL/01028/82-83"/>
    <s v="GORIN TRADING "/>
    <x v="29"/>
    <n v="2"/>
    <n v="40"/>
    <n v="204.85"/>
    <n v="8194"/>
    <n v="-630.12"/>
    <n v="0"/>
    <n v="983.30430800000011"/>
    <n v="8547.1843079999999"/>
  </r>
  <r>
    <x v="4"/>
    <s v="Q3"/>
    <x v="0"/>
    <x v="54"/>
    <s v="KEPL/01030/82-83"/>
    <s v="BEERA BARJEE INTERNATIONAL PVT.LTD"/>
    <x v="35"/>
    <n v="1"/>
    <n v="60"/>
    <n v="145.26"/>
    <n v="8715.6"/>
    <n v="-670.23"/>
    <n v="0"/>
    <n v="1045.8980260000001"/>
    <n v="9091.2680259999997"/>
  </r>
  <r>
    <x v="4"/>
    <s v="Q3"/>
    <x v="0"/>
    <x v="54"/>
    <s v="KEPL/01030/82-83"/>
    <s v="BEERA BARJEE INTERNATIONAL PVT.LTD"/>
    <x v="13"/>
    <n v="3"/>
    <n v="72"/>
    <n v="141.54"/>
    <n v="10190.879999999999"/>
    <n v="-783.68"/>
    <n v="0"/>
    <n v="1222.9359139999999"/>
    <n v="10630.135914"/>
  </r>
  <r>
    <x v="4"/>
    <s v="Q3"/>
    <x v="0"/>
    <x v="54"/>
    <s v="KEPL/01030/82-83"/>
    <s v="BEERA BARJEE INTERNATIONAL PVT.LTD"/>
    <x v="54"/>
    <n v="1"/>
    <n v="20"/>
    <n v="175.05"/>
    <n v="3500.9999999999995"/>
    <n v="-269.23"/>
    <n v="0"/>
    <n v="420.13006999999999"/>
    <n v="3651.9000700000001"/>
  </r>
  <r>
    <x v="4"/>
    <s v="Q3"/>
    <x v="0"/>
    <x v="54"/>
    <s v="KEPL/01030/82-83"/>
    <s v="BEERA BARJEE INTERNATIONAL PVT.LTD"/>
    <x v="3"/>
    <n v="5"/>
    <n v="100"/>
    <n v="186.22"/>
    <n v="18622"/>
    <n v="-1432.03"/>
    <n v="0"/>
    <n v="2234.6959430000002"/>
    <n v="19424.665943"/>
  </r>
  <r>
    <x v="4"/>
    <s v="Q3"/>
    <x v="0"/>
    <x v="54"/>
    <s v="KEPL/01030/82-83"/>
    <s v="BEERA BARJEE INTERNATIONAL PVT.LTD"/>
    <x v="34"/>
    <n v="1"/>
    <n v="40"/>
    <n v="67.040000000000006"/>
    <n v="2681.6"/>
    <n v="-206.22"/>
    <n v="0"/>
    <n v="321.79937699999999"/>
    <n v="2797.1793769999999"/>
  </r>
  <r>
    <x v="4"/>
    <s v="Q3"/>
    <x v="0"/>
    <x v="54"/>
    <s v="KEPL/01030/82-83"/>
    <s v="BEERA BARJEE INTERNATIONAL PVT.LTD"/>
    <x v="41"/>
    <n v="3"/>
    <n v="120"/>
    <n v="67.040000000000006"/>
    <n v="8044.8"/>
    <n v="-618.65"/>
    <n v="0"/>
    <n v="965.39943199999993"/>
    <n v="8391.5494319999998"/>
  </r>
  <r>
    <x v="4"/>
    <s v="Q3"/>
    <x v="0"/>
    <x v="54"/>
    <s v="KEPL/01030/82-83"/>
    <s v="BEERA BARJEE INTERNATIONAL PVT.LTD"/>
    <x v="55"/>
    <n v="1"/>
    <n v="20"/>
    <n v="175.06"/>
    <n v="3501.2"/>
    <n v="-269.24"/>
    <n v="0"/>
    <n v="420.15476999999998"/>
    <n v="3652.1147700000001"/>
  </r>
  <r>
    <x v="4"/>
    <s v="Q3"/>
    <x v="0"/>
    <x v="54"/>
    <s v="KEPL/01030/82-83"/>
    <s v="BEERA BARJEE INTERNATIONAL PVT.LTD"/>
    <x v="46"/>
    <n v="1"/>
    <n v="20"/>
    <n v="175.06"/>
    <n v="3501.2"/>
    <n v="-269.24"/>
    <n v="0"/>
    <n v="420.15476999999998"/>
    <n v="3652.1147700000001"/>
  </r>
  <r>
    <x v="4"/>
    <s v="Q3"/>
    <x v="0"/>
    <x v="54"/>
    <s v="KEPL/01030/82-83"/>
    <s v="BEERA BARJEE INTERNATIONAL PVT.LTD"/>
    <x v="49"/>
    <n v="1"/>
    <n v="15"/>
    <n v="260.72000000000003"/>
    <n v="3910.8"/>
    <n v="-300.74"/>
    <n v="0"/>
    <n v="469.30776699999996"/>
    <n v="4079.3677670000002"/>
  </r>
  <r>
    <x v="4"/>
    <s v="Q3"/>
    <x v="0"/>
    <x v="54"/>
    <s v="KEPL/01030/82-83"/>
    <s v="BEERA BARJEE INTERNATIONAL PVT.LTD"/>
    <x v="45"/>
    <n v="1"/>
    <n v="15"/>
    <n v="260.72000000000003"/>
    <n v="3910.8"/>
    <n v="-300.74"/>
    <n v="0"/>
    <n v="469.30776699999996"/>
    <n v="4079.3677670000002"/>
  </r>
  <r>
    <x v="4"/>
    <s v="Q3"/>
    <x v="0"/>
    <x v="54"/>
    <s v="KEPL/01030/82-83"/>
    <s v="BEERA BARJEE INTERNATIONAL PVT.LTD"/>
    <x v="47"/>
    <n v="2"/>
    <n v="80"/>
    <n v="111.74"/>
    <n v="8939.2000000000007"/>
    <n v="-687.42"/>
    <n v="0"/>
    <n v="1072.731325"/>
    <n v="9324.5113249999995"/>
  </r>
  <r>
    <x v="4"/>
    <s v="Q3"/>
    <x v="0"/>
    <x v="54"/>
    <s v="KEPL/01030/82-83"/>
    <s v="BEERA BARJEE INTERNATIONAL PVT.LTD"/>
    <x v="58"/>
    <n v="2"/>
    <n v="80"/>
    <n v="111.74"/>
    <n v="8939.2000000000007"/>
    <n v="-687.42"/>
    <n v="0"/>
    <n v="1072.731325"/>
    <n v="9324.5113249999995"/>
  </r>
  <r>
    <x v="4"/>
    <s v="Q3"/>
    <x v="0"/>
    <x v="54"/>
    <s v="KEPL/01030/82-83"/>
    <s v="BEERA BARJEE INTERNATIONAL PVT.LTD"/>
    <x v="57"/>
    <n v="2"/>
    <n v="80"/>
    <n v="111.74"/>
    <n v="8939.2000000000007"/>
    <n v="-687.42"/>
    <n v="0"/>
    <n v="1072.731325"/>
    <n v="9324.5113249999995"/>
  </r>
  <r>
    <x v="4"/>
    <s v="Q3"/>
    <x v="0"/>
    <x v="54"/>
    <s v="KEPL/01030/82-83"/>
    <s v="BEERA BARJEE INTERNATIONAL PVT.LTD"/>
    <x v="22"/>
    <n v="3"/>
    <n v="72"/>
    <n v="204.85"/>
    <n v="14749.199999999999"/>
    <n v="-1134.21"/>
    <n v="0"/>
    <n v="1769.9485759999998"/>
    <n v="15384.938576"/>
  </r>
  <r>
    <x v="4"/>
    <s v="Q3"/>
    <x v="0"/>
    <x v="54"/>
    <s v="KEPL/01030/82-83"/>
    <s v="BEERA BARJEE INTERNATIONAL PVT.LTD"/>
    <x v="38"/>
    <n v="1"/>
    <n v="24"/>
    <n v="186.23"/>
    <n v="4469.5200000000004"/>
    <n v="-343.71"/>
    <n v="0"/>
    <n v="536.35526200000004"/>
    <n v="4662.1652620000004"/>
  </r>
  <r>
    <x v="4"/>
    <s v="Q3"/>
    <x v="0"/>
    <x v="54"/>
    <s v="KEPL/01030/82-83"/>
    <s v="BEERA BARJEE INTERNATIONAL PVT.LTD"/>
    <x v="56"/>
    <n v="1"/>
    <n v="800"/>
    <n v="7.45"/>
    <n v="5960"/>
    <n v="-458.32"/>
    <n v="0"/>
    <n v="715.21834999999999"/>
    <n v="6216.8983500000004"/>
  </r>
  <r>
    <x v="4"/>
    <s v="Q3"/>
    <x v="0"/>
    <x v="54"/>
    <s v="KEPL/01088/82-83"/>
    <s v="WELSON TRADE &amp; RASAN MART"/>
    <x v="45"/>
    <n v="2"/>
    <n v="30"/>
    <n v="260.72000000000003"/>
    <n v="7821.6"/>
    <n v="-601.48"/>
    <n v="0"/>
    <n v="938.615588"/>
    <n v="8158.7355879999996"/>
  </r>
  <r>
    <x v="4"/>
    <s v="Q3"/>
    <x v="0"/>
    <x v="54"/>
    <s v="KEPL/01088/82-83"/>
    <s v="WELSON TRADE &amp; RASAN MART"/>
    <x v="26"/>
    <n v="1"/>
    <n v="18"/>
    <n v="178.78"/>
    <n v="3218.0400000000004"/>
    <n v="-247.47"/>
    <n v="0"/>
    <n v="386.17409500000002"/>
    <n v="3356.744095"/>
  </r>
  <r>
    <x v="4"/>
    <s v="Q3"/>
    <x v="0"/>
    <x v="54"/>
    <s v="KEPL/01088/82-83"/>
    <s v="WELSON TRADE &amp; RASAN MART"/>
    <x v="58"/>
    <n v="1"/>
    <n v="40"/>
    <n v="111.74"/>
    <n v="4469.6000000000004"/>
    <n v="-343.71"/>
    <n v="0"/>
    <n v="536.36569299999996"/>
    <n v="4662.2556930000001"/>
  </r>
  <r>
    <x v="4"/>
    <s v="Q3"/>
    <x v="0"/>
    <x v="54"/>
    <s v="KEPL/01088/82-83"/>
    <s v="WELSON TRADE &amp; RASAN MART"/>
    <x v="46"/>
    <n v="3"/>
    <n v="60"/>
    <n v="175.06"/>
    <n v="10503.6"/>
    <n v="-807.7299999999999"/>
    <n v="0"/>
    <n v="1260.463084"/>
    <n v="10956.333084"/>
  </r>
  <r>
    <x v="4"/>
    <s v="Q3"/>
    <x v="0"/>
    <x v="54"/>
    <s v="KEPL/01088/82-83"/>
    <s v="WELSON TRADE &amp; RASAN MART"/>
    <x v="3"/>
    <n v="5"/>
    <n v="100"/>
    <n v="186.22"/>
    <n v="18622"/>
    <n v="-1432.03"/>
    <n v="0"/>
    <n v="2234.6960720000002"/>
    <n v="19424.666072"/>
  </r>
  <r>
    <x v="4"/>
    <s v="Q3"/>
    <x v="0"/>
    <x v="54"/>
    <s v="KEPL/01088/82-83"/>
    <s v="WELSON TRADE &amp; RASAN MART"/>
    <x v="21"/>
    <n v="1"/>
    <n v="240"/>
    <n v="14.9"/>
    <n v="3576"/>
    <n v="-274.99"/>
    <n v="0"/>
    <n v="429.13129500000002"/>
    <n v="3730.1412949999999"/>
  </r>
  <r>
    <x v="4"/>
    <s v="Q3"/>
    <x v="0"/>
    <x v="54"/>
    <s v="KEPL/01088/82-83"/>
    <s v="WELSON TRADE &amp; RASAN MART"/>
    <x v="60"/>
    <n v="1"/>
    <n v="1000"/>
    <n v="1.86"/>
    <n v="1860"/>
    <n v="-143.03"/>
    <n v="0"/>
    <n v="223.206097"/>
    <n v="1940.176097"/>
  </r>
  <r>
    <x v="4"/>
    <s v="Q3"/>
    <x v="0"/>
    <x v="54"/>
    <s v="KEPL/01088/82-83"/>
    <s v="WELSON TRADE &amp; RASAN MART"/>
    <x v="39"/>
    <n v="1"/>
    <n v="20"/>
    <n v="249.55"/>
    <n v="4991"/>
    <n v="-383.81"/>
    <n v="0"/>
    <n v="598.93469300000004"/>
    <n v="5206.1246929999998"/>
  </r>
  <r>
    <x v="4"/>
    <s v="Q3"/>
    <x v="0"/>
    <x v="54"/>
    <s v="KEPL/01088/82-83"/>
    <s v="WELSON TRADE &amp; RASAN MART"/>
    <x v="49"/>
    <n v="3"/>
    <n v="45"/>
    <n v="260.72000000000003"/>
    <n v="11732.4"/>
    <n v="-902.22"/>
    <n v="0"/>
    <n v="1407.9233819999999"/>
    <n v="12238.103381999999"/>
  </r>
  <r>
    <x v="4"/>
    <s v="Q3"/>
    <x v="0"/>
    <x v="54"/>
    <s v="KEPL/01093/82-83"/>
    <s v="KRISHMA ENTERPRISES"/>
    <x v="47"/>
    <n v="2"/>
    <n v="80"/>
    <n v="111.74"/>
    <n v="8939.2000000000007"/>
    <n v="-687.42"/>
    <n v="0"/>
    <n v="1072.7314269999999"/>
    <n v="9324.5114269999995"/>
  </r>
  <r>
    <x v="4"/>
    <s v="Q3"/>
    <x v="0"/>
    <x v="54"/>
    <s v="KEPL/01093/82-83"/>
    <s v="KRISHMA ENTERPRISES"/>
    <x v="46"/>
    <n v="5"/>
    <n v="100"/>
    <n v="175.05"/>
    <n v="17505"/>
    <n v="-1346.1299999999999"/>
    <n v="0"/>
    <n v="2100.6531530000002"/>
    <n v="18259.523152999998"/>
  </r>
  <r>
    <x v="4"/>
    <s v="Q3"/>
    <x v="0"/>
    <x v="54"/>
    <s v="KEPL/01093/82-83"/>
    <s v="KRISHMA ENTERPRISES"/>
    <x v="3"/>
    <n v="40"/>
    <n v="800"/>
    <n v="186.22"/>
    <n v="148976"/>
    <n v="-11456.25"/>
    <n v="0"/>
    <n v="17877.567947"/>
    <n v="155397.317947"/>
  </r>
  <r>
    <x v="4"/>
    <s v="Q3"/>
    <x v="0"/>
    <x v="54"/>
    <s v="KEPL/01093/82-83"/>
    <s v="KRISHMA ENTERPRISES"/>
    <x v="57"/>
    <n v="2"/>
    <n v="80"/>
    <n v="111.74"/>
    <n v="8939.2000000000007"/>
    <n v="-687.42"/>
    <n v="0"/>
    <n v="1072.7314269999999"/>
    <n v="9324.5114269999995"/>
  </r>
  <r>
    <x v="4"/>
    <s v="Q3"/>
    <x v="0"/>
    <x v="54"/>
    <s v="KEPL/01093/82-83"/>
    <s v="KRISHMA ENTERPRISES"/>
    <x v="52"/>
    <n v="100"/>
    <n v="400"/>
    <n v="595.92999999999995"/>
    <n v="238372"/>
    <n v="-18330.810000000001"/>
    <n v="0"/>
    <n v="28605.355415999999"/>
    <n v="248646.54541600001"/>
  </r>
  <r>
    <x v="4"/>
    <s v="Q3"/>
    <x v="0"/>
    <x v="54"/>
    <s v="KEPL/01093/82-83"/>
    <s v="KRISHMA ENTERPRISES"/>
    <x v="35"/>
    <n v="5"/>
    <n v="300"/>
    <n v="145.26"/>
    <n v="43578"/>
    <n v="-3351.1499999999996"/>
    <n v="0"/>
    <n v="5229.4906309999997"/>
    <n v="45456.340630999999"/>
  </r>
  <r>
    <x v="4"/>
    <s v="Q3"/>
    <x v="0"/>
    <x v="54"/>
    <s v="KEPL/01095/82-83"/>
    <s v="AASHI TRADERS"/>
    <x v="46"/>
    <n v="15"/>
    <n v="300"/>
    <n v="175.05"/>
    <n v="52515"/>
    <n v="-4038.4"/>
    <n v="0"/>
    <n v="6301.9562519999999"/>
    <n v="54778.556252000002"/>
  </r>
  <r>
    <x v="4"/>
    <s v="Q3"/>
    <x v="0"/>
    <x v="54"/>
    <s v="KEPL/01095/82-83"/>
    <s v="AASHI TRADERS"/>
    <x v="49"/>
    <n v="15"/>
    <n v="225"/>
    <n v="260.72000000000003"/>
    <n v="58662"/>
    <n v="-4511.1099999999997"/>
    <n v="0"/>
    <n v="7039.6137479999998"/>
    <n v="61190.503748000003"/>
  </r>
  <r>
    <x v="5"/>
    <s v="Q3"/>
    <x v="0"/>
    <x v="55"/>
    <s v="KEPL/01140/82-83"/>
    <s v="SAFAL MART PVT.LTD"/>
    <x v="47"/>
    <n v="1"/>
    <n v="40"/>
    <n v="111.74"/>
    <n v="4469.6000000000004"/>
    <n v="-223.48"/>
    <n v="-84.922056999999995"/>
    <n v="540.95562500000005"/>
    <n v="4702.1535679999997"/>
  </r>
  <r>
    <x v="5"/>
    <s v="Q3"/>
    <x v="0"/>
    <x v="55"/>
    <s v="KEPL/01140/82-83"/>
    <s v="SAFAL MART PVT.LTD"/>
    <x v="39"/>
    <n v="1"/>
    <n v="20"/>
    <n v="249.55"/>
    <n v="4991"/>
    <n v="-249.55"/>
    <n v="-94.828616999999994"/>
    <n v="604.0606600000001"/>
    <n v="5250.6820429999998"/>
  </r>
  <r>
    <x v="5"/>
    <s v="Q3"/>
    <x v="0"/>
    <x v="55"/>
    <s v="KEPL/01140/82-83"/>
    <s v="SAFAL MART PVT.LTD"/>
    <x v="55"/>
    <n v="1"/>
    <n v="20"/>
    <n v="175.05"/>
    <n v="3500.9999999999995"/>
    <n v="-175.05"/>
    <n v="-66.518731000000002"/>
    <n v="423.72598099999999"/>
    <n v="3683.1572500000002"/>
  </r>
  <r>
    <x v="5"/>
    <s v="Q3"/>
    <x v="0"/>
    <x v="55"/>
    <s v="KEPL/01140/82-83"/>
    <s v="SAFAL MART PVT.LTD"/>
    <x v="46"/>
    <n v="1"/>
    <n v="20"/>
    <n v="175.05"/>
    <n v="3500.9999999999995"/>
    <n v="-175.05"/>
    <n v="-66.518731000000002"/>
    <n v="423.72598099999999"/>
    <n v="3683.1572500000002"/>
  </r>
  <r>
    <x v="5"/>
    <s v="Q3"/>
    <x v="0"/>
    <x v="55"/>
    <s v="KEPL/01140/82-83"/>
    <s v="SAFAL MART PVT.LTD"/>
    <x v="24"/>
    <n v="1"/>
    <n v="18"/>
    <n v="178.78"/>
    <n v="3218.0400000000004"/>
    <n v="-160.9"/>
    <n v="-61.142552999999992"/>
    <n v="389.47959099999997"/>
    <n v="3385.477038"/>
  </r>
  <r>
    <x v="5"/>
    <s v="Q3"/>
    <x v="0"/>
    <x v="55"/>
    <s v="KEPL/01140/82-83"/>
    <s v="SAFAL MART PVT.LTD"/>
    <x v="0"/>
    <n v="1"/>
    <n v="40"/>
    <n v="111.74"/>
    <n v="4469.6000000000004"/>
    <n v="-223.48"/>
    <n v="-84.922056999999995"/>
    <n v="540.95562500000005"/>
    <n v="4702.1535679999997"/>
  </r>
  <r>
    <x v="5"/>
    <s v="Q3"/>
    <x v="0"/>
    <x v="55"/>
    <s v="KEPL/01140/82-83"/>
    <s v="SAFAL MART PVT.LTD"/>
    <x v="57"/>
    <n v="1"/>
    <n v="40"/>
    <n v="111.74"/>
    <n v="4469.6000000000004"/>
    <n v="-223.48"/>
    <n v="-84.922056999999995"/>
    <n v="540.95562500000005"/>
    <n v="4702.1535679999997"/>
  </r>
  <r>
    <x v="5"/>
    <s v="Q3"/>
    <x v="0"/>
    <x v="55"/>
    <s v="KEPL/01140/82-83"/>
    <s v="SAFAL MART PVT.LTD"/>
    <x v="30"/>
    <n v="1"/>
    <n v="20"/>
    <n v="242.1"/>
    <n v="4841.9999999999991"/>
    <n v="-242.1"/>
    <n v="-91.997628000000006"/>
    <n v="586.02719200000001"/>
    <n v="5093.929564"/>
  </r>
  <r>
    <x v="5"/>
    <s v="Q3"/>
    <x v="0"/>
    <x v="55"/>
    <s v="KEPL/01140/82-83"/>
    <s v="SAFAL MART PVT.LTD"/>
    <x v="3"/>
    <n v="1"/>
    <n v="20"/>
    <n v="186.23"/>
    <n v="3724.6000000000004"/>
    <n v="-186.23"/>
    <n v="-70.767114000000007"/>
    <n v="450.78828600000003"/>
    <n v="3918.3911720000001"/>
  </r>
  <r>
    <x v="5"/>
    <s v="Q3"/>
    <x v="0"/>
    <x v="55"/>
    <s v="KEPL/01140/82-83"/>
    <s v="SAFAL MART PVT.LTD"/>
    <x v="44"/>
    <n v="1"/>
    <n v="24"/>
    <n v="186.23"/>
    <n v="4469.5200000000004"/>
    <n v="-223.48"/>
    <n v="-84.920456999999999"/>
    <n v="540.94543299999998"/>
    <n v="4702.0649759999997"/>
  </r>
  <r>
    <x v="5"/>
    <s v="Q3"/>
    <x v="0"/>
    <x v="56"/>
    <s v="KEPL/01142/82-83"/>
    <s v="SHREE BHOLEY SHANKAR KIRANA STORE"/>
    <x v="46"/>
    <n v="1"/>
    <n v="20"/>
    <n v="175.05"/>
    <n v="3500.9999999999995"/>
    <n v="-269.23"/>
    <n v="0"/>
    <n v="420.130132"/>
    <n v="3651.9001320000002"/>
  </r>
  <r>
    <x v="5"/>
    <s v="Q3"/>
    <x v="0"/>
    <x v="56"/>
    <s v="KEPL/01142/82-83"/>
    <s v="SHREE BHOLEY SHANKAR KIRANA STORE"/>
    <x v="27"/>
    <n v="1"/>
    <n v="70"/>
    <n v="37.25"/>
    <n v="2607.5"/>
    <n v="-200.52"/>
    <n v="0"/>
    <n v="312.90742399999999"/>
    <n v="2719.887424"/>
  </r>
  <r>
    <x v="5"/>
    <s v="Q3"/>
    <x v="0"/>
    <x v="56"/>
    <s v="KEPL/01142/82-83"/>
    <s v="SHREE BHOLEY SHANKAR KIRANA STORE"/>
    <x v="58"/>
    <n v="5"/>
    <n v="200"/>
    <n v="111.74"/>
    <n v="22348"/>
    <n v="-1718.56"/>
    <n v="0"/>
    <n v="2681.8274040000001"/>
    <n v="23311.267403999998"/>
  </r>
  <r>
    <x v="5"/>
    <s v="Q3"/>
    <x v="0"/>
    <x v="56"/>
    <s v="KEPL/01142/82-83"/>
    <s v="SHREE BHOLEY SHANKAR KIRANA STORE"/>
    <x v="12"/>
    <n v="1"/>
    <n v="130"/>
    <n v="33.520000000000003"/>
    <n v="4357.6000000000004"/>
    <n v="-335.1"/>
    <n v="0"/>
    <n v="522.92503999999997"/>
    <n v="4545.4250400000001"/>
  </r>
  <r>
    <x v="5"/>
    <s v="Q3"/>
    <x v="0"/>
    <x v="56"/>
    <s v="KEPL/01144/82-83"/>
    <s v="NEW MATA RANI SUPPLIERS"/>
    <x v="56"/>
    <n v="2"/>
    <n v="1600"/>
    <n v="7.45"/>
    <n v="11920"/>
    <n v="-916.65"/>
    <n v="0"/>
    <n v="1430.435215"/>
    <n v="12433.785215"/>
  </r>
  <r>
    <x v="5"/>
    <s v="Q3"/>
    <x v="0"/>
    <x v="56"/>
    <s v="KEPL/01144/82-83"/>
    <s v="NEW MATA RANI SUPPLIERS"/>
    <x v="46"/>
    <n v="2"/>
    <n v="40"/>
    <n v="175.05"/>
    <n v="7001.9999999999991"/>
    <n v="-538.45000000000005"/>
    <n v="0"/>
    <n v="840.26133200000004"/>
    <n v="7303.8113320000002"/>
  </r>
  <r>
    <x v="5"/>
    <s v="Q3"/>
    <x v="0"/>
    <x v="56"/>
    <s v="KEPL/01144/82-83"/>
    <s v="NEW MATA RANI SUPPLIERS"/>
    <x v="27"/>
    <n v="10"/>
    <n v="700"/>
    <n v="37.25"/>
    <n v="26075"/>
    <n v="-2005.1699999999998"/>
    <n v="0"/>
    <n v="3129.077276"/>
    <n v="27198.907276000002"/>
  </r>
  <r>
    <x v="5"/>
    <s v="Q3"/>
    <x v="0"/>
    <x v="56"/>
    <s v="KEPL/01144/82-83"/>
    <s v="NEW MATA RANI SUPPLIERS"/>
    <x v="13"/>
    <n v="2"/>
    <n v="48"/>
    <n v="141.53"/>
    <n v="6793.44"/>
    <n v="-522.41999999999996"/>
    <n v="0"/>
    <n v="815.232437"/>
    <n v="7086.2524370000001"/>
  </r>
  <r>
    <x v="5"/>
    <s v="Q3"/>
    <x v="0"/>
    <x v="56"/>
    <s v="KEPL/01144/82-83"/>
    <s v="NEW MATA RANI SUPPLIERS"/>
    <x v="49"/>
    <n v="2"/>
    <n v="30"/>
    <n v="260.72000000000003"/>
    <n v="7821.6"/>
    <n v="-601.48"/>
    <n v="0"/>
    <n v="938.61541299999999"/>
    <n v="8158.7354130000003"/>
  </r>
  <r>
    <x v="5"/>
    <s v="Q3"/>
    <x v="0"/>
    <x v="56"/>
    <s v="KEPL/01144/82-83"/>
    <s v="NEW MATA RANI SUPPLIERS"/>
    <x v="35"/>
    <n v="2"/>
    <n v="120"/>
    <n v="145.26"/>
    <n v="17431.2"/>
    <n v="-1340.46"/>
    <n v="0"/>
    <n v="2091.795783"/>
    <n v="18182.535782999999"/>
  </r>
  <r>
    <x v="5"/>
    <s v="Q3"/>
    <x v="0"/>
    <x v="56"/>
    <s v="KEPL/01144/82-83"/>
    <s v="NEW MATA RANI SUPPLIERS"/>
    <x v="52"/>
    <n v="15"/>
    <n v="60"/>
    <n v="595.92999999999995"/>
    <n v="35755.799999999996"/>
    <n v="-2749.62"/>
    <n v="0"/>
    <n v="4290.8025440000001"/>
    <n v="37296.982543999999"/>
  </r>
  <r>
    <x v="5"/>
    <s v="Q3"/>
    <x v="0"/>
    <x v="57"/>
    <s v="KEPL/01158/82-83"/>
    <s v="AAFNAI PASAL PVT.LTD"/>
    <x v="3"/>
    <n v="4"/>
    <n v="80"/>
    <n v="186.23"/>
    <n v="14898.400000000001"/>
    <n v="-1145.6899999999998"/>
    <n v="0"/>
    <n v="1787.8519509999999"/>
    <n v="15540.561951"/>
  </r>
  <r>
    <x v="5"/>
    <s v="Q3"/>
    <x v="0"/>
    <x v="57"/>
    <s v="KEPL/01158/82-83"/>
    <s v="AAFNAI PASAL PVT.LTD"/>
    <x v="2"/>
    <n v="1"/>
    <n v="18"/>
    <n v="178.78"/>
    <n v="3218.0400000000004"/>
    <n v="-247.47"/>
    <n v="0"/>
    <n v="386.17402500000003"/>
    <n v="3356.744025"/>
  </r>
  <r>
    <x v="5"/>
    <s v="Q3"/>
    <x v="0"/>
    <x v="57"/>
    <s v="KEPL/01158/82-83"/>
    <s v="AAFNAI PASAL PVT.LTD"/>
    <x v="25"/>
    <n v="1"/>
    <n v="18"/>
    <n v="178.78"/>
    <n v="3218.0400000000004"/>
    <n v="-247.47"/>
    <n v="0"/>
    <n v="386.17402500000003"/>
    <n v="3356.744025"/>
  </r>
  <r>
    <x v="5"/>
    <s v="Q3"/>
    <x v="0"/>
    <x v="58"/>
    <s v="KEPL/01159/82-83"/>
    <s v="AAFNAI PASAL PVT.LTD"/>
    <x v="39"/>
    <n v="2"/>
    <n v="40"/>
    <n v="249.55"/>
    <n v="9982"/>
    <n v="-767.62"/>
    <n v="0"/>
    <n v="1197.870212"/>
    <n v="10412.250212000001"/>
  </r>
  <r>
    <x v="5"/>
    <s v="Q3"/>
    <x v="0"/>
    <x v="58"/>
    <s v="KEPL/01159/82-83"/>
    <s v="AAFNAI PASAL PVT.LTD"/>
    <x v="30"/>
    <n v="2"/>
    <n v="40"/>
    <n v="242.1"/>
    <n v="9683.9999999999982"/>
    <n v="-744.7"/>
    <n v="0"/>
    <n v="1162.109788"/>
    <n v="10101.409788000001"/>
  </r>
  <r>
    <x v="5"/>
    <s v="Q3"/>
    <x v="0"/>
    <x v="58"/>
    <s v="KEPL/01161/82-83"/>
    <s v="MEGA MART PVT.LTD"/>
    <x v="35"/>
    <n v="1"/>
    <n v="60"/>
    <n v="129.41999999999999"/>
    <n v="7765.2"/>
    <n v="0"/>
    <n v="0"/>
    <n v="1009.4752540000001"/>
    <n v="8774.6752539999998"/>
  </r>
  <r>
    <x v="5"/>
    <s v="Q3"/>
    <x v="0"/>
    <x v="58"/>
    <s v="KEPL/01161/82-83"/>
    <s v="MEGA MART PVT.LTD"/>
    <x v="42"/>
    <n v="4"/>
    <n v="120"/>
    <n v="282.08"/>
    <n v="33849.599999999999"/>
    <n v="0"/>
    <n v="0"/>
    <n v="4400.4447460000001"/>
    <n v="38250.044746"/>
  </r>
  <r>
    <x v="5"/>
    <s v="Q3"/>
    <x v="0"/>
    <x v="58"/>
    <s v="KEPL/01162/82-83"/>
    <s v="SHUBHASHREE MARKETING"/>
    <x v="2"/>
    <n v="10"/>
    <n v="180"/>
    <n v="178.78"/>
    <n v="32180.400000000001"/>
    <n v="-2474.6699999999996"/>
    <n v="0"/>
    <n v="3861.7429509999997"/>
    <n v="33567.472951000003"/>
  </r>
  <r>
    <x v="5"/>
    <s v="Q3"/>
    <x v="0"/>
    <x v="58"/>
    <s v="KEPL/01162/82-83"/>
    <s v="SHUBHASHREE MARKETING"/>
    <x v="24"/>
    <n v="10"/>
    <n v="180"/>
    <n v="178.78"/>
    <n v="32180.400000000001"/>
    <n v="-2474.6699999999996"/>
    <n v="0"/>
    <n v="3861.7429509999997"/>
    <n v="33567.472951000003"/>
  </r>
  <r>
    <x v="5"/>
    <s v="Q3"/>
    <x v="0"/>
    <x v="58"/>
    <s v="KEPL/01162/82-83"/>
    <s v="SHUBHASHREE MARKETING"/>
    <x v="25"/>
    <n v="3"/>
    <n v="54"/>
    <n v="178.78"/>
    <n v="9654.119999999999"/>
    <n v="-742.4"/>
    <n v="0"/>
    <n v="1158.523015"/>
    <n v="10070.243015"/>
  </r>
  <r>
    <x v="5"/>
    <s v="Q3"/>
    <x v="0"/>
    <x v="58"/>
    <s v="KEPL/01162/82-83"/>
    <s v="SHUBHASHREE MARKETING"/>
    <x v="21"/>
    <n v="1"/>
    <n v="240"/>
    <n v="14.9"/>
    <n v="3576"/>
    <n v="-274.99"/>
    <n v="0"/>
    <n v="429.13108300000005"/>
    <n v="3730.141083"/>
  </r>
  <r>
    <x v="5"/>
    <s v="Q3"/>
    <x v="0"/>
    <x v="59"/>
    <s v="KEPL/01165/82-83"/>
    <s v="ARUNIMA TRADERS"/>
    <x v="35"/>
    <n v="1"/>
    <n v="60"/>
    <n v="145.26"/>
    <n v="8715.6"/>
    <n v="-670.23"/>
    <n v="0"/>
    <n v="1045.897825"/>
    <n v="9091.2678250000008"/>
  </r>
  <r>
    <x v="5"/>
    <s v="Q3"/>
    <x v="0"/>
    <x v="59"/>
    <s v="KEPL/01165/82-83"/>
    <s v="ARUNIMA TRADERS"/>
    <x v="49"/>
    <n v="2"/>
    <n v="30"/>
    <n v="260.72000000000003"/>
    <n v="7821.6"/>
    <n v="-601.48"/>
    <n v="0"/>
    <n v="938.61535299999991"/>
    <n v="8158.735353"/>
  </r>
  <r>
    <x v="5"/>
    <s v="Q3"/>
    <x v="0"/>
    <x v="59"/>
    <s v="KEPL/01165/82-83"/>
    <s v="ARUNIMA TRADERS"/>
    <x v="12"/>
    <n v="2"/>
    <n v="260"/>
    <n v="37.25"/>
    <n v="9685"/>
    <n v="-744.78"/>
    <n v="0"/>
    <n v="1162.2282950000001"/>
    <n v="10102.448295"/>
  </r>
  <r>
    <x v="5"/>
    <s v="Q3"/>
    <x v="0"/>
    <x v="59"/>
    <s v="KEPL/01165/82-83"/>
    <s v="ARUNIMA TRADERS"/>
    <x v="57"/>
    <n v="2"/>
    <n v="80"/>
    <n v="111.74"/>
    <n v="8939.2000000000007"/>
    <n v="-687.42"/>
    <n v="0"/>
    <n v="1072.7311179999999"/>
    <n v="9324.5111180000004"/>
  </r>
  <r>
    <x v="5"/>
    <s v="Q3"/>
    <x v="0"/>
    <x v="59"/>
    <s v="KEPL/01165/82-83"/>
    <s v="ARUNIMA TRADERS"/>
    <x v="13"/>
    <n v="1"/>
    <n v="24"/>
    <n v="141.53"/>
    <n v="3396.72"/>
    <n v="-261.20999999999998"/>
    <n v="0"/>
    <n v="407.61619300000001"/>
    <n v="3543.1261930000001"/>
  </r>
  <r>
    <x v="5"/>
    <s v="Q3"/>
    <x v="0"/>
    <x v="59"/>
    <s v="KEPL/01165/82-83"/>
    <s v="ARUNIMA TRADERS"/>
    <x v="45"/>
    <n v="2"/>
    <n v="30"/>
    <n v="260.72000000000003"/>
    <n v="7821.6"/>
    <n v="-601.48"/>
    <n v="0"/>
    <n v="938.61535299999991"/>
    <n v="8158.735353"/>
  </r>
  <r>
    <x v="5"/>
    <s v="Q3"/>
    <x v="0"/>
    <x v="59"/>
    <s v="KEPL/01165/82-83"/>
    <s v="ARUNIMA TRADERS"/>
    <x v="46"/>
    <n v="2"/>
    <n v="40"/>
    <n v="175.05"/>
    <n v="7001.9999999999991"/>
    <n v="-538.45000000000005"/>
    <n v="0"/>
    <n v="840.26127899999994"/>
    <n v="7303.8112789999996"/>
  </r>
  <r>
    <x v="5"/>
    <s v="Q3"/>
    <x v="0"/>
    <x v="59"/>
    <s v="KEPL/01165/82-83"/>
    <s v="ARUNIMA TRADERS"/>
    <x v="27"/>
    <n v="2"/>
    <n v="140"/>
    <n v="37.25"/>
    <n v="5215"/>
    <n v="-401.03"/>
    <n v="0"/>
    <n v="625.81593599999997"/>
    <n v="5439.7859360000002"/>
  </r>
  <r>
    <x v="5"/>
    <s v="Q3"/>
    <x v="0"/>
    <x v="59"/>
    <s v="KEPL/01165/82-83"/>
    <s v="ARUNIMA TRADERS"/>
    <x v="36"/>
    <n v="1"/>
    <n v="40"/>
    <n v="81.94"/>
    <n v="3277.6"/>
    <n v="-252.05"/>
    <n v="0"/>
    <n v="393.32139699999999"/>
    <n v="3418.8713969999999"/>
  </r>
  <r>
    <x v="5"/>
    <s v="Q3"/>
    <x v="0"/>
    <x v="59"/>
    <s v="KEPL/01165/82-83"/>
    <s v="ARUNIMA TRADERS"/>
    <x v="52"/>
    <n v="2"/>
    <n v="8"/>
    <n v="595.92999999999995"/>
    <n v="4767.4399999999996"/>
    <n v="-366.62"/>
    <n v="0"/>
    <n v="572.10645"/>
    <n v="4972.9264499999999"/>
  </r>
  <r>
    <x v="5"/>
    <s v="Q3"/>
    <x v="0"/>
    <x v="59"/>
    <s v="KEPL/01165/82-83"/>
    <s v="ARUNIMA TRADERS"/>
    <x v="0"/>
    <n v="2"/>
    <n v="80"/>
    <n v="111.74"/>
    <n v="8939.2000000000007"/>
    <n v="-687.42"/>
    <n v="0"/>
    <n v="1072.7311179999999"/>
    <n v="9324.5111180000004"/>
  </r>
  <r>
    <x v="5"/>
    <s v="Q3"/>
    <x v="0"/>
    <x v="59"/>
    <s v="KEPL/01165/82-83"/>
    <s v="ARUNIMA TRADERS"/>
    <x v="39"/>
    <n v="2"/>
    <n v="40"/>
    <n v="249.55"/>
    <n v="9982"/>
    <n v="-767.62"/>
    <n v="0"/>
    <n v="1197.869085"/>
    <n v="10412.249084999999"/>
  </r>
  <r>
    <x v="5"/>
    <s v="Q3"/>
    <x v="0"/>
    <x v="59"/>
    <s v="KEPL/01165/82-83"/>
    <s v="ARUNIMA TRADERS"/>
    <x v="55"/>
    <n v="2"/>
    <n v="40"/>
    <n v="175.05"/>
    <n v="7001.9999999999991"/>
    <n v="-538.45000000000005"/>
    <n v="0"/>
    <n v="840.26127899999994"/>
    <n v="7303.8112789999996"/>
  </r>
  <r>
    <x v="5"/>
    <s v="Q3"/>
    <x v="0"/>
    <x v="59"/>
    <s v="KEPL/01165/82-83"/>
    <s v="ARUNIMA TRADERS"/>
    <x v="47"/>
    <n v="2"/>
    <n v="80"/>
    <n v="111.74"/>
    <n v="8939.2000000000007"/>
    <n v="-687.42"/>
    <n v="0"/>
    <n v="1072.7311179999999"/>
    <n v="9324.5111180000004"/>
  </r>
  <r>
    <x v="5"/>
    <s v="Q3"/>
    <x v="0"/>
    <x v="59"/>
    <s v="KEPL/01165/82-83"/>
    <s v="ARUNIMA TRADERS"/>
    <x v="54"/>
    <n v="1"/>
    <n v="20"/>
    <n v="175.05"/>
    <n v="3500.9999999999995"/>
    <n v="-269.23"/>
    <n v="0"/>
    <n v="420.12998999999996"/>
    <n v="3651.8999899999999"/>
  </r>
  <r>
    <x v="5"/>
    <s v="Q3"/>
    <x v="0"/>
    <x v="59"/>
    <s v="KEPL/01165/82-83"/>
    <s v="ARUNIMA TRADERS"/>
    <x v="56"/>
    <n v="1"/>
    <n v="800"/>
    <n v="7.45"/>
    <n v="5960"/>
    <n v="-458.32"/>
    <n v="0"/>
    <n v="715.21821199999999"/>
    <n v="6216.8982120000001"/>
  </r>
  <r>
    <x v="5"/>
    <s v="Q3"/>
    <x v="0"/>
    <x v="60"/>
    <s v="KEPL/01177/82-83"/>
    <s v="RAJU KIRANA PASAL"/>
    <x v="56"/>
    <n v="2"/>
    <n v="1600"/>
    <n v="7.45"/>
    <n v="11920"/>
    <n v="-916.65"/>
    <n v="0"/>
    <n v="1430.4352769999998"/>
    <n v="12433.785277000001"/>
  </r>
  <r>
    <x v="5"/>
    <s v="Q3"/>
    <x v="0"/>
    <x v="60"/>
    <s v="KEPL/01177/82-83"/>
    <s v="RAJU KIRANA PASAL"/>
    <x v="35"/>
    <n v="2"/>
    <n v="120"/>
    <n v="145.26"/>
    <n v="17431.2"/>
    <n v="-1340.46"/>
    <n v="0"/>
    <n v="2091.7958739999999"/>
    <n v="18182.535874000001"/>
  </r>
  <r>
    <x v="5"/>
    <s v="Q3"/>
    <x v="0"/>
    <x v="60"/>
    <s v="KEPL/01177/82-83"/>
    <s v="RAJU KIRANA PASAL"/>
    <x v="41"/>
    <n v="0.5"/>
    <n v="20"/>
    <n v="67.040000000000006"/>
    <n v="1340.8"/>
    <n v="-103.11"/>
    <n v="0"/>
    <n v="160.89967499999997"/>
    <n v="1398.5896749999999"/>
  </r>
  <r>
    <x v="5"/>
    <s v="Q3"/>
    <x v="0"/>
    <x v="60"/>
    <s v="KEPL/01177/82-83"/>
    <s v="RAJU KIRANA PASAL"/>
    <x v="33"/>
    <n v="0.5"/>
    <n v="20"/>
    <n v="67.040000000000006"/>
    <n v="1340.8"/>
    <n v="-103.11"/>
    <n v="0"/>
    <n v="160.89967499999997"/>
    <n v="1398.5896749999999"/>
  </r>
  <r>
    <x v="5"/>
    <s v="Q3"/>
    <x v="0"/>
    <x v="60"/>
    <s v="KEPL/01177/82-83"/>
    <s v="RAJU KIRANA PASAL"/>
    <x v="34"/>
    <n v="0.5"/>
    <n v="20"/>
    <n v="67.040000000000006"/>
    <n v="1340.8"/>
    <n v="-103.11"/>
    <n v="0"/>
    <n v="160.89967499999997"/>
    <n v="1398.5896749999999"/>
  </r>
  <r>
    <x v="5"/>
    <s v="Q3"/>
    <x v="0"/>
    <x v="60"/>
    <s v="KEPL/01177/82-83"/>
    <s v="RAJU KIRANA PASAL"/>
    <x v="39"/>
    <n v="1"/>
    <n v="20"/>
    <n v="249.55"/>
    <n v="4991"/>
    <n v="-383.81"/>
    <n v="0"/>
    <n v="598.93460700000003"/>
    <n v="5206.1246069999997"/>
  </r>
  <r>
    <x v="5"/>
    <s v="Q3"/>
    <x v="0"/>
    <x v="60"/>
    <s v="KEPL/01177/82-83"/>
    <s v="RAJU KIRANA PASAL"/>
    <x v="57"/>
    <n v="5"/>
    <n v="200"/>
    <n v="111.74"/>
    <n v="22348"/>
    <n v="-1718.56"/>
    <n v="0"/>
    <n v="2681.8267819999996"/>
    <n v="23311.266781999999"/>
  </r>
  <r>
    <x v="5"/>
    <s v="Q3"/>
    <x v="0"/>
    <x v="60"/>
    <s v="KEPL/01177/82-83"/>
    <s v="RAJU KIRANA PASAL"/>
    <x v="45"/>
    <n v="1"/>
    <n v="15"/>
    <n v="260.72000000000003"/>
    <n v="3910.8"/>
    <n v="-300.74"/>
    <n v="0"/>
    <n v="469.307727"/>
    <n v="4079.3677269999998"/>
  </r>
  <r>
    <x v="5"/>
    <s v="Q3"/>
    <x v="0"/>
    <x v="60"/>
    <s v="KEPL/01177/82-83"/>
    <s v="RAJU KIRANA PASAL"/>
    <x v="27"/>
    <n v="5"/>
    <n v="350"/>
    <n v="37.25"/>
    <n v="13037.5"/>
    <n v="-1002.58"/>
    <n v="0"/>
    <n v="1564.539356"/>
    <n v="13599.459355999999"/>
  </r>
  <r>
    <x v="5"/>
    <s v="Q3"/>
    <x v="0"/>
    <x v="60"/>
    <s v="KEPL/01177/82-83"/>
    <s v="RAJU KIRANA PASAL"/>
    <x v="46"/>
    <n v="2"/>
    <n v="40"/>
    <n v="175.06"/>
    <n v="7002.4"/>
    <n v="-538.48"/>
    <n v="0"/>
    <n v="840.30946899999992"/>
    <n v="7304.2294689999999"/>
  </r>
  <r>
    <x v="5"/>
    <s v="Q3"/>
    <x v="0"/>
    <x v="60"/>
    <s v="KEPL/01177/82-83"/>
    <s v="RAJU KIRANA PASAL"/>
    <x v="12"/>
    <n v="1"/>
    <n v="130"/>
    <n v="37.25"/>
    <n v="4842.5"/>
    <n v="-372.39"/>
    <n v="0"/>
    <n v="581.11420899999996"/>
    <n v="5051.224209"/>
  </r>
  <r>
    <x v="5"/>
    <s v="Q3"/>
    <x v="0"/>
    <x v="60"/>
    <s v="KEPL/01177/82-83"/>
    <s v="RAJU KIRANA PASAL"/>
    <x v="55"/>
    <n v="2"/>
    <n v="40"/>
    <n v="175.06"/>
    <n v="7002.4"/>
    <n v="-538.48"/>
    <n v="0"/>
    <n v="840.30946899999992"/>
    <n v="7304.2294689999999"/>
  </r>
  <r>
    <x v="5"/>
    <s v="Q3"/>
    <x v="0"/>
    <x v="60"/>
    <s v="KEPL/01177/82-83"/>
    <s v="RAJU KIRANA PASAL"/>
    <x v="47"/>
    <n v="5"/>
    <n v="200"/>
    <n v="111.74"/>
    <n v="22348"/>
    <n v="-1718.56"/>
    <n v="0"/>
    <n v="2681.8267819999996"/>
    <n v="23311.266781999999"/>
  </r>
  <r>
    <x v="5"/>
    <s v="Q3"/>
    <x v="0"/>
    <x v="60"/>
    <s v="KEPL/01177/82-83"/>
    <s v="RAJU KIRANA PASAL"/>
    <x v="49"/>
    <n v="2"/>
    <n v="30"/>
    <n v="260.72000000000003"/>
    <n v="7821.6"/>
    <n v="-601.48"/>
    <n v="0"/>
    <n v="938.615454"/>
    <n v="8158.7354539999997"/>
  </r>
  <r>
    <x v="5"/>
    <s v="Q3"/>
    <x v="0"/>
    <x v="60"/>
    <s v="KEPL/01177/82-83"/>
    <s v="RAJU KIRANA PASAL"/>
    <x v="0"/>
    <n v="2"/>
    <n v="80"/>
    <n v="111.74"/>
    <n v="8939.2000000000007"/>
    <n v="-687.42"/>
    <n v="0"/>
    <n v="1072.731233"/>
    <n v="9324.5112329999993"/>
  </r>
  <r>
    <x v="5"/>
    <s v="Q3"/>
    <x v="0"/>
    <x v="60"/>
    <s v="KEPL/01177/82-83"/>
    <s v="RAJU KIRANA PASAL"/>
    <x v="54"/>
    <n v="1"/>
    <n v="20"/>
    <n v="175.06"/>
    <n v="3501.2"/>
    <n v="-269.24"/>
    <n v="0"/>
    <n v="420.15473500000002"/>
    <n v="3652.1147350000001"/>
  </r>
  <r>
    <x v="5"/>
    <s v="Q3"/>
    <x v="0"/>
    <x v="60"/>
    <s v="KEPL/01178/82-83"/>
    <s v="NAWA ATITHI STORES"/>
    <x v="13"/>
    <n v="2"/>
    <n v="48"/>
    <n v="141.54"/>
    <n v="6793.92"/>
    <n v="-522.45000000000005"/>
    <n v="0"/>
    <n v="815.29149900000004"/>
    <n v="7086.7614990000002"/>
  </r>
  <r>
    <x v="5"/>
    <s v="Q3"/>
    <x v="0"/>
    <x v="60"/>
    <s v="KEPL/01178/82-83"/>
    <s v="NAWA ATITHI STORES"/>
    <x v="52"/>
    <n v="5"/>
    <n v="20"/>
    <n v="595.92999999999995"/>
    <n v="11918.6"/>
    <n v="-916.54"/>
    <n v="0"/>
    <n v="1430.268501"/>
    <n v="12432.328501"/>
  </r>
  <r>
    <x v="5"/>
    <s v="Q3"/>
    <x v="0"/>
    <x v="60"/>
    <s v="KEPL/01179/82-83"/>
    <s v="MEGA MART PVT.LTD"/>
    <x v="55"/>
    <n v="33"/>
    <n v="660"/>
    <n v="155.97"/>
    <n v="102940.2"/>
    <n v="0"/>
    <n v="0"/>
    <n v="13382.227031"/>
    <n v="116322.427031"/>
  </r>
  <r>
    <x v="5"/>
    <s v="Q3"/>
    <x v="0"/>
    <x v="60"/>
    <s v="KEPL/01179/82-83"/>
    <s v="MEGA MART PVT.LTD"/>
    <x v="46"/>
    <n v="31"/>
    <n v="620"/>
    <n v="155.97"/>
    <n v="96701.4"/>
    <n v="0"/>
    <n v="0"/>
    <n v="12571.182969000001"/>
    <n v="109272.582969"/>
  </r>
  <r>
    <x v="5"/>
    <s v="Q3"/>
    <x v="0"/>
    <x v="60"/>
    <s v="KEPL/01180/82-83"/>
    <s v="KRISHMA ENTERPRISES"/>
    <x v="36"/>
    <n v="2"/>
    <n v="80"/>
    <n v="81.94"/>
    <n v="6555.2"/>
    <n v="-504.09"/>
    <n v="0"/>
    <n v="786.6442209999999"/>
    <n v="6837.7542210000001"/>
  </r>
  <r>
    <x v="5"/>
    <s v="Q3"/>
    <x v="0"/>
    <x v="60"/>
    <s v="KEPL/01180/82-83"/>
    <s v="KRISHMA ENTERPRISES"/>
    <x v="2"/>
    <n v="10"/>
    <n v="180"/>
    <n v="178.78"/>
    <n v="32180.400000000001"/>
    <n v="-2474.6699999999996"/>
    <n v="0"/>
    <n v="3861.7445130000001"/>
    <n v="33567.474513000001"/>
  </r>
  <r>
    <x v="5"/>
    <s v="Q3"/>
    <x v="0"/>
    <x v="60"/>
    <s v="KEPL/01180/82-83"/>
    <s v="KRISHMA ENTERPRISES"/>
    <x v="26"/>
    <n v="10"/>
    <n v="180"/>
    <n v="178.78"/>
    <n v="32180.400000000001"/>
    <n v="-2474.6699999999996"/>
    <n v="0"/>
    <n v="3861.7445130000001"/>
    <n v="33567.474513000001"/>
  </r>
  <r>
    <x v="5"/>
    <s v="Q3"/>
    <x v="0"/>
    <x v="60"/>
    <s v="KEPL/01180/82-83"/>
    <s v="KRISHMA ENTERPRISES"/>
    <x v="24"/>
    <n v="40"/>
    <n v="720"/>
    <n v="178.78"/>
    <n v="128721.60000000001"/>
    <n v="-9898.6899999999987"/>
    <n v="0"/>
    <n v="15446.976752999999"/>
    <n v="134269.886753"/>
  </r>
  <r>
    <x v="5"/>
    <s v="Q3"/>
    <x v="0"/>
    <x v="60"/>
    <s v="KEPL/01182/82-83"/>
    <s v="GORIN TRADING "/>
    <x v="39"/>
    <n v="2"/>
    <n v="40"/>
    <n v="249.55"/>
    <n v="9982"/>
    <n v="-767.62"/>
    <n v="0"/>
    <n v="1197.8698650000001"/>
    <n v="10412.249865"/>
  </r>
  <r>
    <x v="5"/>
    <s v="Q3"/>
    <x v="0"/>
    <x v="60"/>
    <s v="KEPL/01182/82-83"/>
    <s v="GORIN TRADING "/>
    <x v="54"/>
    <n v="1"/>
    <n v="20"/>
    <n v="175.06"/>
    <n v="3501.2"/>
    <n v="-269.24"/>
    <n v="0"/>
    <n v="420.15496300000001"/>
    <n v="3652.114963"/>
  </r>
  <r>
    <x v="5"/>
    <s v="Q3"/>
    <x v="0"/>
    <x v="60"/>
    <s v="KEPL/01182/82-83"/>
    <s v="GORIN TRADING "/>
    <x v="13"/>
    <n v="2"/>
    <n v="48"/>
    <n v="141.54"/>
    <n v="6793.92"/>
    <n v="-522.45000000000005"/>
    <n v="0"/>
    <n v="815.29141699999991"/>
    <n v="7086.7614169999997"/>
  </r>
  <r>
    <x v="5"/>
    <s v="Q3"/>
    <x v="0"/>
    <x v="60"/>
    <s v="KEPL/01182/82-83"/>
    <s v="GORIN TRADING "/>
    <x v="28"/>
    <n v="1"/>
    <n v="20"/>
    <n v="204.85"/>
    <n v="4097"/>
    <n v="-315.06"/>
    <n v="0"/>
    <n v="491.65239099999997"/>
    <n v="4273.5923910000001"/>
  </r>
  <r>
    <x v="5"/>
    <s v="Q3"/>
    <x v="0"/>
    <x v="60"/>
    <s v="KEPL/01182/82-83"/>
    <s v="GORIN TRADING "/>
    <x v="46"/>
    <n v="2"/>
    <n v="40"/>
    <n v="175.06"/>
    <n v="7002.4"/>
    <n v="-538.48"/>
    <n v="0"/>
    <n v="840.30992600000002"/>
    <n v="7304.229926"/>
  </r>
  <r>
    <x v="5"/>
    <s v="Q3"/>
    <x v="0"/>
    <x v="60"/>
    <s v="KEPL/01182/82-83"/>
    <s v="GORIN TRADING "/>
    <x v="30"/>
    <n v="1"/>
    <n v="20"/>
    <n v="242.1"/>
    <n v="4841.9999999999991"/>
    <n v="-372.35"/>
    <n v="0"/>
    <n v="581.05472599999996"/>
    <n v="5050.7047259999999"/>
  </r>
  <r>
    <x v="5"/>
    <s v="Q3"/>
    <x v="0"/>
    <x v="60"/>
    <s v="KEPL/01182/82-83"/>
    <s v="GORIN TRADING "/>
    <x v="52"/>
    <n v="10"/>
    <n v="40"/>
    <n v="595.92999999999995"/>
    <n v="23837.200000000001"/>
    <n v="-1833.08"/>
    <n v="0"/>
    <n v="2860.5367109999997"/>
    <n v="24864.656711"/>
  </r>
  <r>
    <x v="5"/>
    <s v="Q3"/>
    <x v="0"/>
    <x v="60"/>
    <s v="KEPL/01186/82-83"/>
    <s v="SHUBHASHREE MARKETING"/>
    <x v="53"/>
    <n v="2"/>
    <n v="80"/>
    <n v="81.94"/>
    <n v="6555.2"/>
    <n v="-504.09"/>
    <n v="0"/>
    <n v="786.644452"/>
    <n v="6837.7544520000001"/>
  </r>
  <r>
    <x v="5"/>
    <s v="Q3"/>
    <x v="0"/>
    <x v="60"/>
    <s v="KEPL/01186/82-83"/>
    <s v="SHUBHASHREE MARKETING"/>
    <x v="55"/>
    <n v="2"/>
    <n v="40"/>
    <n v="175.06"/>
    <n v="7002.4"/>
    <n v="-538.48"/>
    <n v="0"/>
    <n v="840.30976199999998"/>
    <n v="7304.2297619999999"/>
  </r>
  <r>
    <x v="5"/>
    <s v="Q3"/>
    <x v="0"/>
    <x v="60"/>
    <s v="KEPL/01186/82-83"/>
    <s v="SHUBHASHREE MARKETING"/>
    <x v="47"/>
    <n v="3"/>
    <n v="120"/>
    <n v="111.74"/>
    <n v="13408.8"/>
    <n v="-1031.1400000000001"/>
    <n v="0"/>
    <n v="1609.0961109999998"/>
    <n v="13986.756111000001"/>
  </r>
  <r>
    <x v="5"/>
    <s v="Q3"/>
    <x v="0"/>
    <x v="60"/>
    <s v="KEPL/01186/82-83"/>
    <s v="SHUBHASHREE MARKETING"/>
    <x v="39"/>
    <n v="6"/>
    <n v="120"/>
    <n v="249.55"/>
    <n v="29946"/>
    <n v="-2302.85"/>
    <n v="0"/>
    <n v="3593.6101939999999"/>
    <n v="31236.760193999999"/>
  </r>
  <r>
    <x v="5"/>
    <s v="Q3"/>
    <x v="0"/>
    <x v="60"/>
    <s v="KEPL/01186/82-83"/>
    <s v="SHUBHASHREE MARKETING"/>
    <x v="57"/>
    <n v="2"/>
    <n v="80"/>
    <n v="111.74"/>
    <n v="8939.2000000000007"/>
    <n v="-687.42"/>
    <n v="0"/>
    <n v="1072.7316069999999"/>
    <n v="9324.5116070000004"/>
  </r>
  <r>
    <x v="5"/>
    <s v="Q3"/>
    <x v="0"/>
    <x v="60"/>
    <s v="KEPL/01186/82-83"/>
    <s v="SHUBHASHREE MARKETING"/>
    <x v="45"/>
    <n v="1"/>
    <n v="15"/>
    <n v="260.72000000000003"/>
    <n v="3910.8"/>
    <n v="-300.74"/>
    <n v="0"/>
    <n v="469.30789099999998"/>
    <n v="4079.3678909999999"/>
  </r>
  <r>
    <x v="5"/>
    <s v="Q3"/>
    <x v="0"/>
    <x v="60"/>
    <s v="KEPL/01186/82-83"/>
    <s v="SHUBHASHREE MARKETING"/>
    <x v="46"/>
    <n v="3"/>
    <n v="60"/>
    <n v="175.06"/>
    <n v="10503.6"/>
    <n v="-807.7299999999999"/>
    <n v="0"/>
    <n v="1260.4633429999999"/>
    <n v="10956.333343"/>
  </r>
  <r>
    <x v="5"/>
    <s v="Q3"/>
    <x v="0"/>
    <x v="60"/>
    <s v="KEPL/01186/82-83"/>
    <s v="SHUBHASHREE MARKETING"/>
    <x v="50"/>
    <n v="1"/>
    <n v="240"/>
    <n v="14.9"/>
    <n v="3576"/>
    <n v="-274.99"/>
    <n v="0"/>
    <n v="429.13138299999997"/>
    <n v="3730.1413830000001"/>
  </r>
  <r>
    <x v="5"/>
    <s v="Q3"/>
    <x v="0"/>
    <x v="60"/>
    <s v="KEPL/01186/82-83"/>
    <s v="SHUBHASHREE MARKETING"/>
    <x v="0"/>
    <n v="1"/>
    <n v="40"/>
    <n v="111.74"/>
    <n v="4469.6000000000004"/>
    <n v="-343.71"/>
    <n v="0"/>
    <n v="536.36580400000003"/>
    <n v="4662.2558040000004"/>
  </r>
  <r>
    <x v="5"/>
    <s v="Q3"/>
    <x v="0"/>
    <x v="60"/>
    <s v="KEPL/01186/82-83"/>
    <s v="SHUBHASHREE MARKETING"/>
    <x v="49"/>
    <n v="5"/>
    <n v="75"/>
    <n v="260.72000000000003"/>
    <n v="19554"/>
    <n v="-1503.6999999999998"/>
    <n v="0"/>
    <n v="2346.5394529999999"/>
    <n v="20396.839453000001"/>
  </r>
  <r>
    <x v="5"/>
    <s v="Q3"/>
    <x v="0"/>
    <x v="61"/>
    <s v="KEPL/01200/82-83"/>
    <s v="NEW MATA RANI SUPPLIERS"/>
    <x v="60"/>
    <n v="5"/>
    <n v="5000"/>
    <n v="1.86"/>
    <n v="9300"/>
    <n v="-715.17"/>
    <n v="0"/>
    <n v="1116.03"/>
    <n v="9700.86"/>
  </r>
  <r>
    <x v="5"/>
    <s v="Q3"/>
    <x v="0"/>
    <x v="61"/>
    <s v="KEPL/01201/82-83"/>
    <s v="R.P DISTRIBUTOR TRADE CENTER"/>
    <x v="46"/>
    <n v="3"/>
    <n v="60"/>
    <n v="175.06"/>
    <n v="10503.6"/>
    <n v="-807.7299999999999"/>
    <n v="0"/>
    <n v="1260.462949"/>
    <n v="10956.332949"/>
  </r>
  <r>
    <x v="5"/>
    <s v="Q3"/>
    <x v="0"/>
    <x v="61"/>
    <s v="KEPL/01201/82-83"/>
    <s v="R.P DISTRIBUTOR TRADE CENTER"/>
    <x v="49"/>
    <n v="3"/>
    <n v="45"/>
    <n v="260.72000000000003"/>
    <n v="11732.4"/>
    <n v="-902.22"/>
    <n v="0"/>
    <n v="1407.9232319999999"/>
    <n v="12238.103231999999"/>
  </r>
  <r>
    <x v="5"/>
    <s v="Q3"/>
    <x v="0"/>
    <x v="61"/>
    <s v="KEPL/01201/82-83"/>
    <s v="R.P DISTRIBUTOR TRADE CENTER"/>
    <x v="47"/>
    <n v="5"/>
    <n v="200"/>
    <n v="111.74"/>
    <n v="22348"/>
    <n v="-1718.56"/>
    <n v="0"/>
    <n v="2681.8268799999996"/>
    <n v="23311.266879999999"/>
  </r>
  <r>
    <x v="5"/>
    <s v="Q3"/>
    <x v="0"/>
    <x v="61"/>
    <s v="KEPL/01201/82-83"/>
    <s v="R.P DISTRIBUTOR TRADE CENTER"/>
    <x v="27"/>
    <n v="15"/>
    <n v="1050"/>
    <n v="37.25"/>
    <n v="39112.5"/>
    <n v="-3007.75"/>
    <n v="0"/>
    <n v="4693.6169389999995"/>
    <n v="40798.366939"/>
  </r>
  <r>
    <x v="5"/>
    <s v="Q3"/>
    <x v="0"/>
    <x v="61"/>
    <s v="KEPL/01202/82-83"/>
    <s v="GORIN TRADING "/>
    <x v="13"/>
    <n v="1"/>
    <n v="24"/>
    <n v="141.54"/>
    <n v="3396.96"/>
    <n v="-261.23"/>
    <n v="0"/>
    <n v="407.64370199999996"/>
    <n v="3543.3737019999999"/>
  </r>
  <r>
    <x v="5"/>
    <s v="Q3"/>
    <x v="0"/>
    <x v="61"/>
    <s v="KEPL/01202/82-83"/>
    <s v="GORIN TRADING "/>
    <x v="56"/>
    <n v="1"/>
    <n v="800"/>
    <n v="7.45"/>
    <n v="5960"/>
    <n v="-458.32"/>
    <n v="0"/>
    <n v="715.21629799999994"/>
    <n v="6216.8962979999997"/>
  </r>
  <r>
    <x v="5"/>
    <s v="Q3"/>
    <x v="0"/>
    <x v="61"/>
    <s v="KEPL/01203/82-83"/>
    <s v="AASHI TRADERS"/>
    <x v="39"/>
    <n v="2"/>
    <n v="40"/>
    <n v="249.55"/>
    <n v="9982"/>
    <n v="-767.62"/>
    <n v="0"/>
    <n v="1197.8697279999999"/>
    <n v="10412.249728000001"/>
  </r>
  <r>
    <x v="5"/>
    <s v="Q3"/>
    <x v="0"/>
    <x v="61"/>
    <s v="KEPL/01203/82-83"/>
    <s v="AASHI TRADERS"/>
    <x v="13"/>
    <n v="5"/>
    <n v="120"/>
    <n v="141.54"/>
    <n v="16984.8"/>
    <n v="-1306.1299999999999"/>
    <n v="0"/>
    <n v="2038.227658"/>
    <n v="17716.897658000002"/>
  </r>
  <r>
    <x v="5"/>
    <s v="Q3"/>
    <x v="0"/>
    <x v="61"/>
    <s v="KEPL/01203/82-83"/>
    <s v="AASHI TRADERS"/>
    <x v="28"/>
    <n v="2"/>
    <n v="40"/>
    <n v="204.85"/>
    <n v="8194"/>
    <n v="-630.12"/>
    <n v="0"/>
    <n v="983.30466899999999"/>
    <n v="8547.1846690000002"/>
  </r>
  <r>
    <x v="5"/>
    <s v="Q3"/>
    <x v="0"/>
    <x v="61"/>
    <s v="KEPL/01203/82-83"/>
    <s v="AASHI TRADERS"/>
    <x v="48"/>
    <n v="2"/>
    <n v="40"/>
    <n v="204.85"/>
    <n v="8194"/>
    <n v="-630.12"/>
    <n v="0"/>
    <n v="983.30466899999999"/>
    <n v="8547.1846690000002"/>
  </r>
  <r>
    <x v="5"/>
    <s v="Q3"/>
    <x v="0"/>
    <x v="61"/>
    <s v="KEPL/01203/82-83"/>
    <s v="AASHI TRADERS"/>
    <x v="55"/>
    <n v="5"/>
    <n v="100"/>
    <n v="175.06"/>
    <n v="17506"/>
    <n v="-1346.21"/>
    <n v="0"/>
    <n v="2100.773275"/>
    <n v="18260.563275"/>
  </r>
  <r>
    <x v="5"/>
    <s v="Q3"/>
    <x v="0"/>
    <x v="62"/>
    <s v="KEPL/01210/82-83"/>
    <s v="MALIKA DISTRIBUTORS NEPAL PVT LTD."/>
    <x v="52"/>
    <n v="20"/>
    <n v="80"/>
    <n v="595.92999999999995"/>
    <n v="47674.400000000001"/>
    <n v="-3666.16"/>
    <n v="0"/>
    <n v="5721.0700000000006"/>
    <n v="49729.31"/>
  </r>
  <r>
    <x v="5"/>
    <s v="Q3"/>
    <x v="0"/>
    <x v="62"/>
    <s v="KEPL/01212/82-83"/>
    <s v="SIMPEX SOLUTION PVT. LTD"/>
    <x v="36"/>
    <n v="0.5"/>
    <n v="20"/>
    <n v="77.88"/>
    <n v="1557.6"/>
    <n v="0"/>
    <n v="0"/>
    <n v="202.488123"/>
    <n v="1760.088123"/>
  </r>
  <r>
    <x v="5"/>
    <s v="Q3"/>
    <x v="0"/>
    <x v="62"/>
    <s v="KEPL/01212/82-83"/>
    <s v="SIMPEX SOLUTION PVT. LTD"/>
    <x v="57"/>
    <n v="0.5"/>
    <n v="20"/>
    <n v="106.19"/>
    <n v="2123.8000000000002"/>
    <n v="0"/>
    <n v="0"/>
    <n v="276.09416800000002"/>
    <n v="2399.8941679999998"/>
  </r>
  <r>
    <x v="5"/>
    <s v="Q3"/>
    <x v="0"/>
    <x v="62"/>
    <s v="KEPL/01212/82-83"/>
    <s v="SIMPEX SOLUTION PVT. LTD"/>
    <x v="32"/>
    <n v="0.5"/>
    <n v="30"/>
    <n v="106.19"/>
    <n v="3185.7"/>
    <n v="0"/>
    <n v="0"/>
    <n v="414.14125100000001"/>
    <n v="3599.8412509999998"/>
  </r>
  <r>
    <x v="5"/>
    <s v="Q3"/>
    <x v="0"/>
    <x v="62"/>
    <s v="KEPL/01212/82-83"/>
    <s v="SIMPEX SOLUTION PVT. LTD"/>
    <x v="47"/>
    <n v="0.5"/>
    <n v="20"/>
    <n v="106.19"/>
    <n v="2123.8000000000002"/>
    <n v="0"/>
    <n v="0"/>
    <n v="276.09416800000002"/>
    <n v="2399.8941679999998"/>
  </r>
  <r>
    <x v="5"/>
    <s v="Q3"/>
    <x v="0"/>
    <x v="62"/>
    <s v="KEPL/01212/82-83"/>
    <s v="SIMPEX SOLUTION PVT. LTD"/>
    <x v="53"/>
    <n v="0.5"/>
    <n v="20"/>
    <n v="77.88"/>
    <n v="1557.6"/>
    <n v="0"/>
    <n v="0"/>
    <n v="202.488123"/>
    <n v="1760.088123"/>
  </r>
  <r>
    <x v="5"/>
    <s v="Q3"/>
    <x v="0"/>
    <x v="62"/>
    <s v="KEPL/01212/82-83"/>
    <s v="SIMPEX SOLUTION PVT. LTD"/>
    <x v="58"/>
    <n v="0.5"/>
    <n v="20"/>
    <n v="106.19"/>
    <n v="2123.8000000000002"/>
    <n v="0"/>
    <n v="0"/>
    <n v="276.09416800000002"/>
    <n v="2399.8941679999998"/>
  </r>
  <r>
    <x v="5"/>
    <s v="Q3"/>
    <x v="0"/>
    <x v="63"/>
    <s v="KEPL/01229/82-83"/>
    <s v="BEERA BARJEE INTERNATIONAL PVT.LTD"/>
    <x v="46"/>
    <n v="2"/>
    <n v="40"/>
    <n v="175.06"/>
    <n v="7002.4"/>
    <n v="-538.48"/>
    <n v="0"/>
    <n v="840.30977699999994"/>
    <n v="7304.2297769999996"/>
  </r>
  <r>
    <x v="5"/>
    <s v="Q3"/>
    <x v="0"/>
    <x v="63"/>
    <s v="KEPL/01229/82-83"/>
    <s v="BEERA BARJEE INTERNATIONAL PVT.LTD"/>
    <x v="36"/>
    <n v="2"/>
    <n v="80"/>
    <n v="81.94"/>
    <n v="6555.2"/>
    <n v="-504.09"/>
    <n v="0"/>
    <n v="786.64446600000008"/>
    <n v="6837.7544660000003"/>
  </r>
  <r>
    <x v="5"/>
    <s v="Q3"/>
    <x v="0"/>
    <x v="63"/>
    <s v="KEPL/01229/82-83"/>
    <s v="BEERA BARJEE INTERNATIONAL PVT.LTD"/>
    <x v="31"/>
    <n v="1"/>
    <n v="60"/>
    <n v="111.74"/>
    <n v="6704.4"/>
    <n v="-515.57000000000005"/>
    <n v="0"/>
    <n v="804.54806999999994"/>
    <n v="6993.3780699999998"/>
  </r>
  <r>
    <x v="5"/>
    <s v="Q3"/>
    <x v="0"/>
    <x v="63"/>
    <s v="KEPL/01229/82-83"/>
    <s v="BEERA BARJEE INTERNATIONAL PVT.LTD"/>
    <x v="32"/>
    <n v="1"/>
    <n v="60"/>
    <n v="111.74"/>
    <n v="6704.4"/>
    <n v="-515.57000000000005"/>
    <n v="0"/>
    <n v="804.54806999999994"/>
    <n v="6993.3780699999998"/>
  </r>
  <r>
    <x v="5"/>
    <s v="Q3"/>
    <x v="0"/>
    <x v="63"/>
    <s v="KEPL/01229/82-83"/>
    <s v="BEERA BARJEE INTERNATIONAL PVT.LTD"/>
    <x v="55"/>
    <n v="2"/>
    <n v="40"/>
    <n v="175.06"/>
    <n v="7002.4"/>
    <n v="-538.48"/>
    <n v="0"/>
    <n v="840.30977699999994"/>
    <n v="7304.2297769999996"/>
  </r>
  <r>
    <x v="5"/>
    <s v="Q3"/>
    <x v="0"/>
    <x v="63"/>
    <s v="KEPL/01229/82-83"/>
    <s v="BEERA BARJEE INTERNATIONAL PVT.LTD"/>
    <x v="29"/>
    <n v="1"/>
    <n v="20"/>
    <n v="204.85"/>
    <n v="4097"/>
    <n v="-315.06"/>
    <n v="0"/>
    <n v="491.65230400000002"/>
    <n v="4273.5923039999998"/>
  </r>
  <r>
    <x v="5"/>
    <s v="Q3"/>
    <x v="0"/>
    <x v="63"/>
    <s v="KEPL/01229/82-83"/>
    <s v="BEERA BARJEE INTERNATIONAL PVT.LTD"/>
    <x v="22"/>
    <n v="3"/>
    <n v="72"/>
    <n v="204.85"/>
    <n v="14749.199999999999"/>
    <n v="-1134.21"/>
    <n v="0"/>
    <n v="1769.9490730000002"/>
    <n v="15384.939073"/>
  </r>
  <r>
    <x v="5"/>
    <s v="Q3"/>
    <x v="0"/>
    <x v="63"/>
    <s v="KEPL/01229/82-83"/>
    <s v="BEERA BARJEE INTERNATIONAL PVT.LTD"/>
    <x v="44"/>
    <n v="1"/>
    <n v="24"/>
    <n v="186.23"/>
    <n v="4469.45"/>
    <n v="-343.7"/>
    <n v="0"/>
    <n v="536.34761300000002"/>
    <n v="4662.0976129999999"/>
  </r>
  <r>
    <x v="5"/>
    <s v="Q3"/>
    <x v="0"/>
    <x v="63"/>
    <s v="KEPL/01229/82-83"/>
    <s v="BEERA BARJEE INTERNATIONAL PVT.LTD"/>
    <x v="28"/>
    <n v="1"/>
    <n v="20"/>
    <n v="204.85"/>
    <n v="4097"/>
    <n v="-315.06"/>
    <n v="0"/>
    <n v="491.65230400000002"/>
    <n v="4273.5923039999998"/>
  </r>
  <r>
    <x v="5"/>
    <s v="Q3"/>
    <x v="0"/>
    <x v="63"/>
    <s v="KEPL/01229/82-83"/>
    <s v="BEERA BARJEE INTERNATIONAL PVT.LTD"/>
    <x v="13"/>
    <n v="3"/>
    <n v="72"/>
    <n v="141.54"/>
    <n v="10190.879999999999"/>
    <n v="-783.68"/>
    <n v="0"/>
    <n v="1222.9362580000002"/>
    <n v="10630.136258"/>
  </r>
  <r>
    <x v="5"/>
    <s v="Q3"/>
    <x v="0"/>
    <x v="63"/>
    <s v="KEPL/01229/82-83"/>
    <s v="BEERA BARJEE INTERNATIONAL PVT.LTD"/>
    <x v="21"/>
    <n v="1"/>
    <n v="240"/>
    <n v="14.9"/>
    <n v="3576"/>
    <n v="-274.99"/>
    <n v="0"/>
    <n v="429.13139100000001"/>
    <n v="3730.1413910000001"/>
  </r>
  <r>
    <x v="5"/>
    <s v="Q3"/>
    <x v="0"/>
    <x v="63"/>
    <s v="KEPL/01229/82-83"/>
    <s v="BEERA BARJEE INTERNATIONAL PVT.LTD"/>
    <x v="54"/>
    <n v="2"/>
    <n v="40"/>
    <n v="175.06"/>
    <n v="7002.4"/>
    <n v="-538.48"/>
    <n v="0"/>
    <n v="840.30977699999994"/>
    <n v="7304.2297769999996"/>
  </r>
  <r>
    <x v="5"/>
    <s v="Q3"/>
    <x v="0"/>
    <x v="63"/>
    <s v="KEPL/01229/82-83"/>
    <s v="BEERA BARJEE INTERNATIONAL PVT.LTD"/>
    <x v="45"/>
    <n v="2"/>
    <n v="30"/>
    <n v="260.72000000000003"/>
    <n v="7821.6"/>
    <n v="-601.48"/>
    <n v="0"/>
    <n v="938.61579800000004"/>
    <n v="8158.7357979999997"/>
  </r>
  <r>
    <x v="5"/>
    <s v="Q3"/>
    <x v="0"/>
    <x v="63"/>
    <s v="KEPL/01229/82-83"/>
    <s v="BEERA BARJEE INTERNATIONAL PVT.LTD"/>
    <x v="35"/>
    <n v="1"/>
    <n v="60"/>
    <n v="145.26"/>
    <n v="8715.6"/>
    <n v="-670.23"/>
    <n v="0"/>
    <n v="1045.8983209999999"/>
    <n v="9091.2683209999996"/>
  </r>
  <r>
    <x v="5"/>
    <s v="Q3"/>
    <x v="0"/>
    <x v="63"/>
    <s v="KEPL/01229/82-83"/>
    <s v="BEERA BARJEE INTERNATIONAL PVT.LTD"/>
    <x v="43"/>
    <n v="1"/>
    <n v="60"/>
    <n v="111.74"/>
    <n v="6704.4"/>
    <n v="-515.57000000000005"/>
    <n v="0"/>
    <n v="804.54806999999994"/>
    <n v="6993.3780699999998"/>
  </r>
  <r>
    <x v="5"/>
    <s v="Q3"/>
    <x v="0"/>
    <x v="63"/>
    <s v="KEPL/01229/82-83"/>
    <s v="BEERA BARJEE INTERNATIONAL PVT.LTD"/>
    <x v="37"/>
    <n v="2"/>
    <n v="80"/>
    <n v="81.94"/>
    <n v="6555.2"/>
    <n v="-504.09"/>
    <n v="0"/>
    <n v="786.64446600000008"/>
    <n v="6837.7544660000003"/>
  </r>
  <r>
    <x v="5"/>
    <s v="Q3"/>
    <x v="0"/>
    <x v="63"/>
    <s v="KEPL/01229/82-83"/>
    <s v="BEERA BARJEE INTERNATIONAL PVT.LTD"/>
    <x v="53"/>
    <n v="2"/>
    <n v="80"/>
    <n v="81.94"/>
    <n v="6555.2"/>
    <n v="-504.09"/>
    <n v="0"/>
    <n v="786.64446600000008"/>
    <n v="6837.7544660000003"/>
  </r>
  <r>
    <x v="5"/>
    <s v="Q3"/>
    <x v="0"/>
    <x v="64"/>
    <s v="KEPL/01243/82-83"/>
    <s v="SHUBHASHREE MARKETING"/>
    <x v="52"/>
    <n v="25"/>
    <n v="100"/>
    <n v="595.92999999999995"/>
    <n v="59593"/>
    <n v="-4582.7"/>
    <n v="0"/>
    <n v="7151.3408950000003"/>
    <n v="62161.640894999997"/>
  </r>
  <r>
    <x v="5"/>
    <s v="Q3"/>
    <x v="0"/>
    <x v="64"/>
    <s v="KEPL/01243/82-83"/>
    <s v="SHUBHASHREE MARKETING"/>
    <x v="28"/>
    <n v="2"/>
    <n v="40"/>
    <n v="204.85"/>
    <n v="8194"/>
    <n v="-630.12"/>
    <n v="0"/>
    <n v="983.30466100000001"/>
    <n v="8547.1846609999993"/>
  </r>
  <r>
    <x v="5"/>
    <s v="Q3"/>
    <x v="0"/>
    <x v="64"/>
    <s v="KEPL/01243/82-83"/>
    <s v="SHUBHASHREE MARKETING"/>
    <x v="46"/>
    <n v="5"/>
    <n v="100"/>
    <n v="175.06"/>
    <n v="17506"/>
    <n v="-1346.21"/>
    <n v="0"/>
    <n v="2100.7732569999998"/>
    <n v="18260.563257000002"/>
  </r>
  <r>
    <x v="5"/>
    <s v="Q3"/>
    <x v="0"/>
    <x v="64"/>
    <s v="KEPL/01243/82-83"/>
    <s v="SHUBHASHREE MARKETING"/>
    <x v="39"/>
    <n v="10"/>
    <n v="200"/>
    <n v="249.55"/>
    <n v="49910"/>
    <n v="-3838.08"/>
    <n v="0"/>
    <n v="5989.3511870000002"/>
    <n v="52061.271186999998"/>
  </r>
  <r>
    <x v="5"/>
    <s v="Q3"/>
    <x v="0"/>
    <x v="65"/>
    <s v="KEPL/01245/82-83"/>
    <s v="NEW HORIZON DISTRIBUTORS"/>
    <x v="57"/>
    <n v="1"/>
    <n v="40"/>
    <n v="111.74"/>
    <n v="4469.6000000000004"/>
    <n v="-343.71"/>
    <n v="0"/>
    <n v="536.36562300000003"/>
    <n v="4662.255623"/>
  </r>
  <r>
    <x v="5"/>
    <s v="Q3"/>
    <x v="0"/>
    <x v="65"/>
    <s v="KEPL/01245/82-83"/>
    <s v="NEW HORIZON DISTRIBUTORS"/>
    <x v="47"/>
    <n v="1"/>
    <n v="40"/>
    <n v="111.74"/>
    <n v="4469.6000000000004"/>
    <n v="-343.71"/>
    <n v="0"/>
    <n v="536.36562300000003"/>
    <n v="4662.255623"/>
  </r>
  <r>
    <x v="5"/>
    <s v="Q3"/>
    <x v="0"/>
    <x v="65"/>
    <s v="KEPL/01245/82-83"/>
    <s v="NEW HORIZON DISTRIBUTORS"/>
    <x v="54"/>
    <n v="3"/>
    <n v="60"/>
    <n v="175.05"/>
    <n v="10503.189999999999"/>
    <n v="-807.7"/>
    <n v="0"/>
    <n v="1260.413519"/>
    <n v="10955.903519"/>
  </r>
  <r>
    <x v="5"/>
    <s v="Q3"/>
    <x v="0"/>
    <x v="65"/>
    <s v="KEPL/01245/82-83"/>
    <s v="NEW HORIZON DISTRIBUTORS"/>
    <x v="0"/>
    <n v="1"/>
    <n v="40"/>
    <n v="111.74"/>
    <n v="4469.6000000000004"/>
    <n v="-343.71"/>
    <n v="0"/>
    <n v="536.36562300000003"/>
    <n v="4662.255623"/>
  </r>
  <r>
    <x v="5"/>
    <s v="Q3"/>
    <x v="0"/>
    <x v="65"/>
    <s v="KEPL/01245/82-83"/>
    <s v="NEW HORIZON DISTRIBUTORS"/>
    <x v="12"/>
    <n v="1.5"/>
    <n v="195"/>
    <n v="33.520000000000003"/>
    <n v="6536.4"/>
    <n v="-502.65"/>
    <n v="0"/>
    <n v="784.38738699999999"/>
    <n v="6818.1373869999998"/>
  </r>
  <r>
    <x v="5"/>
    <s v="Q3"/>
    <x v="0"/>
    <x v="65"/>
    <s v="KEPL/01245/82-83"/>
    <s v="NEW HORIZON DISTRIBUTORS"/>
    <x v="55"/>
    <n v="3"/>
    <n v="60"/>
    <n v="175.06"/>
    <n v="10503.6"/>
    <n v="-807.7299999999999"/>
    <n v="0"/>
    <n v="1260.4629190000001"/>
    <n v="10956.332919"/>
  </r>
  <r>
    <x v="5"/>
    <s v="Q3"/>
    <x v="0"/>
    <x v="65"/>
    <s v="KEPL/01245/82-83"/>
    <s v="NEW HORIZON DISTRIBUTORS"/>
    <x v="48"/>
    <n v="3"/>
    <n v="60"/>
    <n v="204.85"/>
    <n v="12291"/>
    <n v="-945.18"/>
    <n v="0"/>
    <n v="1474.9563880000001"/>
    <n v="12820.776388"/>
  </r>
  <r>
    <x v="5"/>
    <s v="Q3"/>
    <x v="0"/>
    <x v="65"/>
    <s v="KEPL/01245/82-83"/>
    <s v="NEW HORIZON DISTRIBUTORS"/>
    <x v="46"/>
    <n v="3"/>
    <n v="60"/>
    <n v="175.06"/>
    <n v="10503.6"/>
    <n v="-807.7299999999999"/>
    <n v="0"/>
    <n v="1260.4629190000001"/>
    <n v="10956.332919"/>
  </r>
  <r>
    <x v="5"/>
    <s v="Q3"/>
    <x v="0"/>
    <x v="65"/>
    <s v="KEPL/01246/82-83"/>
    <s v="DURGA LAXMI AND SONS"/>
    <x v="47"/>
    <n v="3"/>
    <n v="120"/>
    <n v="111.74"/>
    <n v="13408.8"/>
    <n v="-1031.1400000000001"/>
    <n v="0"/>
    <n v="1609.0964449999999"/>
    <n v="13986.756445000001"/>
  </r>
  <r>
    <x v="5"/>
    <s v="Q3"/>
    <x v="0"/>
    <x v="65"/>
    <s v="KEPL/01246/82-83"/>
    <s v="DURGA LAXMI AND SONS"/>
    <x v="54"/>
    <n v="3"/>
    <n v="60"/>
    <n v="175.06"/>
    <n v="10503.41"/>
    <n v="-807.71"/>
    <n v="0"/>
    <n v="1260.441505"/>
    <n v="10956.141505"/>
  </r>
  <r>
    <x v="5"/>
    <s v="Q3"/>
    <x v="0"/>
    <x v="65"/>
    <s v="KEPL/01246/82-83"/>
    <s v="DURGA LAXMI AND SONS"/>
    <x v="55"/>
    <n v="3"/>
    <n v="60"/>
    <n v="175.06"/>
    <n v="10503.6"/>
    <n v="-807.7299999999999"/>
    <n v="0"/>
    <n v="1260.4636049999999"/>
    <n v="10956.333605"/>
  </r>
  <r>
    <x v="5"/>
    <s v="Q3"/>
    <x v="0"/>
    <x v="65"/>
    <s v="KEPL/01246/82-83"/>
    <s v="DURGA LAXMI AND SONS"/>
    <x v="49"/>
    <n v="2"/>
    <n v="30"/>
    <n v="260.72000000000003"/>
    <n v="7821.6"/>
    <n v="-601.48"/>
    <n v="0"/>
    <n v="938.61597599999993"/>
    <n v="8158.7359759999999"/>
  </r>
  <r>
    <x v="5"/>
    <s v="Q3"/>
    <x v="0"/>
    <x v="65"/>
    <s v="KEPL/01246/82-83"/>
    <s v="DURGA LAXMI AND SONS"/>
    <x v="58"/>
    <n v="3"/>
    <n v="120"/>
    <n v="111.74"/>
    <n v="13408.8"/>
    <n v="-1031.1400000000001"/>
    <n v="0"/>
    <n v="1609.0964449999999"/>
    <n v="13986.756445000001"/>
  </r>
  <r>
    <x v="5"/>
    <s v="Q3"/>
    <x v="0"/>
    <x v="65"/>
    <s v="KEPL/01246/82-83"/>
    <s v="DURGA LAXMI AND SONS"/>
    <x v="45"/>
    <n v="2"/>
    <n v="30"/>
    <n v="260.72000000000003"/>
    <n v="7821.6"/>
    <n v="-601.48"/>
    <n v="0"/>
    <n v="938.61597599999993"/>
    <n v="8158.7359759999999"/>
  </r>
  <r>
    <x v="5"/>
    <s v="Q3"/>
    <x v="0"/>
    <x v="65"/>
    <s v="KEPL/01246/82-83"/>
    <s v="DURGA LAXMI AND SONS"/>
    <x v="46"/>
    <n v="3"/>
    <n v="60"/>
    <n v="175.06"/>
    <n v="10503.6"/>
    <n v="-807.7299999999999"/>
    <n v="0"/>
    <n v="1260.4636049999999"/>
    <n v="10956.333605"/>
  </r>
  <r>
    <x v="5"/>
    <s v="Q3"/>
    <x v="0"/>
    <x v="65"/>
    <s v="KEPL/01246/82-83"/>
    <s v="DURGA LAXMI AND SONS"/>
    <x v="57"/>
    <n v="3"/>
    <n v="120"/>
    <n v="111.74"/>
    <n v="13408.8"/>
    <n v="-1031.1400000000001"/>
    <n v="0"/>
    <n v="1609.0964449999999"/>
    <n v="13986.756445000001"/>
  </r>
  <r>
    <x v="5"/>
    <s v="Q3"/>
    <x v="0"/>
    <x v="66"/>
    <s v="KEPL/01274/82-83"/>
    <s v="NEW AAKRITI SUPPLIERS"/>
    <x v="37"/>
    <n v="1"/>
    <n v="40"/>
    <n v="81.94"/>
    <n v="3277.6"/>
    <n v="-252.05"/>
    <n v="0"/>
    <n v="393.321302"/>
    <n v="3418.871302"/>
  </r>
  <r>
    <x v="5"/>
    <s v="Q3"/>
    <x v="0"/>
    <x v="66"/>
    <s v="KEPL/01274/82-83"/>
    <s v="NEW AAKRITI SUPPLIERS"/>
    <x v="53"/>
    <n v="5"/>
    <n v="200"/>
    <n v="81.94"/>
    <n v="16388"/>
    <n v="-1260.24"/>
    <n v="0"/>
    <n v="1966.607808"/>
    <n v="17094.367807999999"/>
  </r>
  <r>
    <x v="5"/>
    <s v="Q3"/>
    <x v="0"/>
    <x v="66"/>
    <s v="KEPL/01274/82-83"/>
    <s v="NEW AAKRITI SUPPLIERS"/>
    <x v="38"/>
    <n v="3"/>
    <n v="72"/>
    <n v="186.23"/>
    <n v="13408.490000000002"/>
    <n v="-1031.1100000000001"/>
    <n v="0"/>
    <n v="1609.0585879999999"/>
    <n v="13986.438588000001"/>
  </r>
  <r>
    <x v="5"/>
    <s v="Q3"/>
    <x v="0"/>
    <x v="66"/>
    <s v="KEPL/01274/82-83"/>
    <s v="NEW AAKRITI SUPPLIERS"/>
    <x v="36"/>
    <n v="5"/>
    <n v="200"/>
    <n v="81.94"/>
    <n v="16388"/>
    <n v="-1260.24"/>
    <n v="0"/>
    <n v="1966.607808"/>
    <n v="17094.367807999999"/>
  </r>
  <r>
    <x v="5"/>
    <s v="Q3"/>
    <x v="0"/>
    <x v="66"/>
    <s v="KEPL/01274/82-83"/>
    <s v="NEW AAKRITI SUPPLIERS"/>
    <x v="24"/>
    <n v="1"/>
    <n v="18"/>
    <n v="178.78"/>
    <n v="3218.0400000000004"/>
    <n v="-247.47"/>
    <n v="0"/>
    <n v="386.17390499999999"/>
    <n v="3356.7439049999998"/>
  </r>
  <r>
    <x v="5"/>
    <s v="Q3"/>
    <x v="0"/>
    <x v="66"/>
    <s v="KEPL/01274/82-83"/>
    <s v="NEW AAKRITI SUPPLIERS"/>
    <x v="44"/>
    <n v="3"/>
    <n v="72"/>
    <n v="186.22"/>
    <n v="13407.84"/>
    <n v="-1031.06"/>
    <n v="0"/>
    <n v="1608.9805880000001"/>
    <n v="13985.760587999999"/>
  </r>
  <r>
    <x v="5"/>
    <s v="Q3"/>
    <x v="0"/>
    <x v="66"/>
    <s v="KEPL/01275/82-83"/>
    <s v="NEW CHANDESHWARI SUPPLIERS"/>
    <x v="52"/>
    <n v="50"/>
    <n v="200"/>
    <n v="595.92999999999995"/>
    <n v="119186"/>
    <n v="-9165.4"/>
    <n v="0"/>
    <n v="14302.68"/>
    <n v="124323.28"/>
  </r>
  <r>
    <x v="5"/>
    <s v="Q3"/>
    <x v="0"/>
    <x v="67"/>
    <s v="KEPL/01278/82-83"/>
    <s v="NILLONS L&amp;D"/>
    <x v="28"/>
    <n v="0.05"/>
    <n v="1"/>
    <n v="204.85"/>
    <n v="204.85"/>
    <n v="-15.75"/>
    <n v="0"/>
    <n v="24.58"/>
    <n v="213.68"/>
  </r>
  <r>
    <x v="5"/>
    <s v="Q3"/>
    <x v="0"/>
    <x v="67"/>
    <s v="KEPL/01285/82-83"/>
    <s v="AASHI TRADERS"/>
    <x v="39"/>
    <n v="5"/>
    <n v="100"/>
    <n v="249.55"/>
    <n v="24955"/>
    <n v="-1919.04"/>
    <n v="0"/>
    <n v="2994.6755290000001"/>
    <n v="26030.635528999999"/>
  </r>
  <r>
    <x v="5"/>
    <s v="Q3"/>
    <x v="0"/>
    <x v="67"/>
    <s v="KEPL/01285/82-83"/>
    <s v="AASHI TRADERS"/>
    <x v="36"/>
    <n v="5"/>
    <n v="200"/>
    <n v="81.94"/>
    <n v="16388"/>
    <n v="-1260.24"/>
    <n v="0"/>
    <n v="1966.609279"/>
    <n v="17094.369278999999"/>
  </r>
  <r>
    <x v="5"/>
    <s v="Q3"/>
    <x v="0"/>
    <x v="67"/>
    <s v="KEPL/01285/82-83"/>
    <s v="AASHI TRADERS"/>
    <x v="37"/>
    <n v="3"/>
    <n v="120"/>
    <n v="81.94"/>
    <n v="9832.8000000000011"/>
    <n v="-756.14"/>
    <n v="0"/>
    <n v="1179.966087"/>
    <n v="10256.626087000001"/>
  </r>
  <r>
    <x v="5"/>
    <s v="Q3"/>
    <x v="0"/>
    <x v="67"/>
    <s v="KEPL/01285/82-83"/>
    <s v="AASHI TRADERS"/>
    <x v="13"/>
    <n v="5"/>
    <n v="120"/>
    <n v="141.54"/>
    <n v="16984.8"/>
    <n v="-1306.1299999999999"/>
    <n v="0"/>
    <n v="2038.2275959999999"/>
    <n v="17716.897595999999"/>
  </r>
  <r>
    <x v="5"/>
    <s v="Q3"/>
    <x v="0"/>
    <x v="67"/>
    <s v="KEPL/01285/82-83"/>
    <s v="AASHI TRADERS"/>
    <x v="21"/>
    <n v="2"/>
    <n v="480"/>
    <n v="14.9"/>
    <n v="7152"/>
    <n v="-549.99"/>
    <n v="0"/>
    <n v="858.26150900000005"/>
    <n v="7460.2715090000002"/>
  </r>
  <r>
    <x v="5"/>
    <s v="Q3"/>
    <x v="0"/>
    <x v="68"/>
    <s v="KEPL/01292/82-83"/>
    <s v="AAFNAI PASAL PVT.LTD"/>
    <x v="27"/>
    <n v="2"/>
    <n v="140"/>
    <n v="37.25"/>
    <n v="5215"/>
    <n v="-401.03"/>
    <n v="0"/>
    <n v="625.815157"/>
    <n v="5439.7851570000003"/>
  </r>
  <r>
    <x v="5"/>
    <s v="Q3"/>
    <x v="0"/>
    <x v="68"/>
    <s v="KEPL/01292/82-83"/>
    <s v="AAFNAI PASAL PVT.LTD"/>
    <x v="39"/>
    <n v="2"/>
    <n v="40"/>
    <n v="249.55"/>
    <n v="9982"/>
    <n v="-767.62"/>
    <n v="0"/>
    <n v="1197.8675949999999"/>
    <n v="10412.247595000001"/>
  </r>
  <r>
    <x v="5"/>
    <s v="Q3"/>
    <x v="0"/>
    <x v="68"/>
    <s v="KEPL/01292/82-83"/>
    <s v="AAFNAI PASAL PVT.LTD"/>
    <x v="30"/>
    <n v="2"/>
    <n v="40"/>
    <n v="242.1"/>
    <n v="9683.9999999999982"/>
    <n v="-744.7"/>
    <n v="0"/>
    <n v="1162.1072489999999"/>
    <n v="10101.407249"/>
  </r>
  <r>
    <x v="5"/>
    <s v="Q3"/>
    <x v="0"/>
    <x v="69"/>
    <s v="KEPL/01298/82-83"/>
    <s v="NAWA ATITHI STORES"/>
    <x v="52"/>
    <n v="5"/>
    <n v="20"/>
    <n v="595.92999999999995"/>
    <n v="11918.6"/>
    <n v="-916.54"/>
    <n v="0"/>
    <n v="1430.2687739999999"/>
    <n v="12432.328774"/>
  </r>
  <r>
    <x v="5"/>
    <s v="Q3"/>
    <x v="0"/>
    <x v="69"/>
    <s v="KEPL/01298/82-83"/>
    <s v="NAWA ATITHI STORES"/>
    <x v="36"/>
    <n v="2"/>
    <n v="80"/>
    <n v="81.94"/>
    <n v="6555.2"/>
    <n v="-504.09"/>
    <n v="0"/>
    <n v="786.64483599999994"/>
    <n v="6837.7548360000001"/>
  </r>
  <r>
    <x v="5"/>
    <s v="Q3"/>
    <x v="0"/>
    <x v="69"/>
    <s v="KEPL/01298/82-83"/>
    <s v="NAWA ATITHI STORES"/>
    <x v="58"/>
    <n v="2"/>
    <n v="80"/>
    <n v="111.74"/>
    <n v="8939.2000000000007"/>
    <n v="-687.42"/>
    <n v="0"/>
    <n v="1072.7321300000001"/>
    <n v="9324.5121299999992"/>
  </r>
  <r>
    <x v="5"/>
    <s v="Q3"/>
    <x v="0"/>
    <x v="69"/>
    <s v="KEPL/01298/82-83"/>
    <s v="NAWA ATITHI STORES"/>
    <x v="57"/>
    <n v="2"/>
    <n v="80"/>
    <n v="111.74"/>
    <n v="8939.2000000000007"/>
    <n v="-687.42"/>
    <n v="0"/>
    <n v="1072.7321300000001"/>
    <n v="9324.5121299999992"/>
  </r>
  <r>
    <x v="5"/>
    <s v="Q3"/>
    <x v="0"/>
    <x v="69"/>
    <s v="KEPL/01298/82-83"/>
    <s v="NAWA ATITHI STORES"/>
    <x v="47"/>
    <n v="2"/>
    <n v="80"/>
    <n v="111.74"/>
    <n v="8939.2000000000007"/>
    <n v="-687.42"/>
    <n v="0"/>
    <n v="1072.7321300000001"/>
    <n v="9324.5121299999992"/>
  </r>
  <r>
    <x v="5"/>
    <s v="Q3"/>
    <x v="0"/>
    <x v="69"/>
    <s v="KEPL/01302/82-83"/>
    <s v="M AND P TRADE SUPPLIERS"/>
    <x v="54"/>
    <n v="1"/>
    <n v="20"/>
    <n v="175.06"/>
    <n v="3501.2"/>
    <n v="-269.24"/>
    <n v="0"/>
    <n v="420.15483599999999"/>
    <n v="3652.1148360000002"/>
  </r>
  <r>
    <x v="5"/>
    <s v="Q3"/>
    <x v="0"/>
    <x v="69"/>
    <s v="KEPL/01302/82-83"/>
    <s v="M AND P TRADE SUPPLIERS"/>
    <x v="57"/>
    <n v="1"/>
    <n v="40"/>
    <n v="111.74"/>
    <n v="4469.6000000000004"/>
    <n v="-343.71"/>
    <n v="0"/>
    <n v="536.36574499999995"/>
    <n v="4662.2557450000004"/>
  </r>
  <r>
    <x v="5"/>
    <s v="Q3"/>
    <x v="0"/>
    <x v="69"/>
    <s v="KEPL/01302/82-83"/>
    <s v="M AND P TRADE SUPPLIERS"/>
    <x v="55"/>
    <n v="1"/>
    <n v="20"/>
    <n v="175.06"/>
    <n v="3501.2"/>
    <n v="-269.24"/>
    <n v="0"/>
    <n v="420.15483599999999"/>
    <n v="3652.1148360000002"/>
  </r>
  <r>
    <x v="5"/>
    <s v="Q3"/>
    <x v="0"/>
    <x v="69"/>
    <s v="KEPL/01302/82-83"/>
    <s v="M AND P TRADE SUPPLIERS"/>
    <x v="45"/>
    <n v="1"/>
    <n v="15"/>
    <n v="260.72000000000003"/>
    <n v="3910.8"/>
    <n v="-300.74"/>
    <n v="0"/>
    <n v="469.30784"/>
    <n v="4079.3678399999999"/>
  </r>
  <r>
    <x v="5"/>
    <s v="Q3"/>
    <x v="0"/>
    <x v="69"/>
    <s v="KEPL/01302/82-83"/>
    <s v="M AND P TRADE SUPPLIERS"/>
    <x v="53"/>
    <n v="1"/>
    <n v="40"/>
    <n v="81.94"/>
    <n v="3277.6"/>
    <n v="-252.05"/>
    <n v="0"/>
    <n v="393.32153299999999"/>
    <n v="3418.871533"/>
  </r>
  <r>
    <x v="5"/>
    <s v="Q3"/>
    <x v="0"/>
    <x v="69"/>
    <s v="KEPL/01302/82-83"/>
    <s v="M AND P TRADE SUPPLIERS"/>
    <x v="47"/>
    <n v="1"/>
    <n v="40"/>
    <n v="111.74"/>
    <n v="4469.6000000000004"/>
    <n v="-343.71"/>
    <n v="0"/>
    <n v="536.36574499999995"/>
    <n v="4662.2557450000004"/>
  </r>
  <r>
    <x v="5"/>
    <s v="Q3"/>
    <x v="0"/>
    <x v="69"/>
    <s v="KEPL/01302/82-83"/>
    <s v="M AND P TRADE SUPPLIERS"/>
    <x v="13"/>
    <n v="1"/>
    <n v="24"/>
    <n v="141.54"/>
    <n v="3396.96"/>
    <n v="-261.23"/>
    <n v="0"/>
    <n v="407.64493399999998"/>
    <n v="3543.3749339999999"/>
  </r>
  <r>
    <x v="5"/>
    <s v="Q3"/>
    <x v="0"/>
    <x v="69"/>
    <s v="KEPL/01302/82-83"/>
    <s v="M AND P TRADE SUPPLIERS"/>
    <x v="36"/>
    <n v="1"/>
    <n v="40"/>
    <n v="81.94"/>
    <n v="3277.6"/>
    <n v="-252.05"/>
    <n v="0"/>
    <n v="393.32153299999999"/>
    <n v="3418.871533"/>
  </r>
  <r>
    <x v="5"/>
    <s v="Q3"/>
    <x v="0"/>
    <x v="69"/>
    <s v="KEPL/01302/82-83"/>
    <s v="M AND P TRADE SUPPLIERS"/>
    <x v="52"/>
    <n v="2"/>
    <n v="8"/>
    <n v="595.92999999999995"/>
    <n v="4767.4399999999996"/>
    <n v="-366.62"/>
    <n v="0"/>
    <n v="572.10664800000006"/>
    <n v="4972.9266479999997"/>
  </r>
  <r>
    <x v="5"/>
    <s v="Q3"/>
    <x v="0"/>
    <x v="69"/>
    <s v="KEPL/01302/82-83"/>
    <s v="M AND P TRADE SUPPLIERS"/>
    <x v="46"/>
    <n v="1"/>
    <n v="20"/>
    <n v="175.06"/>
    <n v="3501.2"/>
    <n v="-269.24"/>
    <n v="0"/>
    <n v="420.15483599999999"/>
    <n v="3652.1148360000002"/>
  </r>
  <r>
    <x v="5"/>
    <s v="Q3"/>
    <x v="0"/>
    <x v="69"/>
    <s v="KEPL/01302/82-83"/>
    <s v="M AND P TRADE SUPPLIERS"/>
    <x v="27"/>
    <n v="3"/>
    <n v="210"/>
    <n v="37.25"/>
    <n v="7822.5"/>
    <n v="-601.55000000000007"/>
    <n v="0"/>
    <n v="938.72357899999997"/>
    <n v="8159.6735790000002"/>
  </r>
  <r>
    <x v="5"/>
    <s v="Q3"/>
    <x v="0"/>
    <x v="69"/>
    <s v="KEPL/01302/82-83"/>
    <s v="M AND P TRADE SUPPLIERS"/>
    <x v="0"/>
    <n v="1"/>
    <n v="40"/>
    <n v="111.74"/>
    <n v="4469.6000000000004"/>
    <n v="-343.71"/>
    <n v="0"/>
    <n v="536.36574499999995"/>
    <n v="4662.2557450000004"/>
  </r>
  <r>
    <x v="5"/>
    <s v="Q3"/>
    <x v="0"/>
    <x v="69"/>
    <s v="KEPL/01302/82-83"/>
    <s v="M AND P TRADE SUPPLIERS"/>
    <x v="12"/>
    <n v="1"/>
    <n v="130"/>
    <n v="37.25"/>
    <n v="4842.5"/>
    <n v="-372.39"/>
    <n v="0"/>
    <n v="581.11434900000006"/>
    <n v="5051.2243490000001"/>
  </r>
  <r>
    <x v="5"/>
    <s v="Q3"/>
    <x v="0"/>
    <x v="69"/>
    <s v="KEPL/01302/82-83"/>
    <s v="M AND P TRADE SUPPLIERS"/>
    <x v="49"/>
    <n v="1"/>
    <n v="15"/>
    <n v="260.72000000000003"/>
    <n v="3910.8"/>
    <n v="-300.74"/>
    <n v="0"/>
    <n v="469.30784"/>
    <n v="4079.3678399999999"/>
  </r>
  <r>
    <x v="5"/>
    <s v="Q3"/>
    <x v="0"/>
    <x v="69"/>
    <s v="KEPL/01303/82-83"/>
    <s v="DINESH TRADING HOUSE"/>
    <x v="45"/>
    <n v="1"/>
    <n v="15"/>
    <n v="260.72000000000003"/>
    <n v="3910.8"/>
    <n v="-300.74"/>
    <n v="0"/>
    <n v="469.30769500000002"/>
    <n v="4079.3676949999999"/>
  </r>
  <r>
    <x v="5"/>
    <s v="Q3"/>
    <x v="0"/>
    <x v="69"/>
    <s v="KEPL/01303/82-83"/>
    <s v="DINESH TRADING HOUSE"/>
    <x v="39"/>
    <n v="5"/>
    <n v="100"/>
    <n v="249.55"/>
    <n v="24955"/>
    <n v="-1919.04"/>
    <n v="0"/>
    <n v="2994.6741280000001"/>
    <n v="26030.634128000002"/>
  </r>
  <r>
    <x v="5"/>
    <s v="Q3"/>
    <x v="0"/>
    <x v="69"/>
    <s v="KEPL/01303/82-83"/>
    <s v="DINESH TRADING HOUSE"/>
    <x v="13"/>
    <n v="1"/>
    <n v="24"/>
    <n v="141.54"/>
    <n v="3396.96"/>
    <n v="-261.23"/>
    <n v="0"/>
    <n v="407.64480900000001"/>
    <n v="3543.3748089999999"/>
  </r>
  <r>
    <x v="5"/>
    <s v="Q3"/>
    <x v="0"/>
    <x v="69"/>
    <s v="KEPL/01303/82-83"/>
    <s v="DINESH TRADING HOUSE"/>
    <x v="48"/>
    <n v="1"/>
    <n v="20"/>
    <n v="204.85"/>
    <n v="4097"/>
    <n v="-315.06"/>
    <n v="0"/>
    <n v="491.65209000000004"/>
    <n v="4273.5920900000001"/>
  </r>
  <r>
    <x v="5"/>
    <s v="Q3"/>
    <x v="0"/>
    <x v="69"/>
    <s v="KEPL/01303/82-83"/>
    <s v="DINESH TRADING HOUSE"/>
    <x v="53"/>
    <n v="1"/>
    <n v="40"/>
    <n v="81.94"/>
    <n v="3277.6"/>
    <n v="-252.05"/>
    <n v="0"/>
    <n v="393.32141200000001"/>
    <n v="3418.871412"/>
  </r>
  <r>
    <x v="5"/>
    <s v="Q3"/>
    <x v="0"/>
    <x v="69"/>
    <s v="KEPL/01303/82-83"/>
    <s v="DINESH TRADING HOUSE"/>
    <x v="52"/>
    <n v="10"/>
    <n v="40"/>
    <n v="595.92999999999995"/>
    <n v="23837.200000000001"/>
    <n v="-1833.08"/>
    <n v="0"/>
    <n v="2860.5349579999997"/>
    <n v="24864.654957999999"/>
  </r>
  <r>
    <x v="5"/>
    <s v="Q3"/>
    <x v="0"/>
    <x v="69"/>
    <s v="KEPL/01303/82-83"/>
    <s v="DINESH TRADING HOUSE"/>
    <x v="46"/>
    <n v="1"/>
    <n v="20"/>
    <n v="175.06"/>
    <n v="3501.2"/>
    <n v="-269.24"/>
    <n v="0"/>
    <n v="420.15470599999998"/>
    <n v="3652.1147059999998"/>
  </r>
  <r>
    <x v="5"/>
    <s v="Q3"/>
    <x v="0"/>
    <x v="69"/>
    <s v="KEPL/01303/82-83"/>
    <s v="DINESH TRADING HOUSE"/>
    <x v="44"/>
    <n v="1"/>
    <n v="24"/>
    <n v="186.22"/>
    <n v="4469.28"/>
    <n v="-343.69"/>
    <n v="0"/>
    <n v="536.32658000000004"/>
    <n v="4661.9165800000001"/>
  </r>
  <r>
    <x v="5"/>
    <s v="Q3"/>
    <x v="0"/>
    <x v="69"/>
    <s v="KEPL/01303/82-83"/>
    <s v="DINESH TRADING HOUSE"/>
    <x v="12"/>
    <n v="1"/>
    <n v="130"/>
    <n v="37.25"/>
    <n v="4842.5"/>
    <n v="-372.39"/>
    <n v="0"/>
    <n v="581.11417000000006"/>
    <n v="5051.2241700000004"/>
  </r>
  <r>
    <x v="5"/>
    <s v="Q3"/>
    <x v="0"/>
    <x v="69"/>
    <s v="KEPL/01303/82-83"/>
    <s v="DINESH TRADING HOUSE"/>
    <x v="0"/>
    <n v="1"/>
    <n v="40"/>
    <n v="111.74"/>
    <n v="4469.6000000000004"/>
    <n v="-343.71"/>
    <n v="0"/>
    <n v="536.36558000000002"/>
    <n v="4662.25558"/>
  </r>
  <r>
    <x v="5"/>
    <s v="Q3"/>
    <x v="0"/>
    <x v="69"/>
    <s v="KEPL/01303/82-83"/>
    <s v="DINESH TRADING HOUSE"/>
    <x v="36"/>
    <n v="1"/>
    <n v="40"/>
    <n v="81.94"/>
    <n v="3277.6"/>
    <n v="-252.05"/>
    <n v="0"/>
    <n v="393.32141200000001"/>
    <n v="3418.871412"/>
  </r>
  <r>
    <x v="5"/>
    <s v="Q3"/>
    <x v="0"/>
    <x v="69"/>
    <s v="KEPL/01303/82-83"/>
    <s v="DINESH TRADING HOUSE"/>
    <x v="49"/>
    <n v="1"/>
    <n v="15"/>
    <n v="260.72000000000003"/>
    <n v="3910.8"/>
    <n v="-300.74"/>
    <n v="0"/>
    <n v="469.30769500000002"/>
    <n v="4079.3676949999999"/>
  </r>
  <r>
    <x v="5"/>
    <s v="Q3"/>
    <x v="0"/>
    <x v="69"/>
    <s v="KEPL/01303/82-83"/>
    <s v="DINESH TRADING HOUSE"/>
    <x v="30"/>
    <n v="1"/>
    <n v="20"/>
    <n v="242.1"/>
    <n v="4841.9999999999991"/>
    <n v="-372.35"/>
    <n v="0"/>
    <n v="581.05436999999995"/>
    <n v="5050.7043700000004"/>
  </r>
  <r>
    <x v="5"/>
    <s v="Q3"/>
    <x v="0"/>
    <x v="69"/>
    <s v="KEPL/01303/82-83"/>
    <s v="DINESH TRADING HOUSE"/>
    <x v="60"/>
    <n v="1"/>
    <n v="1000"/>
    <n v="1.86"/>
    <n v="1860"/>
    <n v="-143.03"/>
    <n v="0"/>
    <n v="223.20605"/>
    <n v="1940.17605"/>
  </r>
  <r>
    <x v="5"/>
    <s v="Q3"/>
    <x v="0"/>
    <x v="69"/>
    <s v="KEPL/01303/82-83"/>
    <s v="DINESH TRADING HOUSE"/>
    <x v="55"/>
    <n v="1"/>
    <n v="20"/>
    <n v="175.06"/>
    <n v="3501.2"/>
    <n v="-269.24"/>
    <n v="0"/>
    <n v="420.15470599999998"/>
    <n v="3652.1147059999998"/>
  </r>
  <r>
    <x v="5"/>
    <s v="Q3"/>
    <x v="0"/>
    <x v="69"/>
    <s v="KEPL/01303/82-83"/>
    <s v="DINESH TRADING HOUSE"/>
    <x v="54"/>
    <n v="1"/>
    <n v="20"/>
    <n v="175.06"/>
    <n v="3501.2"/>
    <n v="-269.24"/>
    <n v="0"/>
    <n v="420.15470599999998"/>
    <n v="3652.1147059999998"/>
  </r>
  <r>
    <x v="5"/>
    <s v="Q3"/>
    <x v="0"/>
    <x v="69"/>
    <s v="KEPL/01303/82-83"/>
    <s v="DINESH TRADING HOUSE"/>
    <x v="57"/>
    <n v="1"/>
    <n v="40"/>
    <n v="111.74"/>
    <n v="4469.6000000000004"/>
    <n v="-343.71"/>
    <n v="0"/>
    <n v="536.36558000000002"/>
    <n v="4662.25558"/>
  </r>
  <r>
    <x v="5"/>
    <s v="Q3"/>
    <x v="0"/>
    <x v="69"/>
    <s v="KEPL/01303/82-83"/>
    <s v="DINESH TRADING HOUSE"/>
    <x v="47"/>
    <n v="1"/>
    <n v="40"/>
    <n v="111.74"/>
    <n v="4469.6000000000004"/>
    <n v="-343.71"/>
    <n v="0"/>
    <n v="536.36558000000002"/>
    <n v="4662.25558"/>
  </r>
  <r>
    <x v="5"/>
    <s v="Q3"/>
    <x v="0"/>
    <x v="69"/>
    <s v="KEPL/01303/82-83"/>
    <s v="DINESH TRADING HOUSE"/>
    <x v="38"/>
    <n v="1"/>
    <n v="24"/>
    <n v="186.22"/>
    <n v="4469.28"/>
    <n v="-343.69"/>
    <n v="0"/>
    <n v="536.32658000000004"/>
    <n v="4661.9165800000001"/>
  </r>
  <r>
    <x v="5"/>
    <s v="Q3"/>
    <x v="0"/>
    <x v="69"/>
    <s v="KEPL/01303/82-83"/>
    <s v="DINESH TRADING HOUSE"/>
    <x v="27"/>
    <n v="10"/>
    <n v="700"/>
    <n v="37.25"/>
    <n v="26075"/>
    <n v="-2005.1699999999998"/>
    <n v="0"/>
    <n v="3129.077198"/>
    <n v="27198.907198000001"/>
  </r>
  <r>
    <x v="5"/>
    <s v="Q3"/>
    <x v="0"/>
    <x v="69"/>
    <s v="KEPL/01304/82-83"/>
    <s v="GORIN TRADING "/>
    <x v="46"/>
    <n v="5"/>
    <n v="100"/>
    <n v="175.06"/>
    <n v="17506"/>
    <n v="-1346.21"/>
    <n v="0"/>
    <n v="2100.7716740000001"/>
    <n v="18260.561674"/>
  </r>
  <r>
    <x v="5"/>
    <s v="Q3"/>
    <x v="0"/>
    <x v="69"/>
    <s v="KEPL/01304/82-83"/>
    <s v="GORIN TRADING "/>
    <x v="49"/>
    <n v="10"/>
    <n v="150"/>
    <n v="260.72000000000003"/>
    <n v="39108"/>
    <n v="-3007.4100000000003"/>
    <n v="0"/>
    <n v="4693.0744070000001"/>
    <n v="40793.664406999997"/>
  </r>
  <r>
    <x v="5"/>
    <s v="Q3"/>
    <x v="0"/>
    <x v="69"/>
    <s v="KEPL/01304/82-83"/>
    <s v="GORIN TRADING "/>
    <x v="28"/>
    <n v="2"/>
    <n v="40"/>
    <n v="204.85"/>
    <n v="8194"/>
    <n v="-630.12"/>
    <n v="0"/>
    <n v="983.30392000000006"/>
    <n v="8547.1839199999995"/>
  </r>
  <r>
    <x v="5"/>
    <s v="Q3"/>
    <x v="0"/>
    <x v="70"/>
    <s v="KEPL/01308/82-83"/>
    <s v="NILLONS L&amp;D"/>
    <x v="52"/>
    <n v="0.25"/>
    <n v="1"/>
    <n v="595.92999999999995"/>
    <n v="595.92999999999995"/>
    <n v="-45.83"/>
    <n v="0"/>
    <n v="71.512127000000007"/>
    <n v="621.61212699999999"/>
  </r>
  <r>
    <x v="5"/>
    <s v="Q3"/>
    <x v="0"/>
    <x v="70"/>
    <s v="KEPL/01308/82-83"/>
    <s v="NILLONS L&amp;D"/>
    <x v="5"/>
    <n v="0.01"/>
    <n v="1"/>
    <n v="18.62"/>
    <n v="18.62"/>
    <n v="-1.43"/>
    <n v="0"/>
    <n v="2.2346729999999999"/>
    <n v="19.424672999999999"/>
  </r>
  <r>
    <x v="5"/>
    <s v="Q3"/>
    <x v="0"/>
    <x v="70"/>
    <s v="KEPL/01308/82-83"/>
    <s v="NILLONS L&amp;D"/>
    <x v="37"/>
    <n v="0.03"/>
    <n v="1"/>
    <n v="81.94"/>
    <n v="81.94"/>
    <n v="-6.3"/>
    <n v="0"/>
    <n v="9.8330800000000007"/>
    <n v="85.473079999999996"/>
  </r>
  <r>
    <x v="5"/>
    <s v="Q3"/>
    <x v="0"/>
    <x v="70"/>
    <s v="KEPL/01308/82-83"/>
    <s v="NILLONS L&amp;D"/>
    <x v="53"/>
    <n v="0.03"/>
    <n v="1"/>
    <n v="81.94"/>
    <n v="81.94"/>
    <n v="-6.3"/>
    <n v="0"/>
    <n v="9.8330800000000007"/>
    <n v="85.473079999999996"/>
  </r>
  <r>
    <x v="5"/>
    <s v="Q3"/>
    <x v="0"/>
    <x v="70"/>
    <s v="KEPL/01308/82-83"/>
    <s v="NILLONS L&amp;D"/>
    <x v="31"/>
    <n v="0.02"/>
    <n v="1"/>
    <n v="111.74"/>
    <n v="111.74"/>
    <n v="-8.59"/>
    <n v="0"/>
    <n v="13.409336"/>
    <n v="116.559336"/>
  </r>
  <r>
    <x v="5"/>
    <s v="Q3"/>
    <x v="0"/>
    <x v="70"/>
    <s v="KEPL/01308/82-83"/>
    <s v="NILLONS L&amp;D"/>
    <x v="33"/>
    <n v="0.03"/>
    <n v="1"/>
    <n v="67.040000000000006"/>
    <n v="67.040000000000006"/>
    <n v="-5.16"/>
    <n v="0"/>
    <n v="8.0443020000000001"/>
    <n v="69.924301999999997"/>
  </r>
  <r>
    <x v="5"/>
    <s v="Q3"/>
    <x v="0"/>
    <x v="70"/>
    <s v="KEPL/01308/82-83"/>
    <s v="NILLONS L&amp;D"/>
    <x v="35"/>
    <n v="0.02"/>
    <n v="1"/>
    <n v="145.26"/>
    <n v="145.26"/>
    <n v="-11.17"/>
    <n v="0"/>
    <n v="17.431487000000001"/>
    <n v="151.52148700000001"/>
  </r>
  <r>
    <x v="5"/>
    <s v="Q3"/>
    <x v="0"/>
    <x v="70"/>
    <s v="KEPL/01308/82-83"/>
    <s v="NILLONS L&amp;D"/>
    <x v="38"/>
    <n v="0.04"/>
    <n v="1"/>
    <n v="186.22"/>
    <n v="186.22"/>
    <n v="-14.32"/>
    <n v="0"/>
    <n v="22.346727000000001"/>
    <n v="194.24672699999999"/>
  </r>
  <r>
    <x v="5"/>
    <s v="Q3"/>
    <x v="0"/>
    <x v="70"/>
    <s v="KEPL/01308/82-83"/>
    <s v="NILLONS L&amp;D"/>
    <x v="12"/>
    <n v="0.01"/>
    <n v="1"/>
    <n v="37.25"/>
    <n v="37.25"/>
    <n v="-2.86"/>
    <n v="0"/>
    <n v="4.4706450000000002"/>
    <n v="38.860644999999998"/>
  </r>
  <r>
    <x v="5"/>
    <s v="Q3"/>
    <x v="0"/>
    <x v="70"/>
    <s v="KEPL/01308/82-83"/>
    <s v="NILLONS L&amp;D"/>
    <x v="34"/>
    <n v="0.03"/>
    <n v="1"/>
    <n v="67.040000000000006"/>
    <n v="67.040000000000006"/>
    <n v="-5.16"/>
    <n v="0"/>
    <n v="8.0443020000000001"/>
    <n v="69.924301999999997"/>
  </r>
  <r>
    <x v="5"/>
    <s v="Q3"/>
    <x v="0"/>
    <x v="70"/>
    <s v="KEPL/01308/82-83"/>
    <s v="NILLONS L&amp;D"/>
    <x v="42"/>
    <n v="0.03"/>
    <n v="1"/>
    <n v="316.58999999999997"/>
    <n v="316.58999999999997"/>
    <n v="-24.35"/>
    <n v="0"/>
    <n v="37.990735999999998"/>
    <n v="330.23073599999998"/>
  </r>
  <r>
    <x v="5"/>
    <s v="Q3"/>
    <x v="0"/>
    <x v="70"/>
    <s v="KEPL/01308/82-83"/>
    <s v="NILLONS L&amp;D"/>
    <x v="39"/>
    <n v="0.05"/>
    <n v="1"/>
    <n v="249.55"/>
    <n v="249.55"/>
    <n v="-19.190000000000001"/>
    <n v="0"/>
    <n v="29.946434"/>
    <n v="260.30643400000002"/>
  </r>
  <r>
    <x v="5"/>
    <s v="Q3"/>
    <x v="0"/>
    <x v="70"/>
    <s v="KEPL/01308/82-83"/>
    <s v="NILLONS L&amp;D"/>
    <x v="56"/>
    <n v="0"/>
    <n v="1"/>
    <n v="7.46"/>
    <n v="7.46"/>
    <n v="-0.56999999999999995"/>
    <n v="0"/>
    <n v="0.89568899999999996"/>
    <n v="7.7856889999999996"/>
  </r>
  <r>
    <x v="5"/>
    <s v="Q3"/>
    <x v="0"/>
    <x v="70"/>
    <s v="KEPL/01308/82-83"/>
    <s v="NILLONS L&amp;D"/>
    <x v="36"/>
    <n v="0.03"/>
    <n v="1"/>
    <n v="81.94"/>
    <n v="81.94"/>
    <n v="-6.3"/>
    <n v="0"/>
    <n v="9.8330800000000007"/>
    <n v="85.473079999999996"/>
  </r>
  <r>
    <x v="5"/>
    <s v="Q3"/>
    <x v="0"/>
    <x v="70"/>
    <s v="KEPL/01308/82-83"/>
    <s v="NILLONS L&amp;D"/>
    <x v="41"/>
    <n v="0.03"/>
    <n v="1"/>
    <n v="67.040000000000006"/>
    <n v="67.040000000000006"/>
    <n v="-5.16"/>
    <n v="0"/>
    <n v="8.0443020000000001"/>
    <n v="69.924301999999997"/>
  </r>
  <r>
    <x v="5"/>
    <s v="Q3"/>
    <x v="0"/>
    <x v="70"/>
    <s v="KEPL/01309/82-83"/>
    <s v="NILLONS L&amp;D"/>
    <x v="45"/>
    <n v="7.0000000000000007E-2"/>
    <n v="1"/>
    <n v="260.72000000000003"/>
    <n v="260.72000000000003"/>
    <n v="-20.05"/>
    <n v="0"/>
    <n v="31.287534000000001"/>
    <n v="271.95753400000001"/>
  </r>
  <r>
    <x v="5"/>
    <s v="Q3"/>
    <x v="0"/>
    <x v="70"/>
    <s v="KEPL/01309/82-83"/>
    <s v="NILLONS L&amp;D"/>
    <x v="26"/>
    <n v="0.06"/>
    <n v="1"/>
    <n v="178.78"/>
    <n v="178.78"/>
    <n v="-13.75"/>
    <n v="0"/>
    <n v="21.454198000000002"/>
    <n v="186.48419799999999"/>
  </r>
  <r>
    <x v="5"/>
    <s v="Q3"/>
    <x v="0"/>
    <x v="70"/>
    <s v="KEPL/01309/82-83"/>
    <s v="NILLONS L&amp;D"/>
    <x v="58"/>
    <n v="0.03"/>
    <n v="1"/>
    <n v="111.74"/>
    <n v="111.74"/>
    <n v="-8.59"/>
    <n v="0"/>
    <n v="13.409686000000001"/>
    <n v="116.559686"/>
  </r>
  <r>
    <x v="5"/>
    <s v="Q3"/>
    <x v="0"/>
    <x v="70"/>
    <s v="KEPL/01309/82-83"/>
    <s v="NILLONS L&amp;D"/>
    <x v="32"/>
    <n v="0.02"/>
    <n v="1"/>
    <n v="111.74"/>
    <n v="111.74"/>
    <n v="-8.59"/>
    <n v="0"/>
    <n v="13.409686000000001"/>
    <n v="116.559686"/>
  </r>
  <r>
    <x v="5"/>
    <s v="Q3"/>
    <x v="0"/>
    <x v="70"/>
    <s v="KEPL/01309/82-83"/>
    <s v="NILLONS L&amp;D"/>
    <x v="43"/>
    <n v="0.02"/>
    <n v="1"/>
    <n v="111.74"/>
    <n v="111.74"/>
    <n v="-8.59"/>
    <n v="0"/>
    <n v="13.409686000000001"/>
    <n v="116.559686"/>
  </r>
  <r>
    <x v="5"/>
    <s v="Q3"/>
    <x v="0"/>
    <x v="70"/>
    <s v="KEPL/01309/82-83"/>
    <s v="NILLONS L&amp;D"/>
    <x v="25"/>
    <n v="0.06"/>
    <n v="1"/>
    <n v="178.78"/>
    <n v="178.78"/>
    <n v="-13.75"/>
    <n v="0"/>
    <n v="21.454198000000002"/>
    <n v="186.48419799999999"/>
  </r>
  <r>
    <x v="5"/>
    <s v="Q3"/>
    <x v="0"/>
    <x v="70"/>
    <s v="KEPL/01309/82-83"/>
    <s v="NILLONS L&amp;D"/>
    <x v="57"/>
    <n v="0.03"/>
    <n v="1"/>
    <n v="111.74"/>
    <n v="111.74"/>
    <n v="-8.59"/>
    <n v="0"/>
    <n v="13.409686000000001"/>
    <n v="116.559686"/>
  </r>
  <r>
    <x v="5"/>
    <s v="Q3"/>
    <x v="0"/>
    <x v="70"/>
    <s v="KEPL/01309/82-83"/>
    <s v="NILLONS L&amp;D"/>
    <x v="47"/>
    <n v="0.03"/>
    <n v="1"/>
    <n v="111.74"/>
    <n v="111.74"/>
    <n v="-8.59"/>
    <n v="0"/>
    <n v="13.409686000000001"/>
    <n v="116.559686"/>
  </r>
  <r>
    <x v="5"/>
    <s v="Q3"/>
    <x v="0"/>
    <x v="70"/>
    <s v="KEPL/01309/82-83"/>
    <s v="NILLONS L&amp;D"/>
    <x v="3"/>
    <n v="0.05"/>
    <n v="1"/>
    <n v="186.22"/>
    <n v="186.22"/>
    <n v="-14.32"/>
    <n v="0"/>
    <n v="22.34731"/>
    <n v="194.24731"/>
  </r>
  <r>
    <x v="5"/>
    <s v="Q3"/>
    <x v="0"/>
    <x v="70"/>
    <s v="KEPL/01309/82-83"/>
    <s v="NILLONS L&amp;D"/>
    <x v="49"/>
    <n v="7.0000000000000007E-2"/>
    <n v="1"/>
    <n v="260.72000000000003"/>
    <n v="260.72000000000003"/>
    <n v="-20.05"/>
    <n v="0"/>
    <n v="31.287534000000001"/>
    <n v="271.95753400000001"/>
  </r>
  <r>
    <x v="5"/>
    <s v="Q3"/>
    <x v="0"/>
    <x v="70"/>
    <s v="KEPL/01309/82-83"/>
    <s v="NILLONS L&amp;D"/>
    <x v="46"/>
    <n v="0.05"/>
    <n v="1"/>
    <n v="175.06"/>
    <n v="175.06"/>
    <n v="-13.46"/>
    <n v="0"/>
    <n v="21.008292000000001"/>
    <n v="182.60829200000001"/>
  </r>
  <r>
    <x v="5"/>
    <s v="Q3"/>
    <x v="0"/>
    <x v="70"/>
    <s v="KEPL/01309/82-83"/>
    <s v="NILLONS L&amp;D"/>
    <x v="54"/>
    <n v="0.05"/>
    <n v="1"/>
    <n v="175.06"/>
    <n v="175.06"/>
    <n v="-13.46"/>
    <n v="0"/>
    <n v="21.008292000000001"/>
    <n v="182.60829200000001"/>
  </r>
  <r>
    <x v="5"/>
    <s v="Q3"/>
    <x v="0"/>
    <x v="70"/>
    <s v="KEPL/01309/82-83"/>
    <s v="NILLONS L&amp;D"/>
    <x v="55"/>
    <n v="0.05"/>
    <n v="1"/>
    <n v="175.06"/>
    <n v="175.06"/>
    <n v="-13.46"/>
    <n v="0"/>
    <n v="21.008292000000001"/>
    <n v="182.60829200000001"/>
  </r>
  <r>
    <x v="5"/>
    <s v="Q3"/>
    <x v="0"/>
    <x v="70"/>
    <s v="KEPL/01309/82-83"/>
    <s v="NILLONS L&amp;D"/>
    <x v="2"/>
    <n v="0.06"/>
    <n v="1"/>
    <n v="178.78"/>
    <n v="178.78"/>
    <n v="-13.75"/>
    <n v="0"/>
    <n v="21.454198000000002"/>
    <n v="186.48419799999999"/>
  </r>
  <r>
    <x v="5"/>
    <s v="Q3"/>
    <x v="0"/>
    <x v="70"/>
    <s v="KEPL/01309/82-83"/>
    <s v="NILLONS L&amp;D"/>
    <x v="24"/>
    <n v="0.06"/>
    <n v="1"/>
    <n v="178.78"/>
    <n v="178.78"/>
    <n v="-13.75"/>
    <n v="0"/>
    <n v="21.454198000000002"/>
    <n v="186.48419799999999"/>
  </r>
  <r>
    <x v="5"/>
    <s v="Q3"/>
    <x v="0"/>
    <x v="70"/>
    <s v="KEPL/01309/82-83"/>
    <s v="NILLONS L&amp;D"/>
    <x v="50"/>
    <n v="0"/>
    <n v="1"/>
    <n v="14.9"/>
    <n v="14.9"/>
    <n v="-1.1499999999999999"/>
    <n v="0"/>
    <n v="1.787525"/>
    <n v="15.537525"/>
  </r>
  <r>
    <x v="5"/>
    <s v="Q3"/>
    <x v="0"/>
    <x v="70"/>
    <s v="KEPL/01310/82-83"/>
    <s v="NILLONS L&amp;D"/>
    <x v="21"/>
    <n v="0"/>
    <n v="1"/>
    <n v="14.9"/>
    <n v="14.9"/>
    <n v="-1.1499999999999999"/>
    <n v="0"/>
    <n v="1.787504"/>
    <n v="15.537504"/>
  </r>
  <r>
    <x v="5"/>
    <s v="Q3"/>
    <x v="0"/>
    <x v="70"/>
    <s v="KEPL/01310/82-83"/>
    <s v="NILLONS L&amp;D"/>
    <x v="60"/>
    <n v="0"/>
    <n v="1"/>
    <n v="1.86"/>
    <n v="1.86"/>
    <n v="-0.14000000000000001"/>
    <n v="0"/>
    <n v="0.22360099999999999"/>
    <n v="1.9436009999999999"/>
  </r>
  <r>
    <x v="5"/>
    <s v="Q3"/>
    <x v="0"/>
    <x v="70"/>
    <s v="KEPL/01310/82-83"/>
    <s v="NILLONS L&amp;D"/>
    <x v="13"/>
    <n v="0.04"/>
    <n v="1"/>
    <n v="141.54"/>
    <n v="141.54"/>
    <n v="-10.88"/>
    <n v="0"/>
    <n v="16.98584"/>
    <n v="147.64583999999999"/>
  </r>
  <r>
    <x v="5"/>
    <s v="Q3"/>
    <x v="0"/>
    <x v="70"/>
    <s v="KEPL/01310/82-83"/>
    <s v="NILLONS L&amp;D"/>
    <x v="59"/>
    <n v="0.05"/>
    <n v="1"/>
    <n v="204.85"/>
    <n v="204.85"/>
    <n v="-15.75"/>
    <n v="0"/>
    <n v="24.583058000000001"/>
    <n v="213.68305799999999"/>
  </r>
  <r>
    <x v="5"/>
    <s v="Q3"/>
    <x v="0"/>
    <x v="70"/>
    <s v="KEPL/01310/82-83"/>
    <s v="NILLONS L&amp;D"/>
    <x v="29"/>
    <n v="0.05"/>
    <n v="1"/>
    <n v="204.85"/>
    <n v="204.85"/>
    <n v="-15.75"/>
    <n v="0"/>
    <n v="24.583058000000001"/>
    <n v="213.68305799999999"/>
  </r>
  <r>
    <x v="5"/>
    <s v="Q3"/>
    <x v="0"/>
    <x v="70"/>
    <s v="KEPL/01310/82-83"/>
    <s v="NILLONS L&amp;D"/>
    <x v="27"/>
    <n v="0.01"/>
    <n v="1"/>
    <n v="37.25"/>
    <n v="37.25"/>
    <n v="-2.86"/>
    <n v="0"/>
    <n v="4.4707109999999997"/>
    <n v="38.860711000000002"/>
  </r>
  <r>
    <x v="5"/>
    <s v="Q3"/>
    <x v="0"/>
    <x v="70"/>
    <s v="KEPL/01310/82-83"/>
    <s v="NILLONS L&amp;D"/>
    <x v="28"/>
    <n v="0.05"/>
    <n v="1"/>
    <n v="204.85"/>
    <n v="204.85"/>
    <n v="-15.75"/>
    <n v="0"/>
    <n v="24.583058000000001"/>
    <n v="213.68305799999999"/>
  </r>
  <r>
    <x v="5"/>
    <s v="Q3"/>
    <x v="0"/>
    <x v="70"/>
    <s v="KEPL/01310/82-83"/>
    <s v="NILLONS L&amp;D"/>
    <x v="48"/>
    <n v="0.05"/>
    <n v="1"/>
    <n v="204.85"/>
    <n v="204.85"/>
    <n v="-15.75"/>
    <n v="0"/>
    <n v="24.583058000000001"/>
    <n v="213.68305799999999"/>
  </r>
  <r>
    <x v="5"/>
    <s v="Q3"/>
    <x v="0"/>
    <x v="70"/>
    <s v="KEPL/01310/82-83"/>
    <s v="NILLONS L&amp;D"/>
    <x v="22"/>
    <n v="0.04"/>
    <n v="1"/>
    <n v="204.85"/>
    <n v="204.85"/>
    <n v="-15.75"/>
    <n v="0"/>
    <n v="24.583058000000001"/>
    <n v="213.68305799999999"/>
  </r>
  <r>
    <x v="5"/>
    <s v="Q3"/>
    <x v="0"/>
    <x v="70"/>
    <s v="KEPL/01310/82-83"/>
    <s v="NILLONS L&amp;D"/>
    <x v="44"/>
    <n v="0.04"/>
    <n v="1"/>
    <n v="186.22"/>
    <n v="186.22"/>
    <n v="-14.32"/>
    <n v="0"/>
    <n v="22.347052999999999"/>
    <n v="194.24705299999999"/>
  </r>
  <r>
    <x v="5"/>
    <s v="Q3"/>
    <x v="0"/>
    <x v="70"/>
    <s v="KEPL/01315/82-83"/>
    <s v="BEERA BARJEE INTERNATIONAL PVT.LTD"/>
    <x v="53"/>
    <n v="1"/>
    <n v="40"/>
    <n v="81.94"/>
    <n v="3277.6"/>
    <n v="-252.05"/>
    <n v="0"/>
    <n v="393.32137799999998"/>
    <n v="3418.8713779999998"/>
  </r>
  <r>
    <x v="5"/>
    <s v="Q3"/>
    <x v="0"/>
    <x v="70"/>
    <s v="KEPL/01315/82-83"/>
    <s v="BEERA BARJEE INTERNATIONAL PVT.LTD"/>
    <x v="46"/>
    <n v="1"/>
    <n v="20"/>
    <n v="175.06"/>
    <n v="3501.2"/>
    <n v="-269.24"/>
    <n v="0"/>
    <n v="420.15466900000001"/>
    <n v="3652.114669"/>
  </r>
  <r>
    <x v="5"/>
    <s v="Q3"/>
    <x v="0"/>
    <x v="70"/>
    <s v="KEPL/01315/82-83"/>
    <s v="BEERA BARJEE INTERNATIONAL PVT.LTD"/>
    <x v="13"/>
    <n v="2"/>
    <n v="48"/>
    <n v="141.54"/>
    <n v="6793.92"/>
    <n v="-522.45000000000005"/>
    <n v="0"/>
    <n v="815.29084699999999"/>
    <n v="7086.7608469999996"/>
  </r>
  <r>
    <x v="5"/>
    <s v="Q3"/>
    <x v="0"/>
    <x v="70"/>
    <s v="KEPL/01315/82-83"/>
    <s v="BEERA BARJEE INTERNATIONAL PVT.LTD"/>
    <x v="54"/>
    <n v="1"/>
    <n v="20"/>
    <n v="175.06"/>
    <n v="3501.2"/>
    <n v="-269.24"/>
    <n v="0"/>
    <n v="420.15466900000001"/>
    <n v="3652.114669"/>
  </r>
  <r>
    <x v="5"/>
    <s v="Q3"/>
    <x v="0"/>
    <x v="70"/>
    <s v="KEPL/01315/82-83"/>
    <s v="BEERA BARJEE INTERNATIONAL PVT.LTD"/>
    <x v="57"/>
    <n v="2"/>
    <n v="80"/>
    <n v="111.74"/>
    <n v="8939.2000000000007"/>
    <n v="-687.42"/>
    <n v="0"/>
    <n v="1072.7310669999999"/>
    <n v="9324.5110669999995"/>
  </r>
  <r>
    <x v="5"/>
    <s v="Q3"/>
    <x v="0"/>
    <x v="70"/>
    <s v="KEPL/01315/82-83"/>
    <s v="BEERA BARJEE INTERNATIONAL PVT.LTD"/>
    <x v="29"/>
    <n v="2"/>
    <n v="40"/>
    <n v="204.85"/>
    <n v="8194"/>
    <n v="-630.12"/>
    <n v="0"/>
    <n v="983.30409499999996"/>
    <n v="8547.1840950000005"/>
  </r>
  <r>
    <x v="5"/>
    <s v="Q3"/>
    <x v="0"/>
    <x v="70"/>
    <s v="KEPL/01315/82-83"/>
    <s v="BEERA BARJEE INTERNATIONAL PVT.LTD"/>
    <x v="36"/>
    <n v="1"/>
    <n v="40"/>
    <n v="81.94"/>
    <n v="3277.6"/>
    <n v="-252.05"/>
    <n v="0"/>
    <n v="393.32137799999998"/>
    <n v="3418.8713779999998"/>
  </r>
  <r>
    <x v="5"/>
    <s v="Q3"/>
    <x v="0"/>
    <x v="70"/>
    <s v="KEPL/01315/82-83"/>
    <s v="BEERA BARJEE INTERNATIONAL PVT.LTD"/>
    <x v="38"/>
    <n v="1"/>
    <n v="24"/>
    <n v="186.22"/>
    <n v="4469.28"/>
    <n v="-343.69"/>
    <n v="0"/>
    <n v="536.32653299999993"/>
    <n v="4661.9165329999996"/>
  </r>
  <r>
    <x v="5"/>
    <s v="Q3"/>
    <x v="0"/>
    <x v="70"/>
    <s v="KEPL/01315/82-83"/>
    <s v="BEERA BARJEE INTERNATIONAL PVT.LTD"/>
    <x v="27"/>
    <n v="2"/>
    <n v="140"/>
    <n v="37.25"/>
    <n v="5215"/>
    <n v="-401.03"/>
    <n v="0"/>
    <n v="625.81590600000004"/>
    <n v="5439.7859060000001"/>
  </r>
  <r>
    <x v="5"/>
    <s v="Q3"/>
    <x v="0"/>
    <x v="70"/>
    <s v="KEPL/01315/82-83"/>
    <s v="BEERA BARJEE INTERNATIONAL PVT.LTD"/>
    <x v="59"/>
    <n v="1"/>
    <n v="20"/>
    <n v="204.85"/>
    <n v="4097"/>
    <n v="-315.06"/>
    <n v="0"/>
    <n v="491.65204699999998"/>
    <n v="4273.5920470000001"/>
  </r>
  <r>
    <x v="5"/>
    <s v="Q3"/>
    <x v="0"/>
    <x v="70"/>
    <s v="KEPL/01315/82-83"/>
    <s v="BEERA BARJEE INTERNATIONAL PVT.LTD"/>
    <x v="55"/>
    <n v="1"/>
    <n v="20"/>
    <n v="175.06"/>
    <n v="3501.2"/>
    <n v="-269.24"/>
    <n v="0"/>
    <n v="420.15466900000001"/>
    <n v="3652.114669"/>
  </r>
  <r>
    <x v="5"/>
    <s v="Q3"/>
    <x v="0"/>
    <x v="70"/>
    <s v="KEPL/01315/82-83"/>
    <s v="BEERA BARJEE INTERNATIONAL PVT.LTD"/>
    <x v="47"/>
    <n v="2"/>
    <n v="80"/>
    <n v="111.74"/>
    <n v="8939.2000000000007"/>
    <n v="-687.42"/>
    <n v="0"/>
    <n v="1072.7310669999999"/>
    <n v="9324.5110669999995"/>
  </r>
  <r>
    <x v="5"/>
    <s v="Q3"/>
    <x v="0"/>
    <x v="70"/>
    <s v="KEPL/01315/82-83"/>
    <s v="BEERA BARJEE INTERNATIONAL PVT.LTD"/>
    <x v="58"/>
    <n v="1"/>
    <n v="40"/>
    <n v="111.74"/>
    <n v="4469.6000000000004"/>
    <n v="-343.71"/>
    <n v="0"/>
    <n v="536.36553300000003"/>
    <n v="4662.2555329999996"/>
  </r>
  <r>
    <x v="5"/>
    <s v="Q3"/>
    <x v="0"/>
    <x v="70"/>
    <s v="KEPL/01315/82-83"/>
    <s v="BEERA BARJEE INTERNATIONAL PVT.LTD"/>
    <x v="48"/>
    <n v="1"/>
    <n v="20"/>
    <n v="204.85"/>
    <n v="4097"/>
    <n v="-315.06"/>
    <n v="0"/>
    <n v="491.65204699999998"/>
    <n v="4273.5920470000001"/>
  </r>
  <r>
    <x v="5"/>
    <s v="Q3"/>
    <x v="0"/>
    <x v="70"/>
    <s v="KEPL/01315/82-83"/>
    <s v="BEERA BARJEE INTERNATIONAL PVT.LTD"/>
    <x v="28"/>
    <n v="2"/>
    <n v="40"/>
    <n v="204.85"/>
    <n v="8194"/>
    <n v="-630.12"/>
    <n v="0"/>
    <n v="983.30409499999996"/>
    <n v="8547.1840950000005"/>
  </r>
  <r>
    <x v="5"/>
    <s v="Q3"/>
    <x v="0"/>
    <x v="70"/>
    <s v="KEPL/01316/82-83"/>
    <s v="GORIN TRADING "/>
    <x v="52"/>
    <n v="20"/>
    <n v="80"/>
    <n v="595.92999999999995"/>
    <n v="47674.400000000001"/>
    <n v="-3666.16"/>
    <n v="0"/>
    <n v="5721.0700000000006"/>
    <n v="49729.31"/>
  </r>
  <r>
    <x v="5"/>
    <s v="Q3"/>
    <x v="0"/>
    <x v="70"/>
    <s v="KEPL/01324/82-83"/>
    <s v="NEW MATA RANI SUPPLIERS"/>
    <x v="57"/>
    <n v="3"/>
    <n v="120"/>
    <n v="111.74"/>
    <n v="13408.8"/>
    <n v="-1031.1400000000001"/>
    <n v="0"/>
    <n v="1609.095255"/>
    <n v="13986.755255"/>
  </r>
  <r>
    <x v="5"/>
    <s v="Q3"/>
    <x v="0"/>
    <x v="70"/>
    <s v="KEPL/01324/82-83"/>
    <s v="NEW MATA RANI SUPPLIERS"/>
    <x v="47"/>
    <n v="4"/>
    <n v="160"/>
    <n v="111.74"/>
    <n v="17878.400000000001"/>
    <n v="-1374.85"/>
    <n v="0"/>
    <n v="2145.4607730000002"/>
    <n v="18649.010773000002"/>
  </r>
  <r>
    <x v="5"/>
    <s v="Q3"/>
    <x v="0"/>
    <x v="70"/>
    <s v="KEPL/01324/82-83"/>
    <s v="NEW MATA RANI SUPPLIERS"/>
    <x v="46"/>
    <n v="2"/>
    <n v="40"/>
    <n v="175.06"/>
    <n v="7002.4"/>
    <n v="-538.48"/>
    <n v="0"/>
    <n v="840.30931500000008"/>
    <n v="7304.2293149999996"/>
  </r>
  <r>
    <x v="5"/>
    <s v="Q3"/>
    <x v="0"/>
    <x v="70"/>
    <s v="KEPL/01324/82-83"/>
    <s v="NEW MATA RANI SUPPLIERS"/>
    <x v="55"/>
    <n v="1"/>
    <n v="20"/>
    <n v="175.06"/>
    <n v="3501.2"/>
    <n v="-269.24"/>
    <n v="0"/>
    <n v="420.15465799999998"/>
    <n v="3652.114658"/>
  </r>
  <r>
    <x v="5"/>
    <s v="Q3"/>
    <x v="0"/>
    <x v="70"/>
    <s v="KESR/0029/82-83"/>
    <s v="ABIRAL SUPPLIERS AND TRADERS"/>
    <x v="13"/>
    <n v="-0.75"/>
    <n v="-18"/>
    <n v="141.53"/>
    <n v="-2547.54"/>
    <n v="195.91"/>
    <n v="0"/>
    <n v="-305.71202099999999"/>
    <n v="-2657.3420209999999"/>
  </r>
  <r>
    <x v="5"/>
    <s v="Q3"/>
    <x v="0"/>
    <x v="70"/>
    <s v="KESR/0029/82-83"/>
    <s v="ABIRAL SUPPLIERS AND TRADERS"/>
    <x v="40"/>
    <n v="-1"/>
    <n v="-600"/>
    <n v="7.45"/>
    <n v="-4470"/>
    <n v="343.74"/>
    <n v="0"/>
    <n v="-536.41401300000007"/>
    <n v="-4662.6740129999998"/>
  </r>
  <r>
    <x v="5"/>
    <s v="Q3"/>
    <x v="0"/>
    <x v="70"/>
    <s v="KESR/0029/82-83"/>
    <s v="ABIRAL SUPPLIERS AND TRADERS"/>
    <x v="44"/>
    <n v="-1.75"/>
    <n v="-42"/>
    <n v="186.23"/>
    <n v="-7821.66"/>
    <n v="601.4899999999999"/>
    <n v="0"/>
    <n v="-938.62247200000002"/>
    <n v="-8158.7924720000001"/>
  </r>
  <r>
    <x v="5"/>
    <s v="Q3"/>
    <x v="0"/>
    <x v="70"/>
    <s v="KESR/0029/82-83"/>
    <s v="ABIRAL SUPPLIERS AND TRADERS"/>
    <x v="53"/>
    <n v="-0.57999999999999996"/>
    <n v="-23"/>
    <n v="81.94"/>
    <n v="-1884.6200000000001"/>
    <n v="144.93"/>
    <n v="0"/>
    <n v="-226.15979000000002"/>
    <n v="-1965.84979"/>
  </r>
  <r>
    <x v="5"/>
    <s v="Q3"/>
    <x v="0"/>
    <x v="70"/>
    <s v="KESR/0029/82-83"/>
    <s v="ABIRAL SUPPLIERS AND TRADERS"/>
    <x v="36"/>
    <n v="-1.85"/>
    <n v="-74"/>
    <n v="81.94"/>
    <n v="-6063.5599999999995"/>
    <n v="466.29"/>
    <n v="0"/>
    <n v="-727.64538900000002"/>
    <n v="-6324.9153889999998"/>
  </r>
  <r>
    <x v="5"/>
    <s v="Q3"/>
    <x v="0"/>
    <x v="70"/>
    <s v="KESR/0029/82-83"/>
    <s v="ABIRAL SUPPLIERS AND TRADERS"/>
    <x v="23"/>
    <n v="-1"/>
    <n v="-600"/>
    <n v="7.45"/>
    <n v="-4470"/>
    <n v="343.74"/>
    <n v="0"/>
    <n v="-536.41401300000007"/>
    <n v="-4662.6740129999998"/>
  </r>
  <r>
    <x v="5"/>
    <s v="Q3"/>
    <x v="0"/>
    <x v="70"/>
    <s v="KESR/0029/82-83"/>
    <s v="ABIRAL SUPPLIERS AND TRADERS"/>
    <x v="22"/>
    <n v="-0.96"/>
    <n v="-23"/>
    <n v="204.85"/>
    <n v="-4711.55"/>
    <n v="362.32"/>
    <n v="0"/>
    <n v="-565.40012400000001"/>
    <n v="-4914.6301240000003"/>
  </r>
  <r>
    <x v="5"/>
    <s v="Q3"/>
    <x v="0"/>
    <x v="70"/>
    <s v="KESR/0029/82-83"/>
    <s v="ABIRAL SUPPLIERS AND TRADERS"/>
    <x v="56"/>
    <n v="-2"/>
    <n v="-1600"/>
    <n v="7.45"/>
    <n v="-11920"/>
    <n v="916.65"/>
    <n v="0"/>
    <n v="-1430.4360669999999"/>
    <n v="-12433.786066999999"/>
  </r>
  <r>
    <x v="5"/>
    <s v="Q3"/>
    <x v="0"/>
    <x v="70"/>
    <s v="KESR/0029/82-83"/>
    <s v="ABIRAL SUPPLIERS AND TRADERS"/>
    <x v="52"/>
    <n v="-2"/>
    <n v="-8"/>
    <n v="595.92999999999995"/>
    <n v="-4767.4399999999996"/>
    <n v="366.62"/>
    <n v="0"/>
    <n v="-572.10682700000007"/>
    <n v="-4972.9268270000002"/>
  </r>
  <r>
    <x v="5"/>
    <s v="Q3"/>
    <x v="0"/>
    <x v="70"/>
    <s v="KESR/0029/82-83"/>
    <s v="ABIRAL SUPPLIERS AND TRADERS"/>
    <x v="38"/>
    <n v="-2.75"/>
    <n v="-66"/>
    <n v="186.23"/>
    <n v="-12291.18"/>
    <n v="945.19"/>
    <n v="0"/>
    <n v="-1474.9792850000001"/>
    <n v="-12820.969284999999"/>
  </r>
  <r>
    <x v="5"/>
    <s v="Q3"/>
    <x v="0"/>
    <x v="71"/>
    <s v="KEPL/01325/82-83"/>
    <s v="BEERA BARJEE INTERNATIONAL PVT.LTD"/>
    <x v="40"/>
    <n v="1"/>
    <n v="600"/>
    <n v="7.45"/>
    <n v="4470"/>
    <n v="-343.74"/>
    <n v="0"/>
    <n v="536.41500000000008"/>
    <n v="4662.6750000000002"/>
  </r>
  <r>
    <x v="5"/>
    <s v="Q3"/>
    <x v="0"/>
    <x v="71"/>
    <s v="KEPL/01325/82-83"/>
    <s v="BEERA BARJEE INTERNATIONAL PVT.LTD"/>
    <x v="23"/>
    <n v="1"/>
    <n v="600"/>
    <n v="7.45"/>
    <n v="4470"/>
    <n v="-343.74"/>
    <n v="0"/>
    <n v="536.41500000000008"/>
    <n v="4662.6750000000002"/>
  </r>
  <r>
    <x v="5"/>
    <s v="Q3"/>
    <x v="0"/>
    <x v="71"/>
    <s v="KEPL/01329/82-83"/>
    <s v="GORIN TRADING "/>
    <x v="22"/>
    <n v="0.96"/>
    <n v="23"/>
    <n v="204.85"/>
    <n v="4711.55"/>
    <n v="-362.32"/>
    <n v="0"/>
    <n v="565.4"/>
    <n v="4914.63"/>
  </r>
  <r>
    <x v="5"/>
    <s v="Q3"/>
    <x v="0"/>
    <x v="71"/>
    <s v="KEPL/01332/82-83"/>
    <s v="CHHATRA DEV GENERAL SUPPLIERS"/>
    <x v="46"/>
    <n v="3"/>
    <n v="60"/>
    <n v="175.06"/>
    <n v="10503.6"/>
    <n v="-807.7299999999999"/>
    <n v="0"/>
    <n v="1260.4630599999998"/>
    <n v="10956.333060000001"/>
  </r>
  <r>
    <x v="5"/>
    <s v="Q3"/>
    <x v="0"/>
    <x v="71"/>
    <s v="KEPL/01332/82-83"/>
    <s v="CHHATRA DEV GENERAL SUPPLIERS"/>
    <x v="13"/>
    <n v="5"/>
    <n v="120"/>
    <n v="141.54"/>
    <n v="16984.62"/>
    <n v="-1306.1199999999999"/>
    <n v="0"/>
    <n v="2038.2049359999999"/>
    <n v="17716.704935999998"/>
  </r>
  <r>
    <x v="5"/>
    <s v="Q3"/>
    <x v="0"/>
    <x v="71"/>
    <s v="KEPL/01332/82-83"/>
    <s v="CHHATRA DEV GENERAL SUPPLIERS"/>
    <x v="52"/>
    <n v="15"/>
    <n v="60"/>
    <n v="595.92999999999995"/>
    <n v="35755.799999999996"/>
    <n v="-2749.62"/>
    <n v="0"/>
    <n v="4290.8032649999996"/>
    <n v="37296.983265000003"/>
  </r>
  <r>
    <x v="5"/>
    <s v="Q3"/>
    <x v="0"/>
    <x v="71"/>
    <s v="KEPL/01332/82-83"/>
    <s v="CHHATRA DEV GENERAL SUPPLIERS"/>
    <x v="36"/>
    <n v="5"/>
    <n v="200"/>
    <n v="81.94"/>
    <n v="16388"/>
    <n v="-1260.24"/>
    <n v="0"/>
    <n v="1966.6087379999999"/>
    <n v="17094.368738000001"/>
  </r>
  <r>
    <x v="5"/>
    <s v="Q3"/>
    <x v="0"/>
    <x v="71"/>
    <s v="KEPL/01339/82-83"/>
    <s v="KRISHMA ENTERPRISES"/>
    <x v="28"/>
    <n v="10"/>
    <n v="200"/>
    <n v="204.85"/>
    <n v="40970"/>
    <n v="-3150.5899999999997"/>
    <n v="0"/>
    <n v="4916.5239759999995"/>
    <n v="42735.933976"/>
  </r>
  <r>
    <x v="5"/>
    <s v="Q3"/>
    <x v="0"/>
    <x v="71"/>
    <s v="KEPL/01339/82-83"/>
    <s v="KRISHMA ENTERPRISES"/>
    <x v="47"/>
    <n v="5.01"/>
    <n v="200"/>
    <n v="111.74"/>
    <n v="22348"/>
    <n v="-1718.56"/>
    <n v="0"/>
    <n v="2681.827569"/>
    <n v="23311.267569"/>
  </r>
  <r>
    <x v="5"/>
    <s v="Q3"/>
    <x v="0"/>
    <x v="71"/>
    <s v="KEPL/01339/82-83"/>
    <s v="KRISHMA ENTERPRISES"/>
    <x v="46"/>
    <n v="6"/>
    <n v="120"/>
    <n v="175.06"/>
    <n v="21007.200000000001"/>
    <n v="-1615.45"/>
    <n v="0"/>
    <n v="2520.927846"/>
    <n v="21912.677845999999"/>
  </r>
  <r>
    <x v="5"/>
    <s v="Q3"/>
    <x v="0"/>
    <x v="71"/>
    <s v="KEPL/01339/82-83"/>
    <s v="KRISHMA ENTERPRISES"/>
    <x v="57"/>
    <n v="5"/>
    <n v="200"/>
    <n v="111.74"/>
    <n v="22348"/>
    <n v="-1718.56"/>
    <n v="0"/>
    <n v="2681.827569"/>
    <n v="23311.267569"/>
  </r>
  <r>
    <x v="5"/>
    <s v="Q3"/>
    <x v="0"/>
    <x v="71"/>
    <s v="KEPL/01339/82-83"/>
    <s v="KRISHMA ENTERPRISES"/>
    <x v="55"/>
    <n v="6"/>
    <n v="120"/>
    <n v="175.06"/>
    <n v="21007.200000000001"/>
    <n v="-1615.45"/>
    <n v="0"/>
    <n v="2520.927846"/>
    <n v="21912.677845999999"/>
  </r>
  <r>
    <x v="5"/>
    <s v="Q3"/>
    <x v="0"/>
    <x v="71"/>
    <s v="KEPL/01339/82-83"/>
    <s v="KRISHMA ENTERPRISES"/>
    <x v="35"/>
    <n v="5"/>
    <n v="300"/>
    <n v="145.26"/>
    <n v="43578"/>
    <n v="-3351.1499999999996"/>
    <n v="0"/>
    <n v="5229.4912189999995"/>
    <n v="45456.341219000002"/>
  </r>
  <r>
    <x v="5"/>
    <s v="Q3"/>
    <x v="0"/>
    <x v="71"/>
    <s v="KEPL/01339/82-83"/>
    <s v="KRISHMA ENTERPRISES"/>
    <x v="29"/>
    <n v="10"/>
    <n v="200"/>
    <n v="204.85"/>
    <n v="40970"/>
    <n v="-3150.5899999999997"/>
    <n v="0"/>
    <n v="4916.5239759999995"/>
    <n v="42735.933976"/>
  </r>
  <r>
    <x v="5"/>
    <s v="Q3"/>
    <x v="0"/>
    <x v="71"/>
    <s v="KEPL/01340/82-83"/>
    <s v="SHREE BHOLEY SHANKAR KIRANA STORE"/>
    <x v="52"/>
    <n v="50"/>
    <n v="200"/>
    <n v="595.92999999999995"/>
    <n v="119186"/>
    <n v="-9165.4"/>
    <n v="0"/>
    <n v="14302.68"/>
    <n v="124323.28"/>
  </r>
  <r>
    <x v="5"/>
    <s v="Q3"/>
    <x v="0"/>
    <x v="71"/>
    <s v="KEPL/01341/82-83"/>
    <s v="R.P DISTRIBUTOR TRADE CENTER"/>
    <x v="29"/>
    <n v="1"/>
    <n v="20"/>
    <n v="204.85"/>
    <n v="4097"/>
    <n v="-315.06"/>
    <n v="0"/>
    <n v="491.652064"/>
    <n v="4273.5920640000004"/>
  </r>
  <r>
    <x v="5"/>
    <s v="Q3"/>
    <x v="0"/>
    <x v="71"/>
    <s v="KEPL/01341/82-83"/>
    <s v="R.P DISTRIBUTOR TRADE CENTER"/>
    <x v="47"/>
    <n v="5"/>
    <n v="200"/>
    <n v="111.74"/>
    <n v="22348"/>
    <n v="-1718.56"/>
    <n v="0"/>
    <n v="2681.8264600000002"/>
    <n v="23311.266459999999"/>
  </r>
  <r>
    <x v="5"/>
    <s v="Q3"/>
    <x v="0"/>
    <x v="71"/>
    <s v="KEPL/01341/82-83"/>
    <s v="R.P DISTRIBUTOR TRADE CENTER"/>
    <x v="49"/>
    <n v="5"/>
    <n v="75"/>
    <n v="260.72000000000003"/>
    <n v="19554"/>
    <n v="-1503.6999999999998"/>
    <n v="0"/>
    <n v="2346.538352"/>
    <n v="20396.838351999999"/>
  </r>
  <r>
    <x v="5"/>
    <s v="Q3"/>
    <x v="0"/>
    <x v="71"/>
    <s v="KEPL/01341/82-83"/>
    <s v="R.P DISTRIBUTOR TRADE CENTER"/>
    <x v="52"/>
    <n v="10"/>
    <n v="40"/>
    <n v="595.92999999999995"/>
    <n v="23837.200000000001"/>
    <n v="-1833.08"/>
    <n v="0"/>
    <n v="2860.5348099999997"/>
    <n v="24864.65481"/>
  </r>
  <r>
    <x v="5"/>
    <s v="Q3"/>
    <x v="0"/>
    <x v="71"/>
    <s v="KEPL/01341/82-83"/>
    <s v="R.P DISTRIBUTOR TRADE CENTER"/>
    <x v="46"/>
    <n v="5"/>
    <n v="100"/>
    <n v="175.06"/>
    <n v="17506"/>
    <n v="-1346.21"/>
    <n v="0"/>
    <n v="2100.7721200000001"/>
    <n v="18260.562119999999"/>
  </r>
  <r>
    <x v="5"/>
    <s v="Q3"/>
    <x v="0"/>
    <x v="71"/>
    <s v="KEPL/01341/82-83"/>
    <s v="R.P DISTRIBUTOR TRADE CENTER"/>
    <x v="59"/>
    <n v="1"/>
    <n v="20"/>
    <n v="204.85"/>
    <n v="4097"/>
    <n v="-315.06"/>
    <n v="0"/>
    <n v="491.652064"/>
    <n v="4273.5920640000004"/>
  </r>
  <r>
    <x v="5"/>
    <s v="Q3"/>
    <x v="0"/>
    <x v="71"/>
    <s v="KEPL/01341/82-83"/>
    <s v="R.P DISTRIBUTOR TRADE CENTER"/>
    <x v="48"/>
    <n v="1"/>
    <n v="20"/>
    <n v="204.85"/>
    <n v="4097"/>
    <n v="-315.06"/>
    <n v="0"/>
    <n v="491.652064"/>
    <n v="4273.5920640000004"/>
  </r>
  <r>
    <x v="5"/>
    <s v="Q3"/>
    <x v="0"/>
    <x v="71"/>
    <s v="KEPL/01341/82-83"/>
    <s v="R.P DISTRIBUTOR TRADE CENTER"/>
    <x v="28"/>
    <n v="1"/>
    <n v="20"/>
    <n v="204.85"/>
    <n v="4097"/>
    <n v="-315.06"/>
    <n v="0"/>
    <n v="491.652064"/>
    <n v="4273.5920640000004"/>
  </r>
  <r>
    <x v="5"/>
    <s v="Q3"/>
    <x v="0"/>
    <x v="71"/>
    <s v="KEPL/01342/82-83"/>
    <s v="RAJU KIRANA PASAL"/>
    <x v="36"/>
    <n v="1"/>
    <n v="40"/>
    <n v="81.94"/>
    <n v="3277.6"/>
    <n v="-252.05"/>
    <n v="0"/>
    <n v="393.32183500000002"/>
    <n v="3418.8718349999999"/>
  </r>
  <r>
    <x v="5"/>
    <s v="Q3"/>
    <x v="0"/>
    <x v="71"/>
    <s v="KEPL/01342/82-83"/>
    <s v="RAJU KIRANA PASAL"/>
    <x v="13"/>
    <n v="1"/>
    <n v="24"/>
    <n v="141.54"/>
    <n v="3396.96"/>
    <n v="-261.23"/>
    <n v="0"/>
    <n v="407.64524699999998"/>
    <n v="3543.3752469999999"/>
  </r>
  <r>
    <x v="5"/>
    <s v="Q3"/>
    <x v="0"/>
    <x v="71"/>
    <s v="KEPL/01342/82-83"/>
    <s v="RAJU KIRANA PASAL"/>
    <x v="60"/>
    <n v="1"/>
    <n v="1000"/>
    <n v="1.86"/>
    <n v="1860"/>
    <n v="-143.03"/>
    <n v="0"/>
    <n v="223.20629"/>
    <n v="1940.1762900000001"/>
  </r>
  <r>
    <x v="5"/>
    <s v="Q3"/>
    <x v="0"/>
    <x v="71"/>
    <s v="KEPL/01342/82-83"/>
    <s v="RAJU KIRANA PASAL"/>
    <x v="53"/>
    <n v="1"/>
    <n v="40"/>
    <n v="81.94"/>
    <n v="3277.6"/>
    <n v="-252.05"/>
    <n v="0"/>
    <n v="393.32183500000002"/>
    <n v="3418.8718349999999"/>
  </r>
  <r>
    <x v="5"/>
    <s v="Q3"/>
    <x v="0"/>
    <x v="71"/>
    <s v="KEPL/01342/82-83"/>
    <s v="RAJU KIRANA PASAL"/>
    <x v="12"/>
    <n v="1"/>
    <n v="130"/>
    <n v="37.25"/>
    <n v="4842.5"/>
    <n v="-372.39"/>
    <n v="0"/>
    <n v="581.11479400000007"/>
    <n v="5051.2247939999997"/>
  </r>
  <r>
    <x v="5"/>
    <s v="Q3"/>
    <x v="0"/>
    <x v="72"/>
    <s v="KEPL/01362/82-83"/>
    <s v="SIMPEX SOLUTION PVT. LTD"/>
    <x v="43"/>
    <n v="0.17"/>
    <n v="10"/>
    <n v="106.19"/>
    <n v="1061.9000000000001"/>
    <n v="0"/>
    <n v="0"/>
    <n v="138.046719"/>
    <n v="1199.946719"/>
  </r>
  <r>
    <x v="5"/>
    <s v="Q3"/>
    <x v="0"/>
    <x v="72"/>
    <s v="KEPL/01362/82-83"/>
    <s v="SIMPEX SOLUTION PVT. LTD"/>
    <x v="13"/>
    <n v="1.67"/>
    <n v="40"/>
    <n v="134.51"/>
    <n v="5380.4000000000005"/>
    <n v="0"/>
    <n v="0"/>
    <n v="699.45057599999996"/>
    <n v="6079.8505759999998"/>
  </r>
  <r>
    <x v="5"/>
    <s v="Q3"/>
    <x v="0"/>
    <x v="72"/>
    <s v="KEPL/01362/82-83"/>
    <s v="SIMPEX SOLUTION PVT. LTD"/>
    <x v="28"/>
    <n v="0.5"/>
    <n v="10"/>
    <n v="194.69"/>
    <n v="1946.8999999999999"/>
    <n v="0"/>
    <n v="0"/>
    <n v="253.096485"/>
    <n v="2199.9964850000001"/>
  </r>
  <r>
    <x v="5"/>
    <s v="Q3"/>
    <x v="0"/>
    <x v="72"/>
    <s v="KEPL/01362/82-83"/>
    <s v="SIMPEX SOLUTION PVT. LTD"/>
    <x v="34"/>
    <n v="0.25"/>
    <n v="10"/>
    <n v="70.8"/>
    <n v="708"/>
    <n v="0"/>
    <n v="0"/>
    <n v="92.039812999999995"/>
    <n v="800.03981299999998"/>
  </r>
  <r>
    <x v="5"/>
    <s v="Q3"/>
    <x v="0"/>
    <x v="72"/>
    <s v="KEPL/01362/82-83"/>
    <s v="SIMPEX SOLUTION PVT. LTD"/>
    <x v="22"/>
    <n v="0.42"/>
    <n v="10"/>
    <n v="194.69"/>
    <n v="1946.8999999999999"/>
    <n v="0"/>
    <n v="0"/>
    <n v="253.096485"/>
    <n v="2199.9964850000001"/>
  </r>
  <r>
    <x v="5"/>
    <s v="Q3"/>
    <x v="0"/>
    <x v="72"/>
    <s v="KEPL/01362/82-83"/>
    <s v="SIMPEX SOLUTION PVT. LTD"/>
    <x v="31"/>
    <n v="0.33"/>
    <n v="20"/>
    <n v="106.19"/>
    <n v="2123.8000000000002"/>
    <n v="0"/>
    <n v="0"/>
    <n v="276.09343799999999"/>
    <n v="2399.8934380000001"/>
  </r>
  <r>
    <x v="5"/>
    <s v="Q3"/>
    <x v="0"/>
    <x v="72"/>
    <s v="KEPL/01362/82-83"/>
    <s v="SIMPEX SOLUTION PVT. LTD"/>
    <x v="59"/>
    <n v="0.5"/>
    <n v="10"/>
    <n v="194.69"/>
    <n v="1946.8999999999999"/>
    <n v="0"/>
    <n v="0"/>
    <n v="253.096485"/>
    <n v="2199.9964850000001"/>
  </r>
  <r>
    <x v="5"/>
    <s v="Q3"/>
    <x v="0"/>
    <x v="72"/>
    <s v="KEPL/01363/82-83"/>
    <s v="SHUBHASHREE MARKETING"/>
    <x v="25"/>
    <n v="2"/>
    <n v="36"/>
    <n v="178.78"/>
    <n v="6436.0800000000008"/>
    <n v="-494.93"/>
    <n v="0"/>
    <n v="772.34944700000005"/>
    <n v="6713.4994470000001"/>
  </r>
  <r>
    <x v="5"/>
    <s v="Q3"/>
    <x v="0"/>
    <x v="72"/>
    <s v="KEPL/01363/82-83"/>
    <s v="SHUBHASHREE MARKETING"/>
    <x v="27"/>
    <n v="10"/>
    <n v="700"/>
    <n v="37.25"/>
    <n v="26075"/>
    <n v="-2005.1699999999998"/>
    <n v="0"/>
    <n v="3129.077687"/>
    <n v="27198.907686999999"/>
  </r>
  <r>
    <x v="5"/>
    <s v="Q3"/>
    <x v="0"/>
    <x v="72"/>
    <s v="KEPL/01363/82-83"/>
    <s v="SHUBHASHREE MARKETING"/>
    <x v="26"/>
    <n v="5"/>
    <n v="90"/>
    <n v="178.78"/>
    <n v="16090.2"/>
    <n v="-1237.3400000000001"/>
    <n v="0"/>
    <n v="1930.8716689999999"/>
    <n v="16783.731669000001"/>
  </r>
  <r>
    <x v="5"/>
    <s v="Q3"/>
    <x v="0"/>
    <x v="72"/>
    <s v="KEPL/01363/82-83"/>
    <s v="SHUBHASHREE MARKETING"/>
    <x v="50"/>
    <n v="2"/>
    <n v="480"/>
    <n v="14.9"/>
    <n v="7152"/>
    <n v="-549.99"/>
    <n v="0"/>
    <n v="858.26124200000004"/>
    <n v="7460.2712419999998"/>
  </r>
  <r>
    <x v="5"/>
    <s v="Q3"/>
    <x v="0"/>
    <x v="72"/>
    <s v="KEPL/01363/82-83"/>
    <s v="SHUBHASHREE MARKETING"/>
    <x v="33"/>
    <n v="3"/>
    <n v="120"/>
    <n v="74.489999999999995"/>
    <n v="8938.8000000000011"/>
    <n v="-687.3900000000001"/>
    <n v="0"/>
    <n v="1072.683227"/>
    <n v="9324.0932269999994"/>
  </r>
  <r>
    <x v="5"/>
    <s v="Q3"/>
    <x v="0"/>
    <x v="72"/>
    <s v="KEPL/01363/82-83"/>
    <s v="SHUBHASHREE MARKETING"/>
    <x v="47"/>
    <n v="4"/>
    <n v="160"/>
    <n v="111.74"/>
    <n v="17878.400000000001"/>
    <n v="-1374.85"/>
    <n v="0"/>
    <n v="2145.461354"/>
    <n v="18649.011353999998"/>
  </r>
  <r>
    <x v="5"/>
    <s v="Q3"/>
    <x v="0"/>
    <x v="72"/>
    <s v="KEPL/01363/82-83"/>
    <s v="SHUBHASHREE MARKETING"/>
    <x v="34"/>
    <n v="3"/>
    <n v="120"/>
    <n v="74.489999999999995"/>
    <n v="8938.8000000000011"/>
    <n v="-687.3900000000001"/>
    <n v="0"/>
    <n v="1072.683227"/>
    <n v="9324.0932269999994"/>
  </r>
  <r>
    <x v="5"/>
    <s v="Q3"/>
    <x v="0"/>
    <x v="72"/>
    <s v="KEPL/01363/82-83"/>
    <s v="SHUBHASHREE MARKETING"/>
    <x v="39"/>
    <n v="6"/>
    <n v="120"/>
    <n v="249.55"/>
    <n v="29946"/>
    <n v="-2302.85"/>
    <n v="0"/>
    <n v="3593.6092550000003"/>
    <n v="31236.759255000001"/>
  </r>
  <r>
    <x v="5"/>
    <s v="Q3"/>
    <x v="0"/>
    <x v="72"/>
    <s v="KEPL/01363/82-83"/>
    <s v="SHUBHASHREE MARKETING"/>
    <x v="40"/>
    <n v="5"/>
    <n v="3000"/>
    <n v="7.46"/>
    <n v="22380"/>
    <n v="-1721.0200000000002"/>
    <n v="0"/>
    <n v="2685.6672170000002"/>
    <n v="23344.647217000002"/>
  </r>
  <r>
    <x v="5"/>
    <s v="Q3"/>
    <x v="0"/>
    <x v="72"/>
    <s v="KEPL/01363/82-83"/>
    <s v="SHUBHASHREE MARKETING"/>
    <x v="21"/>
    <n v="2"/>
    <n v="480"/>
    <n v="14.9"/>
    <n v="7152"/>
    <n v="-549.99"/>
    <n v="0"/>
    <n v="858.26124200000004"/>
    <n v="7460.2712419999998"/>
  </r>
  <r>
    <x v="5"/>
    <s v="Q3"/>
    <x v="0"/>
    <x v="72"/>
    <s v="KEPL/01363/82-83"/>
    <s v="SHUBHASHREE MARKETING"/>
    <x v="51"/>
    <n v="10"/>
    <n v="500"/>
    <n v="89.39"/>
    <n v="44695"/>
    <n v="-3437.0499999999997"/>
    <n v="0"/>
    <n v="5363.5331349999997"/>
    <n v="46621.483135000002"/>
  </r>
  <r>
    <x v="5"/>
    <s v="Q3"/>
    <x v="0"/>
    <x v="72"/>
    <s v="KEPL/01363/82-83"/>
    <s v="SHUBHASHREE MARKETING"/>
    <x v="52"/>
    <n v="10"/>
    <n v="40"/>
    <n v="595.92999999999995"/>
    <n v="23837.200000000001"/>
    <n v="-1833.08"/>
    <n v="0"/>
    <n v="2860.5354050000001"/>
    <n v="24864.655405000001"/>
  </r>
  <r>
    <x v="5"/>
    <s v="Q3"/>
    <x v="0"/>
    <x v="72"/>
    <s v="KEPL/01363/82-83"/>
    <s v="SHUBHASHREE MARKETING"/>
    <x v="13"/>
    <n v="2"/>
    <n v="48"/>
    <n v="141.54"/>
    <n v="6793.92"/>
    <n v="-522.45000000000005"/>
    <n v="0"/>
    <n v="815.29104399999994"/>
    <n v="7086.7610439999999"/>
  </r>
  <r>
    <x v="5"/>
    <s v="Q3"/>
    <x v="0"/>
    <x v="72"/>
    <s v="KEPL/01363/82-83"/>
    <s v="SHUBHASHREE MARKETING"/>
    <x v="57"/>
    <n v="2"/>
    <n v="80"/>
    <n v="111.74"/>
    <n v="8939.2000000000007"/>
    <n v="-687.42"/>
    <n v="0"/>
    <n v="1072.731327"/>
    <n v="9324.5113270000002"/>
  </r>
  <r>
    <x v="5"/>
    <s v="Q3"/>
    <x v="0"/>
    <x v="72"/>
    <s v="KEPL/01363/82-83"/>
    <s v="SHUBHASHREE MARKETING"/>
    <x v="23"/>
    <n v="5"/>
    <n v="3000"/>
    <n v="7.46"/>
    <n v="22380"/>
    <n v="-1721.0200000000002"/>
    <n v="0"/>
    <n v="2685.6672170000002"/>
    <n v="23344.647217000002"/>
  </r>
  <r>
    <x v="5"/>
    <s v="Q3"/>
    <x v="0"/>
    <x v="72"/>
    <s v="KEPL/01363/82-83"/>
    <s v="SHUBHASHREE MARKETING"/>
    <x v="2"/>
    <n v="5"/>
    <n v="90"/>
    <n v="178.78"/>
    <n v="16090.2"/>
    <n v="-1237.3400000000001"/>
    <n v="0"/>
    <n v="1930.8716689999999"/>
    <n v="16783.731669000001"/>
  </r>
  <r>
    <x v="5"/>
    <s v="Q3"/>
    <x v="0"/>
    <x v="72"/>
    <s v="KEPL/01363/82-83"/>
    <s v="SHUBHASHREE MARKETING"/>
    <x v="24"/>
    <n v="10"/>
    <n v="180"/>
    <n v="178.78"/>
    <n v="32180.400000000001"/>
    <n v="-2474.6699999999996"/>
    <n v="0"/>
    <n v="3861.7446369999998"/>
    <n v="33567.474636999999"/>
  </r>
  <r>
    <x v="5"/>
    <s v="Q3"/>
    <x v="0"/>
    <x v="72"/>
    <s v="KEPL/01364/82-83"/>
    <s v="GORIN TRADING "/>
    <x v="35"/>
    <n v="2"/>
    <n v="120"/>
    <n v="145.26"/>
    <n v="17431.2"/>
    <n v="-1340.46"/>
    <n v="0"/>
    <n v="2091.795858"/>
    <n v="18182.535857999999"/>
  </r>
  <r>
    <x v="5"/>
    <s v="Q3"/>
    <x v="0"/>
    <x v="72"/>
    <s v="KEPL/01364/82-83"/>
    <s v="GORIN TRADING "/>
    <x v="22"/>
    <n v="5"/>
    <n v="120"/>
    <n v="204.85"/>
    <n v="24582"/>
    <n v="-1890.36"/>
    <n v="0"/>
    <n v="2949.9127169999997"/>
    <n v="25641.552716999999"/>
  </r>
  <r>
    <x v="5"/>
    <s v="Q3"/>
    <x v="0"/>
    <x v="72"/>
    <s v="KEPL/01364/82-83"/>
    <s v="GORIN TRADING "/>
    <x v="51"/>
    <n v="10"/>
    <n v="500"/>
    <n v="89.39"/>
    <n v="44695"/>
    <n v="-3437.0499999999997"/>
    <n v="0"/>
    <n v="5363.5326220000006"/>
    <n v="46621.482622000003"/>
  </r>
  <r>
    <x v="5"/>
    <s v="Q3"/>
    <x v="0"/>
    <x v="72"/>
    <s v="KEPL/01364/82-83"/>
    <s v="GORIN TRADING "/>
    <x v="34"/>
    <n v="2"/>
    <n v="80"/>
    <n v="74.489999999999995"/>
    <n v="5959.2"/>
    <n v="-458.26"/>
    <n v="0"/>
    <n v="715.12208300000009"/>
    <n v="6216.0620829999998"/>
  </r>
  <r>
    <x v="5"/>
    <s v="Q3"/>
    <x v="0"/>
    <x v="72"/>
    <s v="KEPL/01364/82-83"/>
    <s v="GORIN TRADING "/>
    <x v="39"/>
    <n v="5"/>
    <n v="100"/>
    <n v="249.55"/>
    <n v="24955"/>
    <n v="-1919.04"/>
    <n v="0"/>
    <n v="2994.6743100000003"/>
    <n v="26030.634310000001"/>
  </r>
  <r>
    <x v="5"/>
    <s v="Q3"/>
    <x v="0"/>
    <x v="72"/>
    <s v="KEPL/01364/82-83"/>
    <s v="GORIN TRADING "/>
    <x v="23"/>
    <n v="2"/>
    <n v="1200"/>
    <n v="7.46"/>
    <n v="8952"/>
    <n v="-688.41"/>
    <n v="0"/>
    <n v="1074.2665240000001"/>
    <n v="9337.8565240000007"/>
  </r>
  <r>
    <x v="5"/>
    <s v="Q3"/>
    <x v="0"/>
    <x v="72"/>
    <s v="KEPL/01364/82-83"/>
    <s v="GORIN TRADING "/>
    <x v="27"/>
    <n v="5"/>
    <n v="350"/>
    <n v="37.25"/>
    <n v="13037.5"/>
    <n v="-1002.58"/>
    <n v="0"/>
    <n v="1564.539344"/>
    <n v="13599.459344000001"/>
  </r>
  <r>
    <x v="5"/>
    <s v="Q3"/>
    <x v="0"/>
    <x v="72"/>
    <s v="KEPL/01364/82-83"/>
    <s v="GORIN TRADING "/>
    <x v="33"/>
    <n v="5"/>
    <n v="200"/>
    <n v="74.489999999999995"/>
    <n v="14898"/>
    <n v="-1145.6600000000001"/>
    <n v="0"/>
    <n v="1787.803907"/>
    <n v="15540.143907"/>
  </r>
  <r>
    <x v="5"/>
    <s v="Q3"/>
    <x v="0"/>
    <x v="72"/>
    <s v="KEPL/01364/82-83"/>
    <s v="GORIN TRADING "/>
    <x v="42"/>
    <n v="5"/>
    <n v="150"/>
    <n v="316.58999999999997"/>
    <n v="47488.5"/>
    <n v="-3651.87"/>
    <n v="0"/>
    <n v="5698.7609680000005"/>
    <n v="49535.390968"/>
  </r>
  <r>
    <x v="5"/>
    <s v="Q3"/>
    <x v="0"/>
    <x v="72"/>
    <s v="KEPL/01364/82-83"/>
    <s v="GORIN TRADING "/>
    <x v="40"/>
    <n v="3"/>
    <n v="1800"/>
    <n v="7.46"/>
    <n v="13427.999999999998"/>
    <n v="-1032.6099999999999"/>
    <n v="0"/>
    <n v="1611.4004360000001"/>
    <n v="14006.790435999999"/>
  </r>
  <r>
    <x v="5"/>
    <s v="Q3"/>
    <x v="0"/>
    <x v="72"/>
    <s v="KEPL/01364/82-83"/>
    <s v="GORIN TRADING "/>
    <x v="50"/>
    <n v="1"/>
    <n v="240"/>
    <n v="14.9"/>
    <n v="3576"/>
    <n v="-274.99"/>
    <n v="0"/>
    <n v="429.13123000000002"/>
    <n v="3730.1412300000002"/>
  </r>
  <r>
    <x v="5"/>
    <s v="Q3"/>
    <x v="0"/>
    <x v="72"/>
    <s v="KEPL/01365/82-83"/>
    <s v="DINESH TRADING HOUSE"/>
    <x v="23"/>
    <n v="1"/>
    <n v="600"/>
    <n v="7.46"/>
    <n v="4476"/>
    <n v="-344.2"/>
    <n v="0"/>
    <n v="537.13398200000006"/>
    <n v="4668.9339819999996"/>
  </r>
  <r>
    <x v="5"/>
    <s v="Q3"/>
    <x v="0"/>
    <x v="72"/>
    <s v="KEPL/01365/82-83"/>
    <s v="DINESH TRADING HOUSE"/>
    <x v="22"/>
    <n v="2"/>
    <n v="48"/>
    <n v="204.85"/>
    <n v="9832.8000000000011"/>
    <n v="-756.14"/>
    <n v="0"/>
    <n v="1179.9657589999999"/>
    <n v="10256.625759"/>
  </r>
  <r>
    <x v="5"/>
    <s v="Q3"/>
    <x v="0"/>
    <x v="72"/>
    <s v="KEPL/01365/82-83"/>
    <s v="DINESH TRADING HOUSE"/>
    <x v="50"/>
    <n v="1"/>
    <n v="240"/>
    <n v="14.9"/>
    <n v="3576"/>
    <n v="-274.99"/>
    <n v="0"/>
    <n v="429.13128499999999"/>
    <n v="3730.1412850000002"/>
  </r>
  <r>
    <x v="5"/>
    <s v="Q3"/>
    <x v="0"/>
    <x v="72"/>
    <s v="KEPL/01365/82-83"/>
    <s v="DINESH TRADING HOUSE"/>
    <x v="51"/>
    <n v="5"/>
    <n v="250"/>
    <n v="89.39"/>
    <n v="22347.5"/>
    <n v="-1718.52"/>
    <n v="0"/>
    <n v="2681.7673080000004"/>
    <n v="23310.747308000002"/>
  </r>
  <r>
    <x v="5"/>
    <s v="Q3"/>
    <x v="0"/>
    <x v="72"/>
    <s v="KEPL/01365/82-83"/>
    <s v="DINESH TRADING HOUSE"/>
    <x v="40"/>
    <n v="1"/>
    <n v="600"/>
    <n v="7.46"/>
    <n v="4476"/>
    <n v="-344.2"/>
    <n v="0"/>
    <n v="537.13398200000006"/>
    <n v="4668.9339819999996"/>
  </r>
  <r>
    <x v="5"/>
    <s v="Q3"/>
    <x v="0"/>
    <x v="72"/>
    <s v="KEPL/01365/82-83"/>
    <s v="DINESH TRADING HOUSE"/>
    <x v="42"/>
    <n v="2"/>
    <n v="60"/>
    <n v="316.58999999999997"/>
    <n v="18995.399999999998"/>
    <n v="-1460.75"/>
    <n v="0"/>
    <n v="2279.504422"/>
    <n v="19814.154422"/>
  </r>
  <r>
    <x v="5"/>
    <s v="Q3"/>
    <x v="0"/>
    <x v="72"/>
    <s v="KEPL/01365/82-83"/>
    <s v="DINESH TRADING HOUSE"/>
    <x v="33"/>
    <n v="2"/>
    <n v="80"/>
    <n v="74.489999999999995"/>
    <n v="5959.2"/>
    <n v="-458.26"/>
    <n v="0"/>
    <n v="715.12217499999997"/>
    <n v="6216.062175"/>
  </r>
  <r>
    <x v="5"/>
    <s v="Q3"/>
    <x v="0"/>
    <x v="72"/>
    <s v="KEPL/01365/82-83"/>
    <s v="DINESH TRADING HOUSE"/>
    <x v="34"/>
    <n v="1"/>
    <n v="40"/>
    <n v="74.489999999999995"/>
    <n v="2979.6"/>
    <n v="-229.13"/>
    <n v="0"/>
    <n v="357.56108799999998"/>
    <n v="3108.0310880000002"/>
  </r>
  <r>
    <x v="5"/>
    <s v="Q3"/>
    <x v="0"/>
    <x v="72"/>
    <s v="KEPL/01366/82-83"/>
    <s v="M AND P TRADE SUPPLIERS"/>
    <x v="40"/>
    <n v="1"/>
    <n v="600"/>
    <n v="7.46"/>
    <n v="4476"/>
    <n v="-344.2"/>
    <n v="0"/>
    <n v="537.13414299999999"/>
    <n v="4668.9341430000004"/>
  </r>
  <r>
    <x v="5"/>
    <s v="Q3"/>
    <x v="0"/>
    <x v="72"/>
    <s v="KEPL/01366/82-83"/>
    <s v="M AND P TRADE SUPPLIERS"/>
    <x v="42"/>
    <n v="1"/>
    <n v="30"/>
    <n v="316.58999999999997"/>
    <n v="9497.6999999999989"/>
    <n v="-730.36999999999989"/>
    <n v="0"/>
    <n v="1139.7532040000001"/>
    <n v="9907.0832040000005"/>
  </r>
  <r>
    <x v="5"/>
    <s v="Q3"/>
    <x v="0"/>
    <x v="72"/>
    <s v="KEPL/01366/82-83"/>
    <s v="M AND P TRADE SUPPLIERS"/>
    <x v="29"/>
    <n v="1"/>
    <n v="20"/>
    <n v="204.85"/>
    <n v="4097"/>
    <n v="-315.06"/>
    <n v="0"/>
    <n v="491.652331"/>
    <n v="4273.5923309999998"/>
  </r>
  <r>
    <x v="5"/>
    <s v="Q3"/>
    <x v="0"/>
    <x v="72"/>
    <s v="KEPL/01366/82-83"/>
    <s v="M AND P TRADE SUPPLIERS"/>
    <x v="50"/>
    <n v="1"/>
    <n v="240"/>
    <n v="14.9"/>
    <n v="3576"/>
    <n v="-274.99"/>
    <n v="0"/>
    <n v="429.13141399999995"/>
    <n v="3730.1414140000002"/>
  </r>
  <r>
    <x v="5"/>
    <s v="Q3"/>
    <x v="0"/>
    <x v="72"/>
    <s v="KEPL/01366/82-83"/>
    <s v="M AND P TRADE SUPPLIERS"/>
    <x v="22"/>
    <n v="1"/>
    <n v="24"/>
    <n v="204.85"/>
    <n v="4916.4000000000005"/>
    <n v="-378.07"/>
    <n v="0"/>
    <n v="589.98305700000003"/>
    <n v="5128.3130570000003"/>
  </r>
  <r>
    <x v="5"/>
    <s v="Q3"/>
    <x v="0"/>
    <x v="72"/>
    <s v="KEPL/01366/82-83"/>
    <s v="M AND P TRADE SUPPLIERS"/>
    <x v="59"/>
    <n v="1"/>
    <n v="20"/>
    <n v="204.85"/>
    <n v="4097"/>
    <n v="-315.06"/>
    <n v="0"/>
    <n v="491.652331"/>
    <n v="4273.5923309999998"/>
  </r>
  <r>
    <x v="5"/>
    <s v="Q3"/>
    <x v="0"/>
    <x v="72"/>
    <s v="KEPL/01366/82-83"/>
    <s v="M AND P TRADE SUPPLIERS"/>
    <x v="34"/>
    <n v="1"/>
    <n v="40"/>
    <n v="74.489999999999995"/>
    <n v="2979.6"/>
    <n v="-229.13"/>
    <n v="0"/>
    <n v="357.561195"/>
    <n v="3108.031195"/>
  </r>
  <r>
    <x v="5"/>
    <s v="Q3"/>
    <x v="0"/>
    <x v="72"/>
    <s v="KEPL/01366/82-83"/>
    <s v="M AND P TRADE SUPPLIERS"/>
    <x v="33"/>
    <n v="2"/>
    <n v="80"/>
    <n v="74.489999999999995"/>
    <n v="5959.2"/>
    <n v="-458.26"/>
    <n v="0"/>
    <n v="715.12239099999999"/>
    <n v="6216.0623910000004"/>
  </r>
  <r>
    <x v="5"/>
    <s v="Q3"/>
    <x v="0"/>
    <x v="72"/>
    <s v="KEPL/01366/82-83"/>
    <s v="M AND P TRADE SUPPLIERS"/>
    <x v="23"/>
    <n v="1"/>
    <n v="600"/>
    <n v="7.46"/>
    <n v="4476"/>
    <n v="-344.2"/>
    <n v="0"/>
    <n v="537.13414299999999"/>
    <n v="4668.9341430000004"/>
  </r>
  <r>
    <x v="5"/>
    <s v="Q3"/>
    <x v="0"/>
    <x v="72"/>
    <s v="KEPL/01366/82-83"/>
    <s v="M AND P TRADE SUPPLIERS"/>
    <x v="51"/>
    <n v="3"/>
    <n v="150"/>
    <n v="89.39"/>
    <n v="13408.500000000002"/>
    <n v="-1031.1100000000001"/>
    <n v="0"/>
    <n v="1609.0611289999999"/>
    <n v="13986.451128999999"/>
  </r>
  <r>
    <x v="5"/>
    <s v="Q3"/>
    <x v="0"/>
    <x v="72"/>
    <s v="KEPL/01366/82-83"/>
    <s v="M AND P TRADE SUPPLIERS"/>
    <x v="48"/>
    <n v="1"/>
    <n v="20"/>
    <n v="204.85"/>
    <n v="4097"/>
    <n v="-315.06"/>
    <n v="0"/>
    <n v="491.652331"/>
    <n v="4273.5923309999998"/>
  </r>
  <r>
    <x v="5"/>
    <s v="Q3"/>
    <x v="0"/>
    <x v="72"/>
    <s v="KEPL/01366/82-83"/>
    <s v="M AND P TRADE SUPPLIERS"/>
    <x v="28"/>
    <n v="1"/>
    <n v="20"/>
    <n v="204.85"/>
    <n v="4097"/>
    <n v="-315.06"/>
    <n v="0"/>
    <n v="491.652331"/>
    <n v="4273.5923309999998"/>
  </r>
  <r>
    <x v="5"/>
    <s v="Q3"/>
    <x v="0"/>
    <x v="72"/>
    <s v="KEPL/01367/82-83"/>
    <s v="NEW MATA RANI SUPPLIERS"/>
    <x v="34"/>
    <n v="1"/>
    <n v="40"/>
    <n v="74.489999999999995"/>
    <n v="2979.6"/>
    <n v="-229.13"/>
    <n v="0"/>
    <n v="357.561172"/>
    <n v="3108.031172"/>
  </r>
  <r>
    <x v="5"/>
    <s v="Q3"/>
    <x v="0"/>
    <x v="72"/>
    <s v="KEPL/01367/82-83"/>
    <s v="NEW MATA RANI SUPPLIERS"/>
    <x v="22"/>
    <n v="2"/>
    <n v="48"/>
    <n v="204.85"/>
    <n v="9832.8000000000011"/>
    <n v="-756.14"/>
    <n v="0"/>
    <n v="1179.9660369999999"/>
    <n v="10256.626037"/>
  </r>
  <r>
    <x v="5"/>
    <s v="Q3"/>
    <x v="0"/>
    <x v="72"/>
    <s v="KEPL/01367/82-83"/>
    <s v="NEW MATA RANI SUPPLIERS"/>
    <x v="51"/>
    <n v="5"/>
    <n v="250"/>
    <n v="89.39"/>
    <n v="22347.5"/>
    <n v="-1718.52"/>
    <n v="0"/>
    <n v="2681.767938"/>
    <n v="23310.747938"/>
  </r>
  <r>
    <x v="5"/>
    <s v="Q3"/>
    <x v="0"/>
    <x v="72"/>
    <s v="KEPL/01367/82-83"/>
    <s v="NEW MATA RANI SUPPLIERS"/>
    <x v="48"/>
    <n v="1"/>
    <n v="20"/>
    <n v="204.85"/>
    <n v="4097"/>
    <n v="-315.06"/>
    <n v="0"/>
    <n v="491.65229900000003"/>
    <n v="4273.5922989999999"/>
  </r>
  <r>
    <x v="5"/>
    <s v="Q3"/>
    <x v="0"/>
    <x v="72"/>
    <s v="KEPL/01367/82-83"/>
    <s v="NEW MATA RANI SUPPLIERS"/>
    <x v="47"/>
    <n v="2"/>
    <n v="80"/>
    <n v="111.74"/>
    <n v="8939.2000000000007"/>
    <n v="-687.42"/>
    <n v="0"/>
    <n v="1072.7316149999999"/>
    <n v="9324.5116149999994"/>
  </r>
  <r>
    <x v="5"/>
    <s v="Q3"/>
    <x v="0"/>
    <x v="72"/>
    <s v="KEPL/01367/82-83"/>
    <s v="NEW MATA RANI SUPPLIERS"/>
    <x v="33"/>
    <n v="2"/>
    <n v="80"/>
    <n v="74.489999999999995"/>
    <n v="5959.2"/>
    <n v="-458.26"/>
    <n v="0"/>
    <n v="715.122343"/>
    <n v="6216.0623429999996"/>
  </r>
  <r>
    <x v="5"/>
    <s v="Q3"/>
    <x v="0"/>
    <x v="72"/>
    <s v="KEPL/01367/82-83"/>
    <s v="NEW MATA RANI SUPPLIERS"/>
    <x v="53"/>
    <n v="2"/>
    <n v="80"/>
    <n v="81.94"/>
    <n v="6555.2"/>
    <n v="-504.09"/>
    <n v="0"/>
    <n v="786.64445799999999"/>
    <n v="6837.7544580000003"/>
  </r>
  <r>
    <x v="5"/>
    <s v="Q3"/>
    <x v="0"/>
    <x v="72"/>
    <s v="KEPL/01367/82-83"/>
    <s v="NEW MATA RANI SUPPLIERS"/>
    <x v="42"/>
    <n v="2"/>
    <n v="60"/>
    <n v="316.58999999999997"/>
    <n v="18995.399999999998"/>
    <n v="-1460.75"/>
    <n v="0"/>
    <n v="2279.5049570000001"/>
    <n v="19814.154956999999"/>
  </r>
  <r>
    <x v="5"/>
    <s v="Q3"/>
    <x v="0"/>
    <x v="72"/>
    <s v="KEPL/01367/82-83"/>
    <s v="NEW MATA RANI SUPPLIERS"/>
    <x v="40"/>
    <n v="1"/>
    <n v="600"/>
    <n v="7.46"/>
    <n v="4476"/>
    <n v="-344.2"/>
    <n v="0"/>
    <n v="537.13410799999997"/>
    <n v="4668.9341080000004"/>
  </r>
  <r>
    <x v="5"/>
    <s v="Q3"/>
    <x v="0"/>
    <x v="72"/>
    <s v="KEPL/01367/82-83"/>
    <s v="NEW MATA RANI SUPPLIERS"/>
    <x v="59"/>
    <n v="1"/>
    <n v="20"/>
    <n v="204.85"/>
    <n v="4097"/>
    <n v="-315.06"/>
    <n v="0"/>
    <n v="491.65229900000003"/>
    <n v="4273.5922989999999"/>
  </r>
  <r>
    <x v="5"/>
    <s v="Q3"/>
    <x v="0"/>
    <x v="72"/>
    <s v="KEPL/01367/82-83"/>
    <s v="NEW MATA RANI SUPPLIERS"/>
    <x v="29"/>
    <n v="1"/>
    <n v="20"/>
    <n v="204.85"/>
    <n v="4097"/>
    <n v="-315.06"/>
    <n v="0"/>
    <n v="491.65229900000003"/>
    <n v="4273.5922989999999"/>
  </r>
  <r>
    <x v="5"/>
    <s v="Q3"/>
    <x v="0"/>
    <x v="72"/>
    <s v="KEPL/01367/82-83"/>
    <s v="NEW MATA RANI SUPPLIERS"/>
    <x v="28"/>
    <n v="1"/>
    <n v="20"/>
    <n v="204.85"/>
    <n v="4097"/>
    <n v="-315.06"/>
    <n v="0"/>
    <n v="491.65229900000003"/>
    <n v="4273.5922989999999"/>
  </r>
  <r>
    <x v="5"/>
    <s v="Q3"/>
    <x v="0"/>
    <x v="72"/>
    <s v="KEPL/01367/82-83"/>
    <s v="NEW MATA RANI SUPPLIERS"/>
    <x v="23"/>
    <n v="2"/>
    <n v="1200"/>
    <n v="7.46"/>
    <n v="8952"/>
    <n v="-688.41"/>
    <n v="0"/>
    <n v="1074.2669150000002"/>
    <n v="9337.8569150000003"/>
  </r>
  <r>
    <x v="5"/>
    <s v="Q3"/>
    <x v="0"/>
    <x v="72"/>
    <s v="KEPL/01367/82-83"/>
    <s v="NEW MATA RANI SUPPLIERS"/>
    <x v="13"/>
    <n v="2"/>
    <n v="48"/>
    <n v="141.54"/>
    <n v="6793.92"/>
    <n v="-522.45000000000005"/>
    <n v="0"/>
    <n v="815.29126299999996"/>
    <n v="7086.7612630000003"/>
  </r>
  <r>
    <x v="5"/>
    <s v="Q3"/>
    <x v="0"/>
    <x v="72"/>
    <s v="KEPL/01368/82-83"/>
    <s v="BEERA BARJEE INTERNATIONAL PVT.LTD"/>
    <x v="42"/>
    <n v="2"/>
    <n v="60"/>
    <n v="316.58999999999997"/>
    <n v="18995.399999999998"/>
    <n v="-1460.75"/>
    <n v="0"/>
    <n v="2279.5049210000002"/>
    <n v="19814.154921000001"/>
  </r>
  <r>
    <x v="5"/>
    <s v="Q3"/>
    <x v="0"/>
    <x v="72"/>
    <s v="KEPL/01368/82-83"/>
    <s v="BEERA BARJEE INTERNATIONAL PVT.LTD"/>
    <x v="34"/>
    <n v="1"/>
    <n v="40"/>
    <n v="74.489999999999995"/>
    <n v="2979.6"/>
    <n v="-229.13"/>
    <n v="0"/>
    <n v="357.56116600000001"/>
    <n v="3108.0311660000002"/>
  </r>
  <r>
    <x v="5"/>
    <s v="Q3"/>
    <x v="0"/>
    <x v="72"/>
    <s v="KEPL/01368/82-83"/>
    <s v="BEERA BARJEE INTERNATIONAL PVT.LTD"/>
    <x v="51"/>
    <n v="5"/>
    <n v="250"/>
    <n v="89.39"/>
    <n v="22347.5"/>
    <n v="-1718.52"/>
    <n v="0"/>
    <n v="2681.767895"/>
    <n v="23310.747895"/>
  </r>
  <r>
    <x v="5"/>
    <s v="Q3"/>
    <x v="0"/>
    <x v="72"/>
    <s v="KEPL/01368/82-83"/>
    <s v="BEERA BARJEE INTERNATIONAL PVT.LTD"/>
    <x v="22"/>
    <n v="2"/>
    <n v="48"/>
    <n v="204.85"/>
    <n v="9832.8000000000011"/>
    <n v="-756.14"/>
    <n v="0"/>
    <n v="1179.9660180000001"/>
    <n v="10256.626018000001"/>
  </r>
  <r>
    <x v="5"/>
    <s v="Q3"/>
    <x v="0"/>
    <x v="72"/>
    <s v="KEPL/01369/82-83"/>
    <s v="RAJU KIRANA PASAL"/>
    <x v="51"/>
    <n v="3"/>
    <n v="150"/>
    <n v="89.39"/>
    <n v="13408.500000000002"/>
    <n v="-1031.1100000000001"/>
    <n v="0"/>
    <n v="1609.0594180000001"/>
    <n v="13986.449418"/>
  </r>
  <r>
    <x v="5"/>
    <s v="Q3"/>
    <x v="0"/>
    <x v="72"/>
    <s v="KEPL/01369/82-83"/>
    <s v="RAJU KIRANA PASAL"/>
    <x v="40"/>
    <n v="1"/>
    <n v="600"/>
    <n v="7.46"/>
    <n v="4476"/>
    <n v="-344.2"/>
    <n v="0"/>
    <n v="537.13357199999996"/>
    <n v="4668.9335719999999"/>
  </r>
  <r>
    <x v="5"/>
    <s v="Q3"/>
    <x v="0"/>
    <x v="72"/>
    <s v="KEPL/01369/82-83"/>
    <s v="RAJU KIRANA PASAL"/>
    <x v="22"/>
    <n v="1"/>
    <n v="24"/>
    <n v="204.85"/>
    <n v="4916.4000000000005"/>
    <n v="-378.07"/>
    <n v="0"/>
    <n v="589.98243000000002"/>
    <n v="5128.3124299999999"/>
  </r>
  <r>
    <x v="5"/>
    <s v="Q3"/>
    <x v="0"/>
    <x v="72"/>
    <s v="KEPL/01369/82-83"/>
    <s v="RAJU KIRANA PASAL"/>
    <x v="33"/>
    <n v="2"/>
    <n v="80"/>
    <n v="74.489999999999995"/>
    <n v="5959.2"/>
    <n v="-458.26"/>
    <n v="0"/>
    <n v="715.12162999999998"/>
    <n v="6216.0616300000002"/>
  </r>
  <r>
    <x v="5"/>
    <s v="Q3"/>
    <x v="0"/>
    <x v="72"/>
    <s v="KEPL/01369/82-83"/>
    <s v="RAJU KIRANA PASAL"/>
    <x v="42"/>
    <n v="1"/>
    <n v="30"/>
    <n v="316.58999999999997"/>
    <n v="9497.6999999999989"/>
    <n v="-730.36999999999989"/>
    <n v="0"/>
    <n v="1139.751992"/>
    <n v="9907.0819919999994"/>
  </r>
  <r>
    <x v="5"/>
    <s v="Q3"/>
    <x v="0"/>
    <x v="72"/>
    <s v="KEPL/01369/82-83"/>
    <s v="RAJU KIRANA PASAL"/>
    <x v="21"/>
    <n v="1"/>
    <n v="240"/>
    <n v="14.9"/>
    <n v="3576"/>
    <n v="-274.99"/>
    <n v="0"/>
    <n v="429.13095800000002"/>
    <n v="3730.140958"/>
  </r>
  <r>
    <x v="5"/>
    <s v="Q3"/>
    <x v="0"/>
    <x v="72"/>
    <s v="KEPL/01370/82-83"/>
    <s v="KRISHMA ENTERPRISES"/>
    <x v="33"/>
    <n v="50"/>
    <n v="2000"/>
    <n v="74.489999999999995"/>
    <n v="148980"/>
    <n v="-11456.560000000001"/>
    <n v="0"/>
    <n v="17878.047134"/>
    <n v="155401.487134"/>
  </r>
  <r>
    <x v="5"/>
    <s v="Q3"/>
    <x v="0"/>
    <x v="72"/>
    <s v="KEPL/01370/82-83"/>
    <s v="KRISHMA ENTERPRISES"/>
    <x v="51"/>
    <n v="50"/>
    <n v="2500"/>
    <n v="89.39"/>
    <n v="223475"/>
    <n v="-17185.23"/>
    <n v="0"/>
    <n v="26817.670000999999"/>
    <n v="233107.44000100001"/>
  </r>
  <r>
    <x v="5"/>
    <s v="Q3"/>
    <x v="0"/>
    <x v="72"/>
    <s v="KEPL/01370/82-83"/>
    <s v="KRISHMA ENTERPRISES"/>
    <x v="22"/>
    <n v="2"/>
    <n v="48"/>
    <n v="204.85"/>
    <n v="9832.8000000000011"/>
    <n v="-756.14"/>
    <n v="0"/>
    <n v="1179.965796"/>
    <n v="10256.625796"/>
  </r>
  <r>
    <x v="5"/>
    <s v="Q3"/>
    <x v="0"/>
    <x v="72"/>
    <s v="KEPL/01370/82-83"/>
    <s v="KRISHMA ENTERPRISES"/>
    <x v="34"/>
    <n v="15"/>
    <n v="600"/>
    <n v="74.489999999999995"/>
    <n v="44694"/>
    <n v="-3436.97"/>
    <n v="0"/>
    <n v="5363.4138800000001"/>
    <n v="46620.443879999999"/>
  </r>
  <r>
    <x v="5"/>
    <s v="Q3"/>
    <x v="0"/>
    <x v="72"/>
    <s v="KEPL/01370/82-83"/>
    <s v="KRISHMA ENTERPRISES"/>
    <x v="52"/>
    <n v="60"/>
    <n v="240"/>
    <n v="595.92999999999995"/>
    <n v="143023.19999999998"/>
    <n v="-10998.48"/>
    <n v="0"/>
    <n v="17163.213537"/>
    <n v="149187.933537"/>
  </r>
  <r>
    <x v="5"/>
    <s v="Q3"/>
    <x v="0"/>
    <x v="72"/>
    <s v="KEPL/01370/82-83"/>
    <s v="KRISHMA ENTERPRISES"/>
    <x v="42"/>
    <n v="20"/>
    <n v="600"/>
    <n v="316.58999999999997"/>
    <n v="189954"/>
    <n v="-14607.46"/>
    <n v="0"/>
    <n v="22795.050115999999"/>
    <n v="198141.59011600001"/>
  </r>
  <r>
    <x v="5"/>
    <s v="Q3"/>
    <x v="0"/>
    <x v="72"/>
    <s v="KEPL/01370/82-83"/>
    <s v="KRISHMA ENTERPRISES"/>
    <x v="27"/>
    <n v="50"/>
    <n v="3500"/>
    <n v="37.25"/>
    <n v="130375"/>
    <n v="-10025.84"/>
    <n v="0"/>
    <n v="15645.390742"/>
    <n v="135994.55074199999"/>
  </r>
  <r>
    <x v="5"/>
    <s v="Q3"/>
    <x v="0"/>
    <x v="72"/>
    <s v="KEPL/01370/82-83"/>
    <s v="KRISHMA ENTERPRISES"/>
    <x v="36"/>
    <n v="5"/>
    <n v="200"/>
    <n v="81.94"/>
    <n v="16388"/>
    <n v="-1260.24"/>
    <n v="0"/>
    <n v="1966.6087930000001"/>
    <n v="17094.368793000001"/>
  </r>
  <r>
    <x v="5"/>
    <s v="Q3"/>
    <x v="0"/>
    <x v="72"/>
    <s v="KEPL/01371/82-83"/>
    <s v="MALIKA DISTRIBUTORS NEPAL PVT LTD."/>
    <x v="40"/>
    <n v="1"/>
    <n v="600"/>
    <n v="7.46"/>
    <n v="4476"/>
    <n v="-344.2"/>
    <n v="0"/>
    <n v="537.134005"/>
    <n v="4668.9340050000001"/>
  </r>
  <r>
    <x v="5"/>
    <s v="Q3"/>
    <x v="0"/>
    <x v="72"/>
    <s v="KEPL/01371/82-83"/>
    <s v="MALIKA DISTRIBUTORS NEPAL PVT LTD."/>
    <x v="55"/>
    <n v="1"/>
    <n v="20"/>
    <n v="175.06"/>
    <n v="3501.2"/>
    <n v="-269.24"/>
    <n v="0"/>
    <n v="420.15480399999996"/>
    <n v="3652.1148039999998"/>
  </r>
  <r>
    <x v="5"/>
    <s v="Q3"/>
    <x v="0"/>
    <x v="72"/>
    <s v="KEPL/01371/82-83"/>
    <s v="MALIKA DISTRIBUTORS NEPAL PVT LTD."/>
    <x v="51"/>
    <n v="2"/>
    <n v="100"/>
    <n v="89.39"/>
    <n v="8939"/>
    <n v="-687.41"/>
    <n v="0"/>
    <n v="1072.706711"/>
    <n v="9324.2967110000009"/>
  </r>
  <r>
    <x v="5"/>
    <s v="Q3"/>
    <x v="0"/>
    <x v="72"/>
    <s v="KEPL/01371/82-83"/>
    <s v="MALIKA DISTRIBUTORS NEPAL PVT LTD."/>
    <x v="47"/>
    <n v="1"/>
    <n v="40"/>
    <n v="111.74"/>
    <n v="4469.6000000000004"/>
    <n v="-343.71"/>
    <n v="0"/>
    <n v="536.36570500000005"/>
    <n v="4662.2557049999996"/>
  </r>
  <r>
    <x v="5"/>
    <s v="Q3"/>
    <x v="0"/>
    <x v="72"/>
    <s v="KEPL/01371/82-83"/>
    <s v="MALIKA DISTRIBUTORS NEPAL PVT LTD."/>
    <x v="13"/>
    <n v="2"/>
    <n v="48"/>
    <n v="141.54"/>
    <n v="6793.92"/>
    <n v="-522.45000000000005"/>
    <n v="0"/>
    <n v="815.29110800000001"/>
    <n v="7086.7611079999997"/>
  </r>
  <r>
    <x v="5"/>
    <s v="Q3"/>
    <x v="0"/>
    <x v="72"/>
    <s v="KEPL/01371/82-83"/>
    <s v="MALIKA DISTRIBUTORS NEPAL PVT LTD."/>
    <x v="49"/>
    <n v="1"/>
    <n v="15"/>
    <n v="260.72000000000003"/>
    <n v="3910.8"/>
    <n v="-300.74"/>
    <n v="0"/>
    <n v="469.30780500000003"/>
    <n v="4079.3678049999999"/>
  </r>
  <r>
    <x v="5"/>
    <s v="Q3"/>
    <x v="0"/>
    <x v="72"/>
    <s v="KEPL/01371/82-83"/>
    <s v="MALIKA DISTRIBUTORS NEPAL PVT LTD."/>
    <x v="23"/>
    <n v="1"/>
    <n v="600"/>
    <n v="7.46"/>
    <n v="4476"/>
    <n v="-344.2"/>
    <n v="0"/>
    <n v="537.134005"/>
    <n v="4668.9340050000001"/>
  </r>
  <r>
    <x v="5"/>
    <s v="Q3"/>
    <x v="0"/>
    <x v="72"/>
    <s v="KEPL/01371/82-83"/>
    <s v="MALIKA DISTRIBUTORS NEPAL PVT LTD."/>
    <x v="56"/>
    <n v="1"/>
    <n v="800"/>
    <n v="7.46"/>
    <n v="5968"/>
    <n v="-458.94"/>
    <n v="0"/>
    <n v="716.17780700000003"/>
    <n v="6225.2378070000004"/>
  </r>
  <r>
    <x v="5"/>
    <s v="Q3"/>
    <x v="0"/>
    <x v="72"/>
    <s v="KEPL/01371/82-83"/>
    <s v="MALIKA DISTRIBUTORS NEPAL PVT LTD."/>
    <x v="58"/>
    <n v="1"/>
    <n v="40"/>
    <n v="111.74"/>
    <n v="4469.6000000000004"/>
    <n v="-343.71"/>
    <n v="0"/>
    <n v="536.36570500000005"/>
    <n v="4662.2557049999996"/>
  </r>
  <r>
    <x v="5"/>
    <s v="Q3"/>
    <x v="0"/>
    <x v="72"/>
    <s v="KEPL/01371/82-83"/>
    <s v="MALIKA DISTRIBUTORS NEPAL PVT LTD."/>
    <x v="33"/>
    <n v="1"/>
    <n v="40"/>
    <n v="74.489999999999995"/>
    <n v="2979.6"/>
    <n v="-229.13"/>
    <n v="0"/>
    <n v="357.561104"/>
    <n v="3108.0311040000001"/>
  </r>
  <r>
    <x v="5"/>
    <s v="Q3"/>
    <x v="0"/>
    <x v="72"/>
    <s v="KEPL/01371/82-83"/>
    <s v="MALIKA DISTRIBUTORS NEPAL PVT LTD."/>
    <x v="54"/>
    <n v="1"/>
    <n v="20"/>
    <n v="175.06"/>
    <n v="3501.2"/>
    <n v="-269.24"/>
    <n v="0"/>
    <n v="420.15480399999996"/>
    <n v="3652.1148039999998"/>
  </r>
  <r>
    <x v="5"/>
    <s v="Q3"/>
    <x v="0"/>
    <x v="72"/>
    <s v="KEPL/01371/82-83"/>
    <s v="MALIKA DISTRIBUTORS NEPAL PVT LTD."/>
    <x v="60"/>
    <n v="1"/>
    <n v="1000"/>
    <n v="1.86"/>
    <n v="1860"/>
    <n v="-143.03"/>
    <n v="0"/>
    <n v="223.20610200000002"/>
    <n v="1940.1761019999999"/>
  </r>
  <r>
    <x v="5"/>
    <s v="Q3"/>
    <x v="0"/>
    <x v="72"/>
    <s v="KEPL/01371/82-83"/>
    <s v="MALIKA DISTRIBUTORS NEPAL PVT LTD."/>
    <x v="50"/>
    <n v="1"/>
    <n v="240"/>
    <n v="14.9"/>
    <n v="3576"/>
    <n v="-274.99"/>
    <n v="0"/>
    <n v="429.13130399999994"/>
    <n v="3730.1413040000002"/>
  </r>
  <r>
    <x v="5"/>
    <s v="Q3"/>
    <x v="0"/>
    <x v="72"/>
    <s v="KEPL/01371/82-83"/>
    <s v="MALIKA DISTRIBUTORS NEPAL PVT LTD."/>
    <x v="22"/>
    <n v="1"/>
    <n v="24"/>
    <n v="204.85"/>
    <n v="4916.4000000000005"/>
    <n v="-378.07"/>
    <n v="0"/>
    <n v="589.98290600000007"/>
    <n v="5128.3129060000001"/>
  </r>
  <r>
    <x v="5"/>
    <s v="Q3"/>
    <x v="0"/>
    <x v="72"/>
    <s v="KEPL/01371/82-83"/>
    <s v="MALIKA DISTRIBUTORS NEPAL PVT LTD."/>
    <x v="27"/>
    <n v="5"/>
    <n v="350"/>
    <n v="37.25"/>
    <n v="13037.5"/>
    <n v="-1002.58"/>
    <n v="0"/>
    <n v="1564.539616"/>
    <n v="13599.459616"/>
  </r>
  <r>
    <x v="5"/>
    <s v="Q3"/>
    <x v="0"/>
    <x v="72"/>
    <s v="KEPL/01371/82-83"/>
    <s v="MALIKA DISTRIBUTORS NEPAL PVT LTD."/>
    <x v="21"/>
    <n v="1"/>
    <n v="240"/>
    <n v="14.9"/>
    <n v="3576"/>
    <n v="-274.99"/>
    <n v="0"/>
    <n v="429.13130399999994"/>
    <n v="3730.1413040000002"/>
  </r>
  <r>
    <x v="5"/>
    <s v="Q3"/>
    <x v="0"/>
    <x v="72"/>
    <s v="KEPL/01371/82-83"/>
    <s v="MALIKA DISTRIBUTORS NEPAL PVT LTD."/>
    <x v="52"/>
    <n v="30"/>
    <n v="120"/>
    <n v="595.92999999999995"/>
    <n v="71511.599999999991"/>
    <n v="-5499.24"/>
    <n v="0"/>
    <n v="8581.6068869999999"/>
    <n v="74593.966887000002"/>
  </r>
  <r>
    <x v="5"/>
    <s v="Q3"/>
    <x v="0"/>
    <x v="72"/>
    <s v="KEPL/01371/82-83"/>
    <s v="MALIKA DISTRIBUTORS NEPAL PVT LTD."/>
    <x v="57"/>
    <n v="1"/>
    <n v="40"/>
    <n v="111.74"/>
    <n v="4469.6000000000004"/>
    <n v="-343.71"/>
    <n v="0"/>
    <n v="536.36570500000005"/>
    <n v="4662.2557049999996"/>
  </r>
  <r>
    <x v="5"/>
    <s v="Q3"/>
    <x v="0"/>
    <x v="72"/>
    <s v="KEPL/01371/82-83"/>
    <s v="MALIKA DISTRIBUTORS NEPAL PVT LTD."/>
    <x v="45"/>
    <n v="1"/>
    <n v="15"/>
    <n v="260.72000000000003"/>
    <n v="3910.8"/>
    <n v="-300.74"/>
    <n v="0"/>
    <n v="469.30780500000003"/>
    <n v="4079.3678049999999"/>
  </r>
  <r>
    <x v="5"/>
    <s v="Q3"/>
    <x v="0"/>
    <x v="72"/>
    <s v="KEPL/01371/82-83"/>
    <s v="MALIKA DISTRIBUTORS NEPAL PVT LTD."/>
    <x v="46"/>
    <n v="1"/>
    <n v="20"/>
    <n v="175.06"/>
    <n v="3501.2"/>
    <n v="-269.24"/>
    <n v="0"/>
    <n v="420.15480399999996"/>
    <n v="3652.1148039999998"/>
  </r>
  <r>
    <x v="5"/>
    <s v="Q3"/>
    <x v="0"/>
    <x v="72"/>
    <s v="KEPL/01372/82-83"/>
    <s v="ABIRAL SUPPLIERS AND TRADERS"/>
    <x v="46"/>
    <n v="3"/>
    <n v="60"/>
    <n v="175.06"/>
    <n v="10503.6"/>
    <n v="-807.7299999999999"/>
    <n v="0"/>
    <n v="1260.4631910000001"/>
    <n v="10956.333191"/>
  </r>
  <r>
    <x v="5"/>
    <s v="Q3"/>
    <x v="0"/>
    <x v="72"/>
    <s v="KEPL/01372/82-83"/>
    <s v="ABIRAL SUPPLIERS AND TRADERS"/>
    <x v="35"/>
    <n v="3"/>
    <n v="180"/>
    <n v="145.26"/>
    <n v="26146.799999999999"/>
    <n v="-2010.6899999999998"/>
    <n v="0"/>
    <n v="3137.6945250000003"/>
    <n v="27273.804525"/>
  </r>
  <r>
    <x v="5"/>
    <s v="Q3"/>
    <x v="0"/>
    <x v="72"/>
    <s v="KEPL/01372/82-83"/>
    <s v="ABIRAL SUPPLIERS AND TRADERS"/>
    <x v="42"/>
    <n v="3"/>
    <n v="90"/>
    <n v="316.58999999999997"/>
    <n v="28493.1"/>
    <n v="-2191.12"/>
    <n v="0"/>
    <n v="3419.257646"/>
    <n v="29721.237646000001"/>
  </r>
  <r>
    <x v="5"/>
    <s v="Q3"/>
    <x v="0"/>
    <x v="72"/>
    <s v="KEPL/01372/82-83"/>
    <s v="ABIRAL SUPPLIERS AND TRADERS"/>
    <x v="55"/>
    <n v="2"/>
    <n v="40"/>
    <n v="175.06"/>
    <n v="7002.4"/>
    <n v="-538.48"/>
    <n v="0"/>
    <n v="840.30966000000001"/>
    <n v="7304.22966"/>
  </r>
  <r>
    <x v="5"/>
    <s v="Q3"/>
    <x v="0"/>
    <x v="72"/>
    <s v="KEPL/01372/82-83"/>
    <s v="ABIRAL SUPPLIERS AND TRADERS"/>
    <x v="47"/>
    <n v="2"/>
    <n v="80"/>
    <n v="111.74"/>
    <n v="8939.2000000000007"/>
    <n v="-687.42"/>
    <n v="0"/>
    <n v="1072.731477"/>
    <n v="9324.511477"/>
  </r>
  <r>
    <x v="5"/>
    <s v="Q3"/>
    <x v="0"/>
    <x v="72"/>
    <s v="KEPL/01372/82-83"/>
    <s v="ABIRAL SUPPLIERS AND TRADERS"/>
    <x v="49"/>
    <n v="3"/>
    <n v="45"/>
    <n v="260.72000000000003"/>
    <n v="11732.4"/>
    <n v="-902.22"/>
    <n v="0"/>
    <n v="1407.923501"/>
    <n v="12238.103501"/>
  </r>
  <r>
    <x v="5"/>
    <s v="Q3"/>
    <x v="0"/>
    <x v="72"/>
    <s v="KEPL/01373/82-83"/>
    <s v="AASHI TRADERS"/>
    <x v="51"/>
    <n v="5"/>
    <n v="250"/>
    <n v="89.39"/>
    <n v="22347.5"/>
    <n v="-1718.52"/>
    <n v="0"/>
    <n v="2681.7677199999998"/>
    <n v="23310.747719999999"/>
  </r>
  <r>
    <x v="5"/>
    <s v="Q3"/>
    <x v="0"/>
    <x v="72"/>
    <s v="KEPL/01373/82-83"/>
    <s v="AASHI TRADERS"/>
    <x v="40"/>
    <n v="1"/>
    <n v="600"/>
    <n v="7.46"/>
    <n v="4476"/>
    <n v="-344.2"/>
    <n v="0"/>
    <n v="537.13406399999997"/>
    <n v="4668.934064"/>
  </r>
  <r>
    <x v="5"/>
    <s v="Q3"/>
    <x v="0"/>
    <x v="72"/>
    <s v="KEPL/01373/82-83"/>
    <s v="AASHI TRADERS"/>
    <x v="22"/>
    <n v="5"/>
    <n v="120"/>
    <n v="204.85"/>
    <n v="24582"/>
    <n v="-1890.36"/>
    <n v="0"/>
    <n v="2949.913552"/>
    <n v="25641.553552000001"/>
  </r>
  <r>
    <x v="5"/>
    <s v="Q3"/>
    <x v="0"/>
    <x v="72"/>
    <s v="KEPL/01373/82-83"/>
    <s v="AASHI TRADERS"/>
    <x v="39"/>
    <n v="5"/>
    <n v="100"/>
    <n v="249.55"/>
    <n v="24955"/>
    <n v="-1919.04"/>
    <n v="0"/>
    <n v="2994.6751570000001"/>
    <n v="26030.635157000001"/>
  </r>
  <r>
    <x v="5"/>
    <s v="Q3"/>
    <x v="0"/>
    <x v="72"/>
    <s v="KEPL/01373/82-83"/>
    <s v="AASHI TRADERS"/>
    <x v="36"/>
    <n v="5"/>
    <n v="200"/>
    <n v="81.94"/>
    <n v="16388"/>
    <n v="-1260.24"/>
    <n v="0"/>
    <n v="1966.6090340000001"/>
    <n v="17094.369033999999"/>
  </r>
  <r>
    <x v="5"/>
    <s v="Q3"/>
    <x v="0"/>
    <x v="72"/>
    <s v="KEPL/01373/82-83"/>
    <s v="AASHI TRADERS"/>
    <x v="23"/>
    <n v="5"/>
    <n v="3000"/>
    <n v="7.46"/>
    <n v="22380"/>
    <n v="-1721.0200000000002"/>
    <n v="0"/>
    <n v="2685.6677199999999"/>
    <n v="23344.647720000001"/>
  </r>
  <r>
    <x v="5"/>
    <s v="Q3"/>
    <x v="0"/>
    <x v="72"/>
    <s v="KEPL/01373/82-83"/>
    <s v="AASHI TRADERS"/>
    <x v="21"/>
    <n v="3"/>
    <n v="720"/>
    <n v="14.9"/>
    <n v="10728"/>
    <n v="-824.98"/>
    <n v="0"/>
    <n v="1287.3927530000001"/>
    <n v="11190.412753000001"/>
  </r>
  <r>
    <x v="5"/>
    <s v="Q3"/>
    <x v="0"/>
    <x v="72"/>
    <s v="KEPL/01374/82-83"/>
    <s v="NEW HORIZON DISTRIBUTORS"/>
    <x v="40"/>
    <n v="1"/>
    <n v="600"/>
    <n v="7.46"/>
    <n v="4476"/>
    <n v="-344.2"/>
    <n v="0"/>
    <n v="537.13406599999996"/>
    <n v="4668.9340659999998"/>
  </r>
  <r>
    <x v="5"/>
    <s v="Q3"/>
    <x v="0"/>
    <x v="72"/>
    <s v="KEPL/01374/82-83"/>
    <s v="NEW HORIZON DISTRIBUTORS"/>
    <x v="23"/>
    <n v="1"/>
    <n v="600"/>
    <n v="7.46"/>
    <n v="4476"/>
    <n v="-344.2"/>
    <n v="0"/>
    <n v="537.13406599999996"/>
    <n v="4668.9340659999998"/>
  </r>
  <r>
    <x v="5"/>
    <s v="Q3"/>
    <x v="0"/>
    <x v="72"/>
    <s v="KEPL/01374/82-83"/>
    <s v="NEW HORIZON DISTRIBUTORS"/>
    <x v="51"/>
    <n v="3"/>
    <n v="150"/>
    <n v="89.39"/>
    <n v="13408.500000000002"/>
    <n v="-1031.1100000000001"/>
    <n v="0"/>
    <n v="1609.0608970000001"/>
    <n v="13986.450897000001"/>
  </r>
  <r>
    <x v="5"/>
    <s v="Q3"/>
    <x v="0"/>
    <x v="72"/>
    <s v="KEPL/01374/82-83"/>
    <s v="NEW HORIZON DISTRIBUTORS"/>
    <x v="22"/>
    <n v="1"/>
    <n v="24"/>
    <n v="204.85"/>
    <n v="4916.4000000000005"/>
    <n v="-378.07"/>
    <n v="0"/>
    <n v="589.98297200000002"/>
    <n v="5128.3129719999997"/>
  </r>
  <r>
    <x v="5"/>
    <s v="Q3"/>
    <x v="0"/>
    <x v="72"/>
    <s v="KEPL/01374/82-83"/>
    <s v="NEW HORIZON DISTRIBUTORS"/>
    <x v="31"/>
    <n v="1"/>
    <n v="60"/>
    <n v="111.74"/>
    <n v="6704.4"/>
    <n v="-515.57000000000005"/>
    <n v="0"/>
    <n v="804.54799899999989"/>
    <n v="6993.3779990000003"/>
  </r>
  <r>
    <x v="5"/>
    <s v="Q3"/>
    <x v="0"/>
    <x v="72"/>
    <s v="KEPL/01375/82-83"/>
    <s v="BIJAYA TRADERS"/>
    <x v="35"/>
    <n v="1"/>
    <n v="60"/>
    <n v="145.26"/>
    <n v="8715.6"/>
    <n v="-670.23"/>
    <n v="0"/>
    <n v="1045.8980670000001"/>
    <n v="9091.2680670000009"/>
  </r>
  <r>
    <x v="5"/>
    <s v="Q3"/>
    <x v="0"/>
    <x v="72"/>
    <s v="KEPL/01375/82-83"/>
    <s v="BIJAYA TRADERS"/>
    <x v="54"/>
    <n v="1"/>
    <n v="20"/>
    <n v="175.06"/>
    <n v="3501.2"/>
    <n v="-269.24"/>
    <n v="0"/>
    <n v="420.154787"/>
    <n v="3652.114787"/>
  </r>
  <r>
    <x v="5"/>
    <s v="Q3"/>
    <x v="0"/>
    <x v="72"/>
    <s v="KEPL/01375/82-83"/>
    <s v="BIJAYA TRADERS"/>
    <x v="45"/>
    <n v="2"/>
    <n v="30"/>
    <n v="260.72000000000003"/>
    <n v="7821.6"/>
    <n v="-601.48"/>
    <n v="0"/>
    <n v="938.61557099999993"/>
    <n v="8158.7355710000002"/>
  </r>
  <r>
    <x v="5"/>
    <s v="Q3"/>
    <x v="0"/>
    <x v="72"/>
    <s v="KEPL/01375/82-83"/>
    <s v="BIJAYA TRADERS"/>
    <x v="49"/>
    <n v="5"/>
    <n v="75"/>
    <n v="260.72000000000003"/>
    <n v="19554"/>
    <n v="-1503.6999999999998"/>
    <n v="0"/>
    <n v="2346.5389270000001"/>
    <n v="20396.838927000001"/>
  </r>
  <r>
    <x v="5"/>
    <s v="Q3"/>
    <x v="0"/>
    <x v="72"/>
    <s v="KEPL/01375/82-83"/>
    <s v="BIJAYA TRADERS"/>
    <x v="13"/>
    <n v="4"/>
    <n v="96"/>
    <n v="141.54"/>
    <n v="13587.84"/>
    <n v="-1044.9000000000001"/>
    <n v="0"/>
    <n v="1630.5821489999998"/>
    <n v="14173.522149"/>
  </r>
  <r>
    <x v="5"/>
    <s v="Q3"/>
    <x v="0"/>
    <x v="72"/>
    <s v="KEPL/01375/82-83"/>
    <s v="BIJAYA TRADERS"/>
    <x v="46"/>
    <n v="5"/>
    <n v="100"/>
    <n v="175.06"/>
    <n v="17506"/>
    <n v="-1346.21"/>
    <n v="0"/>
    <n v="2100.7726349999998"/>
    <n v="18260.562634999998"/>
  </r>
  <r>
    <x v="5"/>
    <s v="Q3"/>
    <x v="0"/>
    <x v="72"/>
    <s v="KEPL/01375/82-83"/>
    <s v="BIJAYA TRADERS"/>
    <x v="22"/>
    <n v="1"/>
    <n v="24"/>
    <n v="204.85"/>
    <n v="4916.4000000000005"/>
    <n v="-378.07"/>
    <n v="0"/>
    <n v="589.98288200000002"/>
    <n v="5128.3128820000002"/>
  </r>
  <r>
    <x v="5"/>
    <s v="Q3"/>
    <x v="0"/>
    <x v="72"/>
    <s v="KEPL/01375/82-83"/>
    <s v="BIJAYA TRADERS"/>
    <x v="55"/>
    <n v="2"/>
    <n v="40"/>
    <n v="175.06"/>
    <n v="7002.4"/>
    <n v="-538.48"/>
    <n v="0"/>
    <n v="840.309574"/>
    <n v="7304.229574"/>
  </r>
  <r>
    <x v="5"/>
    <s v="Q3"/>
    <x v="0"/>
    <x v="72"/>
    <s v="KEPL/01375/82-83"/>
    <s v="BIJAYA TRADERS"/>
    <x v="51"/>
    <n v="2"/>
    <n v="100"/>
    <n v="89.39"/>
    <n v="8939"/>
    <n v="-687.41"/>
    <n v="0"/>
    <n v="1072.7066669999999"/>
    <n v="9324.2966670000005"/>
  </r>
  <r>
    <x v="5"/>
    <s v="Q3"/>
    <x v="0"/>
    <x v="72"/>
    <s v="KEPL/01375/82-83"/>
    <s v="BIJAYA TRADERS"/>
    <x v="42"/>
    <n v="1"/>
    <n v="30"/>
    <n v="316.58999999999997"/>
    <n v="9497.6999999999989"/>
    <n v="-730.36999999999989"/>
    <n v="0"/>
    <n v="1139.7528650000002"/>
    <n v="9907.0828650000003"/>
  </r>
  <r>
    <x v="5"/>
    <s v="Q3"/>
    <x v="0"/>
    <x v="72"/>
    <s v="KEPL/01375/82-83"/>
    <s v="BIJAYA TRADERS"/>
    <x v="44"/>
    <n v="10"/>
    <n v="240"/>
    <n v="186.22"/>
    <n v="44693.039999999994"/>
    <n v="-3436.89"/>
    <n v="0"/>
    <n v="5363.2993330000008"/>
    <n v="46619.449332999997"/>
  </r>
  <r>
    <x v="5"/>
    <s v="Q3"/>
    <x v="0"/>
    <x v="72"/>
    <s v="KEPL/01375/82-83"/>
    <s v="BIJAYA TRADERS"/>
    <x v="56"/>
    <n v="2"/>
    <n v="1600"/>
    <n v="7.45"/>
    <n v="11920"/>
    <n v="-916.65"/>
    <n v="0"/>
    <n v="1430.435455"/>
    <n v="12433.785454999999"/>
  </r>
  <r>
    <x v="5"/>
    <s v="Q3"/>
    <x v="0"/>
    <x v="72"/>
    <s v="KEPL/01375/82-83"/>
    <s v="BIJAYA TRADERS"/>
    <x v="33"/>
    <n v="1"/>
    <n v="40"/>
    <n v="74.489999999999995"/>
    <n v="2979.6"/>
    <n v="-229.13"/>
    <n v="0"/>
    <n v="357.56108899999998"/>
    <n v="3108.0310890000001"/>
  </r>
  <r>
    <x v="5"/>
    <s v="Q3"/>
    <x v="0"/>
    <x v="72"/>
    <s v="KEPL/01376/82-83"/>
    <s v="CHHATRA DEV GENERAL SUPPLIERS"/>
    <x v="33"/>
    <n v="3"/>
    <n v="120"/>
    <n v="74.489999999999995"/>
    <n v="8938.8000000000011"/>
    <n v="-687.3900000000001"/>
    <n v="0"/>
    <n v="1072.685164"/>
    <n v="9324.0951640000003"/>
  </r>
  <r>
    <x v="5"/>
    <s v="Q3"/>
    <x v="0"/>
    <x v="72"/>
    <s v="KEPL/01376/82-83"/>
    <s v="CHHATRA DEV GENERAL SUPPLIERS"/>
    <x v="50"/>
    <n v="3"/>
    <n v="720"/>
    <n v="14.9"/>
    <n v="10728"/>
    <n v="-824.98"/>
    <n v="0"/>
    <n v="1287.3948359999999"/>
    <n v="11190.414836"/>
  </r>
  <r>
    <x v="5"/>
    <s v="Q3"/>
    <x v="0"/>
    <x v="72"/>
    <s v="KEPL/01377/82-83"/>
    <s v="R.P DISTRIBUTOR TRADE CENTER"/>
    <x v="33"/>
    <n v="2"/>
    <n v="80"/>
    <n v="74.489999999999995"/>
    <n v="5959.2"/>
    <n v="-458.26"/>
    <n v="0"/>
    <n v="715.121308"/>
    <n v="6216.0613080000003"/>
  </r>
  <r>
    <x v="5"/>
    <s v="Q3"/>
    <x v="0"/>
    <x v="72"/>
    <s v="KEPL/01377/82-83"/>
    <s v="R.P DISTRIBUTOR TRADE CENTER"/>
    <x v="51"/>
    <n v="3"/>
    <n v="150"/>
    <n v="89.39"/>
    <n v="13408.500000000002"/>
    <n v="-1031.1100000000001"/>
    <n v="0"/>
    <n v="1609.0586920000001"/>
    <n v="13986.448692"/>
  </r>
  <r>
    <x v="5"/>
    <s v="Q3"/>
    <x v="0"/>
    <x v="72"/>
    <s v="KEPL/01379/82-83"/>
    <s v="EMERALD TRADE LINK"/>
    <x v="58"/>
    <n v="1"/>
    <n v="40"/>
    <n v="111.74"/>
    <n v="4469.6000000000004"/>
    <n v="-343.71"/>
    <n v="0"/>
    <n v="536.36556500000006"/>
    <n v="4662.2555650000004"/>
  </r>
  <r>
    <x v="5"/>
    <s v="Q3"/>
    <x v="0"/>
    <x v="72"/>
    <s v="KEPL/01379/82-83"/>
    <s v="EMERALD TRADE LINK"/>
    <x v="35"/>
    <n v="1"/>
    <n v="60"/>
    <n v="145.26"/>
    <n v="8715.6"/>
    <n v="-670.23"/>
    <n v="0"/>
    <n v="1045.8978359999999"/>
    <n v="9091.2678360000009"/>
  </r>
  <r>
    <x v="5"/>
    <s v="Q3"/>
    <x v="0"/>
    <x v="72"/>
    <s v="KEPL/01379/82-83"/>
    <s v="EMERALD TRADE LINK"/>
    <x v="42"/>
    <n v="1"/>
    <n v="30"/>
    <n v="316.58999999999997"/>
    <n v="9497.6999999999989"/>
    <n v="-730.36999999999989"/>
    <n v="0"/>
    <n v="1139.752612"/>
    <n v="9907.0826120000002"/>
  </r>
  <r>
    <x v="5"/>
    <s v="Q3"/>
    <x v="0"/>
    <x v="72"/>
    <s v="KEPL/01379/82-83"/>
    <s v="EMERALD TRADE LINK"/>
    <x v="12"/>
    <n v="1"/>
    <n v="130"/>
    <n v="37.25"/>
    <n v="4842.5"/>
    <n v="-372.39"/>
    <n v="0"/>
    <n v="581.11415299999999"/>
    <n v="5051.2241530000001"/>
  </r>
  <r>
    <x v="5"/>
    <s v="Q3"/>
    <x v="0"/>
    <x v="72"/>
    <s v="KEPL/01379/82-83"/>
    <s v="EMERALD TRADE LINK"/>
    <x v="45"/>
    <n v="1"/>
    <n v="15"/>
    <n v="260.72000000000003"/>
    <n v="3910.8"/>
    <n v="-300.74"/>
    <n v="0"/>
    <n v="469.307682"/>
    <n v="4079.3676820000001"/>
  </r>
  <r>
    <x v="5"/>
    <s v="Q3"/>
    <x v="0"/>
    <x v="72"/>
    <s v="KEPL/01379/82-83"/>
    <s v="EMERALD TRADE LINK"/>
    <x v="36"/>
    <n v="1"/>
    <n v="40"/>
    <n v="81.94"/>
    <n v="3277.6"/>
    <n v="-252.05"/>
    <n v="0"/>
    <n v="393.32140100000004"/>
    <n v="3418.8714009999999"/>
  </r>
  <r>
    <x v="5"/>
    <s v="Q3"/>
    <x v="0"/>
    <x v="72"/>
    <s v="KEPL/01379/82-83"/>
    <s v="EMERALD TRADE LINK"/>
    <x v="40"/>
    <n v="1"/>
    <n v="600"/>
    <n v="7.46"/>
    <n v="4476"/>
    <n v="-344.2"/>
    <n v="0"/>
    <n v="537.13386400000002"/>
    <n v="4668.9338639999996"/>
  </r>
  <r>
    <x v="5"/>
    <s v="Q3"/>
    <x v="0"/>
    <x v="72"/>
    <s v="KEPL/01379/82-83"/>
    <s v="EMERALD TRADE LINK"/>
    <x v="56"/>
    <n v="1"/>
    <n v="800"/>
    <n v="7.46"/>
    <n v="5968"/>
    <n v="-458.94"/>
    <n v="0"/>
    <n v="716.17761899999994"/>
    <n v="6225.2376190000004"/>
  </r>
  <r>
    <x v="5"/>
    <s v="Q3"/>
    <x v="0"/>
    <x v="72"/>
    <s v="KEPL/01379/82-83"/>
    <s v="EMERALD TRADE LINK"/>
    <x v="46"/>
    <n v="1"/>
    <n v="20"/>
    <n v="175.06"/>
    <n v="3501.2"/>
    <n v="-269.24"/>
    <n v="0"/>
    <n v="420.15469399999995"/>
    <n v="3652.1146939999999"/>
  </r>
  <r>
    <x v="5"/>
    <s v="Q3"/>
    <x v="0"/>
    <x v="72"/>
    <s v="KEPL/01379/82-83"/>
    <s v="EMERALD TRADE LINK"/>
    <x v="52"/>
    <n v="10"/>
    <n v="40"/>
    <n v="595.92999999999995"/>
    <n v="23837.200000000001"/>
    <n v="-1833.08"/>
    <n v="0"/>
    <n v="2860.5348779999999"/>
    <n v="24864.654878000001"/>
  </r>
  <r>
    <x v="5"/>
    <s v="Q3"/>
    <x v="0"/>
    <x v="72"/>
    <s v="KEPL/01379/82-83"/>
    <s v="EMERALD TRADE LINK"/>
    <x v="33"/>
    <n v="1"/>
    <n v="40"/>
    <n v="74.489999999999995"/>
    <n v="2979.6"/>
    <n v="-229.13"/>
    <n v="0"/>
    <n v="357.56101000000001"/>
    <n v="3108.0310100000002"/>
  </r>
  <r>
    <x v="5"/>
    <s v="Q3"/>
    <x v="0"/>
    <x v="72"/>
    <s v="KEPL/01379/82-83"/>
    <s v="EMERALD TRADE LINK"/>
    <x v="39"/>
    <n v="5"/>
    <n v="100"/>
    <n v="249.55"/>
    <n v="24955"/>
    <n v="-1919.04"/>
    <n v="0"/>
    <n v="2994.6740439999999"/>
    <n v="26030.634043999999"/>
  </r>
  <r>
    <x v="5"/>
    <s v="Q3"/>
    <x v="0"/>
    <x v="72"/>
    <s v="KEPL/01379/82-83"/>
    <s v="EMERALD TRADE LINK"/>
    <x v="53"/>
    <n v="1"/>
    <n v="40"/>
    <n v="81.94"/>
    <n v="3277.6"/>
    <n v="-252.05"/>
    <n v="0"/>
    <n v="393.32140100000004"/>
    <n v="3418.8714009999999"/>
  </r>
  <r>
    <x v="5"/>
    <s v="Q3"/>
    <x v="0"/>
    <x v="72"/>
    <s v="KEPL/01379/82-83"/>
    <s v="EMERALD TRADE LINK"/>
    <x v="47"/>
    <n v="1"/>
    <n v="40"/>
    <n v="111.74"/>
    <n v="4469.6000000000004"/>
    <n v="-343.71"/>
    <n v="0"/>
    <n v="536.36556500000006"/>
    <n v="4662.2555650000004"/>
  </r>
  <r>
    <x v="5"/>
    <s v="Q3"/>
    <x v="0"/>
    <x v="72"/>
    <s v="KEPL/01379/82-83"/>
    <s v="EMERALD TRADE LINK"/>
    <x v="49"/>
    <n v="1"/>
    <n v="15"/>
    <n v="260.72000000000003"/>
    <n v="3910.8"/>
    <n v="-300.74"/>
    <n v="0"/>
    <n v="469.307682"/>
    <n v="4079.3676820000001"/>
  </r>
  <r>
    <x v="5"/>
    <s v="Q3"/>
    <x v="0"/>
    <x v="72"/>
    <s v="KEPL/01379/82-83"/>
    <s v="EMERALD TRADE LINK"/>
    <x v="55"/>
    <n v="1"/>
    <n v="20"/>
    <n v="175.05"/>
    <n v="3500.9999999999995"/>
    <n v="-269.23"/>
    <n v="0"/>
    <n v="420.12999400000001"/>
    <n v="3651.8999939999999"/>
  </r>
  <r>
    <x v="5"/>
    <s v="Q3"/>
    <x v="0"/>
    <x v="72"/>
    <s v="KEPL/01380/82-83"/>
    <s v="EMERALD TRADE LINK"/>
    <x v="50"/>
    <n v="1"/>
    <n v="240"/>
    <n v="14.9"/>
    <n v="3576"/>
    <n v="-274.99"/>
    <n v="0"/>
    <n v="429.131011"/>
    <n v="3730.1410110000002"/>
  </r>
  <r>
    <x v="5"/>
    <s v="Q3"/>
    <x v="0"/>
    <x v="72"/>
    <s v="KEPL/01380/82-83"/>
    <s v="EMERALD TRADE LINK"/>
    <x v="22"/>
    <n v="1"/>
    <n v="24"/>
    <n v="204.85"/>
    <n v="4916.4000000000005"/>
    <n v="-378.07"/>
    <n v="0"/>
    <n v="589.98250299999995"/>
    <n v="5128.3125030000001"/>
  </r>
  <r>
    <x v="5"/>
    <s v="Q3"/>
    <x v="0"/>
    <x v="72"/>
    <s v="KEPL/01380/82-83"/>
    <s v="EMERALD TRADE LINK"/>
    <x v="27"/>
    <n v="5"/>
    <n v="350"/>
    <n v="37.25"/>
    <n v="13037.5"/>
    <n v="-1002.58"/>
    <n v="0"/>
    <n v="1564.538546"/>
    <n v="13599.458546"/>
  </r>
  <r>
    <x v="5"/>
    <s v="Q3"/>
    <x v="0"/>
    <x v="72"/>
    <s v="KEPL/01380/82-83"/>
    <s v="EMERALD TRADE LINK"/>
    <x v="13"/>
    <n v="1"/>
    <n v="24"/>
    <n v="141.54"/>
    <n v="3396.96"/>
    <n v="-261.23"/>
    <n v="0"/>
    <n v="407.64462500000002"/>
    <n v="3543.3746249999999"/>
  </r>
  <r>
    <x v="5"/>
    <s v="Q3"/>
    <x v="0"/>
    <x v="72"/>
    <s v="KEPL/01380/82-83"/>
    <s v="EMERALD TRADE LINK"/>
    <x v="51"/>
    <n v="2"/>
    <n v="100"/>
    <n v="89.39"/>
    <n v="8939"/>
    <n v="-687.41"/>
    <n v="0"/>
    <n v="1072.7059770000001"/>
    <n v="9324.2959769999998"/>
  </r>
  <r>
    <x v="5"/>
    <s v="Q3"/>
    <x v="0"/>
    <x v="72"/>
    <s v="KEPL/01380/82-83"/>
    <s v="EMERALD TRADE LINK"/>
    <x v="21"/>
    <n v="1"/>
    <n v="240"/>
    <n v="14.9"/>
    <n v="3576"/>
    <n v="-274.99"/>
    <n v="0"/>
    <n v="429.131011"/>
    <n v="3730.1410110000002"/>
  </r>
  <r>
    <x v="5"/>
    <s v="Q3"/>
    <x v="0"/>
    <x v="72"/>
    <s v="KEPL/01380/82-83"/>
    <s v="EMERALD TRADE LINK"/>
    <x v="60"/>
    <n v="1"/>
    <n v="1000"/>
    <n v="1.86"/>
    <n v="1860"/>
    <n v="-143.03"/>
    <n v="0"/>
    <n v="223.20595"/>
    <n v="1940.1759500000001"/>
  </r>
  <r>
    <x v="5"/>
    <s v="Q3"/>
    <x v="0"/>
    <x v="72"/>
    <s v="KEPL/01380/82-83"/>
    <s v="EMERALD TRADE LINK"/>
    <x v="23"/>
    <n v="1"/>
    <n v="600"/>
    <n v="7.46"/>
    <n v="4476"/>
    <n v="-344.2"/>
    <n v="0"/>
    <n v="537.13363800000002"/>
    <n v="4668.9336380000004"/>
  </r>
  <r>
    <x v="5"/>
    <s v="Q3"/>
    <x v="0"/>
    <x v="72"/>
    <s v="KEPL/01380/82-83"/>
    <s v="EMERALD TRADE LINK"/>
    <x v="44"/>
    <n v="1"/>
    <n v="24"/>
    <n v="186.22"/>
    <n v="4469.3599999999997"/>
    <n v="-343.69"/>
    <n v="0"/>
    <n v="536.33673899999997"/>
    <n v="4662.0067390000004"/>
  </r>
  <r>
    <x v="5"/>
    <s v="Q3"/>
    <x v="0"/>
    <x v="72"/>
    <s v="KEPL/01381/82-83"/>
    <s v="AASHI TRADERS"/>
    <x v="33"/>
    <n v="2"/>
    <n v="80"/>
    <n v="74.489999999999995"/>
    <n v="5959.2"/>
    <n v="-458.26"/>
    <n v="0"/>
    <n v="715.12255299999993"/>
    <n v="6216.0625529999998"/>
  </r>
  <r>
    <x v="5"/>
    <s v="Q3"/>
    <x v="0"/>
    <x v="72"/>
    <s v="KEPL/01381/82-83"/>
    <s v="AASHI TRADERS"/>
    <x v="23"/>
    <n v="5"/>
    <n v="3000"/>
    <n v="7.46"/>
    <n v="22380"/>
    <n v="-1721.0200000000002"/>
    <n v="0"/>
    <n v="2685.668725"/>
    <n v="23344.648724999999"/>
  </r>
  <r>
    <x v="5"/>
    <s v="Q3"/>
    <x v="0"/>
    <x v="72"/>
    <s v="KEPL/01381/82-83"/>
    <s v="AASHI TRADERS"/>
    <x v="51"/>
    <n v="5"/>
    <n v="250"/>
    <n v="89.39"/>
    <n v="22347.5"/>
    <n v="-1718.52"/>
    <n v="0"/>
    <n v="2681.7687230000001"/>
    <n v="23310.748723000001"/>
  </r>
  <r>
    <x v="5"/>
    <s v="Q3"/>
    <x v="0"/>
    <x v="72"/>
    <s v="KEPL/01382/82-83"/>
    <s v="NEW AAKRITI SUPPLIERS"/>
    <x v="22"/>
    <n v="2"/>
    <n v="48"/>
    <n v="204.85"/>
    <n v="9832.8000000000011"/>
    <n v="-756.14"/>
    <n v="0"/>
    <n v="1179.9672800000001"/>
    <n v="10256.627280000001"/>
  </r>
  <r>
    <x v="5"/>
    <s v="Q3"/>
    <x v="0"/>
    <x v="72"/>
    <s v="KEPL/01382/82-83"/>
    <s v="NEW AAKRITI SUPPLIERS"/>
    <x v="40"/>
    <n v="2"/>
    <n v="1200"/>
    <n v="7.46"/>
    <n v="8952"/>
    <n v="-688.41"/>
    <n v="0"/>
    <n v="1074.268047"/>
    <n v="9337.8580469999997"/>
  </r>
  <r>
    <x v="5"/>
    <s v="Q3"/>
    <x v="0"/>
    <x v="72"/>
    <s v="KEPL/01382/82-83"/>
    <s v="NEW AAKRITI SUPPLIERS"/>
    <x v="23"/>
    <n v="1"/>
    <n v="600"/>
    <n v="7.46"/>
    <n v="4476"/>
    <n v="-344.2"/>
    <n v="0"/>
    <n v="537.13467300000002"/>
    <n v="4668.9346729999997"/>
  </r>
  <r>
    <x v="5"/>
    <s v="Q3"/>
    <x v="0"/>
    <x v="72"/>
    <s v="KEPL/01383/82-83"/>
    <s v="NAWA ATITHI STORES"/>
    <x v="33"/>
    <n v="2"/>
    <n v="80"/>
    <n v="74.489999999999995"/>
    <n v="5959.2"/>
    <n v="-458.26"/>
    <n v="0"/>
    <n v="715.12"/>
    <n v="6216.06"/>
  </r>
  <r>
    <x v="5"/>
    <s v="Q3"/>
    <x v="0"/>
    <x v="72"/>
    <s v="KEPL/01389/82-83"/>
    <s v="BHAT BHATENI SUPERMARKET &amp; DEPARTMENTAL STORE PVT. LTD."/>
    <x v="27"/>
    <n v="14"/>
    <n v="980"/>
    <n v="33.19"/>
    <n v="32526.2"/>
    <n v="0"/>
    <n v="0"/>
    <n v="4228.406121"/>
    <n v="36754.606120999997"/>
  </r>
  <r>
    <x v="5"/>
    <s v="Q3"/>
    <x v="0"/>
    <x v="72"/>
    <s v="KEPL/01389/82-83"/>
    <s v="BHAT BHATENI SUPERMARKET &amp; DEPARTMENTAL STORE PVT. LTD."/>
    <x v="29"/>
    <n v="33"/>
    <n v="660"/>
    <n v="182.52"/>
    <n v="120463.2"/>
    <n v="0"/>
    <n v="0"/>
    <n v="15660.216449"/>
    <n v="136123.41644900001"/>
  </r>
  <r>
    <x v="5"/>
    <s v="Q3"/>
    <x v="0"/>
    <x v="72"/>
    <s v="KEPL/01389/82-83"/>
    <s v="BHAT BHATENI SUPERMARKET &amp; DEPARTMENTAL STORE PVT. LTD."/>
    <x v="49"/>
    <n v="14"/>
    <n v="210"/>
    <n v="232.3"/>
    <n v="48783"/>
    <n v="0"/>
    <n v="0"/>
    <n v="6341.7901820000006"/>
    <n v="55124.790181999997"/>
  </r>
  <r>
    <x v="5"/>
    <s v="Q3"/>
    <x v="0"/>
    <x v="72"/>
    <s v="KEPL/01389/82-83"/>
    <s v="BHAT BHATENI SUPERMARKET &amp; DEPARTMENTAL STORE PVT. LTD."/>
    <x v="44"/>
    <n v="14"/>
    <n v="336"/>
    <n v="165.93"/>
    <n v="55752.480000000003"/>
    <n v="0"/>
    <n v="0"/>
    <n v="7247.8226079999995"/>
    <n v="63000.302607999998"/>
  </r>
  <r>
    <x v="5"/>
    <s v="Q3"/>
    <x v="0"/>
    <x v="72"/>
    <s v="KEPL/01389/82-83"/>
    <s v="BHAT BHATENI SUPERMARKET &amp; DEPARTMENTAL STORE PVT. LTD."/>
    <x v="59"/>
    <n v="14"/>
    <n v="280"/>
    <n v="182.52"/>
    <n v="51105.599999999999"/>
    <n v="0"/>
    <n v="0"/>
    <n v="6643.7281910000002"/>
    <n v="57749.328191000001"/>
  </r>
  <r>
    <x v="5"/>
    <s v="Q3"/>
    <x v="0"/>
    <x v="72"/>
    <s v="KEPL/01389/82-83"/>
    <s v="BHAT BHATENI SUPERMARKET &amp; DEPARTMENTAL STORE PVT. LTD."/>
    <x v="28"/>
    <n v="33"/>
    <n v="660"/>
    <n v="182.52"/>
    <n v="120463.2"/>
    <n v="0"/>
    <n v="0"/>
    <n v="15660.216449"/>
    <n v="136123.41644900001"/>
  </r>
  <r>
    <x v="5"/>
    <s v="Q3"/>
    <x v="0"/>
    <x v="72"/>
    <s v="KEPL/01456/82-83"/>
    <s v="KRISHMA ENTERPRISES"/>
    <x v="24"/>
    <n v="50"/>
    <n v="900"/>
    <n v="178.78"/>
    <n v="160902"/>
    <n v="-12373.36"/>
    <n v="0"/>
    <n v="19308.72"/>
    <n v="167837.36"/>
  </r>
  <r>
    <x v="6"/>
    <s v="Q3"/>
    <x v="0"/>
    <x v="73"/>
    <s v="KEPL/01466/82-83"/>
    <s v="WELSON TRADE &amp; RASAN MART"/>
    <x v="28"/>
    <n v="1"/>
    <n v="20"/>
    <n v="204.85"/>
    <n v="4097"/>
    <n v="-315.06"/>
    <n v="0"/>
    <n v="491.65215200000006"/>
    <n v="4273.5921520000002"/>
  </r>
  <r>
    <x v="6"/>
    <s v="Q3"/>
    <x v="0"/>
    <x v="73"/>
    <s v="KEPL/01466/82-83"/>
    <s v="WELSON TRADE &amp; RASAN MART"/>
    <x v="51"/>
    <n v="5"/>
    <n v="250"/>
    <n v="89.39"/>
    <n v="22347.5"/>
    <n v="-1718.52"/>
    <n v="0"/>
    <n v="2681.7671369999998"/>
    <n v="23310.747136999998"/>
  </r>
  <r>
    <x v="6"/>
    <s v="Q3"/>
    <x v="0"/>
    <x v="73"/>
    <s v="KEPL/01466/82-83"/>
    <s v="WELSON TRADE &amp; RASAN MART"/>
    <x v="40"/>
    <n v="3"/>
    <n v="1800"/>
    <n v="7.46"/>
    <n v="13427.999999999998"/>
    <n v="-1032.6099999999999"/>
    <n v="0"/>
    <n v="1611.4005420000001"/>
    <n v="14006.790542000001"/>
  </r>
  <r>
    <x v="6"/>
    <s v="Q3"/>
    <x v="0"/>
    <x v="73"/>
    <s v="KEPL/01466/82-83"/>
    <s v="WELSON TRADE &amp; RASAN MART"/>
    <x v="55"/>
    <n v="3"/>
    <n v="60"/>
    <n v="175.05"/>
    <n v="10503"/>
    <n v="-807.68"/>
    <n v="0"/>
    <n v="1260.391476"/>
    <n v="10955.711476"/>
  </r>
  <r>
    <x v="6"/>
    <s v="Q3"/>
    <x v="0"/>
    <x v="73"/>
    <s v="KEPL/01466/82-83"/>
    <s v="WELSON TRADE &amp; RASAN MART"/>
    <x v="53"/>
    <n v="1"/>
    <n v="40"/>
    <n v="81.94"/>
    <n v="3277.6"/>
    <n v="-252.05"/>
    <n v="0"/>
    <n v="393.321461"/>
    <n v="3418.8714610000002"/>
  </r>
  <r>
    <x v="6"/>
    <s v="Q3"/>
    <x v="0"/>
    <x v="73"/>
    <s v="KEPL/01466/82-83"/>
    <s v="WELSON TRADE &amp; RASAN MART"/>
    <x v="47"/>
    <n v="1"/>
    <n v="40"/>
    <n v="111.74"/>
    <n v="4469.6000000000004"/>
    <n v="-343.71"/>
    <n v="0"/>
    <n v="536.36564699999997"/>
    <n v="4662.255647"/>
  </r>
  <r>
    <x v="6"/>
    <s v="Q3"/>
    <x v="0"/>
    <x v="73"/>
    <s v="KEPL/01466/82-83"/>
    <s v="WELSON TRADE &amp; RASAN MART"/>
    <x v="46"/>
    <n v="3"/>
    <n v="60"/>
    <n v="175.06"/>
    <n v="10503.6"/>
    <n v="-807.7299999999999"/>
    <n v="0"/>
    <n v="1260.462976"/>
    <n v="10956.332976"/>
  </r>
  <r>
    <x v="6"/>
    <s v="Q3"/>
    <x v="0"/>
    <x v="73"/>
    <s v="KEPL/01466/82-83"/>
    <s v="WELSON TRADE &amp; RASAN MART"/>
    <x v="29"/>
    <n v="4"/>
    <n v="80"/>
    <n v="204.85"/>
    <n v="16388"/>
    <n v="-1260.24"/>
    <n v="0"/>
    <n v="1966.6086069999999"/>
    <n v="17094.368607"/>
  </r>
  <r>
    <x v="6"/>
    <s v="Q3"/>
    <x v="0"/>
    <x v="73"/>
    <s v="KEPL/01467/82-83"/>
    <s v="DURGA LAXMI AND SONS"/>
    <x v="54"/>
    <n v="2"/>
    <n v="40"/>
    <n v="175.06"/>
    <n v="7002.4"/>
    <n v="-538.48"/>
    <n v="0"/>
    <n v="840.30959600000006"/>
    <n v="7304.2295960000001"/>
  </r>
  <r>
    <x v="6"/>
    <s v="Q3"/>
    <x v="0"/>
    <x v="73"/>
    <s v="KEPL/01467/82-83"/>
    <s v="DURGA LAXMI AND SONS"/>
    <x v="55"/>
    <n v="10"/>
    <n v="200"/>
    <n v="175.05"/>
    <n v="35010"/>
    <n v="-2692.27"/>
    <n v="0"/>
    <n v="4201.3048799999997"/>
    <n v="36519.034879999999"/>
  </r>
  <r>
    <x v="6"/>
    <s v="Q3"/>
    <x v="0"/>
    <x v="73"/>
    <s v="KEPL/01467/82-83"/>
    <s v="DURGA LAXMI AND SONS"/>
    <x v="46"/>
    <n v="10"/>
    <n v="200"/>
    <n v="175.06"/>
    <n v="35012"/>
    <n v="-2692.42"/>
    <n v="0"/>
    <n v="4201.5453800000005"/>
    <n v="36521.125379999998"/>
  </r>
  <r>
    <x v="6"/>
    <s v="Q3"/>
    <x v="0"/>
    <x v="73"/>
    <s v="KEPL/01467/82-83"/>
    <s v="DURGA LAXMI AND SONS"/>
    <x v="47"/>
    <n v="10"/>
    <n v="400"/>
    <n v="111.74"/>
    <n v="44696"/>
    <n v="-3437.12"/>
    <n v="0"/>
    <n v="5363.6543750000001"/>
    <n v="46622.534375000003"/>
  </r>
  <r>
    <x v="6"/>
    <s v="Q3"/>
    <x v="0"/>
    <x v="73"/>
    <s v="KEPL/01467/82-83"/>
    <s v="DURGA LAXMI AND SONS"/>
    <x v="57"/>
    <n v="2"/>
    <n v="80"/>
    <n v="111.74"/>
    <n v="8939.2000000000007"/>
    <n v="-687.42"/>
    <n v="0"/>
    <n v="1072.731395"/>
    <n v="9324.5113949999995"/>
  </r>
  <r>
    <x v="6"/>
    <s v="Q3"/>
    <x v="0"/>
    <x v="73"/>
    <s v="KEPL/01467/82-83"/>
    <s v="DURGA LAXMI AND SONS"/>
    <x v="58"/>
    <n v="10"/>
    <n v="400"/>
    <n v="111.74"/>
    <n v="44696"/>
    <n v="-3437.12"/>
    <n v="0"/>
    <n v="5363.6543750000001"/>
    <n v="46622.534375000003"/>
  </r>
  <r>
    <x v="6"/>
    <s v="Q3"/>
    <x v="0"/>
    <x v="74"/>
    <s v="KEPL/01469/82-83"/>
    <s v="MALIKA DISTRIBUTORS NEPAL PVT LTD."/>
    <x v="52"/>
    <n v="50"/>
    <n v="200"/>
    <n v="595.92999999999995"/>
    <n v="119186"/>
    <n v="-9165.4"/>
    <n v="0"/>
    <n v="14302.68"/>
    <n v="124323.28"/>
  </r>
  <r>
    <x v="6"/>
    <s v="Q3"/>
    <x v="0"/>
    <x v="74"/>
    <s v="KEPL/01470/82-83"/>
    <s v="MEGA MART PVT.LTD"/>
    <x v="33"/>
    <n v="8"/>
    <n v="320"/>
    <n v="66.37"/>
    <n v="21238.400000000001"/>
    <n v="0"/>
    <n v="0"/>
    <n v="2760.99"/>
    <n v="23999.39"/>
  </r>
  <r>
    <x v="6"/>
    <s v="Q3"/>
    <x v="0"/>
    <x v="75"/>
    <s v="KEPL/01471/82-83"/>
    <s v="DINESH TRADING HOUSE"/>
    <x v="52"/>
    <n v="20"/>
    <n v="80"/>
    <n v="595.92999999999995"/>
    <n v="47674.400000000001"/>
    <n v="-3666.16"/>
    <n v="0"/>
    <n v="5721.0718560000005"/>
    <n v="49729.311856"/>
  </r>
  <r>
    <x v="6"/>
    <s v="Q3"/>
    <x v="0"/>
    <x v="75"/>
    <s v="KEPL/01471/82-83"/>
    <s v="DINESH TRADING HOUSE"/>
    <x v="56"/>
    <n v="5"/>
    <n v="4000"/>
    <n v="7.46"/>
    <n v="29840"/>
    <n v="-2294.7000000000003"/>
    <n v="0"/>
    <n v="3580.8894109999997"/>
    <n v="31126.189410999999"/>
  </r>
  <r>
    <x v="6"/>
    <s v="Q3"/>
    <x v="0"/>
    <x v="75"/>
    <s v="KEPL/01471/82-83"/>
    <s v="DINESH TRADING HOUSE"/>
    <x v="12"/>
    <n v="2"/>
    <n v="260"/>
    <n v="37.25"/>
    <n v="9685"/>
    <n v="-744.78"/>
    <n v="0"/>
    <n v="1162.2287329999999"/>
    <n v="10102.448732999999"/>
  </r>
  <r>
    <x v="6"/>
    <s v="Q3"/>
    <x v="0"/>
    <x v="76"/>
    <s v="KEPL/01476/82-83"/>
    <s v="AAFNAI PASAL PVT.LTD"/>
    <x v="27"/>
    <n v="2"/>
    <n v="140"/>
    <n v="37.25"/>
    <n v="5215"/>
    <n v="-401.03"/>
    <n v="0"/>
    <n v="625.81688699999995"/>
    <n v="5439.7868870000002"/>
  </r>
  <r>
    <x v="6"/>
    <s v="Q3"/>
    <x v="0"/>
    <x v="76"/>
    <s v="KEPL/01476/82-83"/>
    <s v="AAFNAI PASAL PVT.LTD"/>
    <x v="39"/>
    <n v="4"/>
    <n v="80"/>
    <n v="249.55"/>
    <n v="19964"/>
    <n v="-1535.23"/>
    <n v="0"/>
    <n v="2395.743113"/>
    <n v="20824.513113000001"/>
  </r>
  <r>
    <x v="6"/>
    <s v="Q3"/>
    <x v="0"/>
    <x v="76"/>
    <s v="KESR/0030/82-83"/>
    <s v="S GAUTAM STORE"/>
    <x v="7"/>
    <n v="-1.45"/>
    <n v="-61"/>
    <n v="74.489999999999995"/>
    <n v="-4543.8900000000003"/>
    <n v="349.43"/>
    <n v="0"/>
    <n v="-545.27991700000007"/>
    <n v="-4739.7399169999999"/>
  </r>
  <r>
    <x v="6"/>
    <s v="Q3"/>
    <x v="0"/>
    <x v="76"/>
    <s v="KESR/0030/82-83"/>
    <s v="S GAUTAM STORE"/>
    <x v="10"/>
    <n v="-2.76"/>
    <n v="-116"/>
    <n v="74.92"/>
    <n v="-8690.7199999999993"/>
    <n v="668.32"/>
    <n v="0"/>
    <n v="-1042.9122239999999"/>
    <n v="-9065.3122239999993"/>
  </r>
  <r>
    <x v="6"/>
    <s v="Q3"/>
    <x v="0"/>
    <x v="76"/>
    <s v="KESR/0030/82-83"/>
    <s v="S GAUTAM STORE"/>
    <x v="22"/>
    <n v="-1"/>
    <n v="-24"/>
    <n v="204.85"/>
    <n v="-4916.4000000000005"/>
    <n v="378.07"/>
    <n v="0"/>
    <n v="-589.98302699999999"/>
    <n v="-5128.3130270000001"/>
  </r>
  <r>
    <x v="6"/>
    <s v="Q3"/>
    <x v="0"/>
    <x v="76"/>
    <s v="KESR/0030/82-83"/>
    <s v="S GAUTAM STORE"/>
    <x v="38"/>
    <n v="-1"/>
    <n v="-24"/>
    <n v="186.23"/>
    <n v="-4469.5200000000004"/>
    <n v="343.71"/>
    <n v="0"/>
    <n v="-536.35541499999999"/>
    <n v="-4662.1654150000004"/>
  </r>
  <r>
    <x v="6"/>
    <s v="Q3"/>
    <x v="0"/>
    <x v="76"/>
    <s v="KESR/0030/82-83"/>
    <s v="S GAUTAM STORE"/>
    <x v="39"/>
    <n v="-2"/>
    <n v="-40"/>
    <n v="249.55"/>
    <n v="-9982"/>
    <n v="767.62"/>
    <n v="0"/>
    <n v="-1197.8696570000002"/>
    <n v="-10412.249657"/>
  </r>
  <r>
    <x v="6"/>
    <s v="Q3"/>
    <x v="0"/>
    <x v="76"/>
    <s v="KESR/0030/82-83"/>
    <s v="S GAUTAM STORE"/>
    <x v="4"/>
    <n v="-1.85"/>
    <n v="-37"/>
    <n v="175.05"/>
    <n v="-6476.8499999999995"/>
    <n v="498.07"/>
    <n v="0"/>
    <n v="-777.24156699999992"/>
    <n v="-6756.0215669999998"/>
  </r>
  <r>
    <x v="6"/>
    <s v="Q3"/>
    <x v="0"/>
    <x v="76"/>
    <s v="KESR/0030/82-83"/>
    <s v="S GAUTAM STORE"/>
    <x v="46"/>
    <n v="-2.65"/>
    <n v="-53"/>
    <n v="175.05"/>
    <n v="-9277.65"/>
    <n v="713.44999999999993"/>
    <n v="0"/>
    <n v="-1113.346239"/>
    <n v="-9677.5462389999993"/>
  </r>
  <r>
    <x v="6"/>
    <s v="Q3"/>
    <x v="0"/>
    <x v="76"/>
    <s v="KESR/0030/82-83"/>
    <s v="S GAUTAM STORE"/>
    <x v="0"/>
    <n v="-1.93"/>
    <n v="-77"/>
    <n v="111.74"/>
    <n v="-8603.98"/>
    <n v="661.65"/>
    <n v="0"/>
    <n v="-1032.5031220000001"/>
    <n v="-8974.833122"/>
  </r>
  <r>
    <x v="6"/>
    <s v="Q3"/>
    <x v="0"/>
    <x v="76"/>
    <s v="KESR/0030/82-83"/>
    <s v="S GAUTAM STORE"/>
    <x v="45"/>
    <n v="-0.93"/>
    <n v="-14"/>
    <n v="260.72000000000003"/>
    <n v="-3650.08"/>
    <n v="280.69"/>
    <n v="0"/>
    <n v="-438.02079400000002"/>
    <n v="-3807.4107939999999"/>
  </r>
  <r>
    <x v="6"/>
    <s v="Q3"/>
    <x v="0"/>
    <x v="76"/>
    <s v="KESR/0030/82-83"/>
    <s v="S GAUTAM STORE"/>
    <x v="36"/>
    <n v="-0.85"/>
    <n v="-34"/>
    <n v="81.94"/>
    <n v="-2785.9599999999996"/>
    <n v="214.24"/>
    <n v="0"/>
    <n v="-334.32367200000004"/>
    <n v="-2906.0436719999998"/>
  </r>
  <r>
    <x v="6"/>
    <s v="Q3"/>
    <x v="0"/>
    <x v="76"/>
    <s v="KESR/0030/82-83"/>
    <s v="S GAUTAM STORE"/>
    <x v="56"/>
    <n v="-1"/>
    <n v="-800"/>
    <n v="7.46"/>
    <n v="-5968"/>
    <n v="458.94"/>
    <n v="0"/>
    <n v="-716.177954"/>
    <n v="-6225.2379540000002"/>
  </r>
  <r>
    <x v="6"/>
    <s v="Q3"/>
    <x v="0"/>
    <x v="76"/>
    <s v="KESR/0030/82-83"/>
    <s v="S GAUTAM STORE"/>
    <x v="57"/>
    <n v="-1.35"/>
    <n v="-54"/>
    <n v="111.74"/>
    <n v="-6033.96"/>
    <n v="464.01"/>
    <n v="0"/>
    <n v="-724.09365600000001"/>
    <n v="-6294.0436559999998"/>
  </r>
  <r>
    <x v="6"/>
    <s v="Q3"/>
    <x v="0"/>
    <x v="76"/>
    <s v="KESR/0030/82-83"/>
    <s v="S GAUTAM STORE"/>
    <x v="52"/>
    <n v="-2"/>
    <n v="-8"/>
    <n v="595.92999999999995"/>
    <n v="-4767.4399999999996"/>
    <n v="366.62"/>
    <n v="0"/>
    <n v="-572.10672299999999"/>
    <n v="-4972.9267229999996"/>
  </r>
  <r>
    <x v="6"/>
    <s v="Q3"/>
    <x v="0"/>
    <x v="76"/>
    <s v="KESR/0030/82-83"/>
    <s v="S GAUTAM STORE"/>
    <x v="12"/>
    <n v="-1.57"/>
    <n v="-204"/>
    <n v="37.25"/>
    <n v="-7599"/>
    <n v="584.36"/>
    <n v="0"/>
    <n v="-911.90339599999993"/>
    <n v="-7926.543396"/>
  </r>
  <r>
    <x v="6"/>
    <s v="Q3"/>
    <x v="0"/>
    <x v="76"/>
    <s v="KESR/0030/82-83"/>
    <s v="S GAUTAM STORE"/>
    <x v="27"/>
    <n v="-0.66"/>
    <n v="-46"/>
    <n v="32.78"/>
    <n v="-1507.88"/>
    <n v="115.96"/>
    <n v="0"/>
    <n v="-180.94963899999999"/>
    <n v="-1572.869639"/>
  </r>
  <r>
    <x v="6"/>
    <s v="Q3"/>
    <x v="0"/>
    <x v="76"/>
    <s v="KESR/0030/82-83"/>
    <s v="S GAUTAM STORE"/>
    <x v="8"/>
    <n v="-2"/>
    <n v="-84"/>
    <n v="74.489999999999995"/>
    <n v="-6257.16"/>
    <n v="481.18"/>
    <n v="0"/>
    <n v="-750.87756100000001"/>
    <n v="-6526.8575609999998"/>
  </r>
  <r>
    <x v="6"/>
    <s v="Q3"/>
    <x v="0"/>
    <x v="76"/>
    <s v="KESR/0030/82-83"/>
    <s v="S GAUTAM STORE"/>
    <x v="15"/>
    <n v="-0.9"/>
    <n v="-18"/>
    <n v="175.05"/>
    <n v="-3150.9"/>
    <n v="242.3"/>
    <n v="0"/>
    <n v="-378.11808100000002"/>
    <n v="-3286.718081"/>
  </r>
  <r>
    <x v="6"/>
    <s v="Q3"/>
    <x v="0"/>
    <x v="76"/>
    <s v="KESR/0030/82-83"/>
    <s v="S GAUTAM STORE"/>
    <x v="47"/>
    <n v="-1.45"/>
    <n v="-58"/>
    <n v="111.74"/>
    <n v="-6480.92"/>
    <n v="498.38"/>
    <n v="0"/>
    <n v="-777.73036699999989"/>
    <n v="-6760.2703670000001"/>
  </r>
  <r>
    <x v="6"/>
    <s v="Q3"/>
    <x v="0"/>
    <x v="76"/>
    <s v="KESR/0030/82-83"/>
    <s v="S GAUTAM STORE"/>
    <x v="37"/>
    <n v="-1"/>
    <n v="-40"/>
    <n v="81.94"/>
    <n v="-3277.6"/>
    <n v="252.05"/>
    <n v="0"/>
    <n v="-393.32158499999997"/>
    <n v="-3418.8715849999999"/>
  </r>
  <r>
    <x v="6"/>
    <s v="Q3"/>
    <x v="0"/>
    <x v="76"/>
    <s v="KESR/0030/82-83"/>
    <s v="S GAUTAM STORE"/>
    <x v="53"/>
    <n v="-1"/>
    <n v="-40"/>
    <n v="81.94"/>
    <n v="-3277.6"/>
    <n v="252.05"/>
    <n v="0"/>
    <n v="-393.32158499999997"/>
    <n v="-3418.8715849999999"/>
  </r>
  <r>
    <x v="6"/>
    <s v="Q3"/>
    <x v="0"/>
    <x v="76"/>
    <s v="KESR/0030/82-83"/>
    <s v="S GAUTAM STORE"/>
    <x v="34"/>
    <n v="-1"/>
    <n v="-40"/>
    <n v="67.040000000000006"/>
    <n v="-2681.6"/>
    <n v="206.22"/>
    <n v="0"/>
    <n v="-321.79946899999999"/>
    <n v="-2797.1794690000002"/>
  </r>
  <r>
    <x v="6"/>
    <s v="Q3"/>
    <x v="0"/>
    <x v="76"/>
    <s v="KESR/0030/82-83"/>
    <s v="S GAUTAM STORE"/>
    <x v="35"/>
    <n v="-0.57999999999999996"/>
    <n v="-35"/>
    <n v="145.26"/>
    <n v="-5084.1000000000004"/>
    <n v="390.97"/>
    <n v="0"/>
    <n v="-610.10703100000001"/>
    <n v="-5303.2370309999997"/>
  </r>
  <r>
    <x v="6"/>
    <s v="Q3"/>
    <x v="0"/>
    <x v="76"/>
    <s v="KESR/0030/82-83"/>
    <s v="S GAUTAM STORE"/>
    <x v="50"/>
    <n v="-1"/>
    <n v="-240"/>
    <n v="14.9"/>
    <n v="-3576"/>
    <n v="274.99"/>
    <n v="0"/>
    <n v="-429.13139200000001"/>
    <n v="-3730.141392"/>
  </r>
  <r>
    <x v="6"/>
    <s v="Q3"/>
    <x v="0"/>
    <x v="76"/>
    <s v="KESR/0030/82-83"/>
    <s v="S GAUTAM STORE"/>
    <x v="23"/>
    <n v="-1"/>
    <n v="-600"/>
    <n v="7.45"/>
    <n v="-4470"/>
    <n v="343.74"/>
    <n v="0"/>
    <n v="-536.41391499999997"/>
    <n v="-4662.6739150000003"/>
  </r>
  <r>
    <x v="6"/>
    <s v="Q3"/>
    <x v="0"/>
    <x v="76"/>
    <s v="KESR/0030/82-83"/>
    <s v="S GAUTAM STORE"/>
    <x v="60"/>
    <n v="-1.3"/>
    <n v="-1300"/>
    <n v="1.79"/>
    <n v="-2327"/>
    <n v="178.95"/>
    <n v="0"/>
    <n v="-279.24655999999999"/>
    <n v="-2427.2965600000002"/>
  </r>
  <r>
    <x v="6"/>
    <s v="Q3"/>
    <x v="0"/>
    <x v="76"/>
    <s v="KESR/0030/82-83"/>
    <s v="S GAUTAM STORE"/>
    <x v="49"/>
    <n v="-1.87"/>
    <n v="-28"/>
    <n v="260.72000000000003"/>
    <n v="-7300.16"/>
    <n v="561.38"/>
    <n v="0"/>
    <n v="-876.04158800000005"/>
    <n v="-7614.8215879999998"/>
  </r>
  <r>
    <x v="6"/>
    <s v="Q3"/>
    <x v="0"/>
    <x v="76"/>
    <s v="KESR/0030/82-83"/>
    <s v="S GAUTAM STORE"/>
    <x v="41"/>
    <n v="-1"/>
    <n v="-40"/>
    <n v="67.040000000000006"/>
    <n v="-2681.6"/>
    <n v="206.22"/>
    <n v="0"/>
    <n v="-321.79946899999999"/>
    <n v="-2797.1794690000002"/>
  </r>
  <r>
    <x v="6"/>
    <s v="Q3"/>
    <x v="0"/>
    <x v="76"/>
    <s v="KESR/0030/82-83"/>
    <s v="S GAUTAM STORE"/>
    <x v="33"/>
    <n v="-2"/>
    <n v="-80"/>
    <n v="67.040000000000006"/>
    <n v="-5363.2"/>
    <n v="412.43"/>
    <n v="0"/>
    <n v="-643.60023799999999"/>
    <n v="-5594.3702380000004"/>
  </r>
  <r>
    <x v="6"/>
    <s v="Q3"/>
    <x v="0"/>
    <x v="76"/>
    <s v="KESR/0030/82-83"/>
    <s v="S GAUTAM STORE"/>
    <x v="51"/>
    <n v="-1"/>
    <n v="-50"/>
    <n v="89.39"/>
    <n v="-4469.5"/>
    <n v="343.7"/>
    <n v="0"/>
    <n v="-536.35411499999998"/>
    <n v="-4662.1541150000003"/>
  </r>
  <r>
    <x v="6"/>
    <s v="Q3"/>
    <x v="0"/>
    <x v="76"/>
    <s v="KESR/0030/82-83"/>
    <s v="S GAUTAM STORE"/>
    <x v="44"/>
    <n v="-1"/>
    <n v="-24"/>
    <n v="186.23"/>
    <n v="-4469.5200000000004"/>
    <n v="343.71"/>
    <n v="0"/>
    <n v="-536.35541499999999"/>
    <n v="-4662.1654150000004"/>
  </r>
  <r>
    <x v="6"/>
    <s v="Q3"/>
    <x v="0"/>
    <x v="76"/>
    <s v="KESR/0030/82-83"/>
    <s v="S GAUTAM STORE"/>
    <x v="30"/>
    <n v="-1"/>
    <n v="-20"/>
    <n v="242.1"/>
    <n v="-4841.9999999999991"/>
    <n v="372.35"/>
    <n v="0"/>
    <n v="-581.05462499999999"/>
    <n v="-5050.7046250000003"/>
  </r>
  <r>
    <x v="6"/>
    <s v="Q3"/>
    <x v="0"/>
    <x v="77"/>
    <s v="KESR/0031/82-83"/>
    <s v="MEGA MART PVT.LTD"/>
    <x v="42"/>
    <n v="-0.03"/>
    <n v="-1"/>
    <n v="282.08"/>
    <n v="-282.08"/>
    <n v="0"/>
    <n v="0"/>
    <n v="-36.669367999999999"/>
    <n v="-318.749368"/>
  </r>
  <r>
    <x v="6"/>
    <s v="Q3"/>
    <x v="0"/>
    <x v="77"/>
    <s v="KESR/0031/82-83"/>
    <s v="MEGA MART PVT.LTD"/>
    <x v="35"/>
    <n v="-0.08"/>
    <n v="-5"/>
    <n v="129.41999999999999"/>
    <n v="-647.1"/>
    <n v="0"/>
    <n v="0"/>
    <n v="-84.120632000000001"/>
    <n v="-731.22063200000002"/>
  </r>
  <r>
    <x v="6"/>
    <s v="Q3"/>
    <x v="0"/>
    <x v="78"/>
    <s v="KEPL/01481/82-83"/>
    <s v="MEGA MART PVT.LTD"/>
    <x v="46"/>
    <n v="11"/>
    <n v="220"/>
    <n v="155.97"/>
    <n v="34313.4"/>
    <n v="0"/>
    <n v="0"/>
    <n v="4460.7416030000004"/>
    <n v="38774.141602999996"/>
  </r>
  <r>
    <x v="6"/>
    <s v="Q3"/>
    <x v="0"/>
    <x v="78"/>
    <s v="KEPL/01481/82-83"/>
    <s v="MEGA MART PVT.LTD"/>
    <x v="42"/>
    <n v="10"/>
    <n v="300"/>
    <n v="282.08"/>
    <n v="84624"/>
    <n v="0"/>
    <n v="0"/>
    <n v="11001.119021"/>
    <n v="95625.119021000006"/>
  </r>
  <r>
    <x v="6"/>
    <s v="Q3"/>
    <x v="0"/>
    <x v="78"/>
    <s v="KEPL/01481/82-83"/>
    <s v="MEGA MART PVT.LTD"/>
    <x v="35"/>
    <n v="3"/>
    <n v="180"/>
    <n v="129.41999999999999"/>
    <n v="23295.599999999999"/>
    <n v="0"/>
    <n v="0"/>
    <n v="3028.4277310000002"/>
    <n v="26324.027730999998"/>
  </r>
  <r>
    <x v="6"/>
    <s v="Q3"/>
    <x v="0"/>
    <x v="78"/>
    <s v="KEPL/01481/82-83"/>
    <s v="MEGA MART PVT.LTD"/>
    <x v="33"/>
    <n v="1"/>
    <n v="40"/>
    <n v="66.37"/>
    <n v="2654.8"/>
    <n v="0"/>
    <n v="0"/>
    <n v="345.12396899999999"/>
    <n v="2999.9239689999999"/>
  </r>
  <r>
    <x v="6"/>
    <s v="Q3"/>
    <x v="0"/>
    <x v="78"/>
    <s v="KEPL/01481/82-83"/>
    <s v="MEGA MART PVT.LTD"/>
    <x v="55"/>
    <n v="9"/>
    <n v="180"/>
    <n v="155.97"/>
    <n v="28074.600000000002"/>
    <n v="0"/>
    <n v="0"/>
    <n v="3649.6976749999999"/>
    <n v="31724.297675000002"/>
  </r>
  <r>
    <x v="6"/>
    <s v="Q3"/>
    <x v="0"/>
    <x v="78"/>
    <s v="KEPL/01484/82-83"/>
    <s v="EMERALD TRADE LINK"/>
    <x v="27"/>
    <n v="20"/>
    <n v="1400"/>
    <n v="37.25"/>
    <n v="52150"/>
    <n v="-4010.3399999999997"/>
    <n v="0"/>
    <n v="6258.1600000000008"/>
    <n v="54397.82"/>
  </r>
  <r>
    <x v="6"/>
    <s v="Q3"/>
    <x v="0"/>
    <x v="78"/>
    <s v="KEPL/01485/82-83"/>
    <s v="NEW CHANDESHWARI SUPPLIERS"/>
    <x v="47"/>
    <n v="3"/>
    <n v="120"/>
    <n v="111.74"/>
    <n v="13408.8"/>
    <n v="-1031.1400000000001"/>
    <n v="0"/>
    <n v="1609.0946750000001"/>
    <n v="13986.754675"/>
  </r>
  <r>
    <x v="6"/>
    <s v="Q3"/>
    <x v="0"/>
    <x v="78"/>
    <s v="KEPL/01485/82-83"/>
    <s v="NEW CHANDESHWARI SUPPLIERS"/>
    <x v="57"/>
    <n v="1"/>
    <n v="40"/>
    <n v="111.74"/>
    <n v="4469.6000000000004"/>
    <n v="-343.71"/>
    <n v="0"/>
    <n v="536.36532499999998"/>
    <n v="4662.2553250000001"/>
  </r>
  <r>
    <x v="6"/>
    <s v="Q3"/>
    <x v="0"/>
    <x v="79"/>
    <s v="KEPL/01495/82-83"/>
    <s v="RAJU KIRANA PASAL"/>
    <x v="23"/>
    <n v="1"/>
    <n v="600"/>
    <n v="7.45"/>
    <n v="4470"/>
    <n v="-343.74"/>
    <n v="0"/>
    <n v="536.41551400000003"/>
    <n v="4662.6755139999996"/>
  </r>
  <r>
    <x v="6"/>
    <s v="Q3"/>
    <x v="0"/>
    <x v="79"/>
    <s v="KEPL/01495/82-83"/>
    <s v="RAJU KIRANA PASAL"/>
    <x v="34"/>
    <n v="2"/>
    <n v="80"/>
    <n v="74.489999999999995"/>
    <n v="5959.2"/>
    <n v="-458.26"/>
    <n v="0"/>
    <n v="715.12448599999993"/>
    <n v="6216.0644860000002"/>
  </r>
  <r>
    <x v="6"/>
    <s v="Q3"/>
    <x v="0"/>
    <x v="79"/>
    <s v="KEPL/01496/82-83"/>
    <s v="B G TRADING CONCERN"/>
    <x v="42"/>
    <n v="2"/>
    <n v="60"/>
    <n v="316.58999999999997"/>
    <n v="18995.399999999998"/>
    <n v="-1460.75"/>
    <n v="0"/>
    <n v="2279.5047679999998"/>
    <n v="19814.154768"/>
  </r>
  <r>
    <x v="6"/>
    <s v="Q3"/>
    <x v="0"/>
    <x v="79"/>
    <s v="KEPL/01496/82-83"/>
    <s v="B G TRADING CONCERN"/>
    <x v="51"/>
    <n v="5"/>
    <n v="250"/>
    <n v="89.39"/>
    <n v="22347.5"/>
    <n v="-1718.52"/>
    <n v="0"/>
    <n v="2681.7677160000003"/>
    <n v="23310.747716000002"/>
  </r>
  <r>
    <x v="6"/>
    <s v="Q3"/>
    <x v="0"/>
    <x v="79"/>
    <s v="KEPL/01496/82-83"/>
    <s v="B G TRADING CONCERN"/>
    <x v="47"/>
    <n v="5"/>
    <n v="200"/>
    <n v="111.74"/>
    <n v="22348"/>
    <n v="-1718.56"/>
    <n v="0"/>
    <n v="2681.8275159999998"/>
    <n v="23311.267516"/>
  </r>
  <r>
    <x v="6"/>
    <s v="Q3"/>
    <x v="0"/>
    <x v="79"/>
    <s v="KEPL/01497/82-83"/>
    <s v="MALIKA DISTRIBUTORS NEPAL PVT LTD."/>
    <x v="24"/>
    <n v="1"/>
    <n v="18"/>
    <n v="178.78"/>
    <n v="3218.0400000000004"/>
    <n v="-247.47"/>
    <n v="0"/>
    <n v="386.17500000000001"/>
    <n v="3356.7449999999999"/>
  </r>
  <r>
    <x v="6"/>
    <s v="Q3"/>
    <x v="0"/>
    <x v="79"/>
    <s v="KEPL/01497/82-83"/>
    <s v="MALIKA DISTRIBUTORS NEPAL PVT LTD."/>
    <x v="2"/>
    <n v="1"/>
    <n v="18"/>
    <n v="178.78"/>
    <n v="3218.0400000000004"/>
    <n v="-247.47"/>
    <n v="0"/>
    <n v="386.17500000000001"/>
    <n v="3356.7449999999999"/>
  </r>
  <r>
    <x v="6"/>
    <s v="Q3"/>
    <x v="0"/>
    <x v="80"/>
    <s v="KEPL/01504/82-83"/>
    <s v="EMERALD TRADE LINK"/>
    <x v="46"/>
    <n v="3"/>
    <n v="60"/>
    <n v="175.06"/>
    <n v="10503.6"/>
    <n v="-807.7299999999999"/>
    <n v="0"/>
    <n v="1260.46075"/>
    <n v="10956.330749999999"/>
  </r>
  <r>
    <x v="6"/>
    <s v="Q3"/>
    <x v="0"/>
    <x v="80"/>
    <s v="KEPL/01504/82-83"/>
    <s v="EMERALD TRADE LINK"/>
    <x v="55"/>
    <n v="3"/>
    <n v="60"/>
    <n v="175.05"/>
    <n v="10503"/>
    <n v="-807.68"/>
    <n v="0"/>
    <n v="1260.3892500000002"/>
    <n v="10955.70925"/>
  </r>
  <r>
    <x v="6"/>
    <s v="Q3"/>
    <x v="0"/>
    <x v="80"/>
    <s v="KEPL/01506/82-83"/>
    <s v="GORIN TRADING "/>
    <x v="12"/>
    <n v="5"/>
    <n v="650"/>
    <n v="37.25"/>
    <n v="24212.5"/>
    <n v="-1861.9399999999998"/>
    <n v="0"/>
    <n v="2905.5741459999999"/>
    <n v="25256.134146"/>
  </r>
  <r>
    <x v="6"/>
    <s v="Q3"/>
    <x v="0"/>
    <x v="80"/>
    <s v="KEPL/01506/82-83"/>
    <s v="GORIN TRADING "/>
    <x v="41"/>
    <n v="1"/>
    <n v="40"/>
    <n v="67.040000000000006"/>
    <n v="2681.6"/>
    <n v="-206.22"/>
    <n v="0"/>
    <n v="321.79954900000001"/>
    <n v="2797.179549"/>
  </r>
  <r>
    <x v="6"/>
    <s v="Q3"/>
    <x v="0"/>
    <x v="80"/>
    <s v="KEPL/01506/82-83"/>
    <s v="GORIN TRADING "/>
    <x v="37"/>
    <n v="1"/>
    <n v="40"/>
    <n v="81.94"/>
    <n v="3277.6"/>
    <n v="-252.05"/>
    <n v="0"/>
    <n v="393.32168200000001"/>
    <n v="3418.871682"/>
  </r>
  <r>
    <x v="6"/>
    <s v="Q3"/>
    <x v="0"/>
    <x v="80"/>
    <s v="KEPL/01506/82-83"/>
    <s v="GORIN TRADING "/>
    <x v="56"/>
    <n v="4"/>
    <n v="3200"/>
    <n v="7.45"/>
    <n v="23840"/>
    <n v="-1833.3"/>
    <n v="0"/>
    <n v="2860.8723260000002"/>
    <n v="24867.572326000001"/>
  </r>
  <r>
    <x v="6"/>
    <s v="Q3"/>
    <x v="0"/>
    <x v="80"/>
    <s v="KEPL/01506/82-83"/>
    <s v="GORIN TRADING "/>
    <x v="45"/>
    <n v="1"/>
    <n v="15"/>
    <n v="260.72000000000003"/>
    <n v="3910.8"/>
    <n v="-300.74"/>
    <n v="0"/>
    <n v="469.30801700000001"/>
    <n v="4079.3680169999998"/>
  </r>
  <r>
    <x v="6"/>
    <s v="Q3"/>
    <x v="0"/>
    <x v="80"/>
    <s v="KEPL/01506/82-83"/>
    <s v="GORIN TRADING "/>
    <x v="25"/>
    <n v="1"/>
    <n v="18"/>
    <n v="178.78"/>
    <n v="3218.0400000000004"/>
    <n v="-247.47"/>
    <n v="0"/>
    <n v="386.17427899999996"/>
    <n v="3356.744279"/>
  </r>
  <r>
    <x v="6"/>
    <s v="Q3"/>
    <x v="0"/>
    <x v="80"/>
    <s v="KEPL/01510/82-83"/>
    <s v="GORIN TRADING "/>
    <x v="2"/>
    <n v="1"/>
    <n v="18"/>
    <n v="178.78"/>
    <n v="3218.0400000000004"/>
    <n v="-247.47"/>
    <n v="0"/>
    <n v="386.17"/>
    <n v="3356.74"/>
  </r>
  <r>
    <x v="6"/>
    <s v="Q3"/>
    <x v="0"/>
    <x v="80"/>
    <s v="KEPL/01511/82-83"/>
    <s v="AAFNAI PASAL PVT.LTD"/>
    <x v="30"/>
    <n v="1"/>
    <n v="20"/>
    <n v="242.1"/>
    <n v="4841.9999999999991"/>
    <n v="-372.35"/>
    <n v="0"/>
    <n v="581.04999999999995"/>
    <n v="5050.7"/>
  </r>
  <r>
    <x v="6"/>
    <s v="Q3"/>
    <x v="0"/>
    <x v="81"/>
    <s v="KEPL/01521/82-83"/>
    <s v="BEERA BARJEE INTERNATIONAL PVT.LTD"/>
    <x v="39"/>
    <n v="1"/>
    <n v="20"/>
    <n v="249.55"/>
    <n v="4991"/>
    <n v="-383.81"/>
    <n v="0"/>
    <n v="598.93424100000004"/>
    <n v="5206.1242410000004"/>
  </r>
  <r>
    <x v="6"/>
    <s v="Q3"/>
    <x v="0"/>
    <x v="81"/>
    <s v="KEPL/01521/82-83"/>
    <s v="BEERA BARJEE INTERNATIONAL PVT.LTD"/>
    <x v="53"/>
    <n v="1"/>
    <n v="40"/>
    <n v="81.94"/>
    <n v="3277.6"/>
    <n v="-252.05"/>
    <n v="0"/>
    <n v="393.32119799999998"/>
    <n v="3418.8711979999998"/>
  </r>
  <r>
    <x v="6"/>
    <s v="Q3"/>
    <x v="0"/>
    <x v="81"/>
    <s v="KEPL/01521/82-83"/>
    <s v="BEERA BARJEE INTERNATIONAL PVT.LTD"/>
    <x v="51"/>
    <n v="3"/>
    <n v="150"/>
    <n v="89.39"/>
    <n v="13408.500000000002"/>
    <n v="-1031.1100000000001"/>
    <n v="0"/>
    <n v="1609.0594660000002"/>
    <n v="13986.449466"/>
  </r>
  <r>
    <x v="6"/>
    <s v="Q3"/>
    <x v="0"/>
    <x v="81"/>
    <s v="KEPL/01521/82-83"/>
    <s v="BEERA BARJEE INTERNATIONAL PVT.LTD"/>
    <x v="49"/>
    <n v="2"/>
    <n v="30"/>
    <n v="260.72000000000003"/>
    <n v="7821.6"/>
    <n v="-601.48"/>
    <n v="0"/>
    <n v="938.61487999999997"/>
    <n v="8158.73488"/>
  </r>
  <r>
    <x v="6"/>
    <s v="Q3"/>
    <x v="0"/>
    <x v="81"/>
    <s v="KEPL/01521/82-83"/>
    <s v="BEERA BARJEE INTERNATIONAL PVT.LTD"/>
    <x v="44"/>
    <n v="1"/>
    <n v="24"/>
    <n v="186.23"/>
    <n v="4469.5200000000004"/>
    <n v="-343.71"/>
    <n v="0"/>
    <n v="536.35488900000007"/>
    <n v="4662.1648889999997"/>
  </r>
  <r>
    <x v="6"/>
    <s v="Q3"/>
    <x v="0"/>
    <x v="81"/>
    <s v="KEPL/01521/82-83"/>
    <s v="BEERA BARJEE INTERNATIONAL PVT.LTD"/>
    <x v="36"/>
    <n v="1"/>
    <n v="40"/>
    <n v="81.94"/>
    <n v="3277.6"/>
    <n v="-252.05"/>
    <n v="0"/>
    <n v="393.32119799999998"/>
    <n v="3418.8711979999998"/>
  </r>
  <r>
    <x v="6"/>
    <s v="Q3"/>
    <x v="0"/>
    <x v="81"/>
    <s v="KEPL/01521/82-83"/>
    <s v="BEERA BARJEE INTERNATIONAL PVT.LTD"/>
    <x v="34"/>
    <n v="2"/>
    <n v="80"/>
    <n v="74.489999999999995"/>
    <n v="5959.2"/>
    <n v="-458.26"/>
    <n v="0"/>
    <n v="715.12165100000004"/>
    <n v="6216.061651"/>
  </r>
  <r>
    <x v="6"/>
    <s v="Q3"/>
    <x v="0"/>
    <x v="81"/>
    <s v="KEPL/01521/82-83"/>
    <s v="BEERA BARJEE INTERNATIONAL PVT.LTD"/>
    <x v="33"/>
    <n v="3"/>
    <n v="120"/>
    <n v="74.489999999999995"/>
    <n v="8938.8000000000011"/>
    <n v="-687.3900000000001"/>
    <n v="0"/>
    <n v="1072.6824770000001"/>
    <n v="9324.0924770000001"/>
  </r>
  <r>
    <x v="6"/>
    <s v="Q3"/>
    <x v="0"/>
    <x v="81"/>
    <s v="KEPL/01522/82-83"/>
    <s v="DINESH TRADING HOUSE"/>
    <x v="47"/>
    <n v="2"/>
    <n v="80"/>
    <n v="111.74"/>
    <n v="8939.2000000000007"/>
    <n v="-687.42"/>
    <n v="0"/>
    <n v="1072.7295320000001"/>
    <n v="9324.509532"/>
  </r>
  <r>
    <x v="6"/>
    <s v="Q3"/>
    <x v="0"/>
    <x v="81"/>
    <s v="KEPL/01522/82-83"/>
    <s v="DINESH TRADING HOUSE"/>
    <x v="35"/>
    <n v="1"/>
    <n v="60"/>
    <n v="145.26"/>
    <n v="8715.6"/>
    <n v="-670.23"/>
    <n v="0"/>
    <n v="1045.8962779999999"/>
    <n v="9091.2662779999991"/>
  </r>
  <r>
    <x v="6"/>
    <s v="Q3"/>
    <x v="0"/>
    <x v="81"/>
    <s v="KEPL/01522/82-83"/>
    <s v="DINESH TRADING HOUSE"/>
    <x v="13"/>
    <n v="1"/>
    <n v="24"/>
    <n v="141.54"/>
    <n v="3396.96"/>
    <n v="-261.23"/>
    <n v="0"/>
    <n v="407.64418999999998"/>
    <n v="3543.37419"/>
  </r>
  <r>
    <x v="6"/>
    <s v="Q3"/>
    <x v="0"/>
    <x v="81"/>
    <s v="KEPL/01523/82-83"/>
    <s v="MALIKA DISTRIBUTORS NEPAL PVT LTD."/>
    <x v="55"/>
    <n v="3"/>
    <n v="60"/>
    <n v="175.05"/>
    <n v="10503"/>
    <n v="-807.68"/>
    <n v="0"/>
    <n v="1260.390958"/>
    <n v="10955.710958"/>
  </r>
  <r>
    <x v="6"/>
    <s v="Q3"/>
    <x v="0"/>
    <x v="81"/>
    <s v="KEPL/01523/82-83"/>
    <s v="MALIKA DISTRIBUTORS NEPAL PVT LTD."/>
    <x v="60"/>
    <n v="1"/>
    <n v="1000"/>
    <n v="1.86"/>
    <n v="1860"/>
    <n v="-143.03"/>
    <n v="0"/>
    <n v="223.205986"/>
    <n v="1940.175986"/>
  </r>
  <r>
    <x v="6"/>
    <s v="Q3"/>
    <x v="0"/>
    <x v="81"/>
    <s v="KEPL/01523/82-83"/>
    <s v="MALIKA DISTRIBUTORS NEPAL PVT LTD."/>
    <x v="49"/>
    <n v="5"/>
    <n v="75"/>
    <n v="260.72000000000003"/>
    <n v="19554"/>
    <n v="-1503.6999999999998"/>
    <n v="0"/>
    <n v="2346.5378040000001"/>
    <n v="20396.837803999999"/>
  </r>
  <r>
    <x v="6"/>
    <s v="Q3"/>
    <x v="0"/>
    <x v="81"/>
    <s v="KEPL/01523/82-83"/>
    <s v="MALIKA DISTRIBUTORS NEPAL PVT LTD."/>
    <x v="26"/>
    <n v="1"/>
    <n v="18"/>
    <n v="178.78"/>
    <n v="3218.0400000000004"/>
    <n v="-247.47"/>
    <n v="0"/>
    <n v="386.173903"/>
    <n v="3356.743903"/>
  </r>
  <r>
    <x v="6"/>
    <s v="Q3"/>
    <x v="0"/>
    <x v="81"/>
    <s v="KEPL/01523/82-83"/>
    <s v="MALIKA DISTRIBUTORS NEPAL PVT LTD."/>
    <x v="34"/>
    <n v="1"/>
    <n v="40"/>
    <n v="74.489999999999995"/>
    <n v="2979.6"/>
    <n v="-229.13"/>
    <n v="0"/>
    <n v="357.56091799999996"/>
    <n v="3108.0309179999999"/>
  </r>
  <r>
    <x v="6"/>
    <s v="Q3"/>
    <x v="0"/>
    <x v="81"/>
    <s v="KEPL/01523/82-83"/>
    <s v="MALIKA DISTRIBUTORS NEPAL PVT LTD."/>
    <x v="24"/>
    <n v="1"/>
    <n v="18"/>
    <n v="178.78"/>
    <n v="3218.0400000000004"/>
    <n v="-247.47"/>
    <n v="0"/>
    <n v="386.173903"/>
    <n v="3356.743903"/>
  </r>
  <r>
    <x v="6"/>
    <s v="Q3"/>
    <x v="0"/>
    <x v="81"/>
    <s v="KEPL/01523/82-83"/>
    <s v="MALIKA DISTRIBUTORS NEPAL PVT LTD."/>
    <x v="45"/>
    <n v="5"/>
    <n v="75"/>
    <n v="260.72000000000003"/>
    <n v="19554"/>
    <n v="-1503.6999999999998"/>
    <n v="0"/>
    <n v="2346.5378040000001"/>
    <n v="20396.837803999999"/>
  </r>
  <r>
    <x v="6"/>
    <s v="Q3"/>
    <x v="0"/>
    <x v="81"/>
    <s v="KEPL/01523/82-83"/>
    <s v="MALIKA DISTRIBUTORS NEPAL PVT LTD."/>
    <x v="2"/>
    <n v="1"/>
    <n v="18"/>
    <n v="178.78"/>
    <n v="3218.0400000000004"/>
    <n v="-247.47"/>
    <n v="0"/>
    <n v="386.173903"/>
    <n v="3356.743903"/>
  </r>
  <r>
    <x v="6"/>
    <s v="Q3"/>
    <x v="0"/>
    <x v="81"/>
    <s v="KEPL/01523/82-83"/>
    <s v="MALIKA DISTRIBUTORS NEPAL PVT LTD."/>
    <x v="33"/>
    <n v="1"/>
    <n v="40"/>
    <n v="74.489999999999995"/>
    <n v="2979.6"/>
    <n v="-229.13"/>
    <n v="0"/>
    <n v="357.56091799999996"/>
    <n v="3108.0309179999999"/>
  </r>
  <r>
    <x v="6"/>
    <s v="Q3"/>
    <x v="0"/>
    <x v="81"/>
    <s v="KEPL/01523/82-83"/>
    <s v="MALIKA DISTRIBUTORS NEPAL PVT LTD."/>
    <x v="25"/>
    <n v="1"/>
    <n v="18"/>
    <n v="178.78"/>
    <n v="3218.0400000000004"/>
    <n v="-247.47"/>
    <n v="0"/>
    <n v="386.173903"/>
    <n v="3356.743903"/>
  </r>
  <r>
    <x v="6"/>
    <s v="Q3"/>
    <x v="0"/>
    <x v="81"/>
    <s v="KEPL/01524/82-83"/>
    <s v="NAWA ATITHI STORES"/>
    <x v="25"/>
    <n v="1"/>
    <n v="18"/>
    <n v="178.78"/>
    <n v="3218.0400000000004"/>
    <n v="-247.47"/>
    <n v="0"/>
    <n v="386.17441500000001"/>
    <n v="3356.7444150000001"/>
  </r>
  <r>
    <x v="6"/>
    <s v="Q3"/>
    <x v="0"/>
    <x v="81"/>
    <s v="KEPL/01524/82-83"/>
    <s v="NAWA ATITHI STORES"/>
    <x v="56"/>
    <n v="2"/>
    <n v="1600"/>
    <n v="7.46"/>
    <n v="11936"/>
    <n v="-917.88"/>
    <n v="0"/>
    <n v="1432.3567700000001"/>
    <n v="12450.476769999999"/>
  </r>
  <r>
    <x v="6"/>
    <s v="Q3"/>
    <x v="0"/>
    <x v="81"/>
    <s v="KEPL/01524/82-83"/>
    <s v="NAWA ATITHI STORES"/>
    <x v="33"/>
    <n v="2"/>
    <n v="80"/>
    <n v="74.489999999999995"/>
    <n v="5959.2"/>
    <n v="-458.26"/>
    <n v="0"/>
    <n v="715.12278400000002"/>
    <n v="6216.0627839999997"/>
  </r>
  <r>
    <x v="6"/>
    <s v="Q3"/>
    <x v="0"/>
    <x v="81"/>
    <s v="KEPL/01524/82-83"/>
    <s v="NAWA ATITHI STORES"/>
    <x v="2"/>
    <n v="1"/>
    <n v="18"/>
    <n v="178.78"/>
    <n v="3218.0400000000004"/>
    <n v="-247.47"/>
    <n v="0"/>
    <n v="386.17441500000001"/>
    <n v="3356.7444150000001"/>
  </r>
  <r>
    <x v="6"/>
    <s v="Q3"/>
    <x v="0"/>
    <x v="81"/>
    <s v="KEPL/01524/82-83"/>
    <s v="NAWA ATITHI STORES"/>
    <x v="26"/>
    <n v="1"/>
    <n v="18"/>
    <n v="178.78"/>
    <n v="3218.0400000000004"/>
    <n v="-247.47"/>
    <n v="0"/>
    <n v="386.17441500000001"/>
    <n v="3356.7444150000001"/>
  </r>
  <r>
    <x v="6"/>
    <s v="Q3"/>
    <x v="0"/>
    <x v="81"/>
    <s v="KEPL/01524/82-83"/>
    <s v="NAWA ATITHI STORES"/>
    <x v="34"/>
    <n v="2"/>
    <n v="80"/>
    <n v="74.489999999999995"/>
    <n v="5959.2"/>
    <n v="-458.26"/>
    <n v="0"/>
    <n v="715.12278400000002"/>
    <n v="6216.0627839999997"/>
  </r>
  <r>
    <x v="6"/>
    <s v="Q3"/>
    <x v="0"/>
    <x v="81"/>
    <s v="KEPL/01524/82-83"/>
    <s v="NAWA ATITHI STORES"/>
    <x v="24"/>
    <n v="1"/>
    <n v="18"/>
    <n v="178.78"/>
    <n v="3218.0400000000004"/>
    <n v="-247.47"/>
    <n v="0"/>
    <n v="386.17441500000001"/>
    <n v="3356.7444150000001"/>
  </r>
  <r>
    <x v="6"/>
    <s v="Q3"/>
    <x v="0"/>
    <x v="82"/>
    <s v="KEPL/01535/82-83"/>
    <s v="MALIKA DISTRIBUTORS NEPAL PVT LTD."/>
    <x v="60"/>
    <n v="2"/>
    <n v="2000"/>
    <n v="1.86"/>
    <n v="3720"/>
    <n v="-286.07"/>
    <n v="0"/>
    <n v="446.41"/>
    <n v="3880.34"/>
  </r>
  <r>
    <x v="6"/>
    <s v="Q3"/>
    <x v="0"/>
    <x v="83"/>
    <s v="KEPL/01542/82-83"/>
    <s v="ARUNIMA TRADERS"/>
    <x v="12"/>
    <n v="1"/>
    <n v="130"/>
    <n v="37.25"/>
    <n v="4842.5"/>
    <n v="-372.39"/>
    <n v="0"/>
    <n v="581.11406899999997"/>
    <n v="5051.2240689999999"/>
  </r>
  <r>
    <x v="6"/>
    <s v="Q3"/>
    <x v="0"/>
    <x v="83"/>
    <s v="KEPL/01542/82-83"/>
    <s v="ARUNIMA TRADERS"/>
    <x v="27"/>
    <n v="1"/>
    <n v="70"/>
    <n v="37.25"/>
    <n v="2607.5"/>
    <n v="-200.52"/>
    <n v="0"/>
    <n v="312.90727500000003"/>
    <n v="2719.887275"/>
  </r>
  <r>
    <x v="6"/>
    <s v="Q3"/>
    <x v="0"/>
    <x v="83"/>
    <s v="KEPL/01542/82-83"/>
    <s v="ARUNIMA TRADERS"/>
    <x v="47"/>
    <n v="2"/>
    <n v="80"/>
    <n v="111.74"/>
    <n v="8939.2000000000007"/>
    <n v="-687.42"/>
    <n v="0"/>
    <n v="1072.7309729999999"/>
    <n v="9324.5109730000004"/>
  </r>
  <r>
    <x v="6"/>
    <s v="Q3"/>
    <x v="0"/>
    <x v="83"/>
    <s v="KEPL/01542/82-83"/>
    <s v="ARUNIMA TRADERS"/>
    <x v="35"/>
    <n v="1"/>
    <n v="60"/>
    <n v="145.26"/>
    <n v="8715.6"/>
    <n v="-670.23"/>
    <n v="0"/>
    <n v="1045.8976829999999"/>
    <n v="9091.267683"/>
  </r>
  <r>
    <x v="6"/>
    <s v="Q3"/>
    <x v="0"/>
    <x v="83"/>
    <s v="KEPL/01544/82-83"/>
    <s v="SHUBHASHREE MARKETING"/>
    <x v="52"/>
    <n v="10"/>
    <n v="40"/>
    <n v="595.92999999999995"/>
    <n v="23837.200000000001"/>
    <n v="-1833.08"/>
    <n v="0"/>
    <n v="2860.536881"/>
    <n v="24864.656880999999"/>
  </r>
  <r>
    <x v="6"/>
    <s v="Q3"/>
    <x v="0"/>
    <x v="83"/>
    <s v="KEPL/01544/82-83"/>
    <s v="SHUBHASHREE MARKETING"/>
    <x v="31"/>
    <n v="2"/>
    <n v="120"/>
    <n v="111.74"/>
    <n v="13408.8"/>
    <n v="-1031.1400000000001"/>
    <n v="0"/>
    <n v="1609.0965209999999"/>
    <n v="13986.756520999999"/>
  </r>
  <r>
    <x v="6"/>
    <s v="Q3"/>
    <x v="0"/>
    <x v="83"/>
    <s v="KEPL/01544/82-83"/>
    <s v="SHUBHASHREE MARKETING"/>
    <x v="49"/>
    <n v="5"/>
    <n v="75"/>
    <n v="260.72000000000003"/>
    <n v="19554"/>
    <n v="-1503.6999999999998"/>
    <n v="0"/>
    <n v="2346.5400509999999"/>
    <n v="20396.840050999999"/>
  </r>
  <r>
    <x v="6"/>
    <s v="Q3"/>
    <x v="0"/>
    <x v="83"/>
    <s v="KEPL/01544/82-83"/>
    <s v="SHUBHASHREE MARKETING"/>
    <x v="13"/>
    <n v="3"/>
    <n v="72"/>
    <n v="141.54"/>
    <n v="10190.879999999999"/>
    <n v="-783.68"/>
    <n v="0"/>
    <n v="1222.9365480000001"/>
    <n v="10630.136548"/>
  </r>
  <r>
    <x v="6"/>
    <s v="Q3"/>
    <x v="0"/>
    <x v="83"/>
    <s v="KEPL/01550/82-83"/>
    <s v="MALIKA DISTRIBUTORS NEPAL PVT LTD."/>
    <x v="53"/>
    <n v="0.85"/>
    <n v="34"/>
    <n v="81.94"/>
    <n v="2785.9599999999996"/>
    <n v="-214.24"/>
    <n v="0"/>
    <n v="334.32350700000001"/>
    <n v="2906.0435069999999"/>
  </r>
  <r>
    <x v="6"/>
    <s v="Q3"/>
    <x v="0"/>
    <x v="83"/>
    <s v="KEPL/01550/82-83"/>
    <s v="MALIKA DISTRIBUTORS NEPAL PVT LTD."/>
    <x v="12"/>
    <n v="0.78"/>
    <n v="101"/>
    <n v="37.25"/>
    <n v="3762.25"/>
    <n v="-289.32"/>
    <n v="0"/>
    <n v="451.48077499999999"/>
    <n v="3924.4107749999998"/>
  </r>
  <r>
    <x v="6"/>
    <s v="Q3"/>
    <x v="0"/>
    <x v="83"/>
    <s v="KEPL/01550/82-83"/>
    <s v="MALIKA DISTRIBUTORS NEPAL PVT LTD."/>
    <x v="3"/>
    <n v="0.1"/>
    <n v="2"/>
    <n v="186.23"/>
    <n v="372.46"/>
    <n v="-28.64"/>
    <n v="0"/>
    <n v="44.696587999999998"/>
    <n v="388.51658800000001"/>
  </r>
  <r>
    <x v="6"/>
    <s v="Q3"/>
    <x v="0"/>
    <x v="83"/>
    <s v="KEPL/01550/82-83"/>
    <s v="MALIKA DISTRIBUTORS NEPAL PVT LTD."/>
    <x v="34"/>
    <n v="0.33"/>
    <n v="13"/>
    <n v="67.040000000000006"/>
    <n v="871.52"/>
    <n v="-67.02"/>
    <n v="0"/>
    <n v="104.58497100000001"/>
    <n v="909.084971"/>
  </r>
  <r>
    <x v="6"/>
    <s v="Q3"/>
    <x v="0"/>
    <x v="83"/>
    <s v="KEPL/01550/82-83"/>
    <s v="MALIKA DISTRIBUTORS NEPAL PVT LTD."/>
    <x v="57"/>
    <n v="0.3"/>
    <n v="12"/>
    <n v="111.74"/>
    <n v="1340.88"/>
    <n v="-103.11"/>
    <n v="0"/>
    <n v="160.910055"/>
    <n v="1398.680055"/>
  </r>
  <r>
    <x v="6"/>
    <s v="Q3"/>
    <x v="0"/>
    <x v="83"/>
    <s v="KEPL/01550/82-83"/>
    <s v="MALIKA DISTRIBUTORS NEPAL PVT LTD."/>
    <x v="41"/>
    <n v="0.08"/>
    <n v="3"/>
    <n v="67.040000000000006"/>
    <n v="201.12"/>
    <n v="-15.47"/>
    <n v="0"/>
    <n v="24.134492999999999"/>
    <n v="209.784493"/>
  </r>
  <r>
    <x v="6"/>
    <s v="Q3"/>
    <x v="0"/>
    <x v="83"/>
    <s v="KEPL/01550/82-83"/>
    <s v="MALIKA DISTRIBUTORS NEPAL PVT LTD."/>
    <x v="39"/>
    <n v="1.7"/>
    <n v="34"/>
    <n v="249.55"/>
    <n v="8484.6999999999989"/>
    <n v="-652.47"/>
    <n v="0"/>
    <n v="1018.1896180000001"/>
    <n v="8850.4196179999999"/>
  </r>
  <r>
    <x v="6"/>
    <s v="Q3"/>
    <x v="0"/>
    <x v="83"/>
    <s v="KEPL/01550/82-83"/>
    <s v="MALIKA DISTRIBUTORS NEPAL PVT LTD."/>
    <x v="47"/>
    <n v="1.1000000000000001"/>
    <n v="44"/>
    <n v="111.74"/>
    <n v="4916.5599999999995"/>
    <n v="-378.08"/>
    <n v="0"/>
    <n v="590.00223600000004"/>
    <n v="5128.4822359999998"/>
  </r>
  <r>
    <x v="6"/>
    <s v="Q3"/>
    <x v="0"/>
    <x v="83"/>
    <s v="KEPL/01550/82-83"/>
    <s v="MALIKA DISTRIBUTORS NEPAL PVT LTD."/>
    <x v="46"/>
    <n v="0.7"/>
    <n v="14"/>
    <n v="175.05"/>
    <n v="2450.7000000000003"/>
    <n v="-188.46"/>
    <n v="0"/>
    <n v="294.09111799999999"/>
    <n v="2556.3311180000001"/>
  </r>
  <r>
    <x v="6"/>
    <s v="Q3"/>
    <x v="0"/>
    <x v="83"/>
    <s v="KEPL/01550/82-83"/>
    <s v="MALIKA DISTRIBUTORS NEPAL PVT LTD."/>
    <x v="45"/>
    <n v="0.67"/>
    <n v="10"/>
    <n v="260.72000000000003"/>
    <n v="2607.1999999999998"/>
    <n v="-200.49"/>
    <n v="0"/>
    <n v="312.87221299999999"/>
    <n v="2719.5822130000001"/>
  </r>
  <r>
    <x v="6"/>
    <s v="Q3"/>
    <x v="0"/>
    <x v="83"/>
    <s v="KEPL/01550/82-83"/>
    <s v="MALIKA DISTRIBUTORS NEPAL PVT LTD."/>
    <x v="35"/>
    <n v="0.75"/>
    <n v="45"/>
    <n v="145.26"/>
    <n v="6536.7"/>
    <n v="-502.67"/>
    <n v="0"/>
    <n v="784.4236830000001"/>
    <n v="6818.4536829999997"/>
  </r>
  <r>
    <x v="6"/>
    <s v="Q3"/>
    <x v="0"/>
    <x v="83"/>
    <s v="KEPL/01550/82-83"/>
    <s v="MALIKA DISTRIBUTORS NEPAL PVT LTD."/>
    <x v="4"/>
    <n v="0.5"/>
    <n v="10"/>
    <n v="175.05"/>
    <n v="1750.4999999999998"/>
    <n v="-134.61000000000001"/>
    <n v="0"/>
    <n v="210.065642"/>
    <n v="1825.9556419999999"/>
  </r>
  <r>
    <x v="6"/>
    <s v="Q3"/>
    <x v="0"/>
    <x v="83"/>
    <s v="KEPL/01550/82-83"/>
    <s v="MALIKA DISTRIBUTORS NEPAL PVT LTD."/>
    <x v="37"/>
    <n v="0.85"/>
    <n v="34"/>
    <n v="81.94"/>
    <n v="2785.9599999999996"/>
    <n v="-214.24"/>
    <n v="0"/>
    <n v="334.32350700000001"/>
    <n v="2906.0435069999999"/>
  </r>
  <r>
    <x v="6"/>
    <s v="Q3"/>
    <x v="0"/>
    <x v="83"/>
    <s v="KEPL/01550/82-83"/>
    <s v="MALIKA DISTRIBUTORS NEPAL PVT LTD."/>
    <x v="56"/>
    <n v="0.64"/>
    <n v="510"/>
    <n v="7.45"/>
    <n v="3799.5"/>
    <n v="-292.18"/>
    <n v="0"/>
    <n v="455.95147400000002"/>
    <n v="3963.2714740000001"/>
  </r>
  <r>
    <x v="6"/>
    <s v="Q3"/>
    <x v="0"/>
    <x v="83"/>
    <s v="KEPL/01550/82-83"/>
    <s v="MALIKA DISTRIBUTORS NEPAL PVT LTD."/>
    <x v="58"/>
    <n v="0.45"/>
    <n v="18"/>
    <n v="111.74"/>
    <n v="2011.32"/>
    <n v="-154.66999999999999"/>
    <n v="0"/>
    <n v="241.36443299999999"/>
    <n v="2098.0144329999998"/>
  </r>
  <r>
    <x v="6"/>
    <s v="Q3"/>
    <x v="0"/>
    <x v="83"/>
    <s v="KEPL/01550/82-83"/>
    <s v="MALIKA DISTRIBUTORS NEPAL PVT LTD."/>
    <x v="36"/>
    <n v="0.23"/>
    <n v="9"/>
    <n v="81.94"/>
    <n v="737.46"/>
    <n v="-56.71"/>
    <n v="0"/>
    <n v="88.497475000000009"/>
    <n v="769.24747500000001"/>
  </r>
  <r>
    <x v="6"/>
    <s v="Q3"/>
    <x v="0"/>
    <x v="83"/>
    <s v="KEPL/01550/82-83"/>
    <s v="MALIKA DISTRIBUTORS NEPAL PVT LTD."/>
    <x v="58"/>
    <n v="0.23"/>
    <n v="9"/>
    <n v="175.05"/>
    <n v="1575.45"/>
    <n v="-121.15"/>
    <n v="0"/>
    <n v="189.05894799999999"/>
    <n v="1643.3589480000001"/>
  </r>
  <r>
    <x v="6"/>
    <s v="Q3"/>
    <x v="0"/>
    <x v="83"/>
    <s v="KEPL/01550/82-83"/>
    <s v="MALIKA DISTRIBUTORS NEPAL PVT LTD."/>
    <x v="42"/>
    <n v="1.7"/>
    <n v="51"/>
    <n v="316.58999999999997"/>
    <n v="16146.09"/>
    <n v="-1241.6300000000001"/>
    <n v="0"/>
    <n v="1937.5792630000001"/>
    <n v="16842.039262999999"/>
  </r>
  <r>
    <x v="6"/>
    <s v="Q3"/>
    <x v="0"/>
    <x v="83"/>
    <s v="KESR/0037/82-83"/>
    <s v="SAKSHAM ENTERPRISES"/>
    <x v="4"/>
    <n v="-0.5"/>
    <n v="-10"/>
    <n v="175.05"/>
    <n v="-1750.4999999999998"/>
    <n v="134.57"/>
    <n v="0"/>
    <n v="-210.07076700000002"/>
    <n v="-1826.000767"/>
  </r>
  <r>
    <x v="6"/>
    <s v="Q3"/>
    <x v="0"/>
    <x v="83"/>
    <s v="KESR/0037/82-83"/>
    <s v="SAKSHAM ENTERPRISES"/>
    <x v="45"/>
    <n v="-0.67"/>
    <n v="-10"/>
    <n v="260.72000000000003"/>
    <n v="-2607.1999999999998"/>
    <n v="200.5"/>
    <n v="0"/>
    <n v="-312.87080199999997"/>
    <n v="-2719.5708020000002"/>
  </r>
  <r>
    <x v="6"/>
    <s v="Q3"/>
    <x v="0"/>
    <x v="83"/>
    <s v="KESR/0037/82-83"/>
    <s v="SAKSHAM ENTERPRISES"/>
    <x v="35"/>
    <n v="-0.75"/>
    <n v="-45"/>
    <n v="145.26"/>
    <n v="-6536.7"/>
    <n v="502.76"/>
    <n v="0"/>
    <n v="-784.41170299999999"/>
    <n v="-6818.3517030000003"/>
  </r>
  <r>
    <x v="6"/>
    <s v="Q3"/>
    <x v="0"/>
    <x v="83"/>
    <s v="KESR/0037/82-83"/>
    <s v="SAKSHAM ENTERPRISES"/>
    <x v="42"/>
    <n v="-1.7"/>
    <n v="-51"/>
    <n v="316.58999999999997"/>
    <n v="-16146.09"/>
    <n v="1241.7400000000002"/>
    <n v="0"/>
    <n v="-1937.5642720000001"/>
    <n v="-16841.914272000002"/>
  </r>
  <r>
    <x v="6"/>
    <s v="Q3"/>
    <x v="0"/>
    <x v="83"/>
    <s v="KESR/0037/82-83"/>
    <s v="SAKSHAM ENTERPRISES"/>
    <x v="34"/>
    <n v="-0.33"/>
    <n v="-13"/>
    <n v="67.040000000000006"/>
    <n v="-871.52"/>
    <n v="66.989999999999995"/>
    <n v="0"/>
    <n v="-104.58883399999999"/>
    <n v="-909.11883399999999"/>
  </r>
  <r>
    <x v="6"/>
    <s v="Q3"/>
    <x v="0"/>
    <x v="83"/>
    <s v="KESR/0037/82-83"/>
    <s v="SAKSHAM ENTERPRISES"/>
    <x v="39"/>
    <n v="-1.7"/>
    <n v="-34"/>
    <n v="249.55"/>
    <n v="-8484.6999999999989"/>
    <n v="652.6099999999999"/>
    <n v="0"/>
    <n v="-1018.171055"/>
    <n v="-8850.2610550000009"/>
  </r>
  <r>
    <x v="6"/>
    <s v="Q3"/>
    <x v="0"/>
    <x v="83"/>
    <s v="KESR/0037/82-83"/>
    <s v="SAKSHAM ENTERPRISES"/>
    <x v="47"/>
    <n v="-1.1000000000000001"/>
    <n v="-44"/>
    <n v="111.74"/>
    <n v="-4916.5599999999995"/>
    <n v="378.21"/>
    <n v="0"/>
    <n v="-589.98512599999992"/>
    <n v="-5128.3351259999999"/>
  </r>
  <r>
    <x v="6"/>
    <s v="Q3"/>
    <x v="0"/>
    <x v="83"/>
    <s v="KESR/0037/82-83"/>
    <s v="SAKSHAM ENTERPRISES"/>
    <x v="56"/>
    <n v="-0.64"/>
    <n v="-510"/>
    <n v="7.45"/>
    <n v="-3799.5"/>
    <n v="292.58999999999997"/>
    <n v="0"/>
    <n v="-455.898011"/>
    <n v="-3962.8080110000001"/>
  </r>
  <r>
    <x v="6"/>
    <s v="Q3"/>
    <x v="0"/>
    <x v="83"/>
    <s v="KESR/0037/82-83"/>
    <s v="SAKSHAM ENTERPRISES"/>
    <x v="36"/>
    <n v="-0.23"/>
    <n v="-9"/>
    <n v="81.94"/>
    <n v="-737.46"/>
    <n v="56.71"/>
    <n v="0"/>
    <n v="-88.497444000000002"/>
    <n v="-769.24744399999997"/>
  </r>
  <r>
    <x v="6"/>
    <s v="Q3"/>
    <x v="0"/>
    <x v="83"/>
    <s v="KESR/0037/82-83"/>
    <s v="SAKSHAM ENTERPRISES"/>
    <x v="12"/>
    <n v="-0.78"/>
    <n v="-101"/>
    <n v="37.25"/>
    <n v="-3762.25"/>
    <n v="289.73"/>
    <n v="0"/>
    <n v="-451.42731399999997"/>
    <n v="-3923.947314"/>
  </r>
  <r>
    <x v="6"/>
    <s v="Q3"/>
    <x v="0"/>
    <x v="83"/>
    <s v="KESR/0037/82-83"/>
    <s v="SAKSHAM ENTERPRISES"/>
    <x v="3"/>
    <n v="-0.1"/>
    <n v="-2"/>
    <n v="186.23"/>
    <n v="-372.46"/>
    <n v="28.65"/>
    <n v="0"/>
    <n v="-44.695272000000003"/>
    <n v="-388.50527199999999"/>
  </r>
  <r>
    <x v="6"/>
    <s v="Q3"/>
    <x v="0"/>
    <x v="83"/>
    <s v="KESR/0037/82-83"/>
    <s v="SAKSHAM ENTERPRISES"/>
    <x v="41"/>
    <n v="-0.08"/>
    <n v="-3"/>
    <n v="67.040000000000006"/>
    <n v="-201.12"/>
    <n v="15.46"/>
    <n v="0"/>
    <n v="-24.135784999999998"/>
    <n v="-209.795785"/>
  </r>
  <r>
    <x v="6"/>
    <s v="Q3"/>
    <x v="0"/>
    <x v="83"/>
    <s v="KESR/0037/82-83"/>
    <s v="SAKSHAM ENTERPRISES"/>
    <x v="57"/>
    <n v="-0.3"/>
    <n v="-12"/>
    <n v="111.74"/>
    <n v="-1340.88"/>
    <n v="103.15"/>
    <n v="0"/>
    <n v="-160.904798"/>
    <n v="-1398.634798"/>
  </r>
  <r>
    <x v="6"/>
    <s v="Q3"/>
    <x v="0"/>
    <x v="83"/>
    <s v="KESR/0037/82-83"/>
    <s v="SAKSHAM ENTERPRISES"/>
    <x v="58"/>
    <n v="-0.23"/>
    <n v="-9"/>
    <n v="175.05"/>
    <n v="-1575.45"/>
    <n v="121.12"/>
    <n v="0"/>
    <n v="-189.06278"/>
    <n v="-1643.3927799999999"/>
  </r>
  <r>
    <x v="6"/>
    <s v="Q3"/>
    <x v="0"/>
    <x v="83"/>
    <s v="KESR/0037/82-83"/>
    <s v="SAKSHAM ENTERPRISES"/>
    <x v="53"/>
    <n v="-0.85"/>
    <n v="-34"/>
    <n v="81.94"/>
    <n v="-2785.9599999999996"/>
    <n v="214.23"/>
    <n v="0"/>
    <n v="-334.32468799999998"/>
    <n v="-2906.0546880000002"/>
  </r>
  <r>
    <x v="6"/>
    <s v="Q3"/>
    <x v="0"/>
    <x v="83"/>
    <s v="KESR/0037/82-83"/>
    <s v="SAKSHAM ENTERPRISES"/>
    <x v="37"/>
    <n v="-0.85"/>
    <n v="-34"/>
    <n v="81.94"/>
    <n v="-2785.9599999999996"/>
    <n v="214.23"/>
    <n v="0"/>
    <n v="-334.32468799999998"/>
    <n v="-2906.0546880000002"/>
  </r>
  <r>
    <x v="6"/>
    <s v="Q3"/>
    <x v="0"/>
    <x v="83"/>
    <s v="KESR/0037/82-83"/>
    <s v="SAKSHAM ENTERPRISES"/>
    <x v="58"/>
    <n v="-0.45"/>
    <n v="-18"/>
    <n v="111.74"/>
    <n v="-2011.32"/>
    <n v="154.72"/>
    <n v="0"/>
    <n v="-241.35784699999999"/>
    <n v="-2097.9578470000001"/>
  </r>
  <r>
    <x v="6"/>
    <s v="Q3"/>
    <x v="0"/>
    <x v="83"/>
    <s v="KESR/0037/82-83"/>
    <s v="SAKSHAM ENTERPRISES"/>
    <x v="46"/>
    <n v="-0.7"/>
    <n v="-14"/>
    <n v="175.05"/>
    <n v="-2450.7000000000003"/>
    <n v="188.4"/>
    <n v="0"/>
    <n v="-294.098814"/>
    <n v="-2556.3988140000001"/>
  </r>
  <r>
    <x v="6"/>
    <s v="Q3"/>
    <x v="0"/>
    <x v="84"/>
    <s v="KEPL/01556/82-83"/>
    <s v="MEGA MART PVT.LTD"/>
    <x v="33"/>
    <n v="7"/>
    <n v="280"/>
    <n v="66.37"/>
    <n v="18583.600000000002"/>
    <n v="0"/>
    <n v="0"/>
    <n v="2415.8689640000002"/>
    <n v="20999.468964"/>
  </r>
  <r>
    <x v="6"/>
    <s v="Q3"/>
    <x v="0"/>
    <x v="84"/>
    <s v="KEPL/01556/82-83"/>
    <s v="MEGA MART PVT.LTD"/>
    <x v="55"/>
    <n v="4.2"/>
    <n v="84"/>
    <n v="155.97"/>
    <n v="13101.48"/>
    <n v="0"/>
    <n v="0"/>
    <n v="1703.1930790000001"/>
    <n v="14804.673079"/>
  </r>
  <r>
    <x v="6"/>
    <s v="Q3"/>
    <x v="0"/>
    <x v="84"/>
    <s v="KEPL/01556/82-83"/>
    <s v="MEGA MART PVT.LTD"/>
    <x v="42"/>
    <n v="2"/>
    <n v="60"/>
    <n v="282.08"/>
    <n v="16924.8"/>
    <n v="0"/>
    <n v="0"/>
    <n v="2200.224878"/>
    <n v="19125.024878"/>
  </r>
  <r>
    <x v="6"/>
    <s v="Q3"/>
    <x v="0"/>
    <x v="84"/>
    <s v="KEPL/01556/82-83"/>
    <s v="MEGA MART PVT.LTD"/>
    <x v="46"/>
    <n v="4.2"/>
    <n v="84"/>
    <n v="155.97"/>
    <n v="13101.48"/>
    <n v="0"/>
    <n v="0"/>
    <n v="1703.1930790000001"/>
    <n v="14804.673079"/>
  </r>
  <r>
    <x v="6"/>
    <s v="Q3"/>
    <x v="0"/>
    <x v="84"/>
    <s v="KEPL/01557/82-83"/>
    <s v="SIMPEX SOLUTION PVT. LTD"/>
    <x v="44"/>
    <n v="0.21"/>
    <n v="5"/>
    <n v="176.99"/>
    <n v="884.95"/>
    <n v="0"/>
    <n v="0"/>
    <n v="115.04"/>
    <n v="999.99"/>
  </r>
  <r>
    <x v="6"/>
    <s v="Q3"/>
    <x v="0"/>
    <x v="85"/>
    <s v="KEPL/01561/82-83"/>
    <s v="BHAT BHATENI SUPERMARKET &amp; DEPARTMENTAL STORE PVT. LTD."/>
    <x v="30"/>
    <n v="3.65"/>
    <n v="73"/>
    <n v="212.83"/>
    <n v="15536.59"/>
    <n v="0"/>
    <n v="0"/>
    <n v="2019.7560659999999"/>
    <n v="17556.346065999998"/>
  </r>
  <r>
    <x v="6"/>
    <s v="Q3"/>
    <x v="0"/>
    <x v="85"/>
    <s v="KEPL/01561/82-83"/>
    <s v="BHAT BHATENI SUPERMARKET &amp; DEPARTMENTAL STORE PVT. LTD."/>
    <x v="61"/>
    <n v="0.32"/>
    <n v="16"/>
    <n v="72.040000000000006"/>
    <n v="1152.6400000000001"/>
    <n v="0"/>
    <n v="0"/>
    <n v="149.843153"/>
    <n v="1302.4831529999999"/>
  </r>
  <r>
    <x v="6"/>
    <s v="Q3"/>
    <x v="0"/>
    <x v="85"/>
    <s v="KEPL/01561/82-83"/>
    <s v="BHAT BHATENI SUPERMARKET &amp; DEPARTMENTAL STORE PVT. LTD."/>
    <x v="37"/>
    <n v="3.5"/>
    <n v="140"/>
    <n v="72.040000000000006"/>
    <n v="10085.6"/>
    <n v="0"/>
    <n v="0"/>
    <n v="1311.1275880000001"/>
    <n v="11396.727588"/>
  </r>
  <r>
    <x v="6"/>
    <s v="Q3"/>
    <x v="0"/>
    <x v="85"/>
    <s v="KEPL/01561/82-83"/>
    <s v="BHAT BHATENI SUPERMARKET &amp; DEPARTMENTAL STORE PVT. LTD."/>
    <x v="44"/>
    <n v="0.21"/>
    <n v="5"/>
    <n v="117.88"/>
    <n v="589.4"/>
    <n v="0"/>
    <n v="0"/>
    <n v="76.621976000000004"/>
    <n v="666.021976"/>
  </r>
  <r>
    <x v="6"/>
    <s v="Q3"/>
    <x v="0"/>
    <x v="85"/>
    <s v="KEPL/01561/82-83"/>
    <s v="BHAT BHATENI SUPERMARKET &amp; DEPARTMENTAL STORE PVT. LTD."/>
    <x v="41"/>
    <n v="0.08"/>
    <n v="3"/>
    <n v="65.489999999999995"/>
    <n v="196.47"/>
    <n v="0"/>
    <n v="0"/>
    <n v="25.541091999999999"/>
    <n v="222.01109199999999"/>
  </r>
  <r>
    <x v="6"/>
    <s v="Q3"/>
    <x v="0"/>
    <x v="85"/>
    <s v="KEPL/01561/82-83"/>
    <s v="BHAT BHATENI SUPERMARKET &amp; DEPARTMENTAL STORE PVT. LTD."/>
    <x v="11"/>
    <n v="0.75"/>
    <n v="15"/>
    <n v="163.72"/>
    <n v="2455.8000000000002"/>
    <n v="0"/>
    <n v="0"/>
    <n v="319.25390000000004"/>
    <n v="2775.0538999999999"/>
  </r>
  <r>
    <x v="6"/>
    <s v="Q3"/>
    <x v="0"/>
    <x v="85"/>
    <s v="KEPL/01561/82-83"/>
    <s v="BHAT BHATENI SUPERMARKET &amp; DEPARTMENTAL STORE PVT. LTD."/>
    <x v="4"/>
    <n v="2.15"/>
    <n v="43"/>
    <n v="150.62"/>
    <n v="6476.66"/>
    <n v="0"/>
    <n v="0"/>
    <n v="841.96553600000004"/>
    <n v="7318.6255359999996"/>
  </r>
  <r>
    <x v="6"/>
    <s v="Q3"/>
    <x v="0"/>
    <x v="85"/>
    <s v="KEPL/01561/82-83"/>
    <s v="BHAT BHATENI SUPERMARKET &amp; DEPARTMENTAL STORE PVT. LTD."/>
    <x v="13"/>
    <n v="1.17"/>
    <n v="28"/>
    <n v="124.42"/>
    <n v="3483.76"/>
    <n v="0"/>
    <n v="0"/>
    <n v="452.88865799999996"/>
    <n v="3936.6486580000001"/>
  </r>
  <r>
    <x v="6"/>
    <s v="Q3"/>
    <x v="0"/>
    <x v="85"/>
    <s v="KEPL/01561/82-83"/>
    <s v="BHAT BHATENI SUPERMARKET &amp; DEPARTMENTAL STORE PVT. LTD."/>
    <x v="17"/>
    <n v="0.45"/>
    <n v="9"/>
    <n v="163.72"/>
    <n v="1473.48"/>
    <n v="0"/>
    <n v="0"/>
    <n v="191.55233999999999"/>
    <n v="1665.03234"/>
  </r>
  <r>
    <x v="6"/>
    <s v="Q3"/>
    <x v="0"/>
    <x v="85"/>
    <s v="KEPL/01561/82-83"/>
    <s v="BHAT BHATENI SUPERMARKET &amp; DEPARTMENTAL STORE PVT. LTD."/>
    <x v="16"/>
    <n v="2.5499999999999998"/>
    <n v="51"/>
    <n v="163.72"/>
    <n v="8349.7200000000012"/>
    <n v="0"/>
    <n v="0"/>
    <n v="1085.4632589999999"/>
    <n v="9435.1832589999995"/>
  </r>
  <r>
    <x v="6"/>
    <s v="Q3"/>
    <x v="0"/>
    <x v="85"/>
    <s v="KEPL/01561/82-83"/>
    <s v="BHAT BHATENI SUPERMARKET &amp; DEPARTMENTAL STORE PVT. LTD."/>
    <x v="62"/>
    <n v="1.25"/>
    <n v="25"/>
    <n v="212.83"/>
    <n v="5320.75"/>
    <n v="0"/>
    <n v="0"/>
    <n v="691.69728300000008"/>
    <n v="6012.4472830000004"/>
  </r>
  <r>
    <x v="6"/>
    <s v="Q3"/>
    <x v="0"/>
    <x v="85"/>
    <s v="KEPL/01561/82-83"/>
    <s v="BHAT BHATENI SUPERMARKET &amp; DEPARTMENTAL STORE PVT. LTD."/>
    <x v="6"/>
    <n v="2.88"/>
    <n v="115"/>
    <n v="98.23"/>
    <n v="11296.449999999999"/>
    <n v="0"/>
    <n v="0"/>
    <n v="1468.538039"/>
    <n v="12764.988039"/>
  </r>
  <r>
    <x v="6"/>
    <s v="Q3"/>
    <x v="0"/>
    <x v="85"/>
    <s v="KEPL/01561/82-83"/>
    <s v="BHAT BHATENI SUPERMARKET &amp; DEPARTMENTAL STORE PVT. LTD."/>
    <x v="19"/>
    <n v="2.33"/>
    <n v="93"/>
    <n v="72.040000000000006"/>
    <n v="6699.7199999999993"/>
    <n v="0"/>
    <n v="0"/>
    <n v="870.96332600000005"/>
    <n v="7570.6833260000003"/>
  </r>
  <r>
    <x v="6"/>
    <s v="Q3"/>
    <x v="0"/>
    <x v="85"/>
    <s v="KEPL/01561/82-83"/>
    <s v="BHAT BHATENI SUPERMARKET &amp; DEPARTMENTAL STORE PVT. LTD."/>
    <x v="28"/>
    <n v="0.35"/>
    <n v="7"/>
    <n v="163.72"/>
    <n v="1146.04"/>
    <n v="0"/>
    <n v="0"/>
    <n v="148.985153"/>
    <n v="1295.025153"/>
  </r>
  <r>
    <x v="6"/>
    <s v="Q3"/>
    <x v="0"/>
    <x v="85"/>
    <s v="KEPL/01561/82-83"/>
    <s v="BHAT BHATENI SUPERMARKET &amp; DEPARTMENTAL STORE PVT. LTD."/>
    <x v="1"/>
    <n v="1.93"/>
    <n v="77"/>
    <n v="98.23"/>
    <n v="7563.71"/>
    <n v="0"/>
    <n v="0"/>
    <n v="983.28199100000006"/>
    <n v="8546.9919910000008"/>
  </r>
  <r>
    <x v="6"/>
    <s v="Q3"/>
    <x v="0"/>
    <x v="85"/>
    <s v="KEPL/01561/82-83"/>
    <s v="BHAT BHATENI SUPERMARKET &amp; DEPARTMENTAL STORE PVT. LTD."/>
    <x v="36"/>
    <n v="1.35"/>
    <n v="54"/>
    <n v="72.040000000000006"/>
    <n v="3890.16"/>
    <n v="0"/>
    <n v="0"/>
    <n v="505.720641"/>
    <n v="4395.8806409999997"/>
  </r>
  <r>
    <x v="6"/>
    <s v="Q3"/>
    <x v="0"/>
    <x v="85"/>
    <s v="KEPL/01564/82-83"/>
    <s v="DINESH TRADING HOUSE"/>
    <x v="47"/>
    <n v="3"/>
    <n v="120"/>
    <n v="111.74"/>
    <n v="13408.8"/>
    <n v="-1031.1400000000001"/>
    <n v="0"/>
    <n v="1609.096014"/>
    <n v="13986.756014000001"/>
  </r>
  <r>
    <x v="6"/>
    <s v="Q3"/>
    <x v="0"/>
    <x v="85"/>
    <s v="KEPL/01564/82-83"/>
    <s v="DINESH TRADING HOUSE"/>
    <x v="36"/>
    <n v="1"/>
    <n v="40"/>
    <n v="81.94"/>
    <n v="3277.6"/>
    <n v="-252.05"/>
    <n v="0"/>
    <n v="393.321552"/>
    <n v="3418.8715520000001"/>
  </r>
  <r>
    <x v="6"/>
    <s v="Q3"/>
    <x v="0"/>
    <x v="85"/>
    <s v="KEPL/01564/82-83"/>
    <s v="DINESH TRADING HOUSE"/>
    <x v="12"/>
    <n v="1"/>
    <n v="130"/>
    <n v="37.25"/>
    <n v="4842.5"/>
    <n v="-372.39"/>
    <n v="0"/>
    <n v="581.11437699999999"/>
    <n v="5051.2243769999995"/>
  </r>
  <r>
    <x v="6"/>
    <s v="Q3"/>
    <x v="0"/>
    <x v="85"/>
    <s v="KEPL/01564/82-83"/>
    <s v="DINESH TRADING HOUSE"/>
    <x v="42"/>
    <n v="1"/>
    <n v="30"/>
    <n v="316.58999999999997"/>
    <n v="9497.6999999999989"/>
    <n v="-730.36999999999989"/>
    <n v="0"/>
    <n v="1139.753052"/>
    <n v="9907.083052"/>
  </r>
  <r>
    <x v="6"/>
    <s v="Q3"/>
    <x v="0"/>
    <x v="85"/>
    <s v="KEPL/01564/82-83"/>
    <s v="DINESH TRADING HOUSE"/>
    <x v="27"/>
    <n v="10"/>
    <n v="700"/>
    <n v="37.25"/>
    <n v="26075"/>
    <n v="-2005.1699999999998"/>
    <n v="0"/>
    <n v="3129.0783160000001"/>
    <n v="27198.908316000001"/>
  </r>
  <r>
    <x v="6"/>
    <s v="Q3"/>
    <x v="0"/>
    <x v="85"/>
    <s v="KEPL/01564/82-83"/>
    <s v="DINESH TRADING HOUSE"/>
    <x v="50"/>
    <n v="1"/>
    <n v="240"/>
    <n v="14.9"/>
    <n v="3576"/>
    <n v="-274.99"/>
    <n v="0"/>
    <n v="429.13135700000004"/>
    <n v="3730.141357"/>
  </r>
  <r>
    <x v="6"/>
    <s v="Q3"/>
    <x v="0"/>
    <x v="85"/>
    <s v="KEPL/01564/82-83"/>
    <s v="DINESH TRADING HOUSE"/>
    <x v="51"/>
    <n v="1"/>
    <n v="50"/>
    <n v="89.39"/>
    <n v="4469.5"/>
    <n v="-343.7"/>
    <n v="0"/>
    <n v="536.35407099999998"/>
    <n v="4662.1540709999999"/>
  </r>
  <r>
    <x v="6"/>
    <s v="Q3"/>
    <x v="0"/>
    <x v="85"/>
    <s v="KEPL/01564/82-83"/>
    <s v="DINESH TRADING HOUSE"/>
    <x v="52"/>
    <n v="15"/>
    <n v="60"/>
    <n v="595.94000000000005"/>
    <n v="35756.400000000001"/>
    <n v="-2749.67"/>
    <n v="0"/>
    <n v="4290.87547"/>
    <n v="37297.605470000002"/>
  </r>
  <r>
    <x v="6"/>
    <s v="Q3"/>
    <x v="0"/>
    <x v="85"/>
    <s v="KEPL/01564/82-83"/>
    <s v="DINESH TRADING HOUSE"/>
    <x v="56"/>
    <n v="2"/>
    <n v="1600"/>
    <n v="7.46"/>
    <n v="11936"/>
    <n v="-917.88"/>
    <n v="0"/>
    <n v="1432.3557900000001"/>
    <n v="12450.47579"/>
  </r>
  <r>
    <x v="6"/>
    <s v="Q3"/>
    <x v="0"/>
    <x v="85"/>
    <s v="KEPL/01565/82-83"/>
    <s v="EMERALD TRADE LINK"/>
    <x v="21"/>
    <n v="1"/>
    <n v="240"/>
    <n v="14.9"/>
    <n v="3576"/>
    <n v="-274.99"/>
    <n v="0"/>
    <n v="429.13127800000001"/>
    <n v="3730.1412780000001"/>
  </r>
  <r>
    <x v="6"/>
    <s v="Q3"/>
    <x v="0"/>
    <x v="85"/>
    <s v="KEPL/01565/82-83"/>
    <s v="EMERALD TRADE LINK"/>
    <x v="36"/>
    <n v="1"/>
    <n v="40"/>
    <n v="81.94"/>
    <n v="3277.6"/>
    <n v="-252.05"/>
    <n v="0"/>
    <n v="393.32147999999995"/>
    <n v="3418.8714799999998"/>
  </r>
  <r>
    <x v="6"/>
    <s v="Q3"/>
    <x v="0"/>
    <x v="85"/>
    <s v="KEPL/01565/82-83"/>
    <s v="EMERALD TRADE LINK"/>
    <x v="50"/>
    <n v="1"/>
    <n v="240"/>
    <n v="14.9"/>
    <n v="3576"/>
    <n v="-274.99"/>
    <n v="0"/>
    <n v="429.13127800000001"/>
    <n v="3730.1412780000001"/>
  </r>
  <r>
    <x v="6"/>
    <s v="Q3"/>
    <x v="0"/>
    <x v="85"/>
    <s v="KEPL/01565/82-83"/>
    <s v="EMERALD TRADE LINK"/>
    <x v="51"/>
    <n v="2"/>
    <n v="100"/>
    <n v="89.39"/>
    <n v="8939"/>
    <n v="-687.41"/>
    <n v="0"/>
    <n v="1072.7066460000001"/>
    <n v="9324.2966460000007"/>
  </r>
  <r>
    <x v="6"/>
    <s v="Q3"/>
    <x v="0"/>
    <x v="85"/>
    <s v="KEPL/01565/82-83"/>
    <s v="EMERALD TRADE LINK"/>
    <x v="53"/>
    <n v="1"/>
    <n v="40"/>
    <n v="81.94"/>
    <n v="3277.6"/>
    <n v="-252.05"/>
    <n v="0"/>
    <n v="393.32147999999995"/>
    <n v="3418.8714799999998"/>
  </r>
  <r>
    <x v="6"/>
    <s v="Q3"/>
    <x v="0"/>
    <x v="85"/>
    <s v="KEPL/01565/82-83"/>
    <s v="EMERALD TRADE LINK"/>
    <x v="33"/>
    <n v="2"/>
    <n v="80"/>
    <n v="74.489999999999995"/>
    <n v="5959.2"/>
    <n v="-458.26"/>
    <n v="0"/>
    <n v="715.122164"/>
    <n v="6216.0621639999999"/>
  </r>
  <r>
    <x v="6"/>
    <s v="Q3"/>
    <x v="0"/>
    <x v="85"/>
    <s v="KEPL/01565/82-83"/>
    <s v="EMERALD TRADE LINK"/>
    <x v="47"/>
    <n v="1"/>
    <n v="40"/>
    <n v="111.74"/>
    <n v="4469.6000000000004"/>
    <n v="-343.71"/>
    <n v="0"/>
    <n v="536.36567300000002"/>
    <n v="4662.2556729999997"/>
  </r>
  <r>
    <x v="6"/>
    <s v="Q3"/>
    <x v="0"/>
    <x v="85"/>
    <s v="KEPL/01566/82-83"/>
    <s v="M AND P TRADE SUPPLIERS"/>
    <x v="47"/>
    <n v="5"/>
    <n v="200"/>
    <n v="111.74"/>
    <n v="22348"/>
    <n v="-1718.56"/>
    <n v="0"/>
    <n v="2681.8275870000002"/>
    <n v="23311.267586999998"/>
  </r>
  <r>
    <x v="6"/>
    <s v="Q3"/>
    <x v="0"/>
    <x v="85"/>
    <s v="KEPL/01566/82-83"/>
    <s v="M AND P TRADE SUPPLIERS"/>
    <x v="35"/>
    <n v="2"/>
    <n v="120"/>
    <n v="145.26"/>
    <n v="17431.2"/>
    <n v="-1340.46"/>
    <n v="0"/>
    <n v="2091.7965020000001"/>
    <n v="18182.536501999999"/>
  </r>
  <r>
    <x v="6"/>
    <s v="Q3"/>
    <x v="0"/>
    <x v="85"/>
    <s v="KEPL/01566/82-83"/>
    <s v="M AND P TRADE SUPPLIERS"/>
    <x v="46"/>
    <n v="2"/>
    <n v="40"/>
    <n v="175.05"/>
    <n v="7001.9999999999991"/>
    <n v="-538.45000000000005"/>
    <n v="0"/>
    <n v="840.26162099999999"/>
    <n v="7303.8116209999998"/>
  </r>
  <r>
    <x v="6"/>
    <s v="Q3"/>
    <x v="0"/>
    <x v="85"/>
    <s v="KEPL/01566/82-83"/>
    <s v="M AND P TRADE SUPPLIERS"/>
    <x v="42"/>
    <n v="2"/>
    <n v="60"/>
    <n v="316.58999999999997"/>
    <n v="18995.399999999998"/>
    <n v="-1460.75"/>
    <n v="0"/>
    <n v="2279.504829"/>
    <n v="19814.154828999999"/>
  </r>
  <r>
    <x v="6"/>
    <s v="Q3"/>
    <x v="0"/>
    <x v="85"/>
    <s v="KEPL/01566/82-83"/>
    <s v="M AND P TRADE SUPPLIERS"/>
    <x v="56"/>
    <n v="1"/>
    <n v="800"/>
    <n v="7.46"/>
    <n v="5968"/>
    <n v="-458.94"/>
    <n v="0"/>
    <n v="716.17790300000001"/>
    <n v="6225.2379030000002"/>
  </r>
  <r>
    <x v="6"/>
    <s v="Q3"/>
    <x v="0"/>
    <x v="85"/>
    <s v="KEPL/01566/82-83"/>
    <s v="M AND P TRADE SUPPLIERS"/>
    <x v="53"/>
    <n v="1"/>
    <n v="40"/>
    <n v="81.94"/>
    <n v="3277.6"/>
    <n v="-252.05"/>
    <n v="0"/>
    <n v="393.32155699999998"/>
    <n v="3418.8715569999999"/>
  </r>
  <r>
    <x v="6"/>
    <s v="Q3"/>
    <x v="0"/>
    <x v="85"/>
    <s v="KEPL/01567/82-83"/>
    <s v="DINESH TRADING HOUSE"/>
    <x v="60"/>
    <n v="1"/>
    <n v="1000"/>
    <n v="1.86"/>
    <n v="1860"/>
    <n v="-143.03"/>
    <n v="0"/>
    <n v="223.21"/>
    <n v="1940.18"/>
  </r>
  <r>
    <x v="6"/>
    <s v="Q3"/>
    <x v="0"/>
    <x v="85"/>
    <s v="KEPL/01568/82-83"/>
    <s v="EMERALD TRADE LINK"/>
    <x v="60"/>
    <n v="1"/>
    <n v="1000"/>
    <n v="1.86"/>
    <n v="1860"/>
    <n v="-143.03"/>
    <n v="0"/>
    <n v="223.21"/>
    <n v="1940.18"/>
  </r>
  <r>
    <x v="6"/>
    <s v="Q3"/>
    <x v="0"/>
    <x v="85"/>
    <s v="KEPL/01570/82-83"/>
    <s v="BEERA BARJEE INTERNATIONAL PVT.LTD"/>
    <x v="34"/>
    <n v="4"/>
    <n v="160"/>
    <n v="74.489999999999995"/>
    <n v="11918.4"/>
    <n v="-916.52"/>
    <n v="0"/>
    <n v="1430.2439180000001"/>
    <n v="12432.123917999999"/>
  </r>
  <r>
    <x v="6"/>
    <s v="Q3"/>
    <x v="0"/>
    <x v="85"/>
    <s v="KEPL/01570/82-83"/>
    <s v="BEERA BARJEE INTERNATIONAL PVT.LTD"/>
    <x v="35"/>
    <n v="1"/>
    <n v="60"/>
    <n v="145.26"/>
    <n v="8715.6"/>
    <n v="-670.23"/>
    <n v="0"/>
    <n v="1045.8977480000001"/>
    <n v="9091.2677480000002"/>
  </r>
  <r>
    <x v="6"/>
    <s v="Q3"/>
    <x v="0"/>
    <x v="85"/>
    <s v="KEPL/01570/82-83"/>
    <s v="BEERA BARJEE INTERNATIONAL PVT.LTD"/>
    <x v="13"/>
    <n v="1"/>
    <n v="24"/>
    <n v="141.54"/>
    <n v="3396.96"/>
    <n v="-261.23"/>
    <n v="0"/>
    <n v="407.64476300000001"/>
    <n v="3543.3747629999998"/>
  </r>
  <r>
    <x v="6"/>
    <s v="Q3"/>
    <x v="0"/>
    <x v="85"/>
    <s v="KEPL/01570/82-83"/>
    <s v="BEERA BARJEE INTERNATIONAL PVT.LTD"/>
    <x v="45"/>
    <n v="2"/>
    <n v="30"/>
    <n v="260.72000000000003"/>
    <n v="7821.6"/>
    <n v="-601.48"/>
    <n v="0"/>
    <n v="938.61528400000009"/>
    <n v="8158.7352840000003"/>
  </r>
  <r>
    <x v="6"/>
    <s v="Q3"/>
    <x v="0"/>
    <x v="85"/>
    <s v="KEPL/01570/82-83"/>
    <s v="BEERA BARJEE INTERNATIONAL PVT.LTD"/>
    <x v="46"/>
    <n v="2"/>
    <n v="40"/>
    <n v="175.06"/>
    <n v="7002.4"/>
    <n v="-538.48"/>
    <n v="0"/>
    <n v="840.30931700000008"/>
    <n v="7304.2293170000003"/>
  </r>
  <r>
    <x v="6"/>
    <s v="Q3"/>
    <x v="0"/>
    <x v="85"/>
    <s v="KEPL/01570/82-83"/>
    <s v="BEERA BARJEE INTERNATIONAL PVT.LTD"/>
    <x v="12"/>
    <n v="1"/>
    <n v="130"/>
    <n v="37.25"/>
    <n v="4842.5"/>
    <n v="-372.39"/>
    <n v="0"/>
    <n v="581.114104"/>
    <n v="5051.2241039999999"/>
  </r>
  <r>
    <x v="6"/>
    <s v="Q3"/>
    <x v="0"/>
    <x v="85"/>
    <s v="KEPL/01570/82-83"/>
    <s v="BEERA BARJEE INTERNATIONAL PVT.LTD"/>
    <x v="27"/>
    <n v="2"/>
    <n v="140"/>
    <n v="37.25"/>
    <n v="5215"/>
    <n v="-401.03"/>
    <n v="0"/>
    <n v="625.81588899999997"/>
    <n v="5439.7858889999998"/>
  </r>
  <r>
    <x v="6"/>
    <s v="Q3"/>
    <x v="0"/>
    <x v="85"/>
    <s v="KEPL/01570/82-83"/>
    <s v="BEERA BARJEE INTERNATIONAL PVT.LTD"/>
    <x v="33"/>
    <n v="2"/>
    <n v="80"/>
    <n v="74.489999999999995"/>
    <n v="5959.2"/>
    <n v="-458.26"/>
    <n v="0"/>
    <n v="715.12195900000006"/>
    <n v="6216.0619589999997"/>
  </r>
  <r>
    <x v="6"/>
    <s v="Q3"/>
    <x v="0"/>
    <x v="85"/>
    <s v="KEPL/01570/82-83"/>
    <s v="BEERA BARJEE INTERNATIONAL PVT.LTD"/>
    <x v="55"/>
    <n v="1"/>
    <n v="20"/>
    <n v="175.05"/>
    <n v="3500.9999999999995"/>
    <n v="-269.23"/>
    <n v="0"/>
    <n v="420.12995899999999"/>
    <n v="3651.8999589999999"/>
  </r>
  <r>
    <x v="6"/>
    <s v="Q3"/>
    <x v="0"/>
    <x v="85"/>
    <s v="KEPL/01570/82-83"/>
    <s v="BEERA BARJEE INTERNATIONAL PVT.LTD"/>
    <x v="38"/>
    <n v="1"/>
    <n v="24"/>
    <n v="186.22"/>
    <n v="4469.28"/>
    <n v="-343.69"/>
    <n v="0"/>
    <n v="536.32651899999996"/>
    <n v="4661.9165190000003"/>
  </r>
  <r>
    <x v="6"/>
    <s v="Q3"/>
    <x v="0"/>
    <x v="85"/>
    <s v="KEPL/01570/82-83"/>
    <s v="BEERA BARJEE INTERNATIONAL PVT.LTD"/>
    <x v="39"/>
    <n v="1"/>
    <n v="20"/>
    <n v="249.55"/>
    <n v="4991"/>
    <n v="-383.81"/>
    <n v="0"/>
    <n v="598.93449799999996"/>
    <n v="5206.1244980000001"/>
  </r>
  <r>
    <x v="6"/>
    <s v="Q3"/>
    <x v="0"/>
    <x v="85"/>
    <s v="KEPL/01570/82-83"/>
    <s v="BEERA BARJEE INTERNATIONAL PVT.LTD"/>
    <x v="36"/>
    <n v="1"/>
    <n v="40"/>
    <n v="81.94"/>
    <n v="3277.6"/>
    <n v="-252.05"/>
    <n v="0"/>
    <n v="393.32136800000001"/>
    <n v="3418.8713680000001"/>
  </r>
  <r>
    <x v="6"/>
    <s v="Q3"/>
    <x v="0"/>
    <x v="85"/>
    <s v="KEPL/01570/82-83"/>
    <s v="BEERA BARJEE INTERNATIONAL PVT.LTD"/>
    <x v="53"/>
    <n v="2"/>
    <n v="80"/>
    <n v="81.94"/>
    <n v="6555.2"/>
    <n v="-504.09"/>
    <n v="0"/>
    <n v="786.64403500000003"/>
    <n v="6837.7540349999999"/>
  </r>
  <r>
    <x v="6"/>
    <s v="Q3"/>
    <x v="0"/>
    <x v="85"/>
    <s v="KEPL/01570/82-83"/>
    <s v="BEERA BARJEE INTERNATIONAL PVT.LTD"/>
    <x v="47"/>
    <n v="1"/>
    <n v="40"/>
    <n v="111.74"/>
    <n v="4469.6000000000004"/>
    <n v="-343.71"/>
    <n v="0"/>
    <n v="536.36551899999995"/>
    <n v="4662.2555190000003"/>
  </r>
  <r>
    <x v="6"/>
    <s v="Q3"/>
    <x v="0"/>
    <x v="85"/>
    <s v="KEPL/01570/82-83"/>
    <s v="BEERA BARJEE INTERNATIONAL PVT.LTD"/>
    <x v="44"/>
    <n v="1"/>
    <n v="24"/>
    <n v="186.23"/>
    <n v="4469.5200000000004"/>
    <n v="-343.71"/>
    <n v="0"/>
    <n v="536.35511900000006"/>
    <n v="4662.1651190000002"/>
  </r>
  <r>
    <x v="6"/>
    <s v="Q3"/>
    <x v="0"/>
    <x v="85"/>
    <s v="KEPL/01571/82-83"/>
    <s v="BEERA BARJEE INTERNATIONAL PVT.LTD"/>
    <x v="29"/>
    <n v="1"/>
    <n v="20"/>
    <n v="204.85"/>
    <n v="4097"/>
    <n v="-315.06"/>
    <n v="0"/>
    <n v="491.65204599999998"/>
    <n v="4273.5920459999998"/>
  </r>
  <r>
    <x v="6"/>
    <s v="Q3"/>
    <x v="0"/>
    <x v="85"/>
    <s v="KEPL/01571/82-83"/>
    <s v="BEERA BARJEE INTERNATIONAL PVT.LTD"/>
    <x v="28"/>
    <n v="2"/>
    <n v="40"/>
    <n v="204.85"/>
    <n v="8194"/>
    <n v="-630.12"/>
    <n v="0"/>
    <n v="983.30409199999997"/>
    <n v="8547.1840919999995"/>
  </r>
  <r>
    <x v="6"/>
    <s v="Q3"/>
    <x v="0"/>
    <x v="85"/>
    <s v="KEPL/01571/82-83"/>
    <s v="BEERA BARJEE INTERNATIONAL PVT.LTD"/>
    <x v="59"/>
    <n v="1"/>
    <n v="20"/>
    <n v="204.85"/>
    <n v="4097"/>
    <n v="-315.06"/>
    <n v="0"/>
    <n v="491.65204599999998"/>
    <n v="4273.5920459999998"/>
  </r>
  <r>
    <x v="6"/>
    <s v="Q3"/>
    <x v="0"/>
    <x v="85"/>
    <s v="KEPL/01571/82-83"/>
    <s v="BEERA BARJEE INTERNATIONAL PVT.LTD"/>
    <x v="48"/>
    <n v="2"/>
    <n v="40"/>
    <n v="204.85"/>
    <n v="8194"/>
    <n v="-630.12"/>
    <n v="0"/>
    <n v="983.30409199999997"/>
    <n v="8547.1840919999995"/>
  </r>
  <r>
    <x v="6"/>
    <s v="Q3"/>
    <x v="0"/>
    <x v="85"/>
    <s v="KEPL/01571/82-83"/>
    <s v="BEERA BARJEE INTERNATIONAL PVT.LTD"/>
    <x v="21"/>
    <n v="1"/>
    <n v="240"/>
    <n v="14.9"/>
    <n v="3576"/>
    <n v="-274.99"/>
    <n v="0"/>
    <n v="429.13116500000001"/>
    <n v="3730.141165"/>
  </r>
  <r>
    <x v="6"/>
    <s v="Q3"/>
    <x v="0"/>
    <x v="85"/>
    <s v="KEPL/01571/82-83"/>
    <s v="BEERA BARJEE INTERNATIONAL PVT.LTD"/>
    <x v="51"/>
    <n v="5"/>
    <n v="250"/>
    <n v="89.39"/>
    <n v="22347.5"/>
    <n v="-1718.52"/>
    <n v="0"/>
    <n v="2681.7665590000001"/>
    <n v="23310.746558999999"/>
  </r>
  <r>
    <x v="6"/>
    <s v="Q3"/>
    <x v="0"/>
    <x v="85"/>
    <s v="KESR/0040/82-83"/>
    <s v="KRISHMA ENTERPRISES"/>
    <x v="51"/>
    <n v="-30"/>
    <n v="-1500"/>
    <n v="89.39"/>
    <n v="-134085"/>
    <n v="10311.14"/>
    <n v="0"/>
    <n v="-16090.601447999999"/>
    <n v="-139864.46144799999"/>
  </r>
  <r>
    <x v="6"/>
    <s v="Q3"/>
    <x v="0"/>
    <x v="85"/>
    <s v="KESR/0040/82-83"/>
    <s v="KRISHMA ENTERPRISES"/>
    <x v="22"/>
    <n v="-2"/>
    <n v="-48"/>
    <n v="204.85"/>
    <n v="-9832.8000000000011"/>
    <n v="756.14"/>
    <n v="0"/>
    <n v="-1179.965774"/>
    <n v="-10256.625774"/>
  </r>
  <r>
    <x v="6"/>
    <s v="Q3"/>
    <x v="0"/>
    <x v="85"/>
    <s v="KESR/0040/82-83"/>
    <s v="KRISHMA ENTERPRISES"/>
    <x v="24"/>
    <n v="-50"/>
    <n v="-900"/>
    <n v="178.78"/>
    <n v="-160902"/>
    <n v="12373.36"/>
    <n v="0"/>
    <n v="-19308.722778000003"/>
    <n v="-167837.36277800001"/>
  </r>
  <r>
    <x v="6"/>
    <s v="Q3"/>
    <x v="0"/>
    <x v="86"/>
    <s v="KEPL/01591/82-83"/>
    <s v="SIMPEX SOLUTION PVT. LTD"/>
    <x v="47"/>
    <n v="0.25"/>
    <n v="10"/>
    <n v="106.19"/>
    <n v="1061.9000000000001"/>
    <n v="0"/>
    <n v="0"/>
    <n v="138.05000000000001"/>
    <n v="1199.95"/>
  </r>
  <r>
    <x v="6"/>
    <s v="Q3"/>
    <x v="0"/>
    <x v="86"/>
    <s v="KEPL/01593/82-83"/>
    <s v="GORIN TRADING "/>
    <x v="47"/>
    <n v="2"/>
    <n v="80"/>
    <n v="111.74"/>
    <n v="8939.2000000000007"/>
    <n v="-687.42"/>
    <n v="0"/>
    <n v="1072.7313429999999"/>
    <n v="9324.5113430000001"/>
  </r>
  <r>
    <x v="6"/>
    <s v="Q3"/>
    <x v="0"/>
    <x v="86"/>
    <s v="KEPL/01593/82-83"/>
    <s v="GORIN TRADING "/>
    <x v="52"/>
    <n v="25"/>
    <n v="100"/>
    <n v="595.92999999999995"/>
    <n v="59593"/>
    <n v="-4582.7"/>
    <n v="0"/>
    <n v="7151.3386169999994"/>
    <n v="62161.638616999997"/>
  </r>
  <r>
    <x v="6"/>
    <s v="Q3"/>
    <x v="0"/>
    <x v="86"/>
    <s v="KEPL/01593/82-83"/>
    <s v="GORIN TRADING "/>
    <x v="45"/>
    <n v="2"/>
    <n v="30"/>
    <n v="260.72000000000003"/>
    <n v="7821.6"/>
    <n v="-601.48"/>
    <n v="0"/>
    <n v="938.61554999999998"/>
    <n v="8158.7355500000003"/>
  </r>
  <r>
    <x v="6"/>
    <s v="Q3"/>
    <x v="0"/>
    <x v="86"/>
    <s v="KEPL/01593/82-83"/>
    <s v="GORIN TRADING "/>
    <x v="51"/>
    <n v="10"/>
    <n v="500"/>
    <n v="89.39"/>
    <n v="44695"/>
    <n v="-3437.0499999999997"/>
    <n v="0"/>
    <n v="5363.5332130000006"/>
    <n v="46621.483213"/>
  </r>
  <r>
    <x v="6"/>
    <s v="Q3"/>
    <x v="0"/>
    <x v="86"/>
    <s v="KEPL/01593/82-83"/>
    <s v="GORIN TRADING "/>
    <x v="50"/>
    <n v="1"/>
    <n v="240"/>
    <n v="14.9"/>
    <n v="3576"/>
    <n v="-274.99"/>
    <n v="0"/>
    <n v="429.13127700000001"/>
    <n v="3730.1412770000002"/>
  </r>
  <r>
    <x v="6"/>
    <s v="Q3"/>
    <x v="0"/>
    <x v="86"/>
    <s v="KEPL/01594/82-83"/>
    <s v="MALIKA DISTRIBUTORS NEPAL PVT LTD."/>
    <x v="46"/>
    <n v="3"/>
    <n v="60"/>
    <n v="175.06"/>
    <n v="10503.6"/>
    <n v="-807.7299999999999"/>
    <n v="0"/>
    <n v="1260.46"/>
    <n v="10956.33"/>
  </r>
  <r>
    <x v="6"/>
    <s v="Q3"/>
    <x v="0"/>
    <x v="87"/>
    <s v="KEPL/01595/82-83"/>
    <s v="AAFNAI PASAL PVT.LTD"/>
    <x v="39"/>
    <n v="2"/>
    <n v="40"/>
    <n v="249.55"/>
    <n v="9982"/>
    <n v="-767.62"/>
    <n v="0"/>
    <n v="1197.8700000000001"/>
    <n v="10412.25"/>
  </r>
  <r>
    <x v="6"/>
    <s v="Q3"/>
    <x v="0"/>
    <x v="87"/>
    <s v="KEPL/01606/82-83"/>
    <s v="SHUBHASHREE MARKETING"/>
    <x v="39"/>
    <n v="15"/>
    <n v="300"/>
    <n v="249.55"/>
    <n v="74865"/>
    <n v="-5757.12"/>
    <n v="0"/>
    <n v="8984.02"/>
    <n v="78091.899999999994"/>
  </r>
  <r>
    <x v="6"/>
    <s v="Q3"/>
    <x v="0"/>
    <x v="88"/>
    <s v="KEPL/01619/82-83"/>
    <s v="MEGA MART PVT.LTD"/>
    <x v="55"/>
    <n v="3"/>
    <n v="60"/>
    <n v="155.97"/>
    <n v="9358.2000000000007"/>
    <n v="0"/>
    <n v="0"/>
    <n v="1216.566851"/>
    <n v="10574.766851"/>
  </r>
  <r>
    <x v="6"/>
    <s v="Q3"/>
    <x v="0"/>
    <x v="88"/>
    <s v="KEPL/01619/82-83"/>
    <s v="MEGA MART PVT.LTD"/>
    <x v="33"/>
    <n v="4"/>
    <n v="160"/>
    <n v="66.37"/>
    <n v="10619.2"/>
    <n v="0"/>
    <n v="0"/>
    <n v="1380.4969660000002"/>
    <n v="11999.696966"/>
  </r>
  <r>
    <x v="6"/>
    <s v="Q3"/>
    <x v="0"/>
    <x v="88"/>
    <s v="KEPL/01619/82-83"/>
    <s v="MEGA MART PVT.LTD"/>
    <x v="35"/>
    <n v="2"/>
    <n v="120"/>
    <n v="129.41999999999999"/>
    <n v="15530.4"/>
    <n v="0"/>
    <n v="0"/>
    <n v="2018.953413"/>
    <n v="17549.353413000001"/>
  </r>
  <r>
    <x v="6"/>
    <s v="Q3"/>
    <x v="0"/>
    <x v="88"/>
    <s v="KEPL/01619/82-83"/>
    <s v="MEGA MART PVT.LTD"/>
    <x v="42"/>
    <n v="1"/>
    <n v="30"/>
    <n v="282.08"/>
    <n v="8462.4"/>
    <n v="0"/>
    <n v="0"/>
    <n v="1100.11277"/>
    <n v="9562.5127699999994"/>
  </r>
  <r>
    <x v="6"/>
    <s v="Q3"/>
    <x v="0"/>
    <x v="88"/>
    <s v="KEPL/01621/82-83"/>
    <s v="BHAT BHATENI SUPERMARKET &amp; DEPARTMENTAL STORE PVT. LTD."/>
    <x v="12"/>
    <n v="0.12"/>
    <n v="15"/>
    <n v="29.47"/>
    <n v="442.05"/>
    <n v="0"/>
    <n v="0"/>
    <n v="57.466399000000003"/>
    <n v="499.51639899999998"/>
  </r>
  <r>
    <x v="6"/>
    <s v="Q3"/>
    <x v="0"/>
    <x v="88"/>
    <s v="KEPL/01621/82-83"/>
    <s v="BHAT BHATENI SUPERMARKET &amp; DEPARTMENTAL STORE PVT. LTD."/>
    <x v="62"/>
    <n v="0.25"/>
    <n v="5"/>
    <n v="212.83"/>
    <n v="1064.1500000000001"/>
    <n v="0"/>
    <n v="0"/>
    <n v="138.339257"/>
    <n v="1202.489257"/>
  </r>
  <r>
    <x v="6"/>
    <s v="Q3"/>
    <x v="0"/>
    <x v="88"/>
    <s v="KEPL/01621/82-83"/>
    <s v="BHAT BHATENI SUPERMARKET &amp; DEPARTMENTAL STORE PVT. LTD."/>
    <x v="28"/>
    <n v="0.05"/>
    <n v="1"/>
    <n v="163.72"/>
    <n v="163.72"/>
    <n v="0"/>
    <n v="0"/>
    <n v="21.283563000000001"/>
    <n v="185.00356300000001"/>
  </r>
  <r>
    <x v="6"/>
    <s v="Q3"/>
    <x v="0"/>
    <x v="88"/>
    <s v="KEPL/01621/82-83"/>
    <s v="BHAT BHATENI SUPERMARKET &amp; DEPARTMENTAL STORE PVT. LTD."/>
    <x v="13"/>
    <n v="0.54"/>
    <n v="13"/>
    <n v="124.42"/>
    <n v="1617.4599999999998"/>
    <n v="0"/>
    <n v="0"/>
    <n v="210.269431"/>
    <n v="1827.729431"/>
  </r>
  <r>
    <x v="6"/>
    <s v="Q3"/>
    <x v="0"/>
    <x v="88"/>
    <s v="KEPL/01621/82-83"/>
    <s v="BHAT BHATENI SUPERMARKET &amp; DEPARTMENTAL STORE PVT. LTD."/>
    <x v="16"/>
    <n v="0.15"/>
    <n v="3"/>
    <n v="163.72"/>
    <n v="491.16"/>
    <n v="0"/>
    <n v="0"/>
    <n v="63.850687999999998"/>
    <n v="555.01068799999996"/>
  </r>
  <r>
    <x v="6"/>
    <s v="Q3"/>
    <x v="0"/>
    <x v="88"/>
    <s v="KEPL/01621/82-83"/>
    <s v="BHAT BHATENI SUPERMARKET &amp; DEPARTMENTAL STORE PVT. LTD."/>
    <x v="30"/>
    <n v="0.45"/>
    <n v="9"/>
    <n v="212.83"/>
    <n v="1915.47"/>
    <n v="0"/>
    <n v="0"/>
    <n v="249.01066299999999"/>
    <n v="2164.4806629999998"/>
  </r>
  <r>
    <x v="6"/>
    <s v="Q3"/>
    <x v="0"/>
    <x v="89"/>
    <s v="KESR/0042/82-83"/>
    <s v="KRISHMA ENTERPRISES"/>
    <x v="5"/>
    <n v="-4.333333333333333"/>
    <n v="-780"/>
    <n v="18.62"/>
    <n v="-14523.6"/>
    <n v="1116.8599999999999"/>
    <n v="0"/>
    <n v="-1742.8759419999999"/>
    <n v="-15149.615942"/>
  </r>
  <r>
    <x v="6"/>
    <s v="Q3"/>
    <x v="0"/>
    <x v="89"/>
    <s v="KESR/0042/82-83"/>
    <s v="KRISHMA ENTERPRISES"/>
    <x v="23"/>
    <n v="-0.96"/>
    <n v="-573"/>
    <n v="7.45"/>
    <n v="-4268.8500000000004"/>
    <n v="328.27"/>
    <n v="0"/>
    <n v="-512.27532400000007"/>
    <n v="-4452.8553240000001"/>
  </r>
  <r>
    <x v="6"/>
    <s v="Q3"/>
    <x v="0"/>
    <x v="89"/>
    <s v="KESR/0042/82-83"/>
    <s v="KRISHMA ENTERPRISES"/>
    <x v="56"/>
    <n v="-1.71"/>
    <n v="-1368"/>
    <n v="7.45"/>
    <n v="-10191.6"/>
    <n v="783.7299999999999"/>
    <n v="0"/>
    <n v="-1223.022919"/>
    <n v="-10630.892919"/>
  </r>
  <r>
    <x v="6"/>
    <s v="Q3"/>
    <x v="0"/>
    <x v="89"/>
    <s v="KESR/0042/82-83"/>
    <s v="KRISHMA ENTERPRISES"/>
    <x v="32"/>
    <n v="-1.57"/>
    <n v="-94"/>
    <n v="111.74"/>
    <n v="-10503.560000000001"/>
    <n v="807.72"/>
    <n v="0"/>
    <n v="-1260.4590129999999"/>
    <n v="-10956.299013"/>
  </r>
  <r>
    <x v="6"/>
    <s v="Q3"/>
    <x v="0"/>
    <x v="89"/>
    <s v="KESR/0042/82-83"/>
    <s v="KRISHMA ENTERPRISES"/>
    <x v="43"/>
    <n v="-2"/>
    <n v="-120"/>
    <n v="111.74"/>
    <n v="-13408.8"/>
    <n v="1031.1400000000001"/>
    <n v="0"/>
    <n v="-1609.0955609999999"/>
    <n v="-13986.755561"/>
  </r>
  <r>
    <x v="6"/>
    <s v="Q3"/>
    <x v="0"/>
    <x v="89"/>
    <s v="KESR/0042/82-83"/>
    <s v="KRISHMA ENTERPRISES"/>
    <x v="31"/>
    <n v="-1.33"/>
    <n v="-80"/>
    <n v="111.74"/>
    <n v="-8939.2000000000007"/>
    <n v="687.42"/>
    <n v="0"/>
    <n v="-1072.731241"/>
    <n v="-9324.5112410000002"/>
  </r>
  <r>
    <x v="6"/>
    <s v="Q3"/>
    <x v="0"/>
    <x v="90"/>
    <s v="KEPL/01629/82-83"/>
    <s v="DINESH TRADING HOUSE"/>
    <x v="52"/>
    <n v="20"/>
    <n v="80"/>
    <n v="595.92999999999995"/>
    <n v="47674.400000000001"/>
    <n v="-3666.16"/>
    <n v="0"/>
    <n v="5721.0700000000006"/>
    <n v="49729.31"/>
  </r>
  <r>
    <x v="6"/>
    <s v="Q3"/>
    <x v="0"/>
    <x v="91"/>
    <s v="KEPL/01640/82-83"/>
    <s v="SAFAL MART PVT.LTD"/>
    <x v="36"/>
    <n v="1"/>
    <n v="40"/>
    <n v="81.94"/>
    <n v="3277.6"/>
    <n v="-163.88"/>
    <n v="-62.274250000000002"/>
    <n v="396.68818700000003"/>
    <n v="3448.1339370000001"/>
  </r>
  <r>
    <x v="6"/>
    <s v="Q3"/>
    <x v="0"/>
    <x v="91"/>
    <s v="KEPL/01640/82-83"/>
    <s v="SAFAL MART PVT.LTD"/>
    <x v="44"/>
    <n v="1"/>
    <n v="24"/>
    <n v="186.23"/>
    <n v="4469.5200000000004"/>
    <n v="-223.48"/>
    <n v="-84.920595000000006"/>
    <n v="540.94584900000007"/>
    <n v="4702.0652540000001"/>
  </r>
  <r>
    <x v="6"/>
    <s v="Q3"/>
    <x v="0"/>
    <x v="91"/>
    <s v="KEPL/01640/82-83"/>
    <s v="SAFAL MART PVT.LTD"/>
    <x v="12"/>
    <n v="1"/>
    <n v="130"/>
    <n v="37.25"/>
    <n v="4842.5"/>
    <n v="-242.13"/>
    <n v="-92.007177999999996"/>
    <n v="586.08752000000004"/>
    <n v="5094.4503420000001"/>
  </r>
  <r>
    <x v="6"/>
    <s v="Q3"/>
    <x v="0"/>
    <x v="91"/>
    <s v="KEPL/01640/82-83"/>
    <s v="SAFAL MART PVT.LTD"/>
    <x v="55"/>
    <n v="1"/>
    <n v="20"/>
    <n v="175.05"/>
    <n v="3500.9999999999995"/>
    <n v="-175.05"/>
    <n v="-66.518839"/>
    <n v="423.72630599999997"/>
    <n v="3683.157467"/>
  </r>
  <r>
    <x v="6"/>
    <s v="Q3"/>
    <x v="0"/>
    <x v="91"/>
    <s v="KEPL/01640/82-83"/>
    <s v="SAFAL MART PVT.LTD"/>
    <x v="35"/>
    <n v="1"/>
    <n v="60"/>
    <n v="145.26"/>
    <n v="8715.6"/>
    <n v="-435.78"/>
    <n v="-165.596"/>
    <n v="1054.8497560000001"/>
    <n v="9169.0737559999998"/>
  </r>
  <r>
    <x v="6"/>
    <s v="Q3"/>
    <x v="0"/>
    <x v="91"/>
    <s v="KEPL/01640/82-83"/>
    <s v="SAFAL MART PVT.LTD"/>
    <x v="33"/>
    <n v="1"/>
    <n v="40"/>
    <n v="74.489999999999995"/>
    <n v="2979.6"/>
    <n v="-148.97999999999999"/>
    <n v="-56.612263000000006"/>
    <n v="360.62122299999999"/>
    <n v="3134.62896"/>
  </r>
  <r>
    <x v="6"/>
    <s v="Q3"/>
    <x v="0"/>
    <x v="91"/>
    <s v="KEPL/01640/82-83"/>
    <s v="SAFAL MART PVT.LTD"/>
    <x v="42"/>
    <n v="1"/>
    <n v="30"/>
    <n v="316.58999999999997"/>
    <n v="9497.6999999999989"/>
    <n v="-474.89"/>
    <n v="-180.45576399999999"/>
    <n v="1149.506744"/>
    <n v="9991.8609799999995"/>
  </r>
  <r>
    <x v="6"/>
    <s v="Q3"/>
    <x v="0"/>
    <x v="91"/>
    <s v="KEPL/01640/82-83"/>
    <s v="SAFAL MART PVT.LTD"/>
    <x v="34"/>
    <n v="1"/>
    <n v="40"/>
    <n v="74.489999999999995"/>
    <n v="2979.6"/>
    <n v="-148.97999999999999"/>
    <n v="-56.612263000000006"/>
    <n v="360.62122299999999"/>
    <n v="3134.62896"/>
  </r>
  <r>
    <x v="6"/>
    <s v="Q3"/>
    <x v="0"/>
    <x v="91"/>
    <s v="KEPL/01640/82-83"/>
    <s v="SAFAL MART PVT.LTD"/>
    <x v="24"/>
    <n v="1"/>
    <n v="18"/>
    <n v="178.78"/>
    <n v="3218.0400000000004"/>
    <n v="-160.9"/>
    <n v="-61.142651999999998"/>
    <n v="389.47989000000001"/>
    <n v="3385.4772379999999"/>
  </r>
  <r>
    <x v="6"/>
    <s v="Q3"/>
    <x v="0"/>
    <x v="91"/>
    <s v="KEPL/01640/82-83"/>
    <s v="SAFAL MART PVT.LTD"/>
    <x v="51"/>
    <n v="1"/>
    <n v="50"/>
    <n v="89.39"/>
    <n v="4469.5"/>
    <n v="-223.48"/>
    <n v="-84.920195000000007"/>
    <n v="540.94330100000002"/>
    <n v="4702.0431060000001"/>
  </r>
  <r>
    <x v="6"/>
    <s v="Q3"/>
    <x v="0"/>
    <x v="91"/>
    <s v="KEPL/01641/82-83"/>
    <s v="MEGA MART PVT.LTD"/>
    <x v="42"/>
    <n v="1"/>
    <n v="30"/>
    <n v="282.08"/>
    <n v="8462.4"/>
    <n v="0"/>
    <n v="0"/>
    <n v="1100.1130430000001"/>
    <n v="9562.5130430000008"/>
  </r>
  <r>
    <x v="6"/>
    <s v="Q3"/>
    <x v="0"/>
    <x v="91"/>
    <s v="KEPL/01641/82-83"/>
    <s v="MEGA MART PVT.LTD"/>
    <x v="35"/>
    <n v="1"/>
    <n v="60"/>
    <n v="129.41999999999999"/>
    <n v="7765.2"/>
    <n v="0"/>
    <n v="0"/>
    <n v="1009.476957"/>
    <n v="8774.6769569999997"/>
  </r>
  <r>
    <x v="6"/>
    <s v="Q3"/>
    <x v="0"/>
    <x v="92"/>
    <s v="KEPL/01647/82-83"/>
    <s v="BEERA BARJEE INTERNATIONAL PVT.LTD"/>
    <x v="15"/>
    <n v="1"/>
    <n v="20"/>
    <n v="175.05"/>
    <n v="3500.9999999999995"/>
    <n v="-269.23"/>
    <n v="0"/>
    <n v="420.13007300000004"/>
    <n v="3651.9000729999998"/>
  </r>
  <r>
    <x v="6"/>
    <s v="Q3"/>
    <x v="0"/>
    <x v="92"/>
    <s v="KEPL/01647/82-83"/>
    <s v="BEERA BARJEE INTERNATIONAL PVT.LTD"/>
    <x v="38"/>
    <n v="1"/>
    <n v="24"/>
    <n v="186.22"/>
    <n v="4469.28"/>
    <n v="-343.69"/>
    <n v="0"/>
    <n v="536.32666500000005"/>
    <n v="4661.9166649999997"/>
  </r>
  <r>
    <x v="6"/>
    <s v="Q3"/>
    <x v="0"/>
    <x v="92"/>
    <s v="KEPL/01647/82-83"/>
    <s v="BEERA BARJEE INTERNATIONAL PVT.LTD"/>
    <x v="13"/>
    <n v="1"/>
    <n v="24"/>
    <n v="141.54"/>
    <n v="3396.96"/>
    <n v="-261.23"/>
    <n v="0"/>
    <n v="407.64487400000002"/>
    <n v="3543.3748740000001"/>
  </r>
  <r>
    <x v="6"/>
    <s v="Q3"/>
    <x v="0"/>
    <x v="92"/>
    <s v="KEPL/01647/82-83"/>
    <s v="BEERA BARJEE INTERNATIONAL PVT.LTD"/>
    <x v="29"/>
    <n v="1"/>
    <n v="20"/>
    <n v="204.85"/>
    <n v="4097"/>
    <n v="-315.06"/>
    <n v="0"/>
    <n v="491.65216799999996"/>
    <n v="4273.5921680000001"/>
  </r>
  <r>
    <x v="6"/>
    <s v="Q3"/>
    <x v="0"/>
    <x v="92"/>
    <s v="KEPL/01647/82-83"/>
    <s v="BEERA BARJEE INTERNATIONAL PVT.LTD"/>
    <x v="33"/>
    <n v="3"/>
    <n v="120"/>
    <n v="74.489999999999995"/>
    <n v="8938.8000000000011"/>
    <n v="-687.3900000000001"/>
    <n v="0"/>
    <n v="1072.683231"/>
    <n v="9324.0932310000007"/>
  </r>
  <r>
    <x v="6"/>
    <s v="Q3"/>
    <x v="0"/>
    <x v="92"/>
    <s v="KEPL/01647/82-83"/>
    <s v="BEERA BARJEE INTERNATIONAL PVT.LTD"/>
    <x v="55"/>
    <n v="1"/>
    <n v="20"/>
    <n v="175.05"/>
    <n v="3500.9999999999995"/>
    <n v="-269.23"/>
    <n v="0"/>
    <n v="420.13007300000004"/>
    <n v="3651.9000729999998"/>
  </r>
  <r>
    <x v="6"/>
    <s v="Q3"/>
    <x v="0"/>
    <x v="92"/>
    <s v="KEPL/01647/82-83"/>
    <s v="BEERA BARJEE INTERNATIONAL PVT.LTD"/>
    <x v="47"/>
    <n v="2"/>
    <n v="80"/>
    <n v="111.74"/>
    <n v="8939.2000000000007"/>
    <n v="-687.42"/>
    <n v="0"/>
    <n v="1072.731331"/>
    <n v="9324.5113309999997"/>
  </r>
  <r>
    <x v="6"/>
    <s v="Q3"/>
    <x v="0"/>
    <x v="92"/>
    <s v="KEPL/01647/82-83"/>
    <s v="BEERA BARJEE INTERNATIONAL PVT.LTD"/>
    <x v="0"/>
    <n v="1"/>
    <n v="40"/>
    <n v="111.74"/>
    <n v="4469.6000000000004"/>
    <n v="-343.71"/>
    <n v="0"/>
    <n v="536.36566500000004"/>
    <n v="4662.2556649999997"/>
  </r>
  <r>
    <x v="6"/>
    <s v="Q3"/>
    <x v="0"/>
    <x v="92"/>
    <s v="KEPL/01647/82-83"/>
    <s v="BEERA BARJEE INTERNATIONAL PVT.LTD"/>
    <x v="28"/>
    <n v="1"/>
    <n v="20"/>
    <n v="204.85"/>
    <n v="4097"/>
    <n v="-315.06"/>
    <n v="0"/>
    <n v="491.65216799999996"/>
    <n v="4273.5921680000001"/>
  </r>
  <r>
    <x v="6"/>
    <s v="Q3"/>
    <x v="0"/>
    <x v="92"/>
    <s v="KEPL/01647/82-83"/>
    <s v="BEERA BARJEE INTERNATIONAL PVT.LTD"/>
    <x v="34"/>
    <n v="2"/>
    <n v="80"/>
    <n v="74.489999999999995"/>
    <n v="5959.2"/>
    <n v="-458.26"/>
    <n v="0"/>
    <n v="715.12215399999991"/>
    <n v="6216.0621540000002"/>
  </r>
  <r>
    <x v="6"/>
    <s v="Q3"/>
    <x v="0"/>
    <x v="92"/>
    <s v="KEPL/01647/82-83"/>
    <s v="BEERA BARJEE INTERNATIONAL PVT.LTD"/>
    <x v="39"/>
    <n v="1"/>
    <n v="20"/>
    <n v="249.55"/>
    <n v="4991"/>
    <n v="-383.81"/>
    <n v="0"/>
    <n v="598.93466100000001"/>
    <n v="5206.1246609999998"/>
  </r>
  <r>
    <x v="6"/>
    <s v="Q3"/>
    <x v="0"/>
    <x v="92"/>
    <s v="KEPL/01647/82-83"/>
    <s v="BEERA BARJEE INTERNATIONAL PVT.LTD"/>
    <x v="59"/>
    <n v="1"/>
    <n v="20"/>
    <n v="204.85"/>
    <n v="4097"/>
    <n v="-315.06"/>
    <n v="0"/>
    <n v="491.65216799999996"/>
    <n v="4273.5921680000001"/>
  </r>
  <r>
    <x v="6"/>
    <s v="Q3"/>
    <x v="0"/>
    <x v="92"/>
    <s v="KEPL/01647/82-83"/>
    <s v="BEERA BARJEE INTERNATIONAL PVT.LTD"/>
    <x v="56"/>
    <n v="1"/>
    <n v="800"/>
    <n v="7.46"/>
    <n v="5968"/>
    <n v="-458.94"/>
    <n v="0"/>
    <n v="716.17775400000005"/>
    <n v="6225.2377539999998"/>
  </r>
  <r>
    <x v="6"/>
    <s v="Q3"/>
    <x v="0"/>
    <x v="92"/>
    <s v="KEPL/01647/82-83"/>
    <s v="BEERA BARJEE INTERNATIONAL PVT.LTD"/>
    <x v="45"/>
    <n v="1"/>
    <n v="15"/>
    <n v="260.72000000000003"/>
    <n v="3910.8"/>
    <n v="-300.74"/>
    <n v="0"/>
    <n v="469.30777"/>
    <n v="4079.3677699999998"/>
  </r>
  <r>
    <x v="6"/>
    <s v="Q3"/>
    <x v="0"/>
    <x v="92"/>
    <s v="KEPL/01647/82-83"/>
    <s v="BEERA BARJEE INTERNATIONAL PVT.LTD"/>
    <x v="53"/>
    <n v="1"/>
    <n v="40"/>
    <n v="81.94"/>
    <n v="3277.6"/>
    <n v="-252.05"/>
    <n v="0"/>
    <n v="393.32147499999996"/>
    <n v="3418.8714749999999"/>
  </r>
  <r>
    <x v="6"/>
    <s v="Q3"/>
    <x v="0"/>
    <x v="92"/>
    <s v="KEPL/01647/82-83"/>
    <s v="BEERA BARJEE INTERNATIONAL PVT.LTD"/>
    <x v="49"/>
    <n v="1"/>
    <n v="15"/>
    <n v="260.72000000000003"/>
    <n v="3910.8"/>
    <n v="-300.74"/>
    <n v="0"/>
    <n v="469.30777"/>
    <n v="4079.3677699999998"/>
  </r>
  <r>
    <x v="6"/>
    <s v="Q3"/>
    <x v="0"/>
    <x v="92"/>
    <s v="KEPL/01650/82-83"/>
    <s v="SHUBHASHREE MARKETING"/>
    <x v="31"/>
    <n v="1"/>
    <n v="60"/>
    <n v="111.74"/>
    <n v="6704.4"/>
    <n v="-515.57000000000005"/>
    <n v="0"/>
    <n v="804.5474999999999"/>
    <n v="6993.3774999999996"/>
  </r>
  <r>
    <x v="6"/>
    <s v="Q3"/>
    <x v="0"/>
    <x v="92"/>
    <s v="KEPL/01650/82-83"/>
    <s v="SHUBHASHREE MARKETING"/>
    <x v="32"/>
    <n v="3"/>
    <n v="180"/>
    <n v="111.74"/>
    <n v="20113.2"/>
    <n v="-1546.71"/>
    <n v="0"/>
    <n v="2413.6425000000004"/>
    <n v="20980.1325"/>
  </r>
  <r>
    <x v="6"/>
    <s v="Q3"/>
    <x v="0"/>
    <x v="92"/>
    <s v="KEPL/01651/82-83"/>
    <s v="R.P DISTRIBUTOR TRADE CENTER"/>
    <x v="34"/>
    <n v="1"/>
    <n v="40"/>
    <n v="74.489999999999995"/>
    <n v="2979.6"/>
    <n v="-229.13"/>
    <n v="0"/>
    <n v="357.560945"/>
    <n v="3108.030945"/>
  </r>
  <r>
    <x v="6"/>
    <s v="Q3"/>
    <x v="0"/>
    <x v="92"/>
    <s v="KEPL/01651/82-83"/>
    <s v="R.P DISTRIBUTOR TRADE CENTER"/>
    <x v="55"/>
    <n v="1"/>
    <n v="20"/>
    <n v="175.05"/>
    <n v="3500.9999999999995"/>
    <n v="-269.23"/>
    <n v="0"/>
    <n v="420.12991800000003"/>
    <n v="3651.8999180000001"/>
  </r>
  <r>
    <x v="6"/>
    <s v="Q3"/>
    <x v="0"/>
    <x v="92"/>
    <s v="KEPL/01651/82-83"/>
    <s v="R.P DISTRIBUTOR TRADE CENTER"/>
    <x v="45"/>
    <n v="1"/>
    <n v="15"/>
    <n v="260.72000000000003"/>
    <n v="3910.8"/>
    <n v="-300.74"/>
    <n v="0"/>
    <n v="469.30759699999999"/>
    <n v="4079.3675969999999"/>
  </r>
  <r>
    <x v="6"/>
    <s v="Q3"/>
    <x v="0"/>
    <x v="92"/>
    <s v="KEPL/01651/82-83"/>
    <s v="R.P DISTRIBUTOR TRADE CENTER"/>
    <x v="12"/>
    <n v="1"/>
    <n v="130"/>
    <n v="37.25"/>
    <n v="4842.5"/>
    <n v="-372.39"/>
    <n v="0"/>
    <n v="581.11404900000002"/>
    <n v="5051.2240490000004"/>
  </r>
  <r>
    <x v="6"/>
    <s v="Q3"/>
    <x v="0"/>
    <x v="92"/>
    <s v="KEPL/01651/82-83"/>
    <s v="R.P DISTRIBUTOR TRADE CENTER"/>
    <x v="33"/>
    <n v="1"/>
    <n v="40"/>
    <n v="74.489999999999995"/>
    <n v="2979.6"/>
    <n v="-229.13"/>
    <n v="0"/>
    <n v="357.560945"/>
    <n v="3108.030945"/>
  </r>
  <r>
    <x v="6"/>
    <s v="Q3"/>
    <x v="0"/>
    <x v="92"/>
    <s v="KEPL/01651/82-83"/>
    <s v="R.P DISTRIBUTOR TRADE CENTER"/>
    <x v="27"/>
    <n v="10"/>
    <n v="700"/>
    <n v="37.25"/>
    <n v="26075"/>
    <n v="-2005.1699999999998"/>
    <n v="0"/>
    <n v="3129.0765460000002"/>
    <n v="27198.906545999998"/>
  </r>
  <r>
    <x v="6"/>
    <s v="Q3"/>
    <x v="0"/>
    <x v="92"/>
    <s v="KEPL/01652/82-83"/>
    <s v="KRISHMA ENTERPRISES"/>
    <x v="26"/>
    <n v="10"/>
    <n v="180"/>
    <n v="178.78"/>
    <n v="32180.400000000001"/>
    <n v="-2474.6699999999996"/>
    <n v="0"/>
    <n v="3861.746384"/>
    <n v="33567.476384000001"/>
  </r>
  <r>
    <x v="6"/>
    <s v="Q3"/>
    <x v="0"/>
    <x v="92"/>
    <s v="KEPL/01652/82-83"/>
    <s v="KRISHMA ENTERPRISES"/>
    <x v="55"/>
    <n v="5"/>
    <n v="100"/>
    <n v="175.05"/>
    <n v="17505"/>
    <n v="-1346.1299999999999"/>
    <n v="0"/>
    <n v="2100.6539069999999"/>
    <n v="18259.523906999999"/>
  </r>
  <r>
    <x v="6"/>
    <s v="Q3"/>
    <x v="0"/>
    <x v="92"/>
    <s v="KEPL/01652/82-83"/>
    <s v="KRISHMA ENTERPRISES"/>
    <x v="48"/>
    <n v="3"/>
    <n v="60"/>
    <n v="204.85"/>
    <n v="12291"/>
    <n v="-945.18"/>
    <n v="0"/>
    <n v="1474.9571669999998"/>
    <n v="12820.777167"/>
  </r>
  <r>
    <x v="6"/>
    <s v="Q3"/>
    <x v="0"/>
    <x v="92"/>
    <s v="KEPL/01652/82-83"/>
    <s v="KRISHMA ENTERPRISES"/>
    <x v="24"/>
    <n v="5"/>
    <n v="90"/>
    <n v="178.78"/>
    <n v="16090.2"/>
    <n v="-1237.3400000000001"/>
    <n v="0"/>
    <n v="1930.8725420000001"/>
    <n v="16783.732542000002"/>
  </r>
  <r>
    <x v="6"/>
    <s v="Q3"/>
    <x v="0"/>
    <x v="93"/>
    <s v="KEPL/01662/82-83"/>
    <s v="EMERALD TRADE LINK"/>
    <x v="49"/>
    <n v="2"/>
    <n v="30"/>
    <n v="260.72000000000003"/>
    <n v="7821.6"/>
    <n v="-601.48"/>
    <n v="0"/>
    <n v="938.61588399999994"/>
    <n v="8158.7358839999997"/>
  </r>
  <r>
    <x v="6"/>
    <s v="Q3"/>
    <x v="0"/>
    <x v="93"/>
    <s v="KEPL/01662/82-83"/>
    <s v="EMERALD TRADE LINK"/>
    <x v="45"/>
    <n v="2"/>
    <n v="30"/>
    <n v="260.72000000000003"/>
    <n v="7821.6"/>
    <n v="-601.48"/>
    <n v="0"/>
    <n v="938.61588399999994"/>
    <n v="8158.7358839999997"/>
  </r>
  <r>
    <x v="6"/>
    <s v="Q3"/>
    <x v="0"/>
    <x v="93"/>
    <s v="KEPL/01662/82-83"/>
    <s v="EMERALD TRADE LINK"/>
    <x v="52"/>
    <n v="5"/>
    <n v="20"/>
    <n v="595.92999999999995"/>
    <n v="11918.6"/>
    <n v="-916.54"/>
    <n v="0"/>
    <n v="1430.2682319999999"/>
    <n v="12432.328232"/>
  </r>
  <r>
    <x v="6"/>
    <s v="Q3"/>
    <x v="0"/>
    <x v="93"/>
    <s v="KEPL/01663/82-83"/>
    <s v="AASHI TRADERS"/>
    <x v="33"/>
    <n v="3"/>
    <n v="120"/>
    <n v="74.489999999999995"/>
    <n v="8938.8000000000011"/>
    <n v="-687.3900000000001"/>
    <n v="0"/>
    <n v="1072.683565"/>
    <n v="9324.0935649999992"/>
  </r>
  <r>
    <x v="6"/>
    <s v="Q3"/>
    <x v="0"/>
    <x v="93"/>
    <s v="KEPL/01663/82-83"/>
    <s v="AASHI TRADERS"/>
    <x v="53"/>
    <n v="5"/>
    <n v="200"/>
    <n v="81.94"/>
    <n v="16388"/>
    <n v="-1260.24"/>
    <n v="0"/>
    <n v="1966.6092860000001"/>
    <n v="17094.369286000001"/>
  </r>
  <r>
    <x v="6"/>
    <s v="Q3"/>
    <x v="0"/>
    <x v="93"/>
    <s v="KEPL/01663/82-83"/>
    <s v="AASHI TRADERS"/>
    <x v="34"/>
    <n v="3"/>
    <n v="120"/>
    <n v="74.489999999999995"/>
    <n v="8938.8000000000011"/>
    <n v="-687.3900000000001"/>
    <n v="0"/>
    <n v="1072.683565"/>
    <n v="9324.0935649999992"/>
  </r>
  <r>
    <x v="6"/>
    <s v="Q3"/>
    <x v="0"/>
    <x v="93"/>
    <s v="KEPL/01663/82-83"/>
    <s v="AASHI TRADERS"/>
    <x v="32"/>
    <n v="3"/>
    <n v="180"/>
    <n v="111.74"/>
    <n v="20113.2"/>
    <n v="-1546.71"/>
    <n v="0"/>
    <n v="2413.6442959999999"/>
    <n v="20980.134296"/>
  </r>
  <r>
    <x v="6"/>
    <s v="Q3"/>
    <x v="0"/>
    <x v="93"/>
    <s v="KEPL/01663/82-83"/>
    <s v="AASHI TRADERS"/>
    <x v="42"/>
    <n v="4"/>
    <n v="120"/>
    <n v="316.58999999999997"/>
    <n v="37990.799999999996"/>
    <n v="-2921.4900000000002"/>
    <n v="0"/>
    <n v="4559.011426"/>
    <n v="39628.321426000002"/>
  </r>
  <r>
    <x v="6"/>
    <s v="Q3"/>
    <x v="0"/>
    <x v="93"/>
    <s v="KEPL/01663/82-83"/>
    <s v="AASHI TRADERS"/>
    <x v="47"/>
    <n v="2"/>
    <n v="80"/>
    <n v="111.74"/>
    <n v="8939.2000000000007"/>
    <n v="-687.42"/>
    <n v="0"/>
    <n v="1072.731665"/>
    <n v="9324.511665"/>
  </r>
  <r>
    <x v="6"/>
    <s v="Q3"/>
    <x v="0"/>
    <x v="93"/>
    <s v="KEPL/01663/82-83"/>
    <s v="AASHI TRADERS"/>
    <x v="43"/>
    <n v="2"/>
    <n v="120"/>
    <n v="111.74"/>
    <n v="13408.8"/>
    <n v="-1031.1400000000001"/>
    <n v="0"/>
    <n v="1609.0961969999998"/>
    <n v="13986.756197000001"/>
  </r>
  <r>
    <x v="6"/>
    <s v="Q3"/>
    <x v="0"/>
    <x v="93"/>
    <s v="KEPL/01664/82-83"/>
    <s v="KRISHMA ENTERPRISES"/>
    <x v="26"/>
    <n v="15"/>
    <n v="270"/>
    <n v="178.78"/>
    <n v="48270.6"/>
    <n v="-3712.0099999999998"/>
    <n v="0"/>
    <n v="5792.6175000000003"/>
    <n v="50351.207499999997"/>
  </r>
  <r>
    <x v="6"/>
    <s v="Q3"/>
    <x v="0"/>
    <x v="93"/>
    <s v="KEPL/01664/82-83"/>
    <s v="KRISHMA ENTERPRISES"/>
    <x v="2"/>
    <n v="5"/>
    <n v="90"/>
    <n v="178.78"/>
    <n v="16090.2"/>
    <n v="-1237.3400000000001"/>
    <n v="0"/>
    <n v="1930.872067"/>
    <n v="16783.732067000001"/>
  </r>
  <r>
    <x v="6"/>
    <s v="Q3"/>
    <x v="0"/>
    <x v="93"/>
    <s v="KEPL/01664/82-83"/>
    <s v="KRISHMA ENTERPRISES"/>
    <x v="24"/>
    <n v="40"/>
    <n v="720"/>
    <n v="178.78"/>
    <n v="128721.60000000001"/>
    <n v="-9898.6899999999987"/>
    <n v="0"/>
    <n v="15446.980432999999"/>
    <n v="134269.89043299999"/>
  </r>
  <r>
    <x v="6"/>
    <s v="Q3"/>
    <x v="0"/>
    <x v="93"/>
    <s v="KEPL/01665/82-83"/>
    <s v="MEGA MART PVT.LTD"/>
    <x v="35"/>
    <n v="1"/>
    <n v="60"/>
    <n v="129.41999999999999"/>
    <n v="7765.2"/>
    <n v="0"/>
    <n v="0"/>
    <n v="1009.475597"/>
    <n v="8774.6755969999995"/>
  </r>
  <r>
    <x v="6"/>
    <s v="Q3"/>
    <x v="0"/>
    <x v="93"/>
    <s v="KEPL/01665/82-83"/>
    <s v="MEGA MART PVT.LTD"/>
    <x v="55"/>
    <n v="3"/>
    <n v="60"/>
    <n v="155.97"/>
    <n v="9358.2000000000007"/>
    <n v="0"/>
    <n v="0"/>
    <n v="1216.5655140000001"/>
    <n v="10574.765514000001"/>
  </r>
  <r>
    <x v="6"/>
    <s v="Q3"/>
    <x v="0"/>
    <x v="93"/>
    <s v="KEPL/01665/82-83"/>
    <s v="MEGA MART PVT.LTD"/>
    <x v="46"/>
    <n v="8.4"/>
    <n v="168"/>
    <n v="155.97"/>
    <n v="26202.959999999999"/>
    <n v="0"/>
    <n v="0"/>
    <n v="3406.3834400000001"/>
    <n v="29609.343440000001"/>
  </r>
  <r>
    <x v="6"/>
    <s v="Q3"/>
    <x v="0"/>
    <x v="93"/>
    <s v="KEPL/01665/82-83"/>
    <s v="MEGA MART PVT.LTD"/>
    <x v="33"/>
    <n v="4"/>
    <n v="160"/>
    <n v="66.37"/>
    <n v="10619.2"/>
    <n v="0"/>
    <n v="0"/>
    <n v="1380.495449"/>
    <n v="11999.695449000001"/>
  </r>
  <r>
    <x v="6"/>
    <s v="Q3"/>
    <x v="0"/>
    <x v="93"/>
    <s v="KEPL/01667/82-83"/>
    <s v="DINESH TRADING HOUSE"/>
    <x v="34"/>
    <n v="1"/>
    <n v="40"/>
    <n v="74.489999999999995"/>
    <n v="2979.6"/>
    <n v="-229.13"/>
    <n v="0"/>
    <n v="357.561035"/>
    <n v="3108.031035"/>
  </r>
  <r>
    <x v="6"/>
    <s v="Q3"/>
    <x v="0"/>
    <x v="93"/>
    <s v="KEPL/01667/82-83"/>
    <s v="DINESH TRADING HOUSE"/>
    <x v="49"/>
    <n v="1"/>
    <n v="15"/>
    <n v="260.72000000000003"/>
    <n v="3910.8"/>
    <n v="-300.74"/>
    <n v="0"/>
    <n v="469.30771399999998"/>
    <n v="4079.367714"/>
  </r>
  <r>
    <x v="6"/>
    <s v="Q3"/>
    <x v="0"/>
    <x v="93"/>
    <s v="KEPL/01667/82-83"/>
    <s v="DINESH TRADING HOUSE"/>
    <x v="50"/>
    <n v="1"/>
    <n v="240"/>
    <n v="14.9"/>
    <n v="3576"/>
    <n v="-274.99"/>
    <n v="0"/>
    <n v="429.13122199999998"/>
    <n v="3730.1412220000002"/>
  </r>
  <r>
    <x v="6"/>
    <s v="Q3"/>
    <x v="0"/>
    <x v="93"/>
    <s v="KEPL/01667/82-83"/>
    <s v="DINESH TRADING HOUSE"/>
    <x v="42"/>
    <n v="2"/>
    <n v="60"/>
    <n v="316.58999999999997"/>
    <n v="18995.399999999998"/>
    <n v="-1460.75"/>
    <n v="0"/>
    <n v="2279.5040839999997"/>
    <n v="19814.154084000002"/>
  </r>
  <r>
    <x v="6"/>
    <s v="Q3"/>
    <x v="0"/>
    <x v="93"/>
    <s v="KEPL/01667/82-83"/>
    <s v="DINESH TRADING HOUSE"/>
    <x v="47"/>
    <n v="3"/>
    <n v="120"/>
    <n v="111.74"/>
    <n v="13408.8"/>
    <n v="-1031.1400000000001"/>
    <n v="0"/>
    <n v="1609.0955060000001"/>
    <n v="13986.755506"/>
  </r>
  <r>
    <x v="6"/>
    <s v="Q3"/>
    <x v="0"/>
    <x v="93"/>
    <s v="KEPL/01667/82-83"/>
    <s v="DINESH TRADING HOUSE"/>
    <x v="51"/>
    <n v="5"/>
    <n v="250"/>
    <n v="89.39"/>
    <n v="22347.5"/>
    <n v="-1718.52"/>
    <n v="0"/>
    <n v="2681.7669100000003"/>
    <n v="23310.746910000002"/>
  </r>
  <r>
    <x v="6"/>
    <s v="Q3"/>
    <x v="0"/>
    <x v="93"/>
    <s v="KEPL/01667/82-83"/>
    <s v="DINESH TRADING HOUSE"/>
    <x v="24"/>
    <n v="1"/>
    <n v="18"/>
    <n v="178.78"/>
    <n v="3218.0400000000004"/>
    <n v="-247.47"/>
    <n v="0"/>
    <n v="386.17402900000002"/>
    <n v="3356.744029"/>
  </r>
  <r>
    <x v="6"/>
    <s v="Q3"/>
    <x v="0"/>
    <x v="93"/>
    <s v="KEPL/01667/82-83"/>
    <s v="DINESH TRADING HOUSE"/>
    <x v="33"/>
    <n v="4"/>
    <n v="160"/>
    <n v="74.489999999999995"/>
    <n v="11918.4"/>
    <n v="-916.52"/>
    <n v="0"/>
    <n v="1430.2441389999999"/>
    <n v="12432.124139"/>
  </r>
  <r>
    <x v="6"/>
    <s v="Q3"/>
    <x v="0"/>
    <x v="93"/>
    <s v="KEPL/01667/82-83"/>
    <s v="DINESH TRADING HOUSE"/>
    <x v="45"/>
    <n v="1"/>
    <n v="15"/>
    <n v="260.72000000000003"/>
    <n v="3910.8"/>
    <n v="-300.74"/>
    <n v="0"/>
    <n v="469.30771399999998"/>
    <n v="4079.367714"/>
  </r>
  <r>
    <x v="6"/>
    <s v="Q3"/>
    <x v="0"/>
    <x v="93"/>
    <s v="KEPL/01667/82-83"/>
    <s v="DINESH TRADING HOUSE"/>
    <x v="2"/>
    <n v="1"/>
    <n v="18"/>
    <n v="178.78"/>
    <n v="3218.0400000000004"/>
    <n v="-247.47"/>
    <n v="0"/>
    <n v="386.17402900000002"/>
    <n v="3356.744029"/>
  </r>
  <r>
    <x v="6"/>
    <s v="Q3"/>
    <x v="0"/>
    <x v="93"/>
    <s v="KEPL/01667/82-83"/>
    <s v="DINESH TRADING HOUSE"/>
    <x v="39"/>
    <n v="2"/>
    <n v="40"/>
    <n v="249.55"/>
    <n v="9982"/>
    <n v="-767.62"/>
    <n v="0"/>
    <n v="1197.869181"/>
    <n v="10412.249180999999"/>
  </r>
  <r>
    <x v="6"/>
    <s v="Q3"/>
    <x v="0"/>
    <x v="93"/>
    <s v="KEPL/01667/82-83"/>
    <s v="DINESH TRADING HOUSE"/>
    <x v="52"/>
    <n v="10"/>
    <n v="40"/>
    <n v="595.92999999999995"/>
    <n v="23837.200000000001"/>
    <n v="-1833.08"/>
    <n v="0"/>
    <n v="2860.535077"/>
    <n v="24864.655076999999"/>
  </r>
  <r>
    <x v="6"/>
    <s v="Q3"/>
    <x v="0"/>
    <x v="93"/>
    <s v="KEPL/01667/82-83"/>
    <s v="DINESH TRADING HOUSE"/>
    <x v="26"/>
    <n v="2"/>
    <n v="36"/>
    <n v="178.78"/>
    <n v="6436.0800000000008"/>
    <n v="-494.93"/>
    <n v="0"/>
    <n v="772.34935900000005"/>
    <n v="6713.4993590000004"/>
  </r>
  <r>
    <x v="6"/>
    <s v="Q3"/>
    <x v="0"/>
    <x v="93"/>
    <s v="KEPL/01669/82-83"/>
    <s v="NILLONS L&amp;D"/>
    <x v="51"/>
    <n v="0.04"/>
    <n v="2"/>
    <n v="89.39"/>
    <n v="178.78"/>
    <n v="-13.75"/>
    <n v="0"/>
    <n v="21.45261"/>
    <n v="186.48260999999999"/>
  </r>
  <r>
    <x v="6"/>
    <s v="Q3"/>
    <x v="0"/>
    <x v="93"/>
    <s v="KEPL/01669/82-83"/>
    <s v="NILLONS L&amp;D"/>
    <x v="46"/>
    <n v="0.05"/>
    <n v="1"/>
    <n v="175.05"/>
    <n v="175.05"/>
    <n v="-13.46"/>
    <n v="0"/>
    <n v="21.005437000000001"/>
    <n v="182.595437"/>
  </r>
  <r>
    <x v="6"/>
    <s v="Q3"/>
    <x v="0"/>
    <x v="93"/>
    <s v="KEPL/01669/82-83"/>
    <s v="NILLONS L&amp;D"/>
    <x v="23"/>
    <n v="0.01"/>
    <n v="5"/>
    <n v="7.45"/>
    <n v="37.25"/>
    <n v="-2.86"/>
    <n v="0"/>
    <n v="4.4704309999999996"/>
    <n v="38.860430999999998"/>
  </r>
  <r>
    <x v="6"/>
    <s v="Q3"/>
    <x v="0"/>
    <x v="93"/>
    <s v="KEPL/01669/82-83"/>
    <s v="NILLONS L&amp;D"/>
    <x v="22"/>
    <n v="0.04"/>
    <n v="1"/>
    <n v="204.85"/>
    <n v="204.85"/>
    <n v="-15.75"/>
    <n v="0"/>
    <n v="24.581522"/>
    <n v="213.681522"/>
  </r>
  <r>
    <x v="6"/>
    <s v="Q3"/>
    <x v="0"/>
    <x v="94"/>
    <s v="KEPL/01670/82-83"/>
    <s v="SALEWAYS CASH AND CARRY PVT LTD "/>
    <x v="27"/>
    <n v="25"/>
    <n v="1750"/>
    <n v="34.51"/>
    <n v="60392.5"/>
    <n v="0"/>
    <n v="0"/>
    <n v="7851.0248879999999"/>
    <n v="68243.524888"/>
  </r>
  <r>
    <x v="6"/>
    <s v="Q3"/>
    <x v="0"/>
    <x v="94"/>
    <s v="KEPL/01670/82-83"/>
    <s v="SALEWAYS CASH AND CARRY PVT LTD "/>
    <x v="28"/>
    <n v="20"/>
    <n v="400"/>
    <n v="189.82"/>
    <n v="75928"/>
    <n v="0"/>
    <n v="0"/>
    <n v="9870.639858999999"/>
    <n v="85798.639859000003"/>
  </r>
  <r>
    <x v="6"/>
    <s v="Q3"/>
    <x v="0"/>
    <x v="94"/>
    <s v="KEPL/01670/82-83"/>
    <s v="SALEWAYS CASH AND CARRY PVT LTD "/>
    <x v="12"/>
    <n v="20"/>
    <n v="2600"/>
    <n v="34.51"/>
    <n v="89726"/>
    <n v="0"/>
    <n v="0"/>
    <n v="11664.379833000001"/>
    <n v="101390.379833"/>
  </r>
  <r>
    <x v="6"/>
    <s v="Q3"/>
    <x v="0"/>
    <x v="94"/>
    <s v="KEPL/01670/82-83"/>
    <s v="SALEWAYS CASH AND CARRY PVT LTD "/>
    <x v="29"/>
    <n v="20"/>
    <n v="400"/>
    <n v="189.82"/>
    <n v="75928"/>
    <n v="0"/>
    <n v="0"/>
    <n v="9870.639858999999"/>
    <n v="85798.639859000003"/>
  </r>
  <r>
    <x v="6"/>
    <s v="Q3"/>
    <x v="0"/>
    <x v="94"/>
    <s v="KEPL/01670/82-83"/>
    <s v="SALEWAYS CASH AND CARRY PVT LTD "/>
    <x v="36"/>
    <n v="15"/>
    <n v="600"/>
    <n v="75.930000000000007"/>
    <n v="45558"/>
    <n v="0"/>
    <n v="0"/>
    <n v="5922.5399150000003"/>
    <n v="51480.539915000001"/>
  </r>
  <r>
    <x v="6"/>
    <s v="Q3"/>
    <x v="0"/>
    <x v="94"/>
    <s v="KEPL/01670/82-83"/>
    <s v="SALEWAYS CASH AND CARRY PVT LTD "/>
    <x v="24"/>
    <n v="5"/>
    <n v="90"/>
    <n v="165.66"/>
    <n v="14909.4"/>
    <n v="0"/>
    <n v="0"/>
    <n v="1938.2219719999998"/>
    <n v="16847.621972000001"/>
  </r>
  <r>
    <x v="6"/>
    <s v="Q3"/>
    <x v="0"/>
    <x v="94"/>
    <s v="KEPL/01670/82-83"/>
    <s v="SALEWAYS CASH AND CARRY PVT LTD "/>
    <x v="52"/>
    <n v="20"/>
    <n v="80"/>
    <n v="552.21"/>
    <n v="44176.799999999996"/>
    <n v="0"/>
    <n v="0"/>
    <n v="5742.9839179999999"/>
    <n v="49919.783918000001"/>
  </r>
  <r>
    <x v="6"/>
    <s v="Q3"/>
    <x v="0"/>
    <x v="94"/>
    <s v="KEPL/01670/82-83"/>
    <s v="SALEWAYS CASH AND CARRY PVT LTD "/>
    <x v="39"/>
    <n v="15"/>
    <n v="300"/>
    <n v="231.24"/>
    <n v="69372"/>
    <n v="0"/>
    <n v="0"/>
    <n v="9018.3598710000006"/>
    <n v="78390.359870999993"/>
  </r>
  <r>
    <x v="6"/>
    <s v="Q3"/>
    <x v="0"/>
    <x v="94"/>
    <s v="KEPL/01670/82-83"/>
    <s v="SALEWAYS CASH AND CARRY PVT LTD "/>
    <x v="31"/>
    <n v="10"/>
    <n v="600"/>
    <n v="103.54"/>
    <n v="62124"/>
    <n v="0"/>
    <n v="0"/>
    <n v="8076.1198850000001"/>
    <n v="70200.119884999993"/>
  </r>
  <r>
    <x v="6"/>
    <s v="Q3"/>
    <x v="0"/>
    <x v="94"/>
    <s v="KEPL/01671/82-83"/>
    <s v="SALEWAYS CASH AND CARRY PVT LTD "/>
    <x v="32"/>
    <n v="10"/>
    <n v="600"/>
    <n v="103.54"/>
    <n v="62124"/>
    <n v="0"/>
    <n v="0"/>
    <n v="8076.1199169999991"/>
    <n v="70200.119917000004"/>
  </r>
  <r>
    <x v="6"/>
    <s v="Q3"/>
    <x v="0"/>
    <x v="94"/>
    <s v="KEPL/01671/82-83"/>
    <s v="SALEWAYS CASH AND CARRY PVT LTD "/>
    <x v="42"/>
    <n v="10"/>
    <n v="300"/>
    <n v="293.36"/>
    <n v="88008"/>
    <n v="0"/>
    <n v="0"/>
    <n v="11441.039882000001"/>
    <n v="99449.039881999997"/>
  </r>
  <r>
    <x v="6"/>
    <s v="Q3"/>
    <x v="0"/>
    <x v="94"/>
    <s v="KEPL/01671/82-83"/>
    <s v="SALEWAYS CASH AND CARRY PVT LTD "/>
    <x v="43"/>
    <n v="10"/>
    <n v="600"/>
    <n v="103.54"/>
    <n v="62124"/>
    <n v="0"/>
    <n v="0"/>
    <n v="8076.1199169999991"/>
    <n v="70200.119917000004"/>
  </r>
  <r>
    <x v="6"/>
    <s v="Q3"/>
    <x v="0"/>
    <x v="94"/>
    <s v="KEPL/01671/82-83"/>
    <s v="SALEWAYS CASH AND CARRY PVT LTD "/>
    <x v="44"/>
    <n v="25"/>
    <n v="600"/>
    <n v="172.57"/>
    <n v="103542"/>
    <n v="0"/>
    <n v="0"/>
    <n v="13460.459860999999"/>
    <n v="117002.459861"/>
  </r>
  <r>
    <x v="6"/>
    <s v="Q3"/>
    <x v="0"/>
    <x v="94"/>
    <s v="KEPL/01671/82-83"/>
    <s v="SALEWAYS CASH AND CARRY PVT LTD "/>
    <x v="49"/>
    <n v="15"/>
    <n v="225"/>
    <n v="241.59"/>
    <n v="54357.749999999993"/>
    <n v="0"/>
    <n v="0"/>
    <n v="7066.5074270000005"/>
    <n v="61424.257426999997"/>
  </r>
  <r>
    <x v="6"/>
    <s v="Q3"/>
    <x v="0"/>
    <x v="94"/>
    <s v="KEPL/01671/82-83"/>
    <s v="SALEWAYS CASH AND CARRY PVT LTD "/>
    <x v="34"/>
    <n v="5"/>
    <n v="200"/>
    <n v="69.03"/>
    <n v="13806"/>
    <n v="0"/>
    <n v="0"/>
    <n v="1794.7799809999999"/>
    <n v="15600.779981"/>
  </r>
  <r>
    <x v="6"/>
    <s v="Q3"/>
    <x v="0"/>
    <x v="94"/>
    <s v="KEPL/01671/82-83"/>
    <s v="SALEWAYS CASH AND CARRY PVT LTD "/>
    <x v="58"/>
    <n v="5"/>
    <n v="200"/>
    <n v="103.54"/>
    <n v="20708"/>
    <n v="0"/>
    <n v="0"/>
    <n v="2692.039972"/>
    <n v="23400.039971999999"/>
  </r>
  <r>
    <x v="6"/>
    <s v="Q3"/>
    <x v="0"/>
    <x v="94"/>
    <s v="KEPL/01671/82-83"/>
    <s v="SALEWAYS CASH AND CARRY PVT LTD "/>
    <x v="35"/>
    <n v="10"/>
    <n v="600"/>
    <n v="134.6"/>
    <n v="80760"/>
    <n v="0"/>
    <n v="0"/>
    <n v="10498.799892000001"/>
    <n v="91258.799891999995"/>
  </r>
  <r>
    <x v="6"/>
    <s v="Q3"/>
    <x v="0"/>
    <x v="94"/>
    <s v="KEPL/01671/82-83"/>
    <s v="SALEWAYS CASH AND CARRY PVT LTD "/>
    <x v="47"/>
    <n v="10"/>
    <n v="400"/>
    <n v="103.54"/>
    <n v="41416"/>
    <n v="0"/>
    <n v="0"/>
    <n v="5384.0799440000001"/>
    <n v="46800.079943999997"/>
  </r>
  <r>
    <x v="6"/>
    <s v="Q3"/>
    <x v="0"/>
    <x v="94"/>
    <s v="KEPL/01671/82-83"/>
    <s v="SALEWAYS CASH AND CARRY PVT LTD "/>
    <x v="53"/>
    <n v="20"/>
    <n v="800"/>
    <n v="75.930000000000007"/>
    <n v="60744"/>
    <n v="0"/>
    <n v="0"/>
    <n v="7896.7199190000001"/>
    <n v="68640.719918999996"/>
  </r>
  <r>
    <x v="6"/>
    <s v="Q3"/>
    <x v="0"/>
    <x v="94"/>
    <s v="KEPL/01671/82-83"/>
    <s v="SALEWAYS CASH AND CARRY PVT LTD "/>
    <x v="33"/>
    <n v="15"/>
    <n v="600"/>
    <n v="69.03"/>
    <n v="41418"/>
    <n v="0"/>
    <n v="0"/>
    <n v="5384.3399439999994"/>
    <n v="46802.339943999999"/>
  </r>
  <r>
    <x v="6"/>
    <s v="Q3"/>
    <x v="0"/>
    <x v="94"/>
    <s v="KEPL/01671/82-83"/>
    <s v="SALEWAYS CASH AND CARRY PVT LTD "/>
    <x v="45"/>
    <n v="15"/>
    <n v="225"/>
    <n v="241.59"/>
    <n v="54357.749999999993"/>
    <n v="0"/>
    <n v="0"/>
    <n v="7066.5074270000005"/>
    <n v="61424.257426999997"/>
  </r>
  <r>
    <x v="6"/>
    <s v="Q3"/>
    <x v="0"/>
    <x v="94"/>
    <s v="KEPL/01671/82-83"/>
    <s v="SALEWAYS CASH AND CARRY PVT LTD "/>
    <x v="38"/>
    <n v="15"/>
    <n v="360"/>
    <n v="172.57"/>
    <n v="62125.2"/>
    <n v="0"/>
    <n v="0"/>
    <n v="8076.2759169999999"/>
    <n v="70201.475917000003"/>
  </r>
  <r>
    <x v="6"/>
    <s v="Q3"/>
    <x v="0"/>
    <x v="94"/>
    <s v="KEPL/01676/82-83"/>
    <s v="EMERALD TRADE LINK"/>
    <x v="36"/>
    <n v="1"/>
    <n v="40"/>
    <n v="81.94"/>
    <n v="3277.6"/>
    <n v="-252.05"/>
    <n v="0"/>
    <n v="393.32165399999997"/>
    <n v="3418.871654"/>
  </r>
  <r>
    <x v="6"/>
    <s v="Q3"/>
    <x v="0"/>
    <x v="94"/>
    <s v="KEPL/01676/82-83"/>
    <s v="EMERALD TRADE LINK"/>
    <x v="21"/>
    <n v="1"/>
    <n v="240"/>
    <n v="14.9"/>
    <n v="3576"/>
    <n v="-274.99"/>
    <n v="0"/>
    <n v="429.13146800000004"/>
    <n v="3730.1414679999998"/>
  </r>
  <r>
    <x v="6"/>
    <s v="Q3"/>
    <x v="0"/>
    <x v="94"/>
    <s v="KEPL/01676/82-83"/>
    <s v="EMERALD TRADE LINK"/>
    <x v="40"/>
    <n v="1"/>
    <n v="600"/>
    <n v="7.46"/>
    <n v="4476"/>
    <n v="-344.2"/>
    <n v="0"/>
    <n v="537.13420999999994"/>
    <n v="4668.9342100000003"/>
  </r>
  <r>
    <x v="6"/>
    <s v="Q3"/>
    <x v="0"/>
    <x v="94"/>
    <s v="KEPL/01676/82-83"/>
    <s v="EMERALD TRADE LINK"/>
    <x v="50"/>
    <n v="1"/>
    <n v="239"/>
    <n v="14.9"/>
    <n v="3561.1"/>
    <n v="-273.85000000000002"/>
    <n v="0"/>
    <n v="427.34266700000001"/>
    <n v="3714.5926669999999"/>
  </r>
  <r>
    <x v="6"/>
    <s v="Q3"/>
    <x v="0"/>
    <x v="94"/>
    <s v="KEPL/01680/82-83"/>
    <s v="WELSON TRADE &amp; RASAN MART"/>
    <x v="55"/>
    <n v="1"/>
    <n v="20"/>
    <n v="175.05"/>
    <n v="3500.9999999999995"/>
    <n v="-269.23"/>
    <n v="0"/>
    <n v="420.12975899999998"/>
    <n v="3651.8997589999999"/>
  </r>
  <r>
    <x v="6"/>
    <s v="Q3"/>
    <x v="0"/>
    <x v="94"/>
    <s v="KEPL/01680/82-83"/>
    <s v="WELSON TRADE &amp; RASAN MART"/>
    <x v="29"/>
    <n v="1"/>
    <n v="20"/>
    <n v="204.85"/>
    <n v="4097"/>
    <n v="-315.06"/>
    <n v="0"/>
    <n v="491.65180100000003"/>
    <n v="4273.5918009999996"/>
  </r>
  <r>
    <x v="6"/>
    <s v="Q3"/>
    <x v="0"/>
    <x v="94"/>
    <s v="KEPL/01680/82-83"/>
    <s v="WELSON TRADE &amp; RASAN MART"/>
    <x v="33"/>
    <n v="1"/>
    <n v="40"/>
    <n v="74.489999999999995"/>
    <n v="2979.6"/>
    <n v="-229.13"/>
    <n v="0"/>
    <n v="357.56081"/>
    <n v="3108.0308100000002"/>
  </r>
  <r>
    <x v="6"/>
    <s v="Q3"/>
    <x v="0"/>
    <x v="94"/>
    <s v="KEPL/01680/82-83"/>
    <s v="WELSON TRADE &amp; RASAN MART"/>
    <x v="28"/>
    <n v="1"/>
    <n v="20"/>
    <n v="204.85"/>
    <n v="4097"/>
    <n v="-315.06"/>
    <n v="0"/>
    <n v="491.65180100000003"/>
    <n v="4273.5918009999996"/>
  </r>
  <r>
    <x v="6"/>
    <s v="Q3"/>
    <x v="0"/>
    <x v="94"/>
    <s v="KEPL/01680/82-83"/>
    <s v="WELSON TRADE &amp; RASAN MART"/>
    <x v="47"/>
    <n v="3"/>
    <n v="120"/>
    <n v="111.74"/>
    <n v="13408.8"/>
    <n v="-1031.1400000000001"/>
    <n v="0"/>
    <n v="1609.0944930000001"/>
    <n v="13986.754493"/>
  </r>
  <r>
    <x v="6"/>
    <s v="Q3"/>
    <x v="0"/>
    <x v="94"/>
    <s v="KEPL/01680/82-83"/>
    <s v="WELSON TRADE &amp; RASAN MART"/>
    <x v="34"/>
    <n v="1"/>
    <n v="40"/>
    <n v="74.489999999999995"/>
    <n v="2979.6"/>
    <n v="-229.13"/>
    <n v="0"/>
    <n v="357.56081"/>
    <n v="3108.0308100000002"/>
  </r>
  <r>
    <x v="6"/>
    <s v="Q3"/>
    <x v="0"/>
    <x v="94"/>
    <s v="KEPL/01680/82-83"/>
    <s v="WELSON TRADE &amp; RASAN MART"/>
    <x v="58"/>
    <n v="2"/>
    <n v="80"/>
    <n v="111.74"/>
    <n v="8939.2000000000007"/>
    <n v="-687.42"/>
    <n v="0"/>
    <n v="1072.730528"/>
    <n v="9324.5105280000007"/>
  </r>
  <r>
    <x v="6"/>
    <s v="Q3"/>
    <x v="0"/>
    <x v="94"/>
    <s v="KEPL/01681/82-83"/>
    <s v="EMERALD TRADE LINK"/>
    <x v="52"/>
    <n v="5"/>
    <n v="20"/>
    <n v="595.92999999999995"/>
    <n v="11918.6"/>
    <n v="-916.54"/>
    <n v="0"/>
    <n v="1430.27"/>
    <n v="12432.33"/>
  </r>
  <r>
    <x v="6"/>
    <s v="Q3"/>
    <x v="0"/>
    <x v="94"/>
    <s v="KEPL/01682/82-83"/>
    <s v="SHUBHASHREE MARKETING"/>
    <x v="36"/>
    <n v="2"/>
    <n v="80"/>
    <n v="81.94"/>
    <n v="6555.2"/>
    <n v="-504.09"/>
    <n v="0"/>
    <n v="786.64487100000008"/>
    <n v="6837.7548710000001"/>
  </r>
  <r>
    <x v="6"/>
    <s v="Q3"/>
    <x v="0"/>
    <x v="94"/>
    <s v="KEPL/01682/82-83"/>
    <s v="SHUBHASHREE MARKETING"/>
    <x v="32"/>
    <n v="2"/>
    <n v="120"/>
    <n v="111.74"/>
    <n v="13408.8"/>
    <n v="-1031.1400000000001"/>
    <n v="0"/>
    <n v="1609.0969689999999"/>
    <n v="13986.756969"/>
  </r>
  <r>
    <x v="6"/>
    <s v="Q3"/>
    <x v="0"/>
    <x v="94"/>
    <s v="KEPL/01682/82-83"/>
    <s v="SHUBHASHREE MARKETING"/>
    <x v="51"/>
    <n v="5"/>
    <n v="250"/>
    <n v="89.39"/>
    <n v="22347.5"/>
    <n v="-1718.52"/>
    <n v="0"/>
    <n v="2681.7693480000003"/>
    <n v="23310.749348000001"/>
  </r>
  <r>
    <x v="6"/>
    <s v="Q3"/>
    <x v="0"/>
    <x v="94"/>
    <s v="KEPL/01682/82-83"/>
    <s v="SHUBHASHREE MARKETING"/>
    <x v="40"/>
    <n v="1"/>
    <n v="600"/>
    <n v="7.46"/>
    <n v="4476"/>
    <n v="-344.2"/>
    <n v="0"/>
    <n v="537.13438999999994"/>
    <n v="4668.9343900000003"/>
  </r>
  <r>
    <x v="6"/>
    <s v="Q3"/>
    <x v="0"/>
    <x v="94"/>
    <s v="KEPL/01682/82-83"/>
    <s v="SHUBHASHREE MARKETING"/>
    <x v="21"/>
    <n v="2"/>
    <n v="479"/>
    <n v="14.9"/>
    <n v="7137.1"/>
    <n v="-548.84"/>
    <n v="0"/>
    <n v="856.474422"/>
    <n v="7444.7344220000004"/>
  </r>
  <r>
    <x v="6"/>
    <s v="Q3"/>
    <x v="0"/>
    <x v="94"/>
    <s v="KEPL/01683/82-83"/>
    <s v="NAWA ATITHI STORES"/>
    <x v="24"/>
    <n v="1"/>
    <n v="18"/>
    <n v="178.78"/>
    <n v="3218.0400000000004"/>
    <n v="-247.47"/>
    <n v="0"/>
    <n v="386.17392799999999"/>
    <n v="3356.7439279999999"/>
  </r>
  <r>
    <x v="6"/>
    <s v="Q3"/>
    <x v="0"/>
    <x v="94"/>
    <s v="KEPL/01683/82-83"/>
    <s v="NAWA ATITHI STORES"/>
    <x v="36"/>
    <n v="2"/>
    <n v="80"/>
    <n v="81.94"/>
    <n v="6555.2"/>
    <n v="-504.09"/>
    <n v="0"/>
    <n v="786.64395100000002"/>
    <n v="6837.7539509999997"/>
  </r>
  <r>
    <x v="6"/>
    <s v="Q3"/>
    <x v="0"/>
    <x v="94"/>
    <s v="KEPL/01683/82-83"/>
    <s v="NAWA ATITHI STORES"/>
    <x v="56"/>
    <n v="2"/>
    <n v="1600"/>
    <n v="7.45"/>
    <n v="11927.98"/>
    <n v="-917.26"/>
    <n v="0"/>
    <n v="1431.3929639999999"/>
    <n v="12442.112964"/>
  </r>
  <r>
    <x v="6"/>
    <s v="Q3"/>
    <x v="0"/>
    <x v="94"/>
    <s v="KEPL/01683/82-83"/>
    <s v="NAWA ATITHI STORES"/>
    <x v="26"/>
    <n v="2"/>
    <n v="36"/>
    <n v="178.78"/>
    <n v="6436.0800000000008"/>
    <n v="-494.93"/>
    <n v="0"/>
    <n v="772.34915699999999"/>
    <n v="6713.4991570000002"/>
  </r>
  <r>
    <x v="6"/>
    <s v="Q3"/>
    <x v="0"/>
    <x v="94"/>
    <s v="KEPL/01710/82-83"/>
    <s v="KRISHMA ENTERPRISES"/>
    <x v="39"/>
    <n v="5"/>
    <n v="100"/>
    <n v="249.55"/>
    <n v="24955"/>
    <n v="-1919.04"/>
    <n v="0"/>
    <n v="2994.6745599999999"/>
    <n v="26030.634559999999"/>
  </r>
  <r>
    <x v="6"/>
    <s v="Q3"/>
    <x v="0"/>
    <x v="94"/>
    <s v="KEPL/01710/82-83"/>
    <s v="KRISHMA ENTERPRISES"/>
    <x v="27"/>
    <n v="50"/>
    <n v="3500"/>
    <n v="37.25"/>
    <n v="130375"/>
    <n v="-10025.84"/>
    <n v="0"/>
    <n v="15645.389546"/>
    <n v="135994.54954599999"/>
  </r>
  <r>
    <x v="6"/>
    <s v="Q3"/>
    <x v="0"/>
    <x v="94"/>
    <s v="KEPL/01710/82-83"/>
    <s v="KRISHMA ENTERPRISES"/>
    <x v="45"/>
    <n v="5"/>
    <n v="75"/>
    <n v="260.72000000000003"/>
    <n v="19554"/>
    <n v="-1503.6999999999998"/>
    <n v="0"/>
    <n v="2346.5388120000002"/>
    <n v="20396.838812000002"/>
  </r>
  <r>
    <x v="6"/>
    <s v="Q3"/>
    <x v="0"/>
    <x v="94"/>
    <s v="KEPL/01710/82-83"/>
    <s v="KRISHMA ENTERPRISES"/>
    <x v="49"/>
    <n v="5"/>
    <n v="75"/>
    <n v="260.72000000000003"/>
    <n v="19554"/>
    <n v="-1503.6999999999998"/>
    <n v="0"/>
    <n v="2346.5388120000002"/>
    <n v="20396.838812000002"/>
  </r>
  <r>
    <x v="6"/>
    <s v="Q3"/>
    <x v="0"/>
    <x v="94"/>
    <s v="KEPL/01710/82-83"/>
    <s v="KRISHMA ENTERPRISES"/>
    <x v="46"/>
    <n v="3"/>
    <n v="60"/>
    <n v="175.05"/>
    <n v="10503"/>
    <n v="-807.68"/>
    <n v="0"/>
    <n v="1260.3914990000001"/>
    <n v="10955.711498999999"/>
  </r>
  <r>
    <x v="6"/>
    <s v="Q3"/>
    <x v="0"/>
    <x v="94"/>
    <s v="KEPL/01710/82-83"/>
    <s v="KRISHMA ENTERPRISES"/>
    <x v="47"/>
    <n v="5"/>
    <n v="200"/>
    <n v="111.74"/>
    <n v="22348"/>
    <n v="-1718.56"/>
    <n v="0"/>
    <n v="2681.8269850000001"/>
    <n v="23311.266984999998"/>
  </r>
  <r>
    <x v="6"/>
    <s v="Q3"/>
    <x v="0"/>
    <x v="94"/>
    <s v="KEPL/01710/82-83"/>
    <s v="KRISHMA ENTERPRISES"/>
    <x v="55"/>
    <n v="5"/>
    <n v="100"/>
    <n v="175.05"/>
    <n v="17505"/>
    <n v="-1346.1299999999999"/>
    <n v="0"/>
    <n v="2100.652932"/>
    <n v="18259.522932"/>
  </r>
  <r>
    <x v="6"/>
    <s v="Q3"/>
    <x v="0"/>
    <x v="94"/>
    <s v="KEPL/01710/82-83"/>
    <s v="KRISHMA ENTERPRISES"/>
    <x v="52"/>
    <n v="50"/>
    <n v="200"/>
    <n v="595.92999999999995"/>
    <n v="119186"/>
    <n v="-9165.4"/>
    <n v="0"/>
    <n v="14302.676853999999"/>
    <n v="124323.276854"/>
  </r>
  <r>
    <x v="6"/>
    <s v="Q3"/>
    <x v="0"/>
    <x v="94"/>
    <s v="KEPL/01717/82-83"/>
    <s v="B AND B SUPPLIERS-LEKHNATH"/>
    <x v="52"/>
    <n v="3"/>
    <n v="12"/>
    <n v="595.92999999999995"/>
    <n v="7151.16"/>
    <n v="-549.91999999999996"/>
    <n v="0"/>
    <n v="858.16147099999989"/>
    <n v="7459.4014710000001"/>
  </r>
  <r>
    <x v="6"/>
    <s v="Q3"/>
    <x v="0"/>
    <x v="94"/>
    <s v="KEPL/01717/82-83"/>
    <s v="B AND B SUPPLIERS-LEKHNATH"/>
    <x v="45"/>
    <n v="2"/>
    <n v="30"/>
    <n v="260.72000000000003"/>
    <n v="7821.6"/>
    <n v="-601.48"/>
    <n v="0"/>
    <n v="938.61589700000002"/>
    <n v="8158.7358969999996"/>
  </r>
  <r>
    <x v="6"/>
    <s v="Q3"/>
    <x v="0"/>
    <x v="94"/>
    <s v="KEPL/01717/82-83"/>
    <s v="B AND B SUPPLIERS-LEKHNATH"/>
    <x v="27"/>
    <n v="3"/>
    <n v="210"/>
    <n v="37.25"/>
    <n v="7822.5"/>
    <n v="-601.55000000000007"/>
    <n v="0"/>
    <n v="938.72379699999999"/>
    <n v="8159.6737970000004"/>
  </r>
  <r>
    <x v="6"/>
    <s v="Q3"/>
    <x v="0"/>
    <x v="94"/>
    <s v="KEPL/01717/82-83"/>
    <s v="B AND B SUPPLIERS-LEKHNATH"/>
    <x v="12"/>
    <n v="1"/>
    <n v="130"/>
    <n v="37.25"/>
    <n v="4842.5"/>
    <n v="-372.39"/>
    <n v="0"/>
    <n v="581.11448399999995"/>
    <n v="5051.2244840000003"/>
  </r>
  <r>
    <x v="6"/>
    <s v="Q3"/>
    <x v="0"/>
    <x v="94"/>
    <s v="KEPL/01717/82-83"/>
    <s v="B AND B SUPPLIERS-LEKHNATH"/>
    <x v="33"/>
    <n v="3"/>
    <n v="120"/>
    <n v="74.489999999999995"/>
    <n v="8938.8000000000011"/>
    <n v="-687.3900000000001"/>
    <n v="0"/>
    <n v="1072.6836390000001"/>
    <n v="9324.0936390000006"/>
  </r>
  <r>
    <x v="6"/>
    <s v="Q3"/>
    <x v="0"/>
    <x v="94"/>
    <s v="KEPL/01717/82-83"/>
    <s v="B AND B SUPPLIERS-LEKHNATH"/>
    <x v="36"/>
    <n v="2"/>
    <n v="80"/>
    <n v="81.94"/>
    <n v="6555.2"/>
    <n v="-504.09"/>
    <n v="0"/>
    <n v="786.6445490000001"/>
    <n v="6837.7545490000002"/>
  </r>
  <r>
    <x v="6"/>
    <s v="Q3"/>
    <x v="0"/>
    <x v="94"/>
    <s v="KEPL/01717/82-83"/>
    <s v="B AND B SUPPLIERS-LEKHNATH"/>
    <x v="44"/>
    <n v="2"/>
    <n v="48"/>
    <n v="186.23"/>
    <n v="8939.0400000000009"/>
    <n v="-687.41"/>
    <n v="0"/>
    <n v="1072.712239"/>
    <n v="9324.3422389999996"/>
  </r>
  <r>
    <x v="6"/>
    <s v="Q3"/>
    <x v="0"/>
    <x v="94"/>
    <s v="KEPL/01717/82-83"/>
    <s v="B AND B SUPPLIERS-LEKHNATH"/>
    <x v="56"/>
    <n v="1"/>
    <n v="800"/>
    <n v="7.46"/>
    <n v="5968"/>
    <n v="-458.94"/>
    <n v="0"/>
    <n v="716.17802700000004"/>
    <n v="6225.2380270000003"/>
  </r>
  <r>
    <x v="6"/>
    <s v="Q3"/>
    <x v="0"/>
    <x v="94"/>
    <s v="KEPL/01717/82-83"/>
    <s v="B AND B SUPPLIERS-LEKHNATH"/>
    <x v="49"/>
    <n v="2"/>
    <n v="30"/>
    <n v="260.72000000000003"/>
    <n v="7821.6"/>
    <n v="-601.48"/>
    <n v="0"/>
    <n v="938.61589700000002"/>
    <n v="8158.7358969999996"/>
  </r>
  <r>
    <x v="7"/>
    <s v="Q4"/>
    <x v="0"/>
    <x v="95"/>
    <s v="KEPL/01775/82-83"/>
    <s v="SHREE BHOLEY SHANKAR KIRANA STORE"/>
    <x v="43"/>
    <n v="1"/>
    <n v="60"/>
    <n v="111.74"/>
    <n v="6704.4"/>
    <n v="-515.57000000000005"/>
    <n v="0"/>
    <n v="804.55000000000007"/>
    <n v="6993.38"/>
  </r>
  <r>
    <x v="7"/>
    <s v="Q4"/>
    <x v="0"/>
    <x v="95"/>
    <s v="KEPL/01775/82-83"/>
    <s v="SHREE BHOLEY SHANKAR KIRANA STORE"/>
    <x v="32"/>
    <n v="1"/>
    <n v="60"/>
    <n v="111.74"/>
    <n v="6704.4"/>
    <n v="-515.57000000000005"/>
    <n v="0"/>
    <n v="804.55000000000007"/>
    <n v="6993.38"/>
  </r>
  <r>
    <x v="7"/>
    <s v="Q4"/>
    <x v="0"/>
    <x v="96"/>
    <s v="KEPL/01781/82-83"/>
    <s v="SIMPEX SOLUTION PVT. LTD"/>
    <x v="28"/>
    <n v="0.25"/>
    <n v="5"/>
    <n v="194.69"/>
    <n v="973.44999999999993"/>
    <n v="0"/>
    <n v="0"/>
    <n v="126.54921400000001"/>
    <n v="1099.9992139999999"/>
  </r>
  <r>
    <x v="7"/>
    <s v="Q4"/>
    <x v="0"/>
    <x v="96"/>
    <s v="KEPL/01781/82-83"/>
    <s v="SIMPEX SOLUTION PVT. LTD"/>
    <x v="35"/>
    <n v="0.08"/>
    <n v="5"/>
    <n v="138.05000000000001"/>
    <n v="690.24999999999989"/>
    <n v="0"/>
    <n v="0"/>
    <n v="89.733006000000003"/>
    <n v="779.98300600000005"/>
  </r>
  <r>
    <x v="7"/>
    <s v="Q4"/>
    <x v="0"/>
    <x v="96"/>
    <s v="KEPL/01781/82-83"/>
    <s v="SIMPEX SOLUTION PVT. LTD"/>
    <x v="47"/>
    <n v="0.25"/>
    <n v="10"/>
    <n v="106.19"/>
    <n v="1061.9000000000001"/>
    <n v="0"/>
    <n v="0"/>
    <n v="138.04777899999999"/>
    <n v="1199.9477790000001"/>
  </r>
  <r>
    <x v="7"/>
    <s v="Q4"/>
    <x v="0"/>
    <x v="96"/>
    <s v="KEPL/01782/82-83"/>
    <s v="B AND B SUPPLIERS-LEKHNATH"/>
    <x v="57"/>
    <n v="1.83"/>
    <n v="73"/>
    <n v="103.15"/>
    <n v="7529.95"/>
    <n v="0"/>
    <n v="0"/>
    <n v="978.89401199999998"/>
    <n v="8508.8440119999996"/>
  </r>
  <r>
    <x v="7"/>
    <s v="Q4"/>
    <x v="0"/>
    <x v="96"/>
    <s v="KEPL/01782/82-83"/>
    <s v="B AND B SUPPLIERS-LEKHNATH"/>
    <x v="47"/>
    <n v="3.85"/>
    <n v="154"/>
    <n v="103.15"/>
    <n v="15885.1"/>
    <n v="0"/>
    <n v="0"/>
    <n v="2065.0640790000002"/>
    <n v="17950.164078999998"/>
  </r>
  <r>
    <x v="7"/>
    <s v="Q4"/>
    <x v="0"/>
    <x v="96"/>
    <s v="KEPL/01782/82-83"/>
    <s v="B AND B SUPPLIERS-LEKHNATH"/>
    <x v="49"/>
    <n v="0.73"/>
    <n v="11"/>
    <n v="240.67"/>
    <n v="2647.37"/>
    <n v="0"/>
    <n v="0"/>
    <n v="344.15827999999999"/>
    <n v="2991.52828"/>
  </r>
  <r>
    <x v="7"/>
    <s v="Q4"/>
    <x v="0"/>
    <x v="96"/>
    <s v="KEPL/01782/82-83"/>
    <s v="B AND B SUPPLIERS-LEKHNATH"/>
    <x v="35"/>
    <n v="0.55000000000000004"/>
    <n v="33"/>
    <n v="134.08000000000001"/>
    <n v="4424.6400000000003"/>
    <n v="0"/>
    <n v="0"/>
    <n v="575.20350099999996"/>
    <n v="4999.8435010000003"/>
  </r>
  <r>
    <x v="7"/>
    <s v="Q4"/>
    <x v="0"/>
    <x v="96"/>
    <s v="KEPL/01782/82-83"/>
    <s v="B AND B SUPPLIERS-LEKHNATH"/>
    <x v="45"/>
    <n v="0.87"/>
    <n v="13"/>
    <n v="240.67"/>
    <n v="3128.71"/>
    <n v="0"/>
    <n v="0"/>
    <n v="406.73251299999998"/>
    <n v="3535.442513"/>
  </r>
  <r>
    <x v="7"/>
    <s v="Q4"/>
    <x v="0"/>
    <x v="96"/>
    <s v="KEPL/01782/82-83"/>
    <s v="B AND B SUPPLIERS-LEKHNATH"/>
    <x v="53"/>
    <n v="0.68"/>
    <n v="27"/>
    <n v="75.64"/>
    <n v="2042.28"/>
    <n v="0"/>
    <n v="0"/>
    <n v="265.49653899999998"/>
    <n v="2307.776539"/>
  </r>
  <r>
    <x v="7"/>
    <s v="Q4"/>
    <x v="0"/>
    <x v="96"/>
    <s v="KEPL/01782/82-83"/>
    <s v="B AND B SUPPLIERS-LEKHNATH"/>
    <x v="58"/>
    <n v="1.93"/>
    <n v="77"/>
    <n v="103.15"/>
    <n v="7942.55"/>
    <n v="0"/>
    <n v="0"/>
    <n v="1032.5320400000001"/>
    <n v="8975.0820399999993"/>
  </r>
  <r>
    <x v="7"/>
    <s v="Q4"/>
    <x v="0"/>
    <x v="96"/>
    <s v="KEPL/01782/82-83"/>
    <s v="B AND B SUPPLIERS-LEKHNATH"/>
    <x v="12"/>
    <n v="0.78"/>
    <n v="102"/>
    <n v="34.380000000000003"/>
    <n v="3506.7599999999998"/>
    <n v="0"/>
    <n v="0"/>
    <n v="455.87903799999998"/>
    <n v="3962.6390379999998"/>
  </r>
  <r>
    <x v="7"/>
    <s v="Q4"/>
    <x v="0"/>
    <x v="96"/>
    <s v="KESR/0043/82-83"/>
    <s v="P and B Traders"/>
    <x v="58"/>
    <n v="-1.93"/>
    <n v="-77"/>
    <n v="103.15"/>
    <n v="-7942.55"/>
    <n v="0"/>
    <n v="0"/>
    <n v="-1032.5320400000001"/>
    <n v="-8975.0820399999993"/>
  </r>
  <r>
    <x v="7"/>
    <s v="Q4"/>
    <x v="0"/>
    <x v="96"/>
    <s v="KESR/0043/82-83"/>
    <s v="P and B Traders"/>
    <x v="53"/>
    <n v="-0.68"/>
    <n v="-27"/>
    <n v="75.64"/>
    <n v="-2042.28"/>
    <n v="0"/>
    <n v="0"/>
    <n v="-265.49653899999998"/>
    <n v="-2307.776539"/>
  </r>
  <r>
    <x v="7"/>
    <s v="Q4"/>
    <x v="0"/>
    <x v="96"/>
    <s v="KESR/0043/82-83"/>
    <s v="P and B Traders"/>
    <x v="12"/>
    <n v="-0.78"/>
    <n v="-102"/>
    <n v="34.380000000000003"/>
    <n v="-3506.7599999999998"/>
    <n v="0"/>
    <n v="0"/>
    <n v="-455.87903799999998"/>
    <n v="-3962.6390379999998"/>
  </r>
  <r>
    <x v="7"/>
    <s v="Q4"/>
    <x v="0"/>
    <x v="96"/>
    <s v="KESR/0043/82-83"/>
    <s v="P and B Traders"/>
    <x v="35"/>
    <n v="-0.55000000000000004"/>
    <n v="-33"/>
    <n v="134.08000000000001"/>
    <n v="-4424.6400000000003"/>
    <n v="0"/>
    <n v="0"/>
    <n v="-575.20350099999996"/>
    <n v="-4999.8435010000003"/>
  </r>
  <r>
    <x v="7"/>
    <s v="Q4"/>
    <x v="0"/>
    <x v="96"/>
    <s v="KESR/0043/82-83"/>
    <s v="P and B Traders"/>
    <x v="57"/>
    <n v="-1.83"/>
    <n v="-73"/>
    <n v="103.15"/>
    <n v="-7529.95"/>
    <n v="0"/>
    <n v="0"/>
    <n v="-978.89401199999998"/>
    <n v="-8508.8440119999996"/>
  </r>
  <r>
    <x v="7"/>
    <s v="Q4"/>
    <x v="0"/>
    <x v="96"/>
    <s v="KESR/0043/82-83"/>
    <s v="P and B Traders"/>
    <x v="45"/>
    <n v="-0.87"/>
    <n v="-13"/>
    <n v="240.67"/>
    <n v="-3128.71"/>
    <n v="0"/>
    <n v="0"/>
    <n v="-406.73251299999998"/>
    <n v="-3535.442513"/>
  </r>
  <r>
    <x v="7"/>
    <s v="Q4"/>
    <x v="0"/>
    <x v="96"/>
    <s v="KESR/0043/82-83"/>
    <s v="P and B Traders"/>
    <x v="47"/>
    <n v="-3.85"/>
    <n v="-154"/>
    <n v="103.15"/>
    <n v="-15885.1"/>
    <n v="0"/>
    <n v="0"/>
    <n v="-2065.0640790000002"/>
    <n v="-17950.164078999998"/>
  </r>
  <r>
    <x v="7"/>
    <s v="Q4"/>
    <x v="0"/>
    <x v="96"/>
    <s v="KESR/0043/82-83"/>
    <s v="P and B Traders"/>
    <x v="49"/>
    <n v="-0.73"/>
    <n v="-11"/>
    <n v="240.67"/>
    <n v="-2647.37"/>
    <n v="0"/>
    <n v="0"/>
    <n v="-344.15827999999999"/>
    <n v="-2991.52828"/>
  </r>
  <r>
    <x v="7"/>
    <s v="Q4"/>
    <x v="0"/>
    <x v="97"/>
    <s v="KEPL/01785/82-83"/>
    <s v="UMALAXMI TRADERS"/>
    <x v="28"/>
    <n v="2"/>
    <n v="40"/>
    <n v="204.85"/>
    <n v="8194"/>
    <n v="-630.12"/>
    <n v="0"/>
    <n v="983.30436399999996"/>
    <n v="8547.1843640000006"/>
  </r>
  <r>
    <x v="7"/>
    <s v="Q4"/>
    <x v="0"/>
    <x v="97"/>
    <s v="KEPL/01785/82-83"/>
    <s v="UMALAXMI TRADERS"/>
    <x v="36"/>
    <n v="1"/>
    <n v="40"/>
    <n v="81.94"/>
    <n v="3277.6"/>
    <n v="-252.05"/>
    <n v="0"/>
    <n v="393.32148599999999"/>
    <n v="3418.871486"/>
  </r>
  <r>
    <x v="7"/>
    <s v="Q4"/>
    <x v="0"/>
    <x v="97"/>
    <s v="KEPL/01785/82-83"/>
    <s v="UMALAXMI TRADERS"/>
    <x v="29"/>
    <n v="2"/>
    <n v="40"/>
    <n v="204.85"/>
    <n v="8194"/>
    <n v="-630.12"/>
    <n v="0"/>
    <n v="983.30436399999996"/>
    <n v="8547.1843640000006"/>
  </r>
  <r>
    <x v="7"/>
    <s v="Q4"/>
    <x v="0"/>
    <x v="97"/>
    <s v="KEPL/01785/82-83"/>
    <s v="UMALAXMI TRADERS"/>
    <x v="33"/>
    <n v="2"/>
    <n v="80"/>
    <n v="74.489999999999995"/>
    <n v="5959.2"/>
    <n v="-458.26"/>
    <n v="0"/>
    <n v="715.12217399999997"/>
    <n v="6216.0621739999997"/>
  </r>
  <r>
    <x v="7"/>
    <s v="Q4"/>
    <x v="0"/>
    <x v="97"/>
    <s v="KEPL/01785/82-83"/>
    <s v="UMALAXMI TRADERS"/>
    <x v="12"/>
    <n v="2"/>
    <n v="260"/>
    <n v="37.25"/>
    <n v="9685"/>
    <n v="-744.78"/>
    <n v="0"/>
    <n v="1162.2285569999999"/>
    <n v="10102.448557"/>
  </r>
  <r>
    <x v="7"/>
    <s v="Q4"/>
    <x v="0"/>
    <x v="97"/>
    <s v="KEPL/01785/82-83"/>
    <s v="UMALAXMI TRADERS"/>
    <x v="26"/>
    <n v="1"/>
    <n v="18"/>
    <n v="178.78"/>
    <n v="3218.0400000000004"/>
    <n v="-247.47"/>
    <n v="0"/>
    <n v="386.17408599999999"/>
    <n v="3356.7440860000002"/>
  </r>
  <r>
    <x v="7"/>
    <s v="Q4"/>
    <x v="0"/>
    <x v="97"/>
    <s v="KEPL/01785/82-83"/>
    <s v="UMALAXMI TRADERS"/>
    <x v="39"/>
    <n v="1"/>
    <n v="20"/>
    <n v="249.55"/>
    <n v="4991"/>
    <n v="-383.81"/>
    <n v="0"/>
    <n v="598.93467800000008"/>
    <n v="5206.1246780000001"/>
  </r>
  <r>
    <x v="7"/>
    <s v="Q4"/>
    <x v="0"/>
    <x v="97"/>
    <s v="KEPL/01785/82-83"/>
    <s v="UMALAXMI TRADERS"/>
    <x v="31"/>
    <n v="1"/>
    <n v="60"/>
    <n v="111.74"/>
    <n v="6704.4"/>
    <n v="-515.57000000000005"/>
    <n v="0"/>
    <n v="804.54786999999999"/>
    <n v="6993.3778700000003"/>
  </r>
  <r>
    <x v="7"/>
    <s v="Q4"/>
    <x v="0"/>
    <x v="97"/>
    <s v="KEPL/01785/82-83"/>
    <s v="UMALAXMI TRADERS"/>
    <x v="44"/>
    <n v="1"/>
    <n v="24"/>
    <n v="186.23"/>
    <n v="4469.5200000000004"/>
    <n v="-343.71"/>
    <n v="0"/>
    <n v="536.35527999999999"/>
    <n v="4662.1652800000002"/>
  </r>
  <r>
    <x v="7"/>
    <s v="Q4"/>
    <x v="0"/>
    <x v="97"/>
    <s v="KEPL/01785/82-83"/>
    <s v="UMALAXMI TRADERS"/>
    <x v="52"/>
    <n v="2"/>
    <n v="8"/>
    <n v="595.94000000000005"/>
    <n v="4767.5200000000004"/>
    <n v="-366.62"/>
    <n v="0"/>
    <n v="572.11697900000001"/>
    <n v="4973.016979"/>
  </r>
  <r>
    <x v="7"/>
    <s v="Q4"/>
    <x v="0"/>
    <x v="97"/>
    <s v="KEPL/01785/82-83"/>
    <s v="UMALAXMI TRADERS"/>
    <x v="24"/>
    <n v="1"/>
    <n v="18"/>
    <n v="178.78"/>
    <n v="3218.0400000000004"/>
    <n v="-247.47"/>
    <n v="0"/>
    <n v="386.17408599999999"/>
    <n v="3356.7440860000002"/>
  </r>
  <r>
    <x v="7"/>
    <s v="Q4"/>
    <x v="0"/>
    <x v="97"/>
    <s v="KEPL/01785/82-83"/>
    <s v="UMALAXMI TRADERS"/>
    <x v="27"/>
    <n v="2"/>
    <n v="140"/>
    <n v="37.25"/>
    <n v="5215"/>
    <n v="-401.03"/>
    <n v="0"/>
    <n v="625.81607700000006"/>
    <n v="5439.7860769999998"/>
  </r>
  <r>
    <x v="7"/>
    <s v="Q4"/>
    <x v="0"/>
    <x v="97"/>
    <s v="KEPL/01786/82-83"/>
    <s v="UMALAXMI TRADERS"/>
    <x v="56"/>
    <n v="1"/>
    <n v="800"/>
    <n v="7.45"/>
    <n v="5962.34"/>
    <n v="-458.5"/>
    <n v="0"/>
    <n v="715.49905000000001"/>
    <n v="6219.3390499999996"/>
  </r>
  <r>
    <x v="7"/>
    <s v="Q4"/>
    <x v="0"/>
    <x v="97"/>
    <s v="KEPL/01786/82-83"/>
    <s v="UMALAXMI TRADERS"/>
    <x v="47"/>
    <n v="2"/>
    <n v="80"/>
    <n v="111.74"/>
    <n v="8939.2000000000007"/>
    <n v="-687.42"/>
    <n v="0"/>
    <n v="1072.731174"/>
    <n v="9324.5111739999993"/>
  </r>
  <r>
    <x v="7"/>
    <s v="Q4"/>
    <x v="0"/>
    <x v="97"/>
    <s v="KEPL/01786/82-83"/>
    <s v="UMALAXMI TRADERS"/>
    <x v="49"/>
    <n v="1"/>
    <n v="15"/>
    <n v="260.72000000000003"/>
    <n v="3910.8"/>
    <n v="-300.74"/>
    <n v="0"/>
    <n v="469.30770099999995"/>
    <n v="4079.3677010000001"/>
  </r>
  <r>
    <x v="7"/>
    <s v="Q4"/>
    <x v="0"/>
    <x v="97"/>
    <s v="KEPL/01786/82-83"/>
    <s v="UMALAXMI TRADERS"/>
    <x v="32"/>
    <n v="1"/>
    <n v="60"/>
    <n v="111.74"/>
    <n v="6704.4"/>
    <n v="-515.57000000000005"/>
    <n v="0"/>
    <n v="804.547731"/>
    <n v="6993.3777309999996"/>
  </r>
  <r>
    <x v="7"/>
    <s v="Q4"/>
    <x v="0"/>
    <x v="97"/>
    <s v="KEPL/01786/82-83"/>
    <s v="UMALAXMI TRADERS"/>
    <x v="45"/>
    <n v="1"/>
    <n v="15"/>
    <n v="260.72000000000003"/>
    <n v="3910.8"/>
    <n v="-300.74"/>
    <n v="0"/>
    <n v="469.30770099999995"/>
    <n v="4079.3677010000001"/>
  </r>
  <r>
    <x v="7"/>
    <s v="Q4"/>
    <x v="0"/>
    <x v="97"/>
    <s v="KEPL/01786/82-83"/>
    <s v="UMALAXMI TRADERS"/>
    <x v="38"/>
    <n v="1"/>
    <n v="24"/>
    <n v="186.23"/>
    <n v="4469.5200000000004"/>
    <n v="-343.71"/>
    <n v="0"/>
    <n v="536.355187"/>
    <n v="4662.1651869999996"/>
  </r>
  <r>
    <x v="7"/>
    <s v="Q4"/>
    <x v="0"/>
    <x v="97"/>
    <s v="KEPL/01786/82-83"/>
    <s v="UMALAXMI TRADERS"/>
    <x v="35"/>
    <n v="1"/>
    <n v="60"/>
    <n v="145.26"/>
    <n v="8715.6"/>
    <n v="-670.23"/>
    <n v="0"/>
    <n v="1045.89788"/>
    <n v="9091.2678799999994"/>
  </r>
  <r>
    <x v="7"/>
    <s v="Q4"/>
    <x v="0"/>
    <x v="97"/>
    <s v="KEPL/01786/82-83"/>
    <s v="UMALAXMI TRADERS"/>
    <x v="46"/>
    <n v="1"/>
    <n v="20"/>
    <n v="175.05"/>
    <n v="3500.9999999999995"/>
    <n v="-269.23"/>
    <n v="0"/>
    <n v="420.13001200000002"/>
    <n v="3651.9000120000001"/>
  </r>
  <r>
    <x v="7"/>
    <s v="Q4"/>
    <x v="0"/>
    <x v="97"/>
    <s v="KEPL/01786/82-83"/>
    <s v="UMALAXMI TRADERS"/>
    <x v="58"/>
    <n v="1"/>
    <n v="40"/>
    <n v="111.74"/>
    <n v="4469.6000000000004"/>
    <n v="-343.71"/>
    <n v="0"/>
    <n v="536.365587"/>
    <n v="4662.2555869999997"/>
  </r>
  <r>
    <x v="7"/>
    <s v="Q4"/>
    <x v="0"/>
    <x v="97"/>
    <s v="KEPL/01786/82-83"/>
    <s v="UMALAXMI TRADERS"/>
    <x v="40"/>
    <n v="1"/>
    <n v="600"/>
    <n v="7.46"/>
    <n v="4476"/>
    <n v="-344.2"/>
    <n v="0"/>
    <n v="537.13388699999996"/>
    <n v="4668.9338870000001"/>
  </r>
  <r>
    <x v="7"/>
    <s v="Q4"/>
    <x v="0"/>
    <x v="97"/>
    <s v="KEPL/01786/82-83"/>
    <s v="UMALAXMI TRADERS"/>
    <x v="55"/>
    <n v="1"/>
    <n v="20"/>
    <n v="175.05"/>
    <n v="3500.9999999999995"/>
    <n v="-269.23"/>
    <n v="0"/>
    <n v="420.13001200000002"/>
    <n v="3651.9000120000001"/>
  </r>
  <r>
    <x v="7"/>
    <s v="Q4"/>
    <x v="0"/>
    <x v="97"/>
    <s v="KEPL/01786/82-83"/>
    <s v="UMALAXMI TRADERS"/>
    <x v="42"/>
    <n v="1"/>
    <n v="30"/>
    <n v="316.58999999999997"/>
    <n v="9497.6999999999989"/>
    <n v="-730.36999999999989"/>
    <n v="0"/>
    <n v="1139.7526600000001"/>
    <n v="9907.08266"/>
  </r>
  <r>
    <x v="7"/>
    <s v="Q4"/>
    <x v="0"/>
    <x v="97"/>
    <s v="KEPL/01786/82-83"/>
    <s v="UMALAXMI TRADERS"/>
    <x v="53"/>
    <n v="1"/>
    <n v="40"/>
    <n v="81.94"/>
    <n v="3277.6"/>
    <n v="-252.05"/>
    <n v="0"/>
    <n v="393.32141700000005"/>
    <n v="3418.8714169999998"/>
  </r>
  <r>
    <x v="7"/>
    <s v="Q4"/>
    <x v="0"/>
    <x v="97"/>
    <s v="KEPL/01787/82-83"/>
    <s v="MEGA MART PVT.LTD"/>
    <x v="33"/>
    <n v="5"/>
    <n v="200"/>
    <n v="66.37"/>
    <n v="13274"/>
    <n v="0"/>
    <n v="0"/>
    <n v="1725.62"/>
    <n v="14999.62"/>
  </r>
  <r>
    <x v="7"/>
    <s v="Q4"/>
    <x v="0"/>
    <x v="98"/>
    <s v="KEPL/01796/82-83"/>
    <s v="MEGA MART PVT.LTD"/>
    <x v="35"/>
    <n v="1"/>
    <n v="60"/>
    <n v="129.41999999999999"/>
    <n v="7765.2"/>
    <n v="0"/>
    <n v="0"/>
    <n v="1009.48"/>
    <n v="8774.68"/>
  </r>
  <r>
    <x v="7"/>
    <s v="Q4"/>
    <x v="0"/>
    <x v="98"/>
    <s v="KEPL/01798/82-83"/>
    <s v="SHUBHASHREE MARKETING"/>
    <x v="31"/>
    <n v="3"/>
    <n v="180"/>
    <n v="111.74"/>
    <n v="20113.2"/>
    <n v="-1546.71"/>
    <n v="0"/>
    <n v="2413.6450000000004"/>
    <n v="20980.134999999998"/>
  </r>
  <r>
    <x v="7"/>
    <s v="Q4"/>
    <x v="0"/>
    <x v="98"/>
    <s v="KEPL/01798/82-83"/>
    <s v="SHUBHASHREE MARKETING"/>
    <x v="32"/>
    <n v="3"/>
    <n v="180"/>
    <n v="111.74"/>
    <n v="20113.2"/>
    <n v="-1546.71"/>
    <n v="0"/>
    <n v="2413.6450000000004"/>
    <n v="20980.134999999998"/>
  </r>
  <r>
    <x v="7"/>
    <s v="Q4"/>
    <x v="0"/>
    <x v="98"/>
    <s v="KEPL/01799/82-83"/>
    <s v="EMERALD TRADE LINK"/>
    <x v="33"/>
    <n v="3"/>
    <n v="120"/>
    <n v="74.489999999999995"/>
    <n v="8938.8000000000011"/>
    <n v="-687.3900000000001"/>
    <n v="0"/>
    <n v="1072.68"/>
    <n v="9324.09"/>
  </r>
  <r>
    <x v="7"/>
    <s v="Q4"/>
    <x v="0"/>
    <x v="98"/>
    <s v="KEPL/01800/82-83"/>
    <s v="ABIRAL SUPPLIERS AND TRADERS"/>
    <x v="52"/>
    <n v="20"/>
    <n v="80"/>
    <n v="595.94000000000005"/>
    <n v="47675.199999999997"/>
    <n v="-3666.2200000000003"/>
    <n v="0"/>
    <n v="5721.17"/>
    <n v="49730.15"/>
  </r>
  <r>
    <x v="7"/>
    <s v="Q4"/>
    <x v="0"/>
    <x v="98"/>
    <s v="KEPL/01801/82-83"/>
    <s v="BEERA BARJEE INTERNATIONAL PVT.LTD"/>
    <x v="27"/>
    <n v="2"/>
    <n v="140"/>
    <n v="37.25"/>
    <n v="5215"/>
    <n v="-401.03"/>
    <n v="0"/>
    <n v="625.81644699999993"/>
    <n v="5439.7864470000004"/>
  </r>
  <r>
    <x v="7"/>
    <s v="Q4"/>
    <x v="0"/>
    <x v="98"/>
    <s v="KEPL/01801/82-83"/>
    <s v="BEERA BARJEE INTERNATIONAL PVT.LTD"/>
    <x v="36"/>
    <n v="1"/>
    <n v="40"/>
    <n v="81.94"/>
    <n v="3277.6"/>
    <n v="-252.05"/>
    <n v="0"/>
    <n v="393.32171799999998"/>
    <n v="3418.8717179999999"/>
  </r>
  <r>
    <x v="7"/>
    <s v="Q4"/>
    <x v="0"/>
    <x v="98"/>
    <s v="KEPL/01801/82-83"/>
    <s v="BEERA BARJEE INTERNATIONAL PVT.LTD"/>
    <x v="12"/>
    <n v="1"/>
    <n v="130"/>
    <n v="37.25"/>
    <n v="4842.5"/>
    <n v="-372.39"/>
    <n v="0"/>
    <n v="581.11462300000005"/>
    <n v="5051.2246230000001"/>
  </r>
  <r>
    <x v="7"/>
    <s v="Q4"/>
    <x v="0"/>
    <x v="98"/>
    <s v="KEPL/01801/82-83"/>
    <s v="BEERA BARJEE INTERNATIONAL PVT.LTD"/>
    <x v="35"/>
    <n v="1"/>
    <n v="60"/>
    <n v="145.26"/>
    <n v="8715.6"/>
    <n v="-670.23"/>
    <n v="0"/>
    <n v="1045.8986809999999"/>
    <n v="9091.2686809999996"/>
  </r>
  <r>
    <x v="7"/>
    <s v="Q4"/>
    <x v="0"/>
    <x v="98"/>
    <s v="KEPL/01801/82-83"/>
    <s v="BEERA BARJEE INTERNATIONAL PVT.LTD"/>
    <x v="55"/>
    <n v="1"/>
    <n v="20"/>
    <n v="175.05"/>
    <n v="3500.9999999999995"/>
    <n v="-269.23"/>
    <n v="0"/>
    <n v="420.13033300000001"/>
    <n v="3651.900333"/>
  </r>
  <r>
    <x v="7"/>
    <s v="Q4"/>
    <x v="0"/>
    <x v="98"/>
    <s v="KEPL/01801/82-83"/>
    <s v="BEERA BARJEE INTERNATIONAL PVT.LTD"/>
    <x v="56"/>
    <n v="1"/>
    <n v="800"/>
    <n v="7.46"/>
    <n v="5968"/>
    <n v="-458.94"/>
    <n v="0"/>
    <n v="716.17819800000007"/>
    <n v="6225.238198"/>
  </r>
  <r>
    <x v="7"/>
    <s v="Q4"/>
    <x v="0"/>
    <x v="99"/>
    <s v="KEPL/01808/82-83"/>
    <s v="MEGA MART PVT.LTD"/>
    <x v="35"/>
    <n v="1"/>
    <n v="60"/>
    <n v="129.41999999999999"/>
    <n v="7765.2"/>
    <n v="0"/>
    <n v="0"/>
    <n v="1009.475155"/>
    <n v="8774.6751550000008"/>
  </r>
  <r>
    <x v="7"/>
    <s v="Q4"/>
    <x v="0"/>
    <x v="99"/>
    <s v="KEPL/01808/82-83"/>
    <s v="MEGA MART PVT.LTD"/>
    <x v="33"/>
    <n v="4"/>
    <n v="160"/>
    <n v="66.37"/>
    <n v="10619.2"/>
    <n v="0"/>
    <n v="0"/>
    <n v="1380.4948449999999"/>
    <n v="11999.694845"/>
  </r>
  <r>
    <x v="7"/>
    <s v="Q4"/>
    <x v="0"/>
    <x v="99"/>
    <s v="KESR/0045/82-83"/>
    <s v="NEW YASHISH TRADERS"/>
    <x v="54"/>
    <n v="-0.1"/>
    <n v="-2"/>
    <n v="175.05"/>
    <n v="-350.1"/>
    <n v="26.92"/>
    <n v="0"/>
    <n v="-42.016155000000005"/>
    <n v="-365.19615499999998"/>
  </r>
  <r>
    <x v="7"/>
    <s v="Q4"/>
    <x v="0"/>
    <x v="99"/>
    <s v="KESR/0045/82-83"/>
    <s v="NEW YASHISH TRADERS"/>
    <x v="36"/>
    <n v="-0.03"/>
    <n v="-1"/>
    <n v="81.94"/>
    <n v="-81.94"/>
    <n v="6.3"/>
    <n v="0"/>
    <n v="-9.8338450000000002"/>
    <n v="-85.473844999999997"/>
  </r>
  <r>
    <x v="7"/>
    <s v="Q4"/>
    <x v="0"/>
    <x v="99"/>
    <s v="KESR/0046/82-83"/>
    <s v="NEW YASHISH TRADERS"/>
    <x v="55"/>
    <n v="-1"/>
    <n v="-20"/>
    <n v="175.05"/>
    <n v="-3500.9999999999995"/>
    <n v="269.23"/>
    <n v="0"/>
    <n v="-420.13014799999996"/>
    <n v="-3651.9001480000002"/>
  </r>
  <r>
    <x v="7"/>
    <s v="Q4"/>
    <x v="0"/>
    <x v="99"/>
    <s v="KESR/0046/82-83"/>
    <s v="NEW YASHISH TRADERS"/>
    <x v="28"/>
    <n v="-6.85"/>
    <n v="-137"/>
    <n v="204.85"/>
    <n v="-28064.45"/>
    <n v="2158.16"/>
    <n v="0"/>
    <n v="-3367.818084"/>
    <n v="-29274.108084"/>
  </r>
  <r>
    <x v="7"/>
    <s v="Q4"/>
    <x v="0"/>
    <x v="99"/>
    <s v="KESR/0046/82-83"/>
    <s v="NEW YASHISH TRADERS"/>
    <x v="27"/>
    <n v="-9.44"/>
    <n v="-661"/>
    <n v="32.78"/>
    <n v="-21667.58"/>
    <n v="1666.24"/>
    <n v="0"/>
    <n v="-2600.1744960000001"/>
    <n v="-22601.514496"/>
  </r>
  <r>
    <x v="7"/>
    <s v="Q4"/>
    <x v="0"/>
    <x v="99"/>
    <s v="KESR/0046/82-83"/>
    <s v="NEW YASHISH TRADERS"/>
    <x v="27"/>
    <n v="-1.54"/>
    <n v="-108"/>
    <n v="32.78"/>
    <n v="-3540.24"/>
    <n v="272.24"/>
    <n v="0"/>
    <n v="-424.84004800000002"/>
    <n v="-3692.840048"/>
  </r>
  <r>
    <x v="7"/>
    <s v="Q4"/>
    <x v="0"/>
    <x v="99"/>
    <s v="KESR/0046/82-83"/>
    <s v="NEW YASHISH TRADERS"/>
    <x v="39"/>
    <n v="-1"/>
    <n v="-20"/>
    <n v="249.55"/>
    <n v="-4991"/>
    <n v="383.81"/>
    <n v="0"/>
    <n v="-598.93476800000008"/>
    <n v="-5206.1247679999997"/>
  </r>
  <r>
    <x v="7"/>
    <s v="Q4"/>
    <x v="0"/>
    <x v="99"/>
    <s v="KESR/0046/82-83"/>
    <s v="NEW YASHISH TRADERS"/>
    <x v="29"/>
    <n v="-1"/>
    <n v="-20"/>
    <n v="204.85"/>
    <n v="-4097"/>
    <n v="315.06"/>
    <n v="0"/>
    <n v="-491.65225600000002"/>
    <n v="-4273.5922559999999"/>
  </r>
  <r>
    <x v="7"/>
    <s v="Q4"/>
    <x v="0"/>
    <x v="99"/>
    <s v="KESR/0046/82-83"/>
    <s v="NEW YASHISH TRADERS"/>
    <x v="47"/>
    <n v="-0.28000000000000003"/>
    <n v="-11"/>
    <n v="111.74"/>
    <n v="-1229.1399999999999"/>
    <n v="94.52"/>
    <n v="0"/>
    <n v="-147.50061700000001"/>
    <n v="-1282.120617"/>
  </r>
  <r>
    <x v="7"/>
    <s v="Q4"/>
    <x v="0"/>
    <x v="99"/>
    <s v="KESR/0046/82-83"/>
    <s v="NEW YASHISH TRADERS"/>
    <x v="40"/>
    <n v="-1"/>
    <n v="-600"/>
    <n v="7.45"/>
    <n v="-4470"/>
    <n v="343.74"/>
    <n v="0"/>
    <n v="-536.413861"/>
    <n v="-4662.6738610000002"/>
  </r>
  <r>
    <x v="7"/>
    <s v="Q4"/>
    <x v="0"/>
    <x v="99"/>
    <s v="KESR/0046/82-83"/>
    <s v="NEW YASHISH TRADERS"/>
    <x v="58"/>
    <n v="-0.35"/>
    <n v="-14"/>
    <n v="111.51"/>
    <n v="-1561.19"/>
    <n v="120.3"/>
    <n v="0"/>
    <n v="-187.315721"/>
    <n v="-1628.205721"/>
  </r>
  <r>
    <x v="7"/>
    <s v="Q4"/>
    <x v="0"/>
    <x v="99"/>
    <s v="KESR/0047/82-83"/>
    <s v="NEW YASHISH TRADERS"/>
    <x v="23"/>
    <n v="-0.8"/>
    <n v="-480"/>
    <n v="7.45"/>
    <n v="-3576.0299999999997"/>
    <n v="274.95999999999998"/>
    <n v="0"/>
    <n v="-429.13962099999998"/>
    <n v="-3730.209621"/>
  </r>
  <r>
    <x v="7"/>
    <s v="Q4"/>
    <x v="0"/>
    <x v="99"/>
    <s v="KESR/0047/82-83"/>
    <s v="NEW YASHISH TRADERS"/>
    <x v="59"/>
    <n v="-0.7"/>
    <n v="-14"/>
    <n v="204.85"/>
    <n v="-2867.9"/>
    <n v="220.54"/>
    <n v="0"/>
    <n v="-344.157218"/>
    <n v="-2991.517218"/>
  </r>
  <r>
    <x v="7"/>
    <s v="Q4"/>
    <x v="0"/>
    <x v="99"/>
    <s v="KESR/0047/82-83"/>
    <s v="NEW YASHISH TRADERS"/>
    <x v="45"/>
    <n v="-3.2"/>
    <n v="-48"/>
    <n v="260.72000000000003"/>
    <n v="-12514.56"/>
    <n v="962.36999999999989"/>
    <n v="0"/>
    <n v="-1501.7865220000001"/>
    <n v="-13053.976522000001"/>
  </r>
  <r>
    <x v="7"/>
    <s v="Q4"/>
    <x v="0"/>
    <x v="99"/>
    <s v="KESR/0047/82-83"/>
    <s v="NEW YASHISH TRADERS"/>
    <x v="49"/>
    <n v="-3.07"/>
    <n v="-46"/>
    <n v="260.72000000000003"/>
    <n v="-11993.119999999999"/>
    <n v="922.2700000000001"/>
    <n v="0"/>
    <n v="-1439.2122460000001"/>
    <n v="-12510.062246"/>
  </r>
  <r>
    <x v="7"/>
    <s v="Q4"/>
    <x v="0"/>
    <x v="99"/>
    <s v="KESR/0047/82-83"/>
    <s v="NEW YASHISH TRADERS"/>
    <x v="46"/>
    <n v="-3.85"/>
    <n v="-77"/>
    <n v="175.05"/>
    <n v="-13478.849999999999"/>
    <n v="1036.55"/>
    <n v="0"/>
    <n v="-1617.5009620000001"/>
    <n v="-14059.800961999999"/>
  </r>
  <r>
    <x v="7"/>
    <s v="Q4"/>
    <x v="0"/>
    <x v="99"/>
    <s v="KESR/0047/82-83"/>
    <s v="NEW YASHISH TRADERS"/>
    <x v="37"/>
    <n v="-1"/>
    <n v="-40"/>
    <n v="81.94"/>
    <n v="-3277.6"/>
    <n v="252.05"/>
    <n v="0"/>
    <n v="-393.321977"/>
    <n v="-3418.8719769999998"/>
  </r>
  <r>
    <x v="7"/>
    <s v="Q4"/>
    <x v="0"/>
    <x v="99"/>
    <s v="KESR/0047/82-83"/>
    <s v="NEW YASHISH TRADERS"/>
    <x v="35"/>
    <n v="-1"/>
    <n v="-60"/>
    <n v="145.26"/>
    <n v="-8715.6"/>
    <n v="670.22"/>
    <n v="0"/>
    <n v="-1045.9006689999999"/>
    <n v="-9091.2806689999998"/>
  </r>
  <r>
    <x v="7"/>
    <s v="Q4"/>
    <x v="0"/>
    <x v="99"/>
    <s v="KESR/0047/82-83"/>
    <s v="NEW YASHISH TRADERS"/>
    <x v="34"/>
    <n v="-2"/>
    <n v="-80"/>
    <n v="67.040000000000006"/>
    <n v="-5363.2"/>
    <n v="412.44"/>
    <n v="0"/>
    <n v="-643.59958099999994"/>
    <n v="-5594.3595809999997"/>
  </r>
  <r>
    <x v="7"/>
    <s v="Q4"/>
    <x v="0"/>
    <x v="99"/>
    <s v="KESR/0047/82-83"/>
    <s v="NEW YASHISH TRADERS"/>
    <x v="33"/>
    <n v="-1"/>
    <n v="-40"/>
    <n v="67.040000000000006"/>
    <n v="-2681.6"/>
    <n v="206.22"/>
    <n v="0"/>
    <n v="-321.79979000000003"/>
    <n v="-2797.1797900000001"/>
  </r>
  <r>
    <x v="7"/>
    <s v="Q4"/>
    <x v="0"/>
    <x v="99"/>
    <s v="KESR/0047/82-83"/>
    <s v="NEW YASHISH TRADERS"/>
    <x v="32"/>
    <n v="-1"/>
    <n v="-60"/>
    <n v="111.74"/>
    <n v="-6704.4"/>
    <n v="515.54999999999995"/>
    <n v="0"/>
    <n v="-804.55147600000009"/>
    <n v="-6993.401476"/>
  </r>
  <r>
    <x v="7"/>
    <s v="Q4"/>
    <x v="0"/>
    <x v="99"/>
    <s v="KESR/0047/82-83"/>
    <s v="NEW YASHISH TRADERS"/>
    <x v="41"/>
    <n v="-1"/>
    <n v="-40"/>
    <n v="67.040000000000006"/>
    <n v="-2681.6"/>
    <n v="206.22"/>
    <n v="0"/>
    <n v="-321.79979000000003"/>
    <n v="-2797.1797900000001"/>
  </r>
  <r>
    <x v="7"/>
    <s v="Q4"/>
    <x v="0"/>
    <x v="99"/>
    <s v="KESR/0047/82-83"/>
    <s v="NEW YASHISH TRADERS"/>
    <x v="60"/>
    <n v="-1"/>
    <n v="-1000"/>
    <n v="1.86"/>
    <n v="-1860.2"/>
    <n v="143.21"/>
    <n v="0"/>
    <n v="-223.20897099999999"/>
    <n v="-1940.198971"/>
  </r>
  <r>
    <x v="7"/>
    <s v="Q4"/>
    <x v="0"/>
    <x v="99"/>
    <s v="KESR/0047/82-83"/>
    <s v="NEW YASHISH TRADERS"/>
    <x v="43"/>
    <n v="-1"/>
    <n v="-60"/>
    <n v="111.77"/>
    <n v="-6706.3600000000006"/>
    <n v="515.82000000000005"/>
    <n v="0"/>
    <n v="-804.77117599999997"/>
    <n v="-6995.3111760000002"/>
  </r>
  <r>
    <x v="7"/>
    <s v="Q4"/>
    <x v="0"/>
    <x v="100"/>
    <s v="KEPL/01810/82-83"/>
    <s v="GORIN TRADING "/>
    <x v="25"/>
    <n v="1"/>
    <n v="18"/>
    <n v="178.78"/>
    <n v="3218.0400000000004"/>
    <n v="-247.47"/>
    <n v="0"/>
    <n v="386.17410000000001"/>
    <n v="3356.7440999999999"/>
  </r>
  <r>
    <x v="7"/>
    <s v="Q4"/>
    <x v="0"/>
    <x v="100"/>
    <s v="KEPL/01810/82-83"/>
    <s v="GORIN TRADING "/>
    <x v="47"/>
    <n v="1"/>
    <n v="40"/>
    <n v="111.74"/>
    <n v="4469.6000000000004"/>
    <n v="-343.71"/>
    <n v="0"/>
    <n v="536.36569999999995"/>
    <n v="4662.2556999999997"/>
  </r>
  <r>
    <x v="7"/>
    <s v="Q4"/>
    <x v="0"/>
    <x v="100"/>
    <s v="KEPL/01810/82-83"/>
    <s v="GORIN TRADING "/>
    <x v="26"/>
    <n v="1"/>
    <n v="18"/>
    <n v="178.78"/>
    <n v="3218.0400000000004"/>
    <n v="-247.47"/>
    <n v="0"/>
    <n v="386.17410000000001"/>
    <n v="3356.7440999999999"/>
  </r>
  <r>
    <x v="7"/>
    <s v="Q4"/>
    <x v="0"/>
    <x v="100"/>
    <s v="KEPL/01810/82-83"/>
    <s v="GORIN TRADING "/>
    <x v="36"/>
    <n v="2"/>
    <n v="80"/>
    <n v="81.94"/>
    <n v="6555.2"/>
    <n v="-504.09"/>
    <n v="0"/>
    <n v="786.64429999999993"/>
    <n v="6837.7542999999996"/>
  </r>
  <r>
    <x v="7"/>
    <s v="Q4"/>
    <x v="0"/>
    <x v="100"/>
    <s v="KEPL/01810/82-83"/>
    <s v="GORIN TRADING "/>
    <x v="43"/>
    <n v="1"/>
    <n v="60"/>
    <n v="111.74"/>
    <n v="6704.4"/>
    <n v="-515.57000000000005"/>
    <n v="0"/>
    <n v="804.54790000000003"/>
    <n v="6993.3779000000004"/>
  </r>
  <r>
    <x v="7"/>
    <s v="Q4"/>
    <x v="0"/>
    <x v="100"/>
    <s v="KEPL/01810/82-83"/>
    <s v="GORIN TRADING "/>
    <x v="24"/>
    <n v="1"/>
    <n v="18"/>
    <n v="178.78"/>
    <n v="3218.0400000000004"/>
    <n v="-247.47"/>
    <n v="0"/>
    <n v="386.17410000000001"/>
    <n v="3356.7440999999999"/>
  </r>
  <r>
    <x v="7"/>
    <s v="Q4"/>
    <x v="0"/>
    <x v="100"/>
    <s v="KEPL/01810/82-83"/>
    <s v="GORIN TRADING "/>
    <x v="58"/>
    <n v="1"/>
    <n v="40"/>
    <n v="111.74"/>
    <n v="4469.6000000000004"/>
    <n v="-343.71"/>
    <n v="0"/>
    <n v="536.36569999999995"/>
    <n v="4662.2556999999997"/>
  </r>
  <r>
    <x v="7"/>
    <s v="Q4"/>
    <x v="0"/>
    <x v="100"/>
    <s v="KEPL/01810/82-83"/>
    <s v="GORIN TRADING "/>
    <x v="2"/>
    <n v="1"/>
    <n v="18"/>
    <n v="178.78"/>
    <n v="3218.0400000000004"/>
    <n v="-247.47"/>
    <n v="0"/>
    <n v="386.17410000000001"/>
    <n v="3356.7440999999999"/>
  </r>
  <r>
    <x v="7"/>
    <s v="Q4"/>
    <x v="0"/>
    <x v="101"/>
    <s v="KEPL/01812/82-83"/>
    <s v="BHAT BHATENI SUPERMARKET &amp; DEPARTMENTAL STORE PVT. LTD."/>
    <x v="27"/>
    <n v="2"/>
    <n v="140"/>
    <n v="32.74"/>
    <n v="4583.6000000000004"/>
    <n v="0"/>
    <n v="-458.35986700000001"/>
    <n v="536.28107799999998"/>
    <n v="4661.5212110000002"/>
  </r>
  <r>
    <x v="7"/>
    <s v="Q4"/>
    <x v="0"/>
    <x v="101"/>
    <s v="KEPL/01812/82-83"/>
    <s v="BHAT BHATENI SUPERMARKET &amp; DEPARTMENTAL STORE PVT. LTD."/>
    <x v="12"/>
    <n v="1"/>
    <n v="130"/>
    <n v="32.74"/>
    <n v="4256.2"/>
    <n v="0"/>
    <n v="-425.61987599999998"/>
    <n v="497.97528599999998"/>
    <n v="4328.5554099999999"/>
  </r>
  <r>
    <x v="7"/>
    <s v="Q4"/>
    <x v="0"/>
    <x v="101"/>
    <s v="KEPL/01812/82-83"/>
    <s v="BHAT BHATENI SUPERMARKET &amp; DEPARTMENTAL STORE PVT. LTD."/>
    <x v="35"/>
    <n v="1"/>
    <n v="60"/>
    <n v="127.7"/>
    <n v="7662.0000000000009"/>
    <n v="0"/>
    <n v="-766.19977800000004"/>
    <n v="896.45379500000001"/>
    <n v="7792.2540170000002"/>
  </r>
  <r>
    <x v="7"/>
    <s v="Q4"/>
    <x v="0"/>
    <x v="101"/>
    <s v="KEPL/01812/82-83"/>
    <s v="BHAT BHATENI SUPERMARKET &amp; DEPARTMENTAL STORE PVT. LTD."/>
    <x v="49"/>
    <n v="2"/>
    <n v="30"/>
    <n v="229.2"/>
    <n v="6876"/>
    <n v="0"/>
    <n v="-687.59980000000007"/>
    <n v="804.49181599999997"/>
    <n v="6992.8920159999998"/>
  </r>
  <r>
    <x v="7"/>
    <s v="Q4"/>
    <x v="0"/>
    <x v="101"/>
    <s v="KEPL/01812/82-83"/>
    <s v="BHAT BHATENI SUPERMARKET &amp; DEPARTMENTAL STORE PVT. LTD."/>
    <x v="29"/>
    <n v="2"/>
    <n v="40"/>
    <n v="180.09"/>
    <n v="7203.5999999999995"/>
    <n v="0"/>
    <n v="-720.35979099999997"/>
    <n v="842.82100799999989"/>
    <n v="7326.0612170000004"/>
  </r>
  <r>
    <x v="7"/>
    <s v="Q4"/>
    <x v="0"/>
    <x v="101"/>
    <s v="KEPL/01812/82-83"/>
    <s v="BHAT BHATENI SUPERMARKET &amp; DEPARTMENTAL STORE PVT. LTD."/>
    <x v="45"/>
    <n v="2"/>
    <n v="30"/>
    <n v="229.2"/>
    <n v="6876"/>
    <n v="0"/>
    <n v="-687.59980000000007"/>
    <n v="804.49181599999997"/>
    <n v="6992.8920159999998"/>
  </r>
  <r>
    <x v="7"/>
    <s v="Q4"/>
    <x v="0"/>
    <x v="101"/>
    <s v="KEPL/01812/82-83"/>
    <s v="BHAT BHATENI SUPERMARKET &amp; DEPARTMENTAL STORE PVT. LTD."/>
    <x v="55"/>
    <n v="2"/>
    <n v="40"/>
    <n v="153.88999999999999"/>
    <n v="6155.5999999999995"/>
    <n v="0"/>
    <n v="-615.55982100000006"/>
    <n v="720.20503599999995"/>
    <n v="6260.2452149999999"/>
  </r>
  <r>
    <x v="7"/>
    <s v="Q4"/>
    <x v="0"/>
    <x v="101"/>
    <s v="KEPL/01812/82-83"/>
    <s v="BHAT BHATENI SUPERMARKET &amp; DEPARTMENTAL STORE PVT. LTD."/>
    <x v="36"/>
    <n v="3"/>
    <n v="120"/>
    <n v="72.040000000000006"/>
    <n v="8644.7999999999993"/>
    <n v="0"/>
    <n v="-864.47974900000008"/>
    <n v="1011.441369"/>
    <n v="8791.7616199999993"/>
  </r>
  <r>
    <x v="7"/>
    <s v="Q4"/>
    <x v="0"/>
    <x v="101"/>
    <s v="KEPL/01812/82-83"/>
    <s v="BHAT BHATENI SUPERMARKET &amp; DEPARTMENTAL STORE PVT. LTD."/>
    <x v="42"/>
    <n v="1"/>
    <n v="30"/>
    <n v="278.32"/>
    <n v="8349.6"/>
    <n v="0"/>
    <n v="-834.95975799999997"/>
    <n v="976.90297700000008"/>
    <n v="8491.5432189999992"/>
  </r>
  <r>
    <x v="7"/>
    <s v="Q4"/>
    <x v="0"/>
    <x v="101"/>
    <s v="KEPL/01812/82-83"/>
    <s v="BHAT BHATENI SUPERMARKET &amp; DEPARTMENTAL STORE PVT. LTD."/>
    <x v="31"/>
    <n v="2"/>
    <n v="120"/>
    <n v="98.23"/>
    <n v="11787.6"/>
    <n v="0"/>
    <n v="-1178.7596579999999"/>
    <n v="1379.1488850000001"/>
    <n v="11987.989227"/>
  </r>
  <r>
    <x v="7"/>
    <s v="Q4"/>
    <x v="0"/>
    <x v="101"/>
    <s v="KEPL/01812/82-83"/>
    <s v="BHAT BHATENI SUPERMARKET &amp; DEPARTMENTAL STORE PVT. LTD."/>
    <x v="28"/>
    <n v="3"/>
    <n v="60"/>
    <n v="180.09"/>
    <n v="10805.4"/>
    <n v="0"/>
    <n v="-1080.5396860000001"/>
    <n v="1264.231511"/>
    <n v="10989.091825"/>
  </r>
  <r>
    <x v="7"/>
    <s v="Q4"/>
    <x v="0"/>
    <x v="101"/>
    <s v="KEPL/01812/82-83"/>
    <s v="BHAT BHATENI SUPERMARKET &amp; DEPARTMENTAL STORE PVT. LTD."/>
    <x v="32"/>
    <n v="2"/>
    <n v="120"/>
    <n v="98.23"/>
    <n v="11787.6"/>
    <n v="0"/>
    <n v="-1178.7596579999999"/>
    <n v="1379.1488850000001"/>
    <n v="11987.989227"/>
  </r>
  <r>
    <x v="7"/>
    <s v="Q4"/>
    <x v="0"/>
    <x v="101"/>
    <s v="KEPL/01812/82-83"/>
    <s v="BHAT BHATENI SUPERMARKET &amp; DEPARTMENTAL STORE PVT. LTD."/>
    <x v="43"/>
    <n v="2"/>
    <n v="120"/>
    <n v="98.23"/>
    <n v="11787.6"/>
    <n v="0"/>
    <n v="-1178.7596579999999"/>
    <n v="1379.1488850000001"/>
    <n v="11987.989227"/>
  </r>
  <r>
    <x v="7"/>
    <s v="Q4"/>
    <x v="0"/>
    <x v="101"/>
    <s v="KEPL/01812/82-83"/>
    <s v="BHAT BHATENI SUPERMARKET &amp; DEPARTMENTAL STORE PVT. LTD."/>
    <x v="33"/>
    <n v="4"/>
    <n v="160"/>
    <n v="65.489999999999995"/>
    <n v="10478.4"/>
    <n v="0"/>
    <n v="-1047.839696"/>
    <n v="1225.97252"/>
    <n v="10656.532824"/>
  </r>
  <r>
    <x v="7"/>
    <s v="Q4"/>
    <x v="0"/>
    <x v="101"/>
    <s v="KEPL/01812/82-83"/>
    <s v="BHAT BHATENI SUPERMARKET &amp; DEPARTMENTAL STORE PVT. LTD."/>
    <x v="44"/>
    <n v="3"/>
    <n v="72"/>
    <n v="163.72"/>
    <n v="11787.84"/>
    <n v="0"/>
    <n v="-1178.7836580000001"/>
    <n v="1379.1769649999999"/>
    <n v="11988.233307"/>
  </r>
  <r>
    <x v="7"/>
    <s v="Q4"/>
    <x v="0"/>
    <x v="101"/>
    <s v="KEPL/01812/82-83"/>
    <s v="BHAT BHATENI SUPERMARKET &amp; DEPARTMENTAL STORE PVT. LTD."/>
    <x v="39"/>
    <n v="2"/>
    <n v="40"/>
    <n v="219.38"/>
    <n v="8775.2000000000007"/>
    <n v="0"/>
    <n v="-877.51974500000006"/>
    <n v="1026.6981660000001"/>
    <n v="8924.3784209999994"/>
  </r>
  <r>
    <x v="7"/>
    <s v="Q4"/>
    <x v="0"/>
    <x v="101"/>
    <s v="KEPL/01813/82-83"/>
    <s v="BHAT BHATENI SUPERMARKET &amp; DEPARTMENTAL STORE PVT. LTD."/>
    <x v="35"/>
    <n v="1"/>
    <n v="60"/>
    <n v="127.7"/>
    <n v="7662.0000000000009"/>
    <n v="0"/>
    <n v="-766.2002930000001"/>
    <n v="896.45400600000005"/>
    <n v="7792.2537130000001"/>
  </r>
  <r>
    <x v="7"/>
    <s v="Q4"/>
    <x v="0"/>
    <x v="101"/>
    <s v="KEPL/01813/82-83"/>
    <s v="BHAT BHATENI SUPERMARKET &amp; DEPARTMENTAL STORE PVT. LTD."/>
    <x v="49"/>
    <n v="2"/>
    <n v="30"/>
    <n v="229.2"/>
    <n v="6876"/>
    <n v="0"/>
    <n v="-687.60026300000004"/>
    <n v="804.49200500000006"/>
    <n v="6992.8917419999998"/>
  </r>
  <r>
    <x v="7"/>
    <s v="Q4"/>
    <x v="0"/>
    <x v="101"/>
    <s v="KEPL/01813/82-83"/>
    <s v="BHAT BHATENI SUPERMARKET &amp; DEPARTMENTAL STORE PVT. LTD."/>
    <x v="28"/>
    <n v="2"/>
    <n v="40"/>
    <n v="180.09"/>
    <n v="7203.5999999999995"/>
    <n v="0"/>
    <n v="-720.360276"/>
    <n v="842.82120600000007"/>
    <n v="7326.0609299999996"/>
  </r>
  <r>
    <x v="7"/>
    <s v="Q4"/>
    <x v="0"/>
    <x v="101"/>
    <s v="KEPL/01813/82-83"/>
    <s v="BHAT BHATENI SUPERMARKET &amp; DEPARTMENTAL STORE PVT. LTD."/>
    <x v="33"/>
    <n v="2"/>
    <n v="80"/>
    <n v="65.489999999999995"/>
    <n v="5239.2"/>
    <n v="0"/>
    <n v="-523.92020100000002"/>
    <n v="612.98640399999999"/>
    <n v="5328.2662030000001"/>
  </r>
  <r>
    <x v="7"/>
    <s v="Q4"/>
    <x v="0"/>
    <x v="101"/>
    <s v="KEPL/01813/82-83"/>
    <s v="BHAT BHATENI SUPERMARKET &amp; DEPARTMENTAL STORE PVT. LTD."/>
    <x v="32"/>
    <n v="1"/>
    <n v="60"/>
    <n v="98.23"/>
    <n v="5893.8"/>
    <n v="0"/>
    <n v="-589.38022599999999"/>
    <n v="689.57460500000002"/>
    <n v="5993.9943789999998"/>
  </r>
  <r>
    <x v="7"/>
    <s v="Q4"/>
    <x v="0"/>
    <x v="101"/>
    <s v="KEPL/01813/82-83"/>
    <s v="BHAT BHATENI SUPERMARKET &amp; DEPARTMENTAL STORE PVT. LTD."/>
    <x v="43"/>
    <n v="1"/>
    <n v="60"/>
    <n v="98.23"/>
    <n v="5893.8"/>
    <n v="0"/>
    <n v="-589.38022599999999"/>
    <n v="689.57460500000002"/>
    <n v="5993.9943789999998"/>
  </r>
  <r>
    <x v="7"/>
    <s v="Q4"/>
    <x v="0"/>
    <x v="101"/>
    <s v="KEPL/01813/82-83"/>
    <s v="BHAT BHATENI SUPERMARKET &amp; DEPARTMENTAL STORE PVT. LTD."/>
    <x v="44"/>
    <n v="2"/>
    <n v="48"/>
    <n v="163.72"/>
    <n v="7858.56"/>
    <n v="0"/>
    <n v="-785.85630100000003"/>
    <n v="919.45152599999994"/>
    <n v="7992.1552250000004"/>
  </r>
  <r>
    <x v="7"/>
    <s v="Q4"/>
    <x v="0"/>
    <x v="101"/>
    <s v="KEPL/01813/82-83"/>
    <s v="BHAT BHATENI SUPERMARKET &amp; DEPARTMENTAL STORE PVT. LTD."/>
    <x v="45"/>
    <n v="2"/>
    <n v="30"/>
    <n v="229.2"/>
    <n v="6876"/>
    <n v="0"/>
    <n v="-687.60026300000004"/>
    <n v="804.49200500000006"/>
    <n v="6992.8917419999998"/>
  </r>
  <r>
    <x v="7"/>
    <s v="Q4"/>
    <x v="0"/>
    <x v="101"/>
    <s v="KEPL/01813/82-83"/>
    <s v="BHAT BHATENI SUPERMARKET &amp; DEPARTMENTAL STORE PVT. LTD."/>
    <x v="29"/>
    <n v="2"/>
    <n v="40"/>
    <n v="180.09"/>
    <n v="7203.5999999999995"/>
    <n v="0"/>
    <n v="-720.360276"/>
    <n v="842.82120600000007"/>
    <n v="7326.0609299999996"/>
  </r>
  <r>
    <x v="7"/>
    <s v="Q4"/>
    <x v="0"/>
    <x v="101"/>
    <s v="KEPL/01813/82-83"/>
    <s v="BHAT BHATENI SUPERMARKET &amp; DEPARTMENTAL STORE PVT. LTD."/>
    <x v="55"/>
    <n v="2"/>
    <n v="40"/>
    <n v="153.88999999999999"/>
    <n v="6155.5999999999995"/>
    <n v="0"/>
    <n v="-615.56023599999992"/>
    <n v="720.20520499999998"/>
    <n v="6260.2449690000003"/>
  </r>
  <r>
    <x v="7"/>
    <s v="Q4"/>
    <x v="0"/>
    <x v="101"/>
    <s v="KEPL/01813/82-83"/>
    <s v="BHAT BHATENI SUPERMARKET &amp; DEPARTMENTAL STORE PVT. LTD."/>
    <x v="36"/>
    <n v="2"/>
    <n v="80"/>
    <n v="72.040000000000006"/>
    <n v="5763.2"/>
    <n v="0"/>
    <n v="-576.32022100000006"/>
    <n v="674.29440399999999"/>
    <n v="5861.1741830000001"/>
  </r>
  <r>
    <x v="7"/>
    <s v="Q4"/>
    <x v="0"/>
    <x v="101"/>
    <s v="KEPL/01813/82-83"/>
    <s v="BHAT BHATENI SUPERMARKET &amp; DEPARTMENTAL STORE PVT. LTD."/>
    <x v="42"/>
    <n v="1"/>
    <n v="30"/>
    <n v="278.32"/>
    <n v="8349.6"/>
    <n v="0"/>
    <n v="-834.96032000000002"/>
    <n v="976.90320599999995"/>
    <n v="8491.5428859999993"/>
  </r>
  <r>
    <x v="7"/>
    <s v="Q4"/>
    <x v="0"/>
    <x v="101"/>
    <s v="KEPL/01813/82-83"/>
    <s v="BHAT BHATENI SUPERMARKET &amp; DEPARTMENTAL STORE PVT. LTD."/>
    <x v="39"/>
    <n v="2"/>
    <n v="40"/>
    <n v="219.38"/>
    <n v="8775.2000000000007"/>
    <n v="0"/>
    <n v="-877.52033599999993"/>
    <n v="1026.6984070000001"/>
    <n v="8924.3780709999992"/>
  </r>
  <r>
    <x v="7"/>
    <s v="Q4"/>
    <x v="0"/>
    <x v="101"/>
    <s v="KEPL/01813/82-83"/>
    <s v="BHAT BHATENI SUPERMARKET &amp; DEPARTMENTAL STORE PVT. LTD."/>
    <x v="31"/>
    <n v="1"/>
    <n v="60"/>
    <n v="98.23"/>
    <n v="5893.8"/>
    <n v="0"/>
    <n v="-589.38022599999999"/>
    <n v="689.57460500000002"/>
    <n v="5993.9943789999998"/>
  </r>
  <r>
    <x v="7"/>
    <s v="Q4"/>
    <x v="0"/>
    <x v="101"/>
    <s v="KEPL/01813/82-83"/>
    <s v="BHAT BHATENI SUPERMARKET &amp; DEPARTMENTAL STORE PVT. LTD."/>
    <x v="27"/>
    <n v="2"/>
    <n v="140"/>
    <n v="32.74"/>
    <n v="4583.6000000000004"/>
    <n v="0"/>
    <n v="-458.36017500000003"/>
    <n v="536.281204"/>
    <n v="4661.5210290000005"/>
  </r>
  <r>
    <x v="7"/>
    <s v="Q4"/>
    <x v="0"/>
    <x v="101"/>
    <s v="KEPL/01813/82-83"/>
    <s v="BHAT BHATENI SUPERMARKET &amp; DEPARTMENTAL STORE PVT. LTD."/>
    <x v="12"/>
    <n v="1"/>
    <n v="130"/>
    <n v="32.74"/>
    <n v="4256.2"/>
    <n v="0"/>
    <n v="-425.62016299999999"/>
    <n v="497.97540300000003"/>
    <n v="4328.5552399999997"/>
  </r>
  <r>
    <x v="7"/>
    <s v="Q4"/>
    <x v="0"/>
    <x v="102"/>
    <s v="KEPL/01815/82-83"/>
    <s v="SHUBHASHREE MARKETING"/>
    <x v="52"/>
    <n v="15"/>
    <n v="60"/>
    <n v="595.92999999999995"/>
    <n v="35755.799999999996"/>
    <n v="-2749.62"/>
    <n v="0"/>
    <n v="4290.8051649999998"/>
    <n v="37296.985164999998"/>
  </r>
  <r>
    <x v="7"/>
    <s v="Q4"/>
    <x v="0"/>
    <x v="102"/>
    <s v="KEPL/01815/82-83"/>
    <s v="SHUBHASHREE MARKETING"/>
    <x v="28"/>
    <n v="2"/>
    <n v="40"/>
    <n v="204.85"/>
    <n v="8194"/>
    <n v="-630.12"/>
    <n v="0"/>
    <n v="983.30480399999999"/>
    <n v="8547.1848040000004"/>
  </r>
  <r>
    <x v="7"/>
    <s v="Q4"/>
    <x v="0"/>
    <x v="102"/>
    <s v="KEPL/01815/82-83"/>
    <s v="SHUBHASHREE MARKETING"/>
    <x v="34"/>
    <n v="2"/>
    <n v="80"/>
    <n v="67.040000000000006"/>
    <n v="5363.2"/>
    <n v="-412.43"/>
    <n v="0"/>
    <n v="643.60036500000001"/>
    <n v="5594.3703649999998"/>
  </r>
  <r>
    <x v="7"/>
    <s v="Q4"/>
    <x v="0"/>
    <x v="102"/>
    <s v="KEPL/01815/82-83"/>
    <s v="SHUBHASHREE MARKETING"/>
    <x v="49"/>
    <n v="6"/>
    <n v="90"/>
    <n v="260.72000000000003"/>
    <n v="23464.799999999999"/>
    <n v="-1804.44"/>
    <n v="0"/>
    <n v="2815.8479579999998"/>
    <n v="24476.207957999999"/>
  </r>
  <r>
    <x v="7"/>
    <s v="Q4"/>
    <x v="0"/>
    <x v="102"/>
    <s v="KEPL/01815/82-83"/>
    <s v="SHUBHASHREE MARKETING"/>
    <x v="56"/>
    <n v="2"/>
    <n v="1600"/>
    <n v="7.46"/>
    <n v="11936"/>
    <n v="-917.88"/>
    <n v="0"/>
    <n v="1432.3561890000001"/>
    <n v="12450.476189000001"/>
  </r>
  <r>
    <x v="7"/>
    <s v="Q4"/>
    <x v="0"/>
    <x v="102"/>
    <s v="KEPL/01815/82-83"/>
    <s v="SHUBHASHREE MARKETING"/>
    <x v="45"/>
    <n v="2"/>
    <n v="30"/>
    <n v="260.72000000000003"/>
    <n v="7821.6"/>
    <n v="-601.48"/>
    <n v="0"/>
    <n v="938.61598600000002"/>
    <n v="8158.7359859999997"/>
  </r>
  <r>
    <x v="7"/>
    <s v="Q4"/>
    <x v="0"/>
    <x v="102"/>
    <s v="KEPL/01815/82-83"/>
    <s v="SHUBHASHREE MARKETING"/>
    <x v="41"/>
    <n v="1"/>
    <n v="40"/>
    <n v="67.040000000000006"/>
    <n v="2681.6"/>
    <n v="-206.22"/>
    <n v="0"/>
    <n v="321.799532"/>
    <n v="2797.1795320000001"/>
  </r>
  <r>
    <x v="7"/>
    <s v="Q4"/>
    <x v="0"/>
    <x v="102"/>
    <s v="KEPL/01816/82-83"/>
    <s v="MEGA MART PVT.LTD"/>
    <x v="35"/>
    <n v="1"/>
    <n v="60"/>
    <n v="129.41999999999999"/>
    <n v="7765.2"/>
    <n v="0"/>
    <n v="0"/>
    <n v="1009.48"/>
    <n v="8774.68"/>
  </r>
  <r>
    <x v="7"/>
    <s v="Q4"/>
    <x v="0"/>
    <x v="102"/>
    <s v="KESR/0050/82-83"/>
    <s v="CHHATRA DEV GENERAL SUPPLIERS"/>
    <x v="8"/>
    <n v="-4"/>
    <n v="-168"/>
    <n v="74.489999999999995"/>
    <n v="-12514.32"/>
    <n v="962.35"/>
    <n v="0"/>
    <n v="-1501.7559140000001"/>
    <n v="-13053.725914000001"/>
  </r>
  <r>
    <x v="7"/>
    <s v="Q4"/>
    <x v="0"/>
    <x v="102"/>
    <s v="KESR/0050/82-83"/>
    <s v="CHHATRA DEV GENERAL SUPPLIERS"/>
    <x v="7"/>
    <n v="-9"/>
    <n v="-378"/>
    <n v="74.489999999999995"/>
    <n v="-28157.22"/>
    <n v="2165.29"/>
    <n v="0"/>
    <n v="-3378.9504820000002"/>
    <n v="-29370.880482"/>
  </r>
  <r>
    <x v="7"/>
    <s v="Q4"/>
    <x v="0"/>
    <x v="102"/>
    <s v="KESR/0050/82-83"/>
    <s v="CHHATRA DEV GENERAL SUPPLIERS"/>
    <x v="10"/>
    <n v="-4"/>
    <n v="-168"/>
    <n v="74.489999999999995"/>
    <n v="-12514.32"/>
    <n v="962.35"/>
    <n v="0"/>
    <n v="-1501.7559140000001"/>
    <n v="-13053.725914000001"/>
  </r>
  <r>
    <x v="7"/>
    <s v="Q4"/>
    <x v="0"/>
    <x v="102"/>
    <s v="KESR/0050/82-83"/>
    <s v="CHHATRA DEV GENERAL SUPPLIERS"/>
    <x v="12"/>
    <n v="-3"/>
    <n v="-390"/>
    <n v="37.25"/>
    <n v="-14527.499999999998"/>
    <n v="1117.1600000000001"/>
    <n v="0"/>
    <n v="-1743.3439840000001"/>
    <n v="-15153.683983999999"/>
  </r>
  <r>
    <x v="7"/>
    <s v="Q4"/>
    <x v="0"/>
    <x v="102"/>
    <s v="KESR/0050/82-83"/>
    <s v="CHHATRA DEV GENERAL SUPPLIERS"/>
    <x v="43"/>
    <n v="-1"/>
    <n v="-60"/>
    <n v="111.74"/>
    <n v="-6704.4"/>
    <n v="515.57000000000005"/>
    <n v="0"/>
    <n v="-804.54780000000005"/>
    <n v="-6993.3778000000002"/>
  </r>
  <r>
    <x v="7"/>
    <s v="Q4"/>
    <x v="0"/>
    <x v="102"/>
    <s v="KESR/0050/82-83"/>
    <s v="CHHATRA DEV GENERAL SUPPLIERS"/>
    <x v="32"/>
    <n v="-1"/>
    <n v="-60"/>
    <n v="111.74"/>
    <n v="-6704.4"/>
    <n v="515.57000000000005"/>
    <n v="0"/>
    <n v="-804.54780000000005"/>
    <n v="-6993.3778000000002"/>
  </r>
  <r>
    <x v="7"/>
    <s v="Q4"/>
    <x v="0"/>
    <x v="102"/>
    <s v="KESR/0050/82-83"/>
    <s v="CHHATRA DEV GENERAL SUPPLIERS"/>
    <x v="26"/>
    <n v="-1"/>
    <n v="-18"/>
    <n v="178.78"/>
    <n v="-3218.0400000000004"/>
    <n v="247.47"/>
    <n v="0"/>
    <n v="-386.17405199999996"/>
    <n v="-3356.744052"/>
  </r>
  <r>
    <x v="7"/>
    <s v="Q4"/>
    <x v="0"/>
    <x v="102"/>
    <s v="KESR/0050/82-83"/>
    <s v="CHHATRA DEV GENERAL SUPPLIERS"/>
    <x v="24"/>
    <n v="-1"/>
    <n v="-18"/>
    <n v="178.78"/>
    <n v="-3218.0400000000004"/>
    <n v="247.47"/>
    <n v="0"/>
    <n v="-386.17405199999996"/>
    <n v="-3356.744052"/>
  </r>
  <r>
    <x v="7"/>
    <s v="Q4"/>
    <x v="0"/>
    <x v="103"/>
    <s v="KEPL/01845/82-83"/>
    <s v="SIMPEX SOLUTION PVT. LTD"/>
    <x v="26"/>
    <n v="0.28000000000000003"/>
    <n v="5"/>
    <n v="169.91"/>
    <n v="849.55000000000007"/>
    <n v="0"/>
    <n v="0"/>
    <n v="110.44116999999999"/>
    <n v="959.99117000000001"/>
  </r>
  <r>
    <x v="7"/>
    <s v="Q4"/>
    <x v="0"/>
    <x v="103"/>
    <s v="KEPL/01845/82-83"/>
    <s v="SIMPEX SOLUTION PVT. LTD"/>
    <x v="47"/>
    <n v="0.13"/>
    <n v="5"/>
    <n v="106.19"/>
    <n v="530.95000000000005"/>
    <n v="0"/>
    <n v="0"/>
    <n v="69.023294000000007"/>
    <n v="599.97329400000001"/>
  </r>
  <r>
    <x v="7"/>
    <s v="Q4"/>
    <x v="0"/>
    <x v="103"/>
    <s v="KEPL/01845/82-83"/>
    <s v="SIMPEX SOLUTION PVT. LTD"/>
    <x v="39"/>
    <n v="0.25"/>
    <n v="5"/>
    <n v="237.17"/>
    <n v="1185.8499999999999"/>
    <n v="0"/>
    <n v="0"/>
    <n v="154.16004000000001"/>
    <n v="1340.0100399999999"/>
  </r>
  <r>
    <x v="7"/>
    <s v="Q4"/>
    <x v="0"/>
    <x v="103"/>
    <s v="KEPL/01845/82-83"/>
    <s v="SIMPEX SOLUTION PVT. LTD"/>
    <x v="13"/>
    <n v="0.42"/>
    <n v="10"/>
    <n v="134.51"/>
    <n v="1345.1000000000001"/>
    <n v="0"/>
    <n v="0"/>
    <n v="174.86247800000001"/>
    <n v="1519.9624779999999"/>
  </r>
  <r>
    <x v="7"/>
    <s v="Q4"/>
    <x v="0"/>
    <x v="103"/>
    <s v="KEPL/01845/82-83"/>
    <s v="SIMPEX SOLUTION PVT. LTD"/>
    <x v="37"/>
    <n v="0.13"/>
    <n v="5"/>
    <n v="77.88"/>
    <n v="389.4"/>
    <n v="0"/>
    <n v="0"/>
    <n v="50.621848999999997"/>
    <n v="440.02184899999997"/>
  </r>
  <r>
    <x v="7"/>
    <s v="Q4"/>
    <x v="0"/>
    <x v="103"/>
    <s v="KEPL/01845/82-83"/>
    <s v="SIMPEX SOLUTION PVT. LTD"/>
    <x v="24"/>
    <n v="0.28000000000000003"/>
    <n v="5"/>
    <n v="169.91"/>
    <n v="849.55000000000007"/>
    <n v="0"/>
    <n v="0"/>
    <n v="110.44116999999999"/>
    <n v="959.99117000000001"/>
  </r>
  <r>
    <x v="7"/>
    <s v="Q4"/>
    <x v="0"/>
    <x v="103"/>
    <s v="KESR/0054/82-83"/>
    <s v="ABIRAL SUPPLIERS AND TRADERS"/>
    <x v="53"/>
    <n v="-0.15"/>
    <n v="-6"/>
    <n v="81.94"/>
    <n v="-491.65"/>
    <n v="37.81"/>
    <n v="0"/>
    <n v="-58.998779999999996"/>
    <n v="-512.83878000000004"/>
  </r>
  <r>
    <x v="7"/>
    <s v="Q4"/>
    <x v="0"/>
    <x v="103"/>
    <s v="KESR/0054/82-83"/>
    <s v="ABIRAL SUPPLIERS AND TRADERS"/>
    <x v="37"/>
    <n v="-0.85"/>
    <n v="-34"/>
    <n v="81.94"/>
    <n v="-2785.9599999999996"/>
    <n v="214.24"/>
    <n v="0"/>
    <n v="-334.32121999999998"/>
    <n v="-2906.0412200000001"/>
  </r>
  <r>
    <x v="7"/>
    <s v="Q4"/>
    <x v="0"/>
    <x v="104"/>
    <s v="KEPL/01851/82-83"/>
    <s v="NEW CHANDESHWARI SUPPLIERS"/>
    <x v="52"/>
    <n v="50"/>
    <n v="200"/>
    <n v="595.92999999999995"/>
    <n v="119186"/>
    <n v="-9165.4"/>
    <n v="0"/>
    <n v="14302.68"/>
    <n v="124323.28"/>
  </r>
  <r>
    <x v="7"/>
    <s v="Q4"/>
    <x v="0"/>
    <x v="105"/>
    <s v="KEPL/01859/82-83"/>
    <s v="GORIN TRADING "/>
    <x v="7"/>
    <n v="9"/>
    <n v="378"/>
    <n v="74.489999999999995"/>
    <n v="28157.22"/>
    <n v="-2165.29"/>
    <n v="0"/>
    <n v="3378.949259"/>
    <n v="29370.879259000001"/>
  </r>
  <r>
    <x v="7"/>
    <s v="Q4"/>
    <x v="0"/>
    <x v="105"/>
    <s v="KEPL/01859/82-83"/>
    <s v="GORIN TRADING "/>
    <x v="8"/>
    <n v="4"/>
    <n v="168"/>
    <n v="74.489999999999995"/>
    <n v="12514.32"/>
    <n v="-962.35"/>
    <n v="0"/>
    <n v="1501.755371"/>
    <n v="13053.725371"/>
  </r>
  <r>
    <x v="7"/>
    <s v="Q4"/>
    <x v="0"/>
    <x v="105"/>
    <s v="KEPL/01859/82-83"/>
    <s v="GORIN TRADING "/>
    <x v="10"/>
    <n v="4"/>
    <n v="168"/>
    <n v="74.489999999999995"/>
    <n v="12514.32"/>
    <n v="-962.35"/>
    <n v="0"/>
    <n v="1501.755371"/>
    <n v="13053.725371"/>
  </r>
  <r>
    <x v="7"/>
    <s v="Q4"/>
    <x v="0"/>
    <x v="106"/>
    <s v="KEPL/01865/82-83"/>
    <s v="MEGA MART PVT.LTD"/>
    <x v="55"/>
    <n v="9"/>
    <n v="180"/>
    <n v="155.97"/>
    <n v="28074.600000000002"/>
    <n v="0"/>
    <n v="0"/>
    <n v="3649.699721"/>
    <n v="31724.299720999999"/>
  </r>
  <r>
    <x v="7"/>
    <s v="Q4"/>
    <x v="0"/>
    <x v="106"/>
    <s v="KEPL/01865/82-83"/>
    <s v="MEGA MART PVT.LTD"/>
    <x v="35"/>
    <n v="1"/>
    <n v="60"/>
    <n v="129.41999999999999"/>
    <n v="7765.2"/>
    <n v="0"/>
    <n v="0"/>
    <n v="1009.476476"/>
    <n v="8774.6764760000005"/>
  </r>
  <r>
    <x v="7"/>
    <s v="Q4"/>
    <x v="0"/>
    <x v="106"/>
    <s v="KEPL/01865/82-83"/>
    <s v="MEGA MART PVT.LTD"/>
    <x v="42"/>
    <n v="2"/>
    <n v="60"/>
    <n v="282.08"/>
    <n v="16924.8"/>
    <n v="0"/>
    <n v="0"/>
    <n v="2200.225038"/>
    <n v="19125.025038"/>
  </r>
  <r>
    <x v="7"/>
    <s v="Q4"/>
    <x v="0"/>
    <x v="106"/>
    <s v="KEPL/01865/82-83"/>
    <s v="MEGA MART PVT.LTD"/>
    <x v="46"/>
    <n v="4"/>
    <n v="80"/>
    <n v="155.97"/>
    <n v="12477.599999999999"/>
    <n v="0"/>
    <n v="0"/>
    <n v="1622.088765"/>
    <n v="14099.688765000001"/>
  </r>
  <r>
    <x v="7"/>
    <s v="Q4"/>
    <x v="0"/>
    <x v="106"/>
    <s v="KEPL/01870/82-83"/>
    <s v="SHUBHASHREE MARKETING"/>
    <x v="39"/>
    <n v="15"/>
    <n v="300"/>
    <n v="249.55"/>
    <n v="74865"/>
    <n v="-5757.12"/>
    <n v="0"/>
    <n v="8984.0226940000011"/>
    <n v="78091.902694000004"/>
  </r>
  <r>
    <x v="7"/>
    <s v="Q4"/>
    <x v="0"/>
    <x v="106"/>
    <s v="KEPL/01870/82-83"/>
    <s v="SHUBHASHREE MARKETING"/>
    <x v="27"/>
    <n v="10"/>
    <n v="700"/>
    <n v="37.25"/>
    <n v="26075"/>
    <n v="-2005.1699999999998"/>
    <n v="0"/>
    <n v="3129.0773060000001"/>
    <n v="27198.907306000001"/>
  </r>
  <r>
    <x v="7"/>
    <s v="Q4"/>
    <x v="0"/>
    <x v="106"/>
    <s v="KEPL/01871/82-83"/>
    <s v="DINESH TRADING HOUSE"/>
    <x v="42"/>
    <n v="3"/>
    <n v="90"/>
    <n v="316.58999999999997"/>
    <n v="28493.1"/>
    <n v="-2191.12"/>
    <n v="0"/>
    <n v="3419.2569940000003"/>
    <n v="29721.236993999999"/>
  </r>
  <r>
    <x v="7"/>
    <s v="Q4"/>
    <x v="0"/>
    <x v="106"/>
    <s v="KEPL/01871/82-83"/>
    <s v="DINESH TRADING HOUSE"/>
    <x v="52"/>
    <n v="15"/>
    <n v="60"/>
    <n v="595.92999999999995"/>
    <n v="35755.799999999996"/>
    <n v="-2749.62"/>
    <n v="0"/>
    <n v="4290.8028899999999"/>
    <n v="37296.982889999999"/>
  </r>
  <r>
    <x v="7"/>
    <s v="Q4"/>
    <x v="0"/>
    <x v="106"/>
    <s v="KEPL/01871/82-83"/>
    <s v="DINESH TRADING HOUSE"/>
    <x v="46"/>
    <n v="1"/>
    <n v="20"/>
    <n v="175.05"/>
    <n v="3500.9999999999995"/>
    <n v="-269.23"/>
    <n v="0"/>
    <n v="420.13004999999998"/>
    <n v="3651.9000500000002"/>
  </r>
  <r>
    <x v="7"/>
    <s v="Q4"/>
    <x v="0"/>
    <x v="106"/>
    <s v="KEPL/01871/82-83"/>
    <s v="DINESH TRADING HOUSE"/>
    <x v="47"/>
    <n v="3"/>
    <n v="120"/>
    <n v="111.74"/>
    <n v="13408.8"/>
    <n v="-1031.1400000000001"/>
    <n v="0"/>
    <n v="1609.095609"/>
    <n v="13986.755609"/>
  </r>
  <r>
    <x v="7"/>
    <s v="Q4"/>
    <x v="0"/>
    <x v="106"/>
    <s v="KEPL/01871/82-83"/>
    <s v="DINESH TRADING HOUSE"/>
    <x v="27"/>
    <n v="12"/>
    <n v="840"/>
    <n v="37.25"/>
    <n v="31290"/>
    <n v="-2406.2000000000003"/>
    <n v="0"/>
    <n v="3754.8935539999998"/>
    <n v="32638.693554000001"/>
  </r>
  <r>
    <x v="7"/>
    <s v="Q4"/>
    <x v="0"/>
    <x v="106"/>
    <s v="KEPL/01871/82-83"/>
    <s v="DINESH TRADING HOUSE"/>
    <x v="35"/>
    <n v="2"/>
    <n v="120"/>
    <n v="145.26"/>
    <n v="17431.2"/>
    <n v="-1340.46"/>
    <n v="0"/>
    <n v="2091.7959519999999"/>
    <n v="18182.535951999998"/>
  </r>
  <r>
    <x v="7"/>
    <s v="Q4"/>
    <x v="0"/>
    <x v="106"/>
    <s v="KEPL/01871/82-83"/>
    <s v="DINESH TRADING HOUSE"/>
    <x v="56"/>
    <n v="6"/>
    <n v="4800"/>
    <n v="7.46"/>
    <n v="35808"/>
    <n v="-2753.64"/>
    <n v="0"/>
    <n v="4297.0662899999998"/>
    <n v="37351.426290000003"/>
  </r>
  <r>
    <x v="7"/>
    <s v="Q4"/>
    <x v="0"/>
    <x v="106"/>
    <s v="KEPL/01871/82-83"/>
    <s v="DINESH TRADING HOUSE"/>
    <x v="33"/>
    <n v="3"/>
    <n v="120"/>
    <n v="74.489999999999995"/>
    <n v="8938.8000000000011"/>
    <n v="-687.3900000000001"/>
    <n v="0"/>
    <n v="1072.6831730000001"/>
    <n v="9324.0931729999993"/>
  </r>
  <r>
    <x v="7"/>
    <s v="Q4"/>
    <x v="0"/>
    <x v="106"/>
    <s v="KEPL/01871/82-83"/>
    <s v="DINESH TRADING HOUSE"/>
    <x v="49"/>
    <n v="2"/>
    <n v="30"/>
    <n v="260.72000000000003"/>
    <n v="7821.6"/>
    <n v="-601.48"/>
    <n v="0"/>
    <n v="938.61548900000003"/>
    <n v="8158.7354889999997"/>
  </r>
  <r>
    <x v="7"/>
    <s v="Q4"/>
    <x v="0"/>
    <x v="107"/>
    <s v="KEPL/01874/82-83"/>
    <s v="MEGA MART PVT.LTD"/>
    <x v="33"/>
    <n v="7"/>
    <n v="280"/>
    <n v="66.37"/>
    <n v="18583.600000000002"/>
    <n v="0"/>
    <n v="0"/>
    <n v="2415.87"/>
    <n v="20999.47"/>
  </r>
  <r>
    <x v="7"/>
    <s v="Q4"/>
    <x v="0"/>
    <x v="107"/>
    <s v="KEPL/01876/82-83"/>
    <s v="GORIN TRADING "/>
    <x v="27"/>
    <n v="2"/>
    <n v="140"/>
    <n v="37.25"/>
    <n v="5215"/>
    <n v="-401.03"/>
    <n v="0"/>
    <n v="625.82000000000005"/>
    <n v="5439.79"/>
  </r>
  <r>
    <x v="7"/>
    <s v="Q4"/>
    <x v="0"/>
    <x v="108"/>
    <s v="KEPL/01900/82-83"/>
    <s v="SHREE BHOLEY SHANKAR KIRANA STORE"/>
    <x v="42"/>
    <n v="3"/>
    <n v="90"/>
    <n v="316.58999999999997"/>
    <n v="28493.1"/>
    <n v="-2191.12"/>
    <n v="0"/>
    <n v="3419.26"/>
    <n v="29721.24"/>
  </r>
  <r>
    <x v="7"/>
    <s v="Q4"/>
    <x v="0"/>
    <x v="109"/>
    <s v="KEPL/01913/82-83"/>
    <s v=" THE RED DOOR BAKERS PVT.LTD"/>
    <x v="24"/>
    <n v="35"/>
    <n v="630"/>
    <n v="178.78"/>
    <n v="112631.40000000001"/>
    <n v="-8661.35"/>
    <n v="0"/>
    <n v="13516.11"/>
    <n v="117486.16"/>
  </r>
  <r>
    <x v="7"/>
    <s v="Q4"/>
    <x v="0"/>
    <x v="109"/>
    <s v="KEPL/01942/82-83"/>
    <s v="BHAT BHATENI SUPERMARKET &amp; DEPARTMENTAL STORE PVT. LTD."/>
    <x v="12"/>
    <n v="15"/>
    <n v="1950"/>
    <n v="32.74"/>
    <n v="63843"/>
    <n v="0"/>
    <n v="0"/>
    <n v="8299.59"/>
    <n v="72142.59"/>
  </r>
  <r>
    <x v="7"/>
    <s v="Q4"/>
    <x v="0"/>
    <x v="109"/>
    <s v="KEPL/01942/82-83"/>
    <s v="BHAT BHATENI SUPERMARKET &amp; DEPARTMENTAL STORE PVT. LTD."/>
    <x v="33"/>
    <n v="10"/>
    <n v="400"/>
    <n v="65.489999999999995"/>
    <n v="26196"/>
    <n v="0"/>
    <n v="0"/>
    <n v="3405.4799999999996"/>
    <n v="29601.48"/>
  </r>
  <r>
    <x v="7"/>
    <s v="Q4"/>
    <x v="0"/>
    <x v="109"/>
    <s v="KEPL/01942/82-83"/>
    <s v="BHAT BHATENI SUPERMARKET &amp; DEPARTMENTAL STORE PVT. LTD."/>
    <x v="39"/>
    <n v="10"/>
    <n v="200"/>
    <n v="219.38"/>
    <n v="43876"/>
    <n v="0"/>
    <n v="0"/>
    <n v="5703.88"/>
    <n v="49579.88"/>
  </r>
  <r>
    <x v="7"/>
    <s v="Q4"/>
    <x v="0"/>
    <x v="109"/>
    <s v="KEPL/01942/82-83"/>
    <s v="BHAT BHATENI SUPERMARKET &amp; DEPARTMENTAL STORE PVT. LTD."/>
    <x v="41"/>
    <n v="10"/>
    <n v="400"/>
    <n v="65.489999999999995"/>
    <n v="26196"/>
    <n v="0"/>
    <n v="0"/>
    <n v="3405.4799999999996"/>
    <n v="29601.48"/>
  </r>
  <r>
    <x v="7"/>
    <s v="Q4"/>
    <x v="0"/>
    <x v="109"/>
    <s v="KEPL/01942/82-83"/>
    <s v="BHAT BHATENI SUPERMARKET &amp; DEPARTMENTAL STORE PVT. LTD."/>
    <x v="57"/>
    <n v="10"/>
    <n v="400"/>
    <n v="98.23"/>
    <n v="39292"/>
    <n v="0"/>
    <n v="0"/>
    <n v="5107.96"/>
    <n v="44399.96"/>
  </r>
  <r>
    <x v="7"/>
    <s v="Q4"/>
    <x v="0"/>
    <x v="109"/>
    <s v="KEPL/01942/82-83"/>
    <s v="BHAT BHATENI SUPERMARKET &amp; DEPARTMENTAL STORE PVT. LTD."/>
    <x v="3"/>
    <n v="15"/>
    <n v="300"/>
    <n v="163.72"/>
    <n v="49116"/>
    <n v="0"/>
    <n v="0"/>
    <n v="6385.08"/>
    <n v="55501.08"/>
  </r>
  <r>
    <x v="7"/>
    <s v="Q4"/>
    <x v="0"/>
    <x v="109"/>
    <s v="KEPL/01942/82-83"/>
    <s v="BHAT BHATENI SUPERMARKET &amp; DEPARTMENTAL STORE PVT. LTD."/>
    <x v="51"/>
    <n v="10"/>
    <n v="500"/>
    <n v="78.58"/>
    <n v="39290"/>
    <n v="0"/>
    <n v="0"/>
    <n v="5107.7"/>
    <n v="44397.7"/>
  </r>
  <r>
    <x v="7"/>
    <s v="Q4"/>
    <x v="0"/>
    <x v="109"/>
    <s v="KEPL/01942/82-83"/>
    <s v="BHAT BHATENI SUPERMARKET &amp; DEPARTMENTAL STORE PVT. LTD."/>
    <x v="29"/>
    <n v="10"/>
    <n v="200"/>
    <n v="180.09"/>
    <n v="36018"/>
    <n v="0"/>
    <n v="0"/>
    <n v="4682.34"/>
    <n v="40700.339999999997"/>
  </r>
  <r>
    <x v="7"/>
    <s v="Q4"/>
    <x v="0"/>
    <x v="109"/>
    <s v="KEPL/01942/82-83"/>
    <s v="BHAT BHATENI SUPERMARKET &amp; DEPARTMENTAL STORE PVT. LTD."/>
    <x v="28"/>
    <n v="10"/>
    <n v="200"/>
    <n v="180.09"/>
    <n v="36018"/>
    <n v="0"/>
    <n v="0"/>
    <n v="4682.34"/>
    <n v="40700.339999999997"/>
  </r>
  <r>
    <x v="7"/>
    <s v="Q4"/>
    <x v="0"/>
    <x v="109"/>
    <s v="KEPL/01942/82-83"/>
    <s v="BHAT BHATENI SUPERMARKET &amp; DEPARTMENTAL STORE PVT. LTD."/>
    <x v="34"/>
    <n v="10"/>
    <n v="400"/>
    <n v="65.489999999999995"/>
    <n v="26196"/>
    <n v="0"/>
    <n v="0"/>
    <n v="3405.4799999999996"/>
    <n v="29601.48"/>
  </r>
  <r>
    <x v="7"/>
    <s v="Q4"/>
    <x v="0"/>
    <x v="109"/>
    <s v="KEPL/01942/82-83"/>
    <s v="BHAT BHATENI SUPERMARKET &amp; DEPARTMENTAL STORE PVT. LTD."/>
    <x v="27"/>
    <n v="10"/>
    <n v="700"/>
    <n v="32.74"/>
    <n v="22918"/>
    <n v="0"/>
    <n v="0"/>
    <n v="2979.34"/>
    <n v="25897.34"/>
  </r>
  <r>
    <x v="7"/>
    <s v="Q4"/>
    <x v="0"/>
    <x v="109"/>
    <s v="KEPL/01942/82-83"/>
    <s v="BHAT BHATENI SUPERMARKET &amp; DEPARTMENTAL STORE PVT. LTD."/>
    <x v="59"/>
    <n v="10"/>
    <n v="200"/>
    <n v="180.09"/>
    <n v="36018"/>
    <n v="0"/>
    <n v="0"/>
    <n v="4682.34"/>
    <n v="40700.339999999997"/>
  </r>
  <r>
    <x v="7"/>
    <s v="Q4"/>
    <x v="0"/>
    <x v="109"/>
    <s v="KEPL/01942/82-83"/>
    <s v="BHAT BHATENI SUPERMARKET &amp; DEPARTMENTAL STORE PVT. LTD."/>
    <x v="30"/>
    <n v="10"/>
    <n v="200"/>
    <n v="212.83"/>
    <n v="42566"/>
    <n v="0"/>
    <n v="0"/>
    <n v="5533.58"/>
    <n v="48099.58"/>
  </r>
  <r>
    <x v="7"/>
    <s v="Q4"/>
    <x v="0"/>
    <x v="109"/>
    <s v="KEPL/01942/82-83"/>
    <s v="BHAT BHATENI SUPERMARKET &amp; DEPARTMENTAL STORE PVT. LTD."/>
    <x v="48"/>
    <n v="10"/>
    <n v="200"/>
    <n v="180.09"/>
    <n v="36018"/>
    <n v="0"/>
    <n v="0"/>
    <n v="4682.34"/>
    <n v="40700.339999999997"/>
  </r>
  <r>
    <x v="7"/>
    <s v="Q4"/>
    <x v="0"/>
    <x v="109"/>
    <s v="KEPL/01943/82-83"/>
    <s v="NEW HORIZON DISTRIBUTORS"/>
    <x v="40"/>
    <n v="1"/>
    <n v="600"/>
    <n v="7.46"/>
    <n v="4476"/>
    <n v="-344.2"/>
    <n v="0"/>
    <n v="537.13403000000005"/>
    <n v="4668.9340300000003"/>
  </r>
  <r>
    <x v="7"/>
    <s v="Q4"/>
    <x v="0"/>
    <x v="109"/>
    <s v="KEPL/01943/82-83"/>
    <s v="NEW HORIZON DISTRIBUTORS"/>
    <x v="57"/>
    <n v="3"/>
    <n v="120"/>
    <n v="111.74"/>
    <n v="13408.8"/>
    <n v="-1031.1400000000001"/>
    <n v="0"/>
    <n v="1609.0958909999999"/>
    <n v="13986.755891000001"/>
  </r>
  <r>
    <x v="7"/>
    <s v="Q4"/>
    <x v="0"/>
    <x v="109"/>
    <s v="KEPL/01943/82-83"/>
    <s v="NEW HORIZON DISTRIBUTORS"/>
    <x v="27"/>
    <n v="10"/>
    <n v="700"/>
    <n v="37.25"/>
    <n v="26075"/>
    <n v="-2005.1699999999998"/>
    <n v="0"/>
    <n v="3129.0780760000002"/>
    <n v="27198.908076"/>
  </r>
  <r>
    <x v="7"/>
    <s v="Q4"/>
    <x v="0"/>
    <x v="109"/>
    <s v="KEPL/01943/82-83"/>
    <s v="NEW HORIZON DISTRIBUTORS"/>
    <x v="30"/>
    <n v="2"/>
    <n v="40"/>
    <n v="242.1"/>
    <n v="9683.9999999999982"/>
    <n v="-744.7"/>
    <n v="0"/>
    <n v="1162.1090650000001"/>
    <n v="10101.409065"/>
  </r>
  <r>
    <x v="7"/>
    <s v="Q4"/>
    <x v="0"/>
    <x v="109"/>
    <s v="KEPL/01943/82-83"/>
    <s v="NEW HORIZON DISTRIBUTORS"/>
    <x v="41"/>
    <n v="2"/>
    <n v="80"/>
    <n v="74.5"/>
    <n v="5960"/>
    <n v="-458.32"/>
    <n v="0"/>
    <n v="715.21843999999999"/>
    <n v="6216.8984399999999"/>
  </r>
  <r>
    <x v="7"/>
    <s v="Q4"/>
    <x v="0"/>
    <x v="109"/>
    <s v="KEPL/01943/82-83"/>
    <s v="NEW HORIZON DISTRIBUTORS"/>
    <x v="56"/>
    <n v="1"/>
    <n v="800"/>
    <n v="7.46"/>
    <n v="5968"/>
    <n v="-458.94"/>
    <n v="0"/>
    <n v="716.17784000000006"/>
    <n v="6225.2378399999998"/>
  </r>
  <r>
    <x v="7"/>
    <s v="Q4"/>
    <x v="0"/>
    <x v="109"/>
    <s v="KEPL/01943/82-83"/>
    <s v="NEW HORIZON DISTRIBUTORS"/>
    <x v="34"/>
    <n v="2"/>
    <n v="80"/>
    <n v="74.5"/>
    <n v="5959.7"/>
    <n v="-458.3"/>
    <n v="0"/>
    <n v="715.18204000000003"/>
    <n v="6216.5820400000002"/>
  </r>
  <r>
    <x v="7"/>
    <s v="Q4"/>
    <x v="0"/>
    <x v="109"/>
    <s v="KEPL/01943/82-83"/>
    <s v="NEW HORIZON DISTRIBUTORS"/>
    <x v="33"/>
    <n v="2"/>
    <n v="80"/>
    <n v="74.489999999999995"/>
    <n v="5959.2"/>
    <n v="-458.26"/>
    <n v="0"/>
    <n v="715.12224000000003"/>
    <n v="6216.0622400000002"/>
  </r>
  <r>
    <x v="7"/>
    <s v="Q4"/>
    <x v="0"/>
    <x v="109"/>
    <s v="KEPL/01943/82-83"/>
    <s v="NEW HORIZON DISTRIBUTORS"/>
    <x v="48"/>
    <n v="5"/>
    <n v="100"/>
    <n v="204.85"/>
    <n v="20485"/>
    <n v="-1575.3"/>
    <n v="0"/>
    <n v="2458.2611379999998"/>
    <n v="21367.961137999999"/>
  </r>
  <r>
    <x v="7"/>
    <s v="Q4"/>
    <x v="0"/>
    <x v="109"/>
    <s v="KEPL/01943/82-83"/>
    <s v="NEW HORIZON DISTRIBUTORS"/>
    <x v="12"/>
    <n v="5"/>
    <n v="650"/>
    <n v="37.25"/>
    <n v="24212.5"/>
    <n v="-1861.9399999999998"/>
    <n v="0"/>
    <n v="2905.572964"/>
    <n v="25256.132964"/>
  </r>
  <r>
    <x v="7"/>
    <s v="Q4"/>
    <x v="0"/>
    <x v="109"/>
    <s v="KEPL/01943/82-83"/>
    <s v="NEW HORIZON DISTRIBUTORS"/>
    <x v="35"/>
    <n v="2"/>
    <n v="120"/>
    <n v="145.26"/>
    <n v="17431.2"/>
    <n v="-1340.46"/>
    <n v="0"/>
    <n v="2091.7963180000002"/>
    <n v="18182.536317999999"/>
  </r>
  <r>
    <x v="7"/>
    <s v="Q4"/>
    <x v="0"/>
    <x v="109"/>
    <s v="KEPL/01943/82-83"/>
    <s v="NEW HORIZON DISTRIBUTORS"/>
    <x v="47"/>
    <n v="1"/>
    <n v="40"/>
    <n v="111.74"/>
    <n v="4469.6000000000004"/>
    <n v="-343.71"/>
    <n v="0"/>
    <n v="536.36572999999999"/>
    <n v="4662.2557299999999"/>
  </r>
  <r>
    <x v="7"/>
    <s v="Q4"/>
    <x v="0"/>
    <x v="109"/>
    <s v="KEPL/01943/82-83"/>
    <s v="NEW HORIZON DISTRIBUTORS"/>
    <x v="3"/>
    <n v="5"/>
    <n v="100"/>
    <n v="186.22"/>
    <n v="18622"/>
    <n v="-1432.03"/>
    <n v="0"/>
    <n v="2234.696226"/>
    <n v="19424.666226000001"/>
  </r>
  <r>
    <x v="7"/>
    <s v="Q4"/>
    <x v="0"/>
    <x v="109"/>
    <s v="KEPL/01944/82-83"/>
    <s v="UMALAXMI TRADERS"/>
    <x v="56"/>
    <n v="1"/>
    <n v="800"/>
    <n v="7.46"/>
    <n v="5968"/>
    <n v="-458.94"/>
    <n v="0"/>
    <n v="716.17707800000005"/>
    <n v="6225.2370780000001"/>
  </r>
  <r>
    <x v="7"/>
    <s v="Q4"/>
    <x v="0"/>
    <x v="109"/>
    <s v="KEPL/01944/82-83"/>
    <s v="UMALAXMI TRADERS"/>
    <x v="51"/>
    <n v="3"/>
    <n v="150"/>
    <n v="89.39"/>
    <n v="13408.500000000002"/>
    <n v="-1031.1100000000001"/>
    <n v="0"/>
    <n v="1609.0590769999999"/>
    <n v="13986.449076999999"/>
  </r>
  <r>
    <x v="7"/>
    <s v="Q4"/>
    <x v="0"/>
    <x v="109"/>
    <s v="KEPL/01944/82-83"/>
    <s v="UMALAXMI TRADERS"/>
    <x v="3"/>
    <n v="5"/>
    <n v="100"/>
    <n v="186.22"/>
    <n v="18622"/>
    <n v="-1432.03"/>
    <n v="0"/>
    <n v="2234.6938460000001"/>
    <n v="19424.663845999999"/>
  </r>
  <r>
    <x v="7"/>
    <s v="Q4"/>
    <x v="0"/>
    <x v="109"/>
    <s v="KEPL/01945/82-83"/>
    <s v="AASHI TRADERS"/>
    <x v="3"/>
    <n v="25"/>
    <n v="500"/>
    <n v="186.22"/>
    <n v="93110"/>
    <n v="-7160.16"/>
    <n v="0"/>
    <n v="11173.476736000001"/>
    <n v="97123.316735999993"/>
  </r>
  <r>
    <x v="7"/>
    <s v="Q4"/>
    <x v="0"/>
    <x v="109"/>
    <s v="KEPL/01945/82-83"/>
    <s v="AASHI TRADERS"/>
    <x v="59"/>
    <n v="2"/>
    <n v="40"/>
    <n v="204.85"/>
    <n v="8194"/>
    <n v="-630.12"/>
    <n v="0"/>
    <n v="983.30418299999997"/>
    <n v="8547.1841829999994"/>
  </r>
  <r>
    <x v="7"/>
    <s v="Q4"/>
    <x v="0"/>
    <x v="109"/>
    <s v="KEPL/01945/82-83"/>
    <s v="AASHI TRADERS"/>
    <x v="34"/>
    <n v="3"/>
    <n v="120"/>
    <n v="74.5"/>
    <n v="8940"/>
    <n v="-687.4899999999999"/>
    <n v="0"/>
    <n v="1072.826063"/>
    <n v="9325.3360630000006"/>
  </r>
  <r>
    <x v="7"/>
    <s v="Q4"/>
    <x v="0"/>
    <x v="109"/>
    <s v="KEPL/01945/82-83"/>
    <s v="AASHI TRADERS"/>
    <x v="51"/>
    <n v="3"/>
    <n v="150"/>
    <n v="89.39"/>
    <n v="13408.500000000002"/>
    <n v="-1031.1100000000001"/>
    <n v="0"/>
    <n v="1609.0603449999999"/>
    <n v="13986.450344999999"/>
  </r>
  <r>
    <x v="7"/>
    <s v="Q4"/>
    <x v="0"/>
    <x v="109"/>
    <s v="KEPL/01945/82-83"/>
    <s v="AASHI TRADERS"/>
    <x v="47"/>
    <n v="3"/>
    <n v="120"/>
    <n v="111.74"/>
    <n v="13408.8"/>
    <n v="-1031.1400000000001"/>
    <n v="0"/>
    <n v="1609.0954450000002"/>
    <n v="13986.755445000001"/>
  </r>
  <r>
    <x v="7"/>
    <s v="Q4"/>
    <x v="0"/>
    <x v="109"/>
    <s v="KEPL/01945/82-83"/>
    <s v="AASHI TRADERS"/>
    <x v="48"/>
    <n v="2"/>
    <n v="40"/>
    <n v="204.85"/>
    <n v="8194"/>
    <n v="-630.12"/>
    <n v="0"/>
    <n v="983.30418299999997"/>
    <n v="8547.1841829999994"/>
  </r>
  <r>
    <x v="7"/>
    <s v="Q4"/>
    <x v="0"/>
    <x v="109"/>
    <s v="KEPL/01945/82-83"/>
    <s v="AASHI TRADERS"/>
    <x v="29"/>
    <n v="3"/>
    <n v="60"/>
    <n v="204.85"/>
    <n v="12291"/>
    <n v="-945.18"/>
    <n v="0"/>
    <n v="1474.9562750000002"/>
    <n v="12820.776275"/>
  </r>
  <r>
    <x v="7"/>
    <s v="Q4"/>
    <x v="0"/>
    <x v="109"/>
    <s v="KEPL/01945/82-83"/>
    <s v="AASHI TRADERS"/>
    <x v="33"/>
    <n v="3"/>
    <n v="120"/>
    <n v="74.489999999999995"/>
    <n v="8938.8000000000011"/>
    <n v="-687.3900000000001"/>
    <n v="0"/>
    <n v="1072.6830629999999"/>
    <n v="9324.0930630000003"/>
  </r>
  <r>
    <x v="7"/>
    <s v="Q4"/>
    <x v="0"/>
    <x v="109"/>
    <s v="KEPL/01945/82-83"/>
    <s v="AASHI TRADERS"/>
    <x v="56"/>
    <n v="1"/>
    <n v="800"/>
    <n v="7.46"/>
    <n v="5968"/>
    <n v="-458.94"/>
    <n v="0"/>
    <n v="716.17764199999999"/>
    <n v="6225.2376420000001"/>
  </r>
  <r>
    <x v="7"/>
    <s v="Q4"/>
    <x v="0"/>
    <x v="109"/>
    <s v="KEPL/01945/82-83"/>
    <s v="AASHI TRADERS"/>
    <x v="41"/>
    <n v="3"/>
    <n v="120"/>
    <n v="74.5"/>
    <n v="8940"/>
    <n v="-687.4899999999999"/>
    <n v="0"/>
    <n v="1072.826063"/>
    <n v="9325.3360630000006"/>
  </r>
  <r>
    <x v="7"/>
    <s v="Q4"/>
    <x v="0"/>
    <x v="109"/>
    <s v="KEPL/01946/82-83"/>
    <s v="BHAT BHATENI SUPERMARKET &amp; DEPARTMENTAL STORE PVT. LTD."/>
    <x v="32"/>
    <n v="5"/>
    <n v="300"/>
    <n v="98.23"/>
    <n v="29469"/>
    <n v="0"/>
    <n v="0"/>
    <n v="3830.9696440000002"/>
    <n v="33299.969643999997"/>
  </r>
  <r>
    <x v="7"/>
    <s v="Q4"/>
    <x v="0"/>
    <x v="109"/>
    <s v="KEPL/01946/82-83"/>
    <s v="BHAT BHATENI SUPERMARKET &amp; DEPARTMENTAL STORE PVT. LTD."/>
    <x v="43"/>
    <n v="5"/>
    <n v="300"/>
    <n v="98.23"/>
    <n v="29469"/>
    <n v="0"/>
    <n v="0"/>
    <n v="3830.9696440000002"/>
    <n v="33299.969643999997"/>
  </r>
  <r>
    <x v="7"/>
    <s v="Q4"/>
    <x v="0"/>
    <x v="109"/>
    <s v="KEPL/01946/82-83"/>
    <s v="BHAT BHATENI SUPERMARKET &amp; DEPARTMENTAL STORE PVT. LTD."/>
    <x v="35"/>
    <n v="10"/>
    <n v="600"/>
    <n v="127.7"/>
    <n v="76620"/>
    <n v="0"/>
    <n v="0"/>
    <n v="9960.5990729999994"/>
    <n v="86580.599073000005"/>
  </r>
  <r>
    <x v="7"/>
    <s v="Q4"/>
    <x v="0"/>
    <x v="109"/>
    <s v="KEPL/01946/82-83"/>
    <s v="BHAT BHATENI SUPERMARKET &amp; DEPARTMENTAL STORE PVT. LTD."/>
    <x v="45"/>
    <n v="10"/>
    <n v="150"/>
    <n v="229.2"/>
    <n v="34380"/>
    <n v="0"/>
    <n v="0"/>
    <n v="4469.3995839999998"/>
    <n v="38849.399583999999"/>
  </r>
  <r>
    <x v="7"/>
    <s v="Q4"/>
    <x v="0"/>
    <x v="109"/>
    <s v="KEPL/01946/82-83"/>
    <s v="BHAT BHATENI SUPERMARKET &amp; DEPARTMENTAL STORE PVT. LTD."/>
    <x v="53"/>
    <n v="10"/>
    <n v="400"/>
    <n v="72.040000000000006"/>
    <n v="28816"/>
    <n v="0"/>
    <n v="0"/>
    <n v="3746.079651"/>
    <n v="32562.079651"/>
  </r>
  <r>
    <x v="7"/>
    <s v="Q4"/>
    <x v="0"/>
    <x v="109"/>
    <s v="KEPL/01946/82-83"/>
    <s v="BHAT BHATENI SUPERMARKET &amp; DEPARTMENTAL STORE PVT. LTD."/>
    <x v="44"/>
    <n v="10"/>
    <n v="240"/>
    <n v="163.72"/>
    <n v="39292.800000000003"/>
    <n v="0"/>
    <n v="0"/>
    <n v="5108.0635250000005"/>
    <n v="44400.863525000001"/>
  </r>
  <r>
    <x v="7"/>
    <s v="Q4"/>
    <x v="0"/>
    <x v="109"/>
    <s v="KEPL/01946/82-83"/>
    <s v="BHAT BHATENI SUPERMARKET &amp; DEPARTMENTAL STORE PVT. LTD."/>
    <x v="36"/>
    <n v="10"/>
    <n v="400"/>
    <n v="72.040000000000006"/>
    <n v="28816"/>
    <n v="0"/>
    <n v="0"/>
    <n v="3746.079651"/>
    <n v="32562.079651"/>
  </r>
  <r>
    <x v="7"/>
    <s v="Q4"/>
    <x v="0"/>
    <x v="109"/>
    <s v="KEPL/01946/82-83"/>
    <s v="BHAT BHATENI SUPERMARKET &amp; DEPARTMENTAL STORE PVT. LTD."/>
    <x v="31"/>
    <n v="5"/>
    <n v="300"/>
    <n v="98.23"/>
    <n v="29469"/>
    <n v="0"/>
    <n v="0"/>
    <n v="3830.9696440000002"/>
    <n v="33299.969643999997"/>
  </r>
  <r>
    <x v="7"/>
    <s v="Q4"/>
    <x v="0"/>
    <x v="109"/>
    <s v="KEPL/01946/82-83"/>
    <s v="BHAT BHATENI SUPERMARKET &amp; DEPARTMENTAL STORE PVT. LTD."/>
    <x v="49"/>
    <n v="10"/>
    <n v="150"/>
    <n v="229.2"/>
    <n v="34380"/>
    <n v="0"/>
    <n v="0"/>
    <n v="4469.3995839999998"/>
    <n v="38849.399583999999"/>
  </r>
  <r>
    <x v="7"/>
    <s v="Q4"/>
    <x v="0"/>
    <x v="109"/>
    <s v="KEPL/01947/82-83"/>
    <s v="R.P DISTRIBUTOR TRADE CENTER"/>
    <x v="47"/>
    <n v="5"/>
    <n v="200"/>
    <n v="111.74"/>
    <n v="22348"/>
    <n v="-1718.56"/>
    <n v="0"/>
    <n v="2681.8271600000003"/>
    <n v="23311.267159999999"/>
  </r>
  <r>
    <x v="7"/>
    <s v="Q4"/>
    <x v="0"/>
    <x v="109"/>
    <s v="KEPL/01947/82-83"/>
    <s v="R.P DISTRIBUTOR TRADE CENTER"/>
    <x v="3"/>
    <n v="3"/>
    <n v="60"/>
    <n v="186.22"/>
    <n v="11173.199999999999"/>
    <n v="-859.22"/>
    <n v="0"/>
    <n v="1340.8173800000002"/>
    <n v="11654.79738"/>
  </r>
  <r>
    <x v="7"/>
    <s v="Q4"/>
    <x v="0"/>
    <x v="109"/>
    <s v="KEPL/01947/82-83"/>
    <s v="R.P DISTRIBUTOR TRADE CENTER"/>
    <x v="27"/>
    <n v="20"/>
    <n v="1400"/>
    <n v="37.25"/>
    <n v="52150"/>
    <n v="-4010.3399999999997"/>
    <n v="0"/>
    <n v="6258.1557060000005"/>
    <n v="54397.815706000001"/>
  </r>
  <r>
    <x v="7"/>
    <s v="Q4"/>
    <x v="0"/>
    <x v="109"/>
    <s v="KEPL/01947/82-83"/>
    <s v="R.P DISTRIBUTOR TRADE CENTER"/>
    <x v="45"/>
    <n v="10"/>
    <n v="150"/>
    <n v="260.72000000000003"/>
    <n v="39108"/>
    <n v="-3007.4100000000003"/>
    <n v="0"/>
    <n v="4693.0766300000005"/>
    <n v="40793.66663"/>
  </r>
  <r>
    <x v="7"/>
    <s v="Q4"/>
    <x v="0"/>
    <x v="109"/>
    <s v="KEPL/01947/82-83"/>
    <s v="R.P DISTRIBUTOR TRADE CENTER"/>
    <x v="55"/>
    <n v="4"/>
    <n v="80"/>
    <n v="175.05"/>
    <n v="14003.999999999998"/>
    <n v="-1076.9100000000001"/>
    <n v="0"/>
    <n v="1680.521675"/>
    <n v="14607.611675"/>
  </r>
  <r>
    <x v="7"/>
    <s v="Q4"/>
    <x v="0"/>
    <x v="109"/>
    <s v="KEPL/01947/82-83"/>
    <s v="R.P DISTRIBUTOR TRADE CENTER"/>
    <x v="41"/>
    <n v="1"/>
    <n v="40"/>
    <n v="74.5"/>
    <n v="2980"/>
    <n v="-229.16"/>
    <n v="0"/>
    <n v="357.609195"/>
    <n v="3108.4491950000001"/>
  </r>
  <r>
    <x v="7"/>
    <s v="Q4"/>
    <x v="0"/>
    <x v="109"/>
    <s v="KEPL/01947/82-83"/>
    <s v="R.P DISTRIBUTOR TRADE CENTER"/>
    <x v="49"/>
    <n v="10"/>
    <n v="150"/>
    <n v="260.72000000000003"/>
    <n v="39108"/>
    <n v="-3007.4100000000003"/>
    <n v="0"/>
    <n v="4693.0766300000005"/>
    <n v="40793.66663"/>
  </r>
  <r>
    <x v="7"/>
    <s v="Q4"/>
    <x v="0"/>
    <x v="109"/>
    <s v="KEPL/01947/82-83"/>
    <s v="R.P DISTRIBUTOR TRADE CENTER"/>
    <x v="57"/>
    <n v="5"/>
    <n v="200"/>
    <n v="111.74"/>
    <n v="22348"/>
    <n v="-1718.56"/>
    <n v="0"/>
    <n v="2681.8271600000003"/>
    <n v="23311.267159999999"/>
  </r>
  <r>
    <x v="7"/>
    <s v="Q4"/>
    <x v="0"/>
    <x v="109"/>
    <s v="KEPL/01947/82-83"/>
    <s v="R.P DISTRIBUTOR TRADE CENTER"/>
    <x v="56"/>
    <n v="1"/>
    <n v="800"/>
    <n v="7.46"/>
    <n v="5968"/>
    <n v="-458.94"/>
    <n v="0"/>
    <n v="716.17778899999996"/>
    <n v="6225.2377889999998"/>
  </r>
  <r>
    <x v="7"/>
    <s v="Q4"/>
    <x v="0"/>
    <x v="109"/>
    <s v="KEPL/01947/82-83"/>
    <s v="R.P DISTRIBUTOR TRADE CENTER"/>
    <x v="51"/>
    <n v="3"/>
    <n v="150"/>
    <n v="89.39"/>
    <n v="13408.500000000002"/>
    <n v="-1031.1100000000001"/>
    <n v="0"/>
    <n v="1609.0606760000001"/>
    <n v="13986.450676"/>
  </r>
  <r>
    <x v="7"/>
    <s v="Q4"/>
    <x v="0"/>
    <x v="109"/>
    <s v="KEPL/01948/82-83"/>
    <s v="EMERALD TRADE LINK"/>
    <x v="3"/>
    <n v="3"/>
    <n v="60"/>
    <n v="186.22"/>
    <n v="11173.199999999999"/>
    <n v="-859.22"/>
    <n v="0"/>
    <n v="1340.8176000000001"/>
    <n v="11654.7976"/>
  </r>
  <r>
    <x v="7"/>
    <s v="Q4"/>
    <x v="0"/>
    <x v="109"/>
    <s v="KEPL/01948/82-83"/>
    <s v="EMERALD TRADE LINK"/>
    <x v="41"/>
    <n v="1"/>
    <n v="40"/>
    <n v="74.5"/>
    <n v="2980"/>
    <n v="-229.16"/>
    <n v="0"/>
    <n v="357.60925299999997"/>
    <n v="3108.4492530000002"/>
  </r>
  <r>
    <x v="7"/>
    <s v="Q4"/>
    <x v="0"/>
    <x v="109"/>
    <s v="KEPL/01948/82-83"/>
    <s v="EMERALD TRADE LINK"/>
    <x v="53"/>
    <n v="2"/>
    <n v="80"/>
    <n v="81.94"/>
    <n v="6555.2"/>
    <n v="-504.09"/>
    <n v="0"/>
    <n v="786.64441700000009"/>
    <n v="6837.7544170000001"/>
  </r>
  <r>
    <x v="7"/>
    <s v="Q4"/>
    <x v="0"/>
    <x v="109"/>
    <s v="KEPL/01948/82-83"/>
    <s v="EMERALD TRADE LINK"/>
    <x v="34"/>
    <n v="1"/>
    <n v="40"/>
    <n v="74.5"/>
    <n v="2980"/>
    <n v="-229.16"/>
    <n v="0"/>
    <n v="357.60925299999997"/>
    <n v="3108.4492530000002"/>
  </r>
  <r>
    <x v="7"/>
    <s v="Q4"/>
    <x v="0"/>
    <x v="109"/>
    <s v="KEPL/01948/82-83"/>
    <s v="EMERALD TRADE LINK"/>
    <x v="56"/>
    <n v="1"/>
    <n v="800"/>
    <n v="7.46"/>
    <n v="5968"/>
    <n v="-458.94"/>
    <n v="0"/>
    <n v="716.177907"/>
    <n v="6225.2379069999997"/>
  </r>
  <r>
    <x v="7"/>
    <s v="Q4"/>
    <x v="0"/>
    <x v="109"/>
    <s v="KEPL/01948/82-83"/>
    <s v="EMERALD TRADE LINK"/>
    <x v="52"/>
    <n v="5"/>
    <n v="20"/>
    <n v="595.94000000000005"/>
    <n v="11918.8"/>
    <n v="-916.56"/>
    <n v="0"/>
    <n v="1430.2914130000001"/>
    <n v="12432.531413000001"/>
  </r>
  <r>
    <x v="7"/>
    <s v="Q4"/>
    <x v="0"/>
    <x v="109"/>
    <s v="KEPL/01948/82-83"/>
    <s v="EMERALD TRADE LINK"/>
    <x v="30"/>
    <n v="1"/>
    <n v="20"/>
    <n v="242.1"/>
    <n v="4841.9999999999991"/>
    <n v="-372.35"/>
    <n v="0"/>
    <n v="581.05458699999997"/>
    <n v="5050.7045870000002"/>
  </r>
  <r>
    <x v="7"/>
    <s v="Q4"/>
    <x v="0"/>
    <x v="109"/>
    <s v="KEPL/01948/82-83"/>
    <s v="EMERALD TRADE LINK"/>
    <x v="36"/>
    <n v="2"/>
    <n v="80"/>
    <n v="81.94"/>
    <n v="6555.2"/>
    <n v="-504.09"/>
    <n v="0"/>
    <n v="786.64441700000009"/>
    <n v="6837.7544170000001"/>
  </r>
  <r>
    <x v="7"/>
    <s v="Q4"/>
    <x v="0"/>
    <x v="109"/>
    <s v="KEPL/01948/82-83"/>
    <s v="EMERALD TRADE LINK"/>
    <x v="33"/>
    <n v="1"/>
    <n v="40"/>
    <n v="74.489999999999995"/>
    <n v="2979.6"/>
    <n v="-229.13"/>
    <n v="0"/>
    <n v="357.56115299999999"/>
    <n v="3108.0311529999999"/>
  </r>
  <r>
    <x v="7"/>
    <s v="Q4"/>
    <x v="0"/>
    <x v="109"/>
    <s v="KEPL/01949/82-83"/>
    <s v="AAFNAI PASAL PVT.LTD"/>
    <x v="30"/>
    <n v="20"/>
    <n v="400"/>
    <n v="242.1"/>
    <n v="96840"/>
    <n v="-7447"/>
    <n v="0"/>
    <n v="11621.09"/>
    <n v="101014.09"/>
  </r>
  <r>
    <x v="7"/>
    <s v="Q4"/>
    <x v="0"/>
    <x v="109"/>
    <s v="KEPL/01950/82-83"/>
    <s v="SHUBHASHREE MARKETING"/>
    <x v="28"/>
    <n v="2"/>
    <n v="40"/>
    <n v="204.85"/>
    <n v="8194"/>
    <n v="-630.12"/>
    <n v="0"/>
    <n v="983.30450800000006"/>
    <n v="8547.1845080000003"/>
  </r>
  <r>
    <x v="7"/>
    <s v="Q4"/>
    <x v="0"/>
    <x v="109"/>
    <s v="KEPL/01950/82-83"/>
    <s v="SHUBHASHREE MARKETING"/>
    <x v="49"/>
    <n v="5"/>
    <n v="75"/>
    <n v="260.72000000000003"/>
    <n v="19554"/>
    <n v="-1503.6999999999998"/>
    <n v="0"/>
    <n v="2346.5392569999999"/>
    <n v="20396.839257"/>
  </r>
  <r>
    <x v="7"/>
    <s v="Q4"/>
    <x v="0"/>
    <x v="109"/>
    <s v="KEPL/01950/82-83"/>
    <s v="SHUBHASHREE MARKETING"/>
    <x v="56"/>
    <n v="1"/>
    <n v="800"/>
    <n v="7.46"/>
    <n v="5968"/>
    <n v="-458.94"/>
    <n v="0"/>
    <n v="716.17787800000008"/>
    <n v="6225.2378779999999"/>
  </r>
  <r>
    <x v="7"/>
    <s v="Q4"/>
    <x v="0"/>
    <x v="109"/>
    <s v="KEPL/01950/82-83"/>
    <s v="SHUBHASHREE MARKETING"/>
    <x v="59"/>
    <n v="1"/>
    <n v="20"/>
    <n v="204.85"/>
    <n v="4097"/>
    <n v="-315.06"/>
    <n v="0"/>
    <n v="491.65225400000003"/>
    <n v="4273.5922540000001"/>
  </r>
  <r>
    <x v="7"/>
    <s v="Q4"/>
    <x v="0"/>
    <x v="109"/>
    <s v="KEPL/01950/82-83"/>
    <s v="SHUBHASHREE MARKETING"/>
    <x v="48"/>
    <n v="2"/>
    <n v="40"/>
    <n v="204.85"/>
    <n v="8194"/>
    <n v="-630.12"/>
    <n v="0"/>
    <n v="983.30450800000006"/>
    <n v="8547.1845080000003"/>
  </r>
  <r>
    <x v="7"/>
    <s v="Q4"/>
    <x v="0"/>
    <x v="109"/>
    <s v="KEPL/01950/82-83"/>
    <s v="SHUBHASHREE MARKETING"/>
    <x v="52"/>
    <n v="25"/>
    <n v="100"/>
    <n v="595.94000000000005"/>
    <n v="59594"/>
    <n v="-4582.78"/>
    <n v="0"/>
    <n v="7151.4593829999994"/>
    <n v="62162.679383000002"/>
  </r>
  <r>
    <x v="7"/>
    <s v="Q4"/>
    <x v="0"/>
    <x v="109"/>
    <s v="KEPL/01950/82-83"/>
    <s v="SHUBHASHREE MARKETING"/>
    <x v="33"/>
    <n v="4"/>
    <n v="160"/>
    <n v="74.489999999999995"/>
    <n v="11918.4"/>
    <n v="-916.52"/>
    <n v="0"/>
    <n v="1430.244557"/>
    <n v="12432.124556999999"/>
  </r>
  <r>
    <x v="7"/>
    <s v="Q4"/>
    <x v="0"/>
    <x v="109"/>
    <s v="KEPL/01950/82-83"/>
    <s v="SHUBHASHREE MARKETING"/>
    <x v="30"/>
    <n v="3"/>
    <n v="60"/>
    <n v="242.1"/>
    <n v="14526"/>
    <n v="-1117.05"/>
    <n v="0"/>
    <n v="1743.163691"/>
    <n v="15152.113691"/>
  </r>
  <r>
    <x v="7"/>
    <s v="Q4"/>
    <x v="0"/>
    <x v="109"/>
    <s v="KEPL/01950/82-83"/>
    <s v="SHUBHASHREE MARKETING"/>
    <x v="32"/>
    <n v="3"/>
    <n v="180"/>
    <n v="111.74"/>
    <n v="20113.2"/>
    <n v="-1546.71"/>
    <n v="0"/>
    <n v="2413.6439639999999"/>
    <n v="20980.133964000001"/>
  </r>
  <r>
    <x v="7"/>
    <s v="Q4"/>
    <x v="0"/>
    <x v="109"/>
    <s v="KEPL/01953/82-83"/>
    <s v="JENISH STORE"/>
    <x v="44"/>
    <n v="1"/>
    <n v="24"/>
    <n v="186.23"/>
    <n v="4469.5200000000004"/>
    <n v="-343.71"/>
    <n v="0"/>
    <n v="536.35528099999999"/>
    <n v="4662.1652809999996"/>
  </r>
  <r>
    <x v="7"/>
    <s v="Q4"/>
    <x v="0"/>
    <x v="109"/>
    <s v="KEPL/01953/82-83"/>
    <s v="JENISH STORE"/>
    <x v="53"/>
    <n v="1"/>
    <n v="40"/>
    <n v="81.94"/>
    <n v="3277.6"/>
    <n v="-252.05"/>
    <n v="0"/>
    <n v="393.32148599999999"/>
    <n v="3418.871486"/>
  </r>
  <r>
    <x v="7"/>
    <s v="Q4"/>
    <x v="0"/>
    <x v="109"/>
    <s v="KEPL/01953/82-83"/>
    <s v="JENISH STORE"/>
    <x v="36"/>
    <n v="1"/>
    <n v="40"/>
    <n v="81.94"/>
    <n v="3277.6"/>
    <n v="-252.05"/>
    <n v="0"/>
    <n v="393.32148599999999"/>
    <n v="3418.871486"/>
  </r>
  <r>
    <x v="7"/>
    <s v="Q4"/>
    <x v="0"/>
    <x v="109"/>
    <s v="KEPL/01953/82-83"/>
    <s v="JENISH STORE"/>
    <x v="3"/>
    <n v="3"/>
    <n v="60"/>
    <n v="186.22"/>
    <n v="11173.199999999999"/>
    <n v="-859.22"/>
    <n v="0"/>
    <n v="1340.8173510000001"/>
    <n v="11654.797350999999"/>
  </r>
  <r>
    <x v="7"/>
    <s v="Q4"/>
    <x v="0"/>
    <x v="109"/>
    <s v="KEPL/01953/82-83"/>
    <s v="JENISH STORE"/>
    <x v="35"/>
    <n v="2"/>
    <n v="120"/>
    <n v="145.26"/>
    <n v="17431.2"/>
    <n v="-1340.46"/>
    <n v="0"/>
    <n v="2091.796124"/>
    <n v="18182.536123999998"/>
  </r>
  <r>
    <x v="7"/>
    <s v="Q4"/>
    <x v="0"/>
    <x v="109"/>
    <s v="KEPL/01953/82-83"/>
    <s v="JENISH STORE"/>
    <x v="56"/>
    <n v="2"/>
    <n v="1600"/>
    <n v="7.46"/>
    <n v="11936"/>
    <n v="-917.88"/>
    <n v="0"/>
    <n v="1432.355548"/>
    <n v="12450.475548"/>
  </r>
  <r>
    <x v="7"/>
    <s v="Q4"/>
    <x v="0"/>
    <x v="109"/>
    <s v="KEPL/01953/82-83"/>
    <s v="JENISH STORE"/>
    <x v="29"/>
    <n v="1"/>
    <n v="20"/>
    <n v="204.85"/>
    <n v="4097"/>
    <n v="-315.06"/>
    <n v="0"/>
    <n v="491.65218199999998"/>
    <n v="4273.5921820000003"/>
  </r>
  <r>
    <x v="7"/>
    <s v="Q4"/>
    <x v="0"/>
    <x v="109"/>
    <s v="KEPL/01953/82-83"/>
    <s v="JENISH STORE"/>
    <x v="57"/>
    <n v="2"/>
    <n v="80"/>
    <n v="111.74"/>
    <n v="8939.2000000000007"/>
    <n v="-687.42"/>
    <n v="0"/>
    <n v="1072.7313610000001"/>
    <n v="9324.5113610000008"/>
  </r>
  <r>
    <x v="7"/>
    <s v="Q4"/>
    <x v="0"/>
    <x v="109"/>
    <s v="KEPL/01953/82-83"/>
    <s v="JENISH STORE"/>
    <x v="28"/>
    <n v="1"/>
    <n v="20"/>
    <n v="204.85"/>
    <n v="4097"/>
    <n v="-315.06"/>
    <n v="0"/>
    <n v="491.65218199999998"/>
    <n v="4273.5921820000003"/>
  </r>
  <r>
    <x v="7"/>
    <s v="Q4"/>
    <x v="0"/>
    <x v="109"/>
    <s v="KEPL/01953/82-83"/>
    <s v="JENISH STORE"/>
    <x v="33"/>
    <n v="2"/>
    <n v="80"/>
    <n v="74.489999999999995"/>
    <n v="5959.2"/>
    <n v="-458.26"/>
    <n v="0"/>
    <n v="715.12217399999997"/>
    <n v="6216.0621739999997"/>
  </r>
  <r>
    <x v="7"/>
    <s v="Q4"/>
    <x v="0"/>
    <x v="109"/>
    <s v="KEPL/01953/82-83"/>
    <s v="JENISH STORE"/>
    <x v="34"/>
    <n v="2"/>
    <n v="80"/>
    <n v="74.5"/>
    <n v="5960"/>
    <n v="-458.32"/>
    <n v="0"/>
    <n v="715.21837399999993"/>
    <n v="6216.8983740000003"/>
  </r>
  <r>
    <x v="7"/>
    <s v="Q4"/>
    <x v="0"/>
    <x v="109"/>
    <s v="KEPL/01953/82-83"/>
    <s v="JENISH STORE"/>
    <x v="37"/>
    <n v="1"/>
    <n v="40"/>
    <n v="81.94"/>
    <n v="3277.6"/>
    <n v="-252.05"/>
    <n v="0"/>
    <n v="393.32148599999999"/>
    <n v="3418.871486"/>
  </r>
  <r>
    <x v="7"/>
    <s v="Q4"/>
    <x v="0"/>
    <x v="109"/>
    <s v="KEPL/01953/82-83"/>
    <s v="JENISH STORE"/>
    <x v="41"/>
    <n v="2"/>
    <n v="80"/>
    <n v="74.5"/>
    <n v="5960"/>
    <n v="-458.32"/>
    <n v="0"/>
    <n v="715.21837399999993"/>
    <n v="6216.8983740000003"/>
  </r>
  <r>
    <x v="7"/>
    <s v="Q4"/>
    <x v="0"/>
    <x v="109"/>
    <s v="KEPL/01953/82-83"/>
    <s v="JENISH STORE"/>
    <x v="27"/>
    <n v="5"/>
    <n v="350"/>
    <n v="37.25"/>
    <n v="13037.5"/>
    <n v="-1002.58"/>
    <n v="0"/>
    <n v="1564.5395429999999"/>
    <n v="13599.459543000001"/>
  </r>
  <r>
    <x v="7"/>
    <s v="Q4"/>
    <x v="0"/>
    <x v="109"/>
    <s v="KEPL/01953/82-83"/>
    <s v="JENISH STORE"/>
    <x v="52"/>
    <n v="1"/>
    <n v="4"/>
    <n v="595.94000000000005"/>
    <n v="2383.7600000000002"/>
    <n v="-183.31"/>
    <n v="0"/>
    <n v="286.05849000000001"/>
    <n v="2486.5084900000002"/>
  </r>
  <r>
    <x v="7"/>
    <s v="Q4"/>
    <x v="0"/>
    <x v="109"/>
    <s v="KEPL/01953/82-83"/>
    <s v="JENISH STORE"/>
    <x v="12"/>
    <n v="2"/>
    <n v="260"/>
    <n v="37.25"/>
    <n v="9685"/>
    <n v="-744.78"/>
    <n v="0"/>
    <n v="1162.228558"/>
    <n v="10102.448558"/>
  </r>
  <r>
    <x v="7"/>
    <s v="Q4"/>
    <x v="0"/>
    <x v="109"/>
    <s v="KEPL/01954/82-83"/>
    <s v="DINESH TRADING HOUSE"/>
    <x v="57"/>
    <n v="1"/>
    <n v="40"/>
    <n v="111.74"/>
    <n v="4469.6000000000004"/>
    <n v="-343.71"/>
    <n v="0"/>
    <n v="536.36582299999998"/>
    <n v="4662.2558230000004"/>
  </r>
  <r>
    <x v="7"/>
    <s v="Q4"/>
    <x v="0"/>
    <x v="109"/>
    <s v="KEPL/01954/82-83"/>
    <s v="DINESH TRADING HOUSE"/>
    <x v="30"/>
    <n v="1"/>
    <n v="20"/>
    <n v="242.1"/>
    <n v="4841.9999999999991"/>
    <n v="-372.35"/>
    <n v="0"/>
    <n v="581.05463300000008"/>
    <n v="5050.7046330000003"/>
  </r>
  <r>
    <x v="7"/>
    <s v="Q4"/>
    <x v="0"/>
    <x v="109"/>
    <s v="KEPL/01954/82-83"/>
    <s v="DINESH TRADING HOUSE"/>
    <x v="41"/>
    <n v="2"/>
    <n v="80"/>
    <n v="74.5"/>
    <n v="5960"/>
    <n v="-458.32"/>
    <n v="0"/>
    <n v="715.21856400000001"/>
    <n v="6216.8985640000001"/>
  </r>
  <r>
    <x v="7"/>
    <s v="Q4"/>
    <x v="0"/>
    <x v="109"/>
    <s v="KEPL/01954/82-83"/>
    <s v="DINESH TRADING HOUSE"/>
    <x v="33"/>
    <n v="1"/>
    <n v="40"/>
    <n v="74.489999999999995"/>
    <n v="2979.6"/>
    <n v="-229.13"/>
    <n v="0"/>
    <n v="357.56118200000003"/>
    <n v="3108.0311820000002"/>
  </r>
  <r>
    <x v="7"/>
    <s v="Q4"/>
    <x v="0"/>
    <x v="109"/>
    <s v="KEPL/01954/82-83"/>
    <s v="DINESH TRADING HOUSE"/>
    <x v="51"/>
    <n v="5"/>
    <n v="250"/>
    <n v="89.39"/>
    <n v="22347.5"/>
    <n v="-1718.52"/>
    <n v="0"/>
    <n v="2681.7680130000003"/>
    <n v="23310.748013"/>
  </r>
  <r>
    <x v="7"/>
    <s v="Q4"/>
    <x v="0"/>
    <x v="109"/>
    <s v="KEPL/01954/82-83"/>
    <s v="DINESH TRADING HOUSE"/>
    <x v="34"/>
    <n v="2"/>
    <n v="80"/>
    <n v="74.5"/>
    <n v="5960"/>
    <n v="-458.32"/>
    <n v="0"/>
    <n v="715.21856400000001"/>
    <n v="6216.8985640000001"/>
  </r>
  <r>
    <x v="7"/>
    <s v="Q4"/>
    <x v="0"/>
    <x v="109"/>
    <s v="KEPL/01954/82-83"/>
    <s v="DINESH TRADING HOUSE"/>
    <x v="3"/>
    <n v="10"/>
    <n v="200"/>
    <n v="186.22"/>
    <n v="37244"/>
    <n v="-2864.06"/>
    <n v="0"/>
    <n v="4469.3932219999997"/>
    <n v="38849.333222000001"/>
  </r>
  <r>
    <x v="7"/>
    <s v="Q4"/>
    <x v="0"/>
    <x v="109"/>
    <s v="KEPL/01955/82-83"/>
    <s v="ABIRAL SUPPLIERS AND TRADERS"/>
    <x v="3"/>
    <n v="10"/>
    <n v="200"/>
    <n v="186.22"/>
    <n v="37244"/>
    <n v="-2864.06"/>
    <n v="0"/>
    <n v="4469.3912769999997"/>
    <n v="38849.331276999997"/>
  </r>
  <r>
    <x v="7"/>
    <s v="Q4"/>
    <x v="0"/>
    <x v="109"/>
    <s v="KEPL/01955/82-83"/>
    <s v="ABIRAL SUPPLIERS AND TRADERS"/>
    <x v="52"/>
    <n v="10"/>
    <n v="40"/>
    <n v="595.94000000000005"/>
    <n v="23837.599999999999"/>
    <n v="-1833.1100000000001"/>
    <n v="0"/>
    <n v="2860.5831090000001"/>
    <n v="24865.073109000001"/>
  </r>
  <r>
    <x v="7"/>
    <s v="Q4"/>
    <x v="0"/>
    <x v="109"/>
    <s v="KEPL/01955/82-83"/>
    <s v="ABIRAL SUPPLIERS AND TRADERS"/>
    <x v="27"/>
    <n v="10"/>
    <n v="700"/>
    <n v="37.25"/>
    <n v="26075"/>
    <n v="-2005.1699999999998"/>
    <n v="0"/>
    <n v="3129.0772540000003"/>
    <n v="27198.907254000002"/>
  </r>
  <r>
    <x v="7"/>
    <s v="Q4"/>
    <x v="0"/>
    <x v="109"/>
    <s v="KEPL/01955/82-83"/>
    <s v="ABIRAL SUPPLIERS AND TRADERS"/>
    <x v="12"/>
    <n v="2"/>
    <n v="260"/>
    <n v="37.25"/>
    <n v="9685"/>
    <n v="-744.78"/>
    <n v="0"/>
    <n v="1162.2283600000001"/>
    <n v="10102.44836"/>
  </r>
  <r>
    <x v="7"/>
    <s v="Q4"/>
    <x v="0"/>
    <x v="109"/>
    <s v="KEPL/01956/82-83"/>
    <s v="NEW MATA RANI SUPPLIERS"/>
    <x v="49"/>
    <n v="2"/>
    <n v="30"/>
    <n v="260.72000000000003"/>
    <n v="7821.6"/>
    <n v="-601.48"/>
    <n v="0"/>
    <n v="938.61604399999999"/>
    <n v="8158.7360440000002"/>
  </r>
  <r>
    <x v="7"/>
    <s v="Q4"/>
    <x v="0"/>
    <x v="109"/>
    <s v="KEPL/01956/82-83"/>
    <s v="NEW MATA RANI SUPPLIERS"/>
    <x v="27"/>
    <n v="5"/>
    <n v="350"/>
    <n v="37.25"/>
    <n v="13037.5"/>
    <n v="-1002.58"/>
    <n v="0"/>
    <n v="1564.5403409999999"/>
    <n v="13599.460341"/>
  </r>
  <r>
    <x v="7"/>
    <s v="Q4"/>
    <x v="0"/>
    <x v="109"/>
    <s v="KEPL/01956/82-83"/>
    <s v="NEW MATA RANI SUPPLIERS"/>
    <x v="48"/>
    <n v="2"/>
    <n v="40"/>
    <n v="204.85"/>
    <n v="8194"/>
    <n v="-630.12"/>
    <n v="0"/>
    <n v="983.30486599999995"/>
    <n v="8547.1848659999996"/>
  </r>
  <r>
    <x v="7"/>
    <s v="Q4"/>
    <x v="0"/>
    <x v="109"/>
    <s v="KEPL/01956/82-83"/>
    <s v="NEW MATA RANI SUPPLIERS"/>
    <x v="3"/>
    <n v="5"/>
    <n v="100"/>
    <n v="186.22"/>
    <n v="18622"/>
    <n v="-1432.03"/>
    <n v="0"/>
    <n v="2234.6971579999999"/>
    <n v="19424.667158"/>
  </r>
  <r>
    <x v="7"/>
    <s v="Q4"/>
    <x v="0"/>
    <x v="109"/>
    <s v="KEPL/01956/82-83"/>
    <s v="NEW MATA RANI SUPPLIERS"/>
    <x v="42"/>
    <n v="2"/>
    <n v="60"/>
    <n v="316.58999999999997"/>
    <n v="18995.399999999998"/>
    <n v="-1460.75"/>
    <n v="0"/>
    <n v="2279.5055789999997"/>
    <n v="19814.155578999998"/>
  </r>
  <r>
    <x v="7"/>
    <s v="Q4"/>
    <x v="0"/>
    <x v="109"/>
    <s v="KEPL/01956/82-83"/>
    <s v="NEW MATA RANI SUPPLIERS"/>
    <x v="36"/>
    <n v="1"/>
    <n v="40"/>
    <n v="81.94"/>
    <n v="3277.6"/>
    <n v="-252.05"/>
    <n v="0"/>
    <n v="393.321686"/>
    <n v="3418.871686"/>
  </r>
  <r>
    <x v="7"/>
    <s v="Q4"/>
    <x v="0"/>
    <x v="109"/>
    <s v="KEPL/01956/82-83"/>
    <s v="NEW MATA RANI SUPPLIERS"/>
    <x v="30"/>
    <n v="3"/>
    <n v="60"/>
    <n v="242.1"/>
    <n v="14526"/>
    <n v="-1117.05"/>
    <n v="0"/>
    <n v="1743.164325"/>
    <n v="15152.114325"/>
  </r>
  <r>
    <x v="7"/>
    <s v="Q4"/>
    <x v="0"/>
    <x v="109"/>
    <s v="KEPL/01957/82-83"/>
    <s v="NAWA ATITHI STORES"/>
    <x v="28"/>
    <n v="2"/>
    <n v="40"/>
    <n v="204.85"/>
    <n v="8194"/>
    <n v="-630.12"/>
    <n v="0"/>
    <n v="983.304303"/>
    <n v="8547.184303"/>
  </r>
  <r>
    <x v="7"/>
    <s v="Q4"/>
    <x v="0"/>
    <x v="109"/>
    <s v="KEPL/01957/82-83"/>
    <s v="NAWA ATITHI STORES"/>
    <x v="34"/>
    <n v="2"/>
    <n v="80"/>
    <n v="74.5"/>
    <n v="5960"/>
    <n v="-458.32"/>
    <n v="0"/>
    <n v="715.21833000000004"/>
    <n v="6216.89833"/>
  </r>
  <r>
    <x v="7"/>
    <s v="Q4"/>
    <x v="0"/>
    <x v="109"/>
    <s v="KEPL/01957/82-83"/>
    <s v="NAWA ATITHI STORES"/>
    <x v="51"/>
    <n v="2"/>
    <n v="100"/>
    <n v="89.39"/>
    <n v="8939"/>
    <n v="-687.41"/>
    <n v="0"/>
    <n v="1072.7065950000001"/>
    <n v="9324.2965949999998"/>
  </r>
  <r>
    <x v="7"/>
    <s v="Q4"/>
    <x v="0"/>
    <x v="109"/>
    <s v="KEPL/01957/82-83"/>
    <s v="NAWA ATITHI STORES"/>
    <x v="41"/>
    <n v="2"/>
    <n v="80"/>
    <n v="74.5"/>
    <n v="5960"/>
    <n v="-458.32"/>
    <n v="0"/>
    <n v="715.21833000000004"/>
    <n v="6216.89833"/>
  </r>
  <r>
    <x v="7"/>
    <s v="Q4"/>
    <x v="0"/>
    <x v="109"/>
    <s v="KEPL/01957/82-83"/>
    <s v="NAWA ATITHI STORES"/>
    <x v="39"/>
    <n v="3"/>
    <n v="60"/>
    <n v="249.55"/>
    <n v="14973"/>
    <n v="-1151.42"/>
    <n v="0"/>
    <n v="1796.8052229999998"/>
    <n v="15618.385222999999"/>
  </r>
  <r>
    <x v="7"/>
    <s v="Q4"/>
    <x v="0"/>
    <x v="109"/>
    <s v="KEPL/01957/82-83"/>
    <s v="NAWA ATITHI STORES"/>
    <x v="56"/>
    <n v="2"/>
    <n v="1600"/>
    <n v="7.46"/>
    <n v="11936"/>
    <n v="-917.88"/>
    <n v="0"/>
    <n v="1432.3554590000001"/>
    <n v="12450.475458999999"/>
  </r>
  <r>
    <x v="7"/>
    <s v="Q4"/>
    <x v="0"/>
    <x v="109"/>
    <s v="KEPL/01957/82-83"/>
    <s v="NAWA ATITHI STORES"/>
    <x v="3"/>
    <n v="10"/>
    <n v="200"/>
    <n v="186.22"/>
    <n v="37244"/>
    <n v="-2864.06"/>
    <n v="0"/>
    <n v="4469.3917599999995"/>
    <n v="38849.331760000001"/>
  </r>
  <r>
    <x v="7"/>
    <s v="Q4"/>
    <x v="0"/>
    <x v="109"/>
    <s v="KEPL/01958/82-83"/>
    <s v="GORIN TRADING "/>
    <x v="3"/>
    <n v="5"/>
    <n v="100"/>
    <n v="186.22"/>
    <n v="18622"/>
    <n v="-1432.03"/>
    <n v="0"/>
    <n v="2234.695698"/>
    <n v="19424.665698000001"/>
  </r>
  <r>
    <x v="7"/>
    <s v="Q4"/>
    <x v="0"/>
    <x v="109"/>
    <s v="KEPL/01958/82-83"/>
    <s v="GORIN TRADING "/>
    <x v="57"/>
    <n v="3"/>
    <n v="120"/>
    <n v="111.74"/>
    <n v="13408.8"/>
    <n v="-1031.1400000000001"/>
    <n v="0"/>
    <n v="1609.095511"/>
    <n v="13986.755510999999"/>
  </r>
  <r>
    <x v="7"/>
    <s v="Q4"/>
    <x v="0"/>
    <x v="109"/>
    <s v="KEPL/01958/82-83"/>
    <s v="GORIN TRADING "/>
    <x v="30"/>
    <n v="2"/>
    <n v="40"/>
    <n v="242.1"/>
    <n v="9683.9999999999982"/>
    <n v="-744.7"/>
    <n v="0"/>
    <n v="1162.1087909999999"/>
    <n v="10101.408791"/>
  </r>
  <r>
    <x v="7"/>
    <s v="Q4"/>
    <x v="0"/>
    <x v="109"/>
    <s v="KEPL/01959/82-83"/>
    <s v="MALIKA DISTRIBUTORS NEPAL PVT LTD."/>
    <x v="57"/>
    <n v="1"/>
    <n v="40"/>
    <n v="111.74"/>
    <n v="4469.6000000000004"/>
    <n v="-343.71"/>
    <n v="0"/>
    <n v="536.36609799999997"/>
    <n v="4662.2560979999998"/>
  </r>
  <r>
    <x v="7"/>
    <s v="Q4"/>
    <x v="0"/>
    <x v="109"/>
    <s v="KEPL/01959/82-83"/>
    <s v="MALIKA DISTRIBUTORS NEPAL PVT LTD."/>
    <x v="34"/>
    <n v="1"/>
    <n v="40"/>
    <n v="74.5"/>
    <n v="2980"/>
    <n v="-229.16"/>
    <n v="0"/>
    <n v="357.609466"/>
    <n v="3108.449466"/>
  </r>
  <r>
    <x v="7"/>
    <s v="Q4"/>
    <x v="0"/>
    <x v="109"/>
    <s v="KEPL/01959/82-83"/>
    <s v="MALIKA DISTRIBUTORS NEPAL PVT LTD."/>
    <x v="27"/>
    <n v="5"/>
    <n v="350"/>
    <n v="37.25"/>
    <n v="13037.5"/>
    <n v="-1002.58"/>
    <n v="0"/>
    <n v="1564.5407620000001"/>
    <n v="13599.460762000001"/>
  </r>
  <r>
    <x v="7"/>
    <s v="Q4"/>
    <x v="0"/>
    <x v="109"/>
    <s v="KEPL/01959/82-83"/>
    <s v="MALIKA DISTRIBUTORS NEPAL PVT LTD."/>
    <x v="41"/>
    <n v="1"/>
    <n v="40"/>
    <n v="74.5"/>
    <n v="2980"/>
    <n v="-229.16"/>
    <n v="0"/>
    <n v="357.609466"/>
    <n v="3108.449466"/>
  </r>
  <r>
    <x v="7"/>
    <s v="Q4"/>
    <x v="0"/>
    <x v="109"/>
    <s v="KEPL/01959/82-83"/>
    <s v="MALIKA DISTRIBUTORS NEPAL PVT LTD."/>
    <x v="3"/>
    <n v="3"/>
    <n v="60"/>
    <n v="186.22"/>
    <n v="11173.199999999999"/>
    <n v="-859.22"/>
    <n v="0"/>
    <n v="1340.8183959999999"/>
    <n v="11654.798396"/>
  </r>
  <r>
    <x v="7"/>
    <s v="Q4"/>
    <x v="0"/>
    <x v="109"/>
    <s v="KEPL/01959/82-83"/>
    <s v="MALIKA DISTRIBUTORS NEPAL PVT LTD."/>
    <x v="49"/>
    <n v="2"/>
    <n v="30"/>
    <n v="260.72000000000003"/>
    <n v="7821.6"/>
    <n v="-601.48"/>
    <n v="0"/>
    <n v="938.61629700000003"/>
    <n v="8158.7362970000004"/>
  </r>
  <r>
    <x v="7"/>
    <s v="Q4"/>
    <x v="0"/>
    <x v="109"/>
    <s v="KEPL/01959/82-83"/>
    <s v="MALIKA DISTRIBUTORS NEPAL PVT LTD."/>
    <x v="33"/>
    <n v="1"/>
    <n v="40"/>
    <n v="74.489999999999995"/>
    <n v="2979.6"/>
    <n v="-229.13"/>
    <n v="0"/>
    <n v="357.56136599999996"/>
    <n v="3108.0313660000002"/>
  </r>
  <r>
    <x v="7"/>
    <s v="Q4"/>
    <x v="0"/>
    <x v="109"/>
    <s v="KEPL/01959/82-83"/>
    <s v="MALIKA DISTRIBUTORS NEPAL PVT LTD."/>
    <x v="45"/>
    <n v="1"/>
    <n v="15"/>
    <n v="260.72000000000003"/>
    <n v="3910.8"/>
    <n v="-300.74"/>
    <n v="0"/>
    <n v="469.30814899999996"/>
    <n v="4079.3681489999999"/>
  </r>
  <r>
    <x v="7"/>
    <s v="Q4"/>
    <x v="0"/>
    <x v="109"/>
    <s v="KEPL/01960/82-83"/>
    <s v="M AND P TRADE SUPPLIERS"/>
    <x v="52"/>
    <n v="2"/>
    <n v="8"/>
    <n v="595.94000000000005"/>
    <n v="4767.5200000000004"/>
    <n v="-366.62"/>
    <n v="0"/>
    <n v="572.11705800000004"/>
    <n v="4973.0170580000004"/>
  </r>
  <r>
    <x v="7"/>
    <s v="Q4"/>
    <x v="0"/>
    <x v="109"/>
    <s v="KEPL/01960/82-83"/>
    <s v="M AND P TRADE SUPPLIERS"/>
    <x v="29"/>
    <n v="1"/>
    <n v="20"/>
    <n v="204.85"/>
    <n v="4097"/>
    <n v="-315.06"/>
    <n v="0"/>
    <n v="491.65225000000004"/>
    <n v="4273.5922499999997"/>
  </r>
  <r>
    <x v="7"/>
    <s v="Q4"/>
    <x v="0"/>
    <x v="109"/>
    <s v="KEPL/01960/82-83"/>
    <s v="M AND P TRADE SUPPLIERS"/>
    <x v="3"/>
    <n v="5"/>
    <n v="100"/>
    <n v="186.22"/>
    <n v="18622"/>
    <n v="-1432.03"/>
    <n v="0"/>
    <n v="2234.696328"/>
    <n v="19424.666327999999"/>
  </r>
  <r>
    <x v="7"/>
    <s v="Q4"/>
    <x v="0"/>
    <x v="109"/>
    <s v="KEPL/01960/82-83"/>
    <s v="M AND P TRADE SUPPLIERS"/>
    <x v="48"/>
    <n v="1"/>
    <n v="20"/>
    <n v="204.85"/>
    <n v="4097"/>
    <n v="-315.06"/>
    <n v="0"/>
    <n v="491.65225000000004"/>
    <n v="4273.5922499999997"/>
  </r>
  <r>
    <x v="7"/>
    <s v="Q4"/>
    <x v="0"/>
    <x v="109"/>
    <s v="KEPL/01960/82-83"/>
    <s v="M AND P TRADE SUPPLIERS"/>
    <x v="28"/>
    <n v="1"/>
    <n v="20"/>
    <n v="204.85"/>
    <n v="4097"/>
    <n v="-315.06"/>
    <n v="0"/>
    <n v="491.65225000000004"/>
    <n v="4273.5922499999997"/>
  </r>
  <r>
    <x v="7"/>
    <s v="Q4"/>
    <x v="0"/>
    <x v="109"/>
    <s v="KEPL/01960/82-83"/>
    <s v="M AND P TRADE SUPPLIERS"/>
    <x v="45"/>
    <n v="2"/>
    <n v="30"/>
    <n v="260.72000000000003"/>
    <n v="7821.6"/>
    <n v="-601.48"/>
    <n v="0"/>
    <n v="938.61569599999996"/>
    <n v="8158.7356959999997"/>
  </r>
  <r>
    <x v="7"/>
    <s v="Q4"/>
    <x v="0"/>
    <x v="109"/>
    <s v="KEPL/01960/82-83"/>
    <s v="M AND P TRADE SUPPLIERS"/>
    <x v="49"/>
    <n v="2"/>
    <n v="30"/>
    <n v="260.72000000000003"/>
    <n v="7821.6"/>
    <n v="-601.48"/>
    <n v="0"/>
    <n v="938.61569599999996"/>
    <n v="8158.7356959999997"/>
  </r>
  <r>
    <x v="7"/>
    <s v="Q4"/>
    <x v="0"/>
    <x v="109"/>
    <s v="KEPL/01960/82-83"/>
    <s v="M AND P TRADE SUPPLIERS"/>
    <x v="34"/>
    <n v="1"/>
    <n v="40"/>
    <n v="74.5"/>
    <n v="2980"/>
    <n v="-229.16"/>
    <n v="0"/>
    <n v="357.60923600000001"/>
    <n v="3108.4492359999999"/>
  </r>
  <r>
    <x v="7"/>
    <s v="Q4"/>
    <x v="0"/>
    <x v="109"/>
    <s v="KEPL/01960/82-83"/>
    <s v="M AND P TRADE SUPPLIERS"/>
    <x v="41"/>
    <n v="1"/>
    <n v="40"/>
    <n v="74.5"/>
    <n v="2980"/>
    <n v="-229.16"/>
    <n v="0"/>
    <n v="357.60923600000001"/>
    <n v="3108.449235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225B75-1801-49DF-A0CE-DFA6991268BC}" name="PivotTable1" cacheId="497"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9:L96" firstHeaderRow="1" firstDataRow="3" firstDataCol="1"/>
  <pivotFields count="19">
    <pivotField axis="axisRow" showAll="0">
      <items count="22">
        <item x="19"/>
        <item x="18"/>
        <item x="14"/>
        <item x="16"/>
        <item x="15"/>
        <item x="2"/>
        <item x="12"/>
        <item x="13"/>
        <item x="1"/>
        <item x="5"/>
        <item x="8"/>
        <item x="0"/>
        <item x="6"/>
        <item x="3"/>
        <item x="20"/>
        <item x="10"/>
        <item x="4"/>
        <item x="17"/>
        <item x="9"/>
        <item x="11"/>
        <item x="7"/>
        <item t="default"/>
      </items>
    </pivotField>
    <pivotField axis="axisCol" showAll="0">
      <items count="10">
        <item x="0"/>
        <item x="1"/>
        <item x="2"/>
        <item x="3"/>
        <item x="4"/>
        <item x="5"/>
        <item x="6"/>
        <item x="7"/>
        <item x="8"/>
        <item t="default"/>
      </items>
    </pivotField>
    <pivotField showAll="0">
      <items count="5">
        <item x="0"/>
        <item x="1"/>
        <item x="2"/>
        <item x="3"/>
        <item t="default"/>
      </items>
    </pivotField>
    <pivotField axis="axisCol" showAll="0">
      <items count="2">
        <item x="0"/>
        <item t="default"/>
      </items>
    </pivotField>
    <pivotField numFmtId="14" showAll="0">
      <items count="125">
        <item x="0"/>
        <item x="1"/>
        <item x="2"/>
        <item x="3"/>
        <item x="4"/>
        <item x="5"/>
        <item x="6"/>
        <item x="7"/>
        <item x="8"/>
        <item x="9"/>
        <item x="10"/>
        <item x="11"/>
        <item x="13"/>
        <item x="14"/>
        <item x="15"/>
        <item x="16"/>
        <item x="17"/>
        <item x="18"/>
        <item x="19"/>
        <item x="20"/>
        <item x="22"/>
        <item x="23"/>
        <item x="24"/>
        <item x="25"/>
        <item x="26"/>
        <item x="27"/>
        <item x="28"/>
        <item x="29"/>
        <item x="30"/>
        <item x="32"/>
        <item x="34"/>
        <item x="35"/>
        <item x="36"/>
        <item x="37"/>
        <item x="38"/>
        <item x="39"/>
        <item x="42"/>
        <item x="44"/>
        <item x="45"/>
        <item x="46"/>
        <item x="47"/>
        <item x="48"/>
        <item x="49"/>
        <item x="50"/>
        <item x="51"/>
        <item x="52"/>
        <item x="54"/>
        <item x="55"/>
        <item x="56"/>
        <item x="59"/>
        <item x="61"/>
        <item x="62"/>
        <item x="63"/>
        <item x="64"/>
        <item x="65"/>
        <item x="67"/>
        <item x="68"/>
        <item x="69"/>
        <item x="70"/>
        <item x="71"/>
        <item x="72"/>
        <item x="74"/>
        <item x="76"/>
        <item x="77"/>
        <item x="78"/>
        <item x="79"/>
        <item x="80"/>
        <item x="81"/>
        <item x="82"/>
        <item x="84"/>
        <item x="85"/>
        <item x="86"/>
        <item x="88"/>
        <item x="89"/>
        <item x="90"/>
        <item x="91"/>
        <item x="92"/>
        <item x="93"/>
        <item x="94"/>
        <item x="100"/>
        <item x="101"/>
        <item x="102"/>
        <item x="103"/>
        <item x="104"/>
        <item x="105"/>
        <item x="106"/>
        <item x="107"/>
        <item x="108"/>
        <item x="109"/>
        <item x="12"/>
        <item x="21"/>
        <item x="31"/>
        <item x="33"/>
        <item x="40"/>
        <item x="41"/>
        <item x="43"/>
        <item x="53"/>
        <item x="57"/>
        <item x="58"/>
        <item x="60"/>
        <item x="66"/>
        <item x="73"/>
        <item x="75"/>
        <item x="83"/>
        <item x="87"/>
        <item x="95"/>
        <item x="96"/>
        <item x="97"/>
        <item x="98"/>
        <item x="99"/>
        <item x="110"/>
        <item x="111"/>
        <item x="112"/>
        <item x="113"/>
        <item x="114"/>
        <item x="115"/>
        <item x="116"/>
        <item x="117"/>
        <item x="118"/>
        <item x="119"/>
        <item x="120"/>
        <item x="121"/>
        <item x="122"/>
        <item x="123"/>
        <item t="default"/>
      </items>
    </pivotField>
    <pivotField showAll="0"/>
    <pivotField showAll="0"/>
    <pivotField axis="axisRow"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dataField="1" numFmtId="164" showAll="0"/>
    <pivotField numFmtId="164" showAll="0"/>
    <pivotField numFmtId="164" showAll="0"/>
    <pivotField numFmtId="164" showAll="0"/>
    <pivotField numFmtId="164" showAll="0"/>
    <pivotField numFmtId="164" showAll="0"/>
    <pivotField numFmtId="164" showAll="0"/>
    <pivotField numFmtId="164" showAll="0"/>
    <pivotField showAll="0" defaultSubtotal="0"/>
    <pivotField showAll="0" defaultSubtotal="0"/>
    <pivotField showAll="0" defaultSubtotal="0">
      <items count="4">
        <item x="1"/>
        <item x="2"/>
        <item x="0"/>
        <item x="3"/>
      </items>
    </pivotField>
  </pivotFields>
  <rowFields count="2">
    <field x="0"/>
    <field x="7"/>
  </rowFields>
  <rowItems count="85">
    <i>
      <x/>
    </i>
    <i r="1">
      <x v="51"/>
    </i>
    <i r="1">
      <x v="61"/>
    </i>
    <i>
      <x v="1"/>
    </i>
    <i r="1">
      <x v="43"/>
    </i>
    <i>
      <x v="2"/>
    </i>
    <i r="1">
      <x v="31"/>
    </i>
    <i>
      <x v="3"/>
    </i>
    <i r="1">
      <x v="35"/>
    </i>
    <i r="1">
      <x v="42"/>
    </i>
    <i>
      <x v="4"/>
    </i>
    <i r="1">
      <x v="32"/>
    </i>
    <i>
      <x v="5"/>
    </i>
    <i r="1">
      <x v="3"/>
    </i>
    <i>
      <x v="6"/>
    </i>
    <i r="1">
      <x v="20"/>
    </i>
    <i r="1">
      <x v="60"/>
    </i>
    <i>
      <x v="7"/>
    </i>
    <i r="1">
      <x v="21"/>
    </i>
    <i r="1">
      <x v="23"/>
    </i>
    <i r="1">
      <x v="40"/>
    </i>
    <i r="1">
      <x v="50"/>
    </i>
    <i>
      <x v="8"/>
    </i>
    <i r="1">
      <x v="2"/>
    </i>
    <i r="1">
      <x v="24"/>
    </i>
    <i r="1">
      <x v="25"/>
    </i>
    <i r="1">
      <x v="26"/>
    </i>
    <i>
      <x v="9"/>
    </i>
    <i r="1">
      <x v="7"/>
    </i>
    <i r="1">
      <x v="8"/>
    </i>
    <i r="1">
      <x v="10"/>
    </i>
    <i>
      <x v="10"/>
    </i>
    <i r="1">
      <x v="13"/>
    </i>
    <i r="1">
      <x v="33"/>
    </i>
    <i r="1">
      <x v="34"/>
    </i>
    <i r="1">
      <x v="41"/>
    </i>
    <i r="1">
      <x v="56"/>
    </i>
    <i>
      <x v="11"/>
    </i>
    <i r="1">
      <x/>
    </i>
    <i r="1">
      <x v="1"/>
    </i>
    <i r="1">
      <x v="6"/>
    </i>
    <i r="1">
      <x v="47"/>
    </i>
    <i r="1">
      <x v="57"/>
    </i>
    <i r="1">
      <x v="58"/>
    </i>
    <i>
      <x v="12"/>
    </i>
    <i r="1">
      <x v="11"/>
    </i>
    <i r="1">
      <x v="16"/>
    </i>
    <i r="1">
      <x v="17"/>
    </i>
    <i r="1">
      <x v="28"/>
    </i>
    <i r="1">
      <x v="29"/>
    </i>
    <i r="1">
      <x v="30"/>
    </i>
    <i r="1">
      <x v="48"/>
    </i>
    <i r="1">
      <x v="59"/>
    </i>
    <i r="1">
      <x v="62"/>
    </i>
    <i>
      <x v="13"/>
    </i>
    <i r="1">
      <x v="4"/>
    </i>
    <i r="1">
      <x v="9"/>
    </i>
    <i r="1">
      <x v="15"/>
    </i>
    <i r="1">
      <x v="46"/>
    </i>
    <i r="1">
      <x v="54"/>
    </i>
    <i r="1">
      <x v="55"/>
    </i>
    <i>
      <x v="14"/>
    </i>
    <i r="1">
      <x v="52"/>
    </i>
    <i>
      <x v="15"/>
    </i>
    <i r="1">
      <x v="18"/>
    </i>
    <i r="1">
      <x v="45"/>
    </i>
    <i r="1">
      <x v="49"/>
    </i>
    <i>
      <x v="16"/>
    </i>
    <i r="1">
      <x v="5"/>
    </i>
    <i>
      <x v="17"/>
    </i>
    <i r="1">
      <x v="39"/>
    </i>
    <i>
      <x v="18"/>
    </i>
    <i r="1">
      <x v="14"/>
    </i>
    <i r="1">
      <x v="22"/>
    </i>
    <i r="1">
      <x v="38"/>
    </i>
    <i r="1">
      <x v="44"/>
    </i>
    <i>
      <x v="19"/>
    </i>
    <i r="1">
      <x v="19"/>
    </i>
    <i r="1">
      <x v="36"/>
    </i>
    <i r="1">
      <x v="37"/>
    </i>
    <i r="1">
      <x v="53"/>
    </i>
    <i>
      <x v="20"/>
    </i>
    <i r="1">
      <x v="12"/>
    </i>
    <i r="1">
      <x v="27"/>
    </i>
    <i t="grand">
      <x/>
    </i>
  </rowItems>
  <colFields count="2">
    <field x="3"/>
    <field x="1"/>
  </colFields>
  <colItems count="11">
    <i>
      <x/>
      <x/>
    </i>
    <i r="1">
      <x v="1"/>
    </i>
    <i r="1">
      <x v="2"/>
    </i>
    <i r="1">
      <x v="3"/>
    </i>
    <i r="1">
      <x v="4"/>
    </i>
    <i r="1">
      <x v="5"/>
    </i>
    <i r="1">
      <x v="6"/>
    </i>
    <i r="1">
      <x v="7"/>
    </i>
    <i r="1">
      <x v="8"/>
    </i>
    <i t="default">
      <x/>
    </i>
    <i t="grand">
      <x/>
    </i>
  </colItems>
  <dataFields count="1">
    <dataField name="Sum of Alt Qty" fld="8" baseField="0" baseItem="0" numFmtId="164"/>
  </dataFields>
  <formats count="12">
    <format dxfId="24">
      <pivotArea type="all" dataOnly="0" outline="0" fieldPosition="0"/>
    </format>
    <format dxfId="23">
      <pivotArea outline="0" collapsedLevelsAreSubtotals="1" fieldPosition="0"/>
    </format>
    <format dxfId="22">
      <pivotArea type="origin" dataOnly="0" labelOnly="1" outline="0" fieldPosition="0"/>
    </format>
    <format dxfId="21">
      <pivotArea field="3" type="button" dataOnly="0" labelOnly="1" outline="0" axis="axisCol" fieldPosition="0"/>
    </format>
    <format dxfId="20">
      <pivotArea field="1" type="button" dataOnly="0" labelOnly="1" outline="0" axis="axisCol" fieldPosition="1"/>
    </format>
    <format dxfId="19">
      <pivotArea type="topRight" dataOnly="0" labelOnly="1" outline="0" fieldPosition="0"/>
    </format>
    <format dxfId="18">
      <pivotArea field="7" type="button" dataOnly="0" labelOnly="1" outline="0" axis="axisRow" fieldPosition="1"/>
    </format>
    <format dxfId="17">
      <pivotArea dataOnly="0" labelOnly="1" grandRow="1" outline="0" fieldPosition="0"/>
    </format>
    <format dxfId="16">
      <pivotArea dataOnly="0" labelOnly="1" fieldPosition="0">
        <references count="1">
          <reference field="3" count="0"/>
        </references>
      </pivotArea>
    </format>
    <format dxfId="15">
      <pivotArea dataOnly="0" labelOnly="1" fieldPosition="0">
        <references count="1">
          <reference field="3" count="0" defaultSubtotal="1"/>
        </references>
      </pivotArea>
    </format>
    <format dxfId="14">
      <pivotArea dataOnly="0" labelOnly="1" grandCol="1" outline="0" fieldPosition="0"/>
    </format>
    <format dxfId="13">
      <pivotArea dataOnly="0" labelOnly="1" fieldPosition="0">
        <references count="2">
          <reference field="1" count="6">
            <x v="0"/>
            <x v="1"/>
            <x v="2"/>
            <x v="3"/>
            <x v="4"/>
            <x v="5"/>
          </reference>
          <reference field="3"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4FAC29-FE4B-4B70-9ADB-68FCC0D26ECD}" name="PivotTable1" cacheId="497"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10:L97" firstHeaderRow="1" firstDataRow="3" firstDataCol="1"/>
  <pivotFields count="19">
    <pivotField axis="axisRow" showAll="0">
      <items count="22">
        <item x="19"/>
        <item x="18"/>
        <item x="14"/>
        <item x="16"/>
        <item x="15"/>
        <item x="2"/>
        <item x="12"/>
        <item x="13"/>
        <item x="1"/>
        <item x="5"/>
        <item x="8"/>
        <item x="0"/>
        <item x="6"/>
        <item x="3"/>
        <item x="20"/>
        <item x="10"/>
        <item x="4"/>
        <item x="17"/>
        <item x="9"/>
        <item x="11"/>
        <item x="7"/>
        <item t="default"/>
      </items>
    </pivotField>
    <pivotField axis="axisCol" showAll="0">
      <items count="10">
        <item x="1"/>
        <item x="2"/>
        <item x="0"/>
        <item x="4"/>
        <item x="5"/>
        <item x="3"/>
        <item x="6"/>
        <item x="7"/>
        <item x="8"/>
        <item t="default"/>
      </items>
    </pivotField>
    <pivotField showAll="0">
      <items count="5">
        <item x="0"/>
        <item x="1"/>
        <item x="2"/>
        <item x="3"/>
        <item t="default"/>
      </items>
    </pivotField>
    <pivotField axis="axisCol" showAll="0">
      <items count="2">
        <item x="0"/>
        <item t="default"/>
      </items>
    </pivotField>
    <pivotField numFmtId="14" showAll="0">
      <items count="125">
        <item x="0"/>
        <item x="1"/>
        <item x="2"/>
        <item x="3"/>
        <item x="4"/>
        <item x="5"/>
        <item x="6"/>
        <item x="7"/>
        <item x="8"/>
        <item x="9"/>
        <item x="10"/>
        <item x="11"/>
        <item x="13"/>
        <item x="14"/>
        <item x="15"/>
        <item x="16"/>
        <item x="17"/>
        <item x="18"/>
        <item x="19"/>
        <item x="20"/>
        <item x="22"/>
        <item x="23"/>
        <item x="24"/>
        <item x="25"/>
        <item x="26"/>
        <item x="27"/>
        <item x="28"/>
        <item x="29"/>
        <item x="30"/>
        <item x="32"/>
        <item x="34"/>
        <item x="35"/>
        <item x="36"/>
        <item x="37"/>
        <item x="38"/>
        <item x="39"/>
        <item x="42"/>
        <item x="44"/>
        <item x="45"/>
        <item x="46"/>
        <item x="47"/>
        <item x="48"/>
        <item x="49"/>
        <item x="50"/>
        <item x="51"/>
        <item x="52"/>
        <item x="54"/>
        <item x="55"/>
        <item x="56"/>
        <item x="59"/>
        <item x="61"/>
        <item x="62"/>
        <item x="63"/>
        <item x="64"/>
        <item x="65"/>
        <item x="67"/>
        <item x="68"/>
        <item x="69"/>
        <item x="70"/>
        <item x="71"/>
        <item x="72"/>
        <item x="74"/>
        <item x="76"/>
        <item x="77"/>
        <item x="78"/>
        <item x="79"/>
        <item x="80"/>
        <item x="81"/>
        <item x="82"/>
        <item x="84"/>
        <item x="85"/>
        <item x="86"/>
        <item x="88"/>
        <item x="89"/>
        <item x="90"/>
        <item x="91"/>
        <item x="92"/>
        <item x="93"/>
        <item x="94"/>
        <item x="100"/>
        <item x="101"/>
        <item x="102"/>
        <item x="103"/>
        <item x="104"/>
        <item x="105"/>
        <item x="106"/>
        <item x="107"/>
        <item x="108"/>
        <item x="109"/>
        <item x="12"/>
        <item x="21"/>
        <item x="31"/>
        <item x="33"/>
        <item x="40"/>
        <item x="41"/>
        <item x="43"/>
        <item x="53"/>
        <item x="57"/>
        <item x="58"/>
        <item x="60"/>
        <item x="66"/>
        <item x="73"/>
        <item x="75"/>
        <item x="83"/>
        <item x="87"/>
        <item x="95"/>
        <item x="96"/>
        <item x="97"/>
        <item x="98"/>
        <item x="99"/>
        <item x="110"/>
        <item x="111"/>
        <item x="112"/>
        <item x="113"/>
        <item x="114"/>
        <item x="115"/>
        <item x="116"/>
        <item x="117"/>
        <item x="118"/>
        <item x="119"/>
        <item x="120"/>
        <item x="121"/>
        <item x="122"/>
        <item x="123"/>
        <item t="default"/>
      </items>
    </pivotField>
    <pivotField showAll="0"/>
    <pivotField showAll="0"/>
    <pivotField axis="axisRow"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umFmtId="164" showAll="0"/>
    <pivotField numFmtId="164" showAll="0"/>
    <pivotField numFmtId="164" showAll="0"/>
    <pivotField numFmtId="164" showAll="0"/>
    <pivotField numFmtId="164" showAll="0"/>
    <pivotField numFmtId="164" showAll="0"/>
    <pivotField numFmtId="164" showAll="0"/>
    <pivotField dataField="1" numFmtId="164" showAll="0"/>
    <pivotField showAll="0" defaultSubtotal="0"/>
    <pivotField showAll="0" defaultSubtotal="0"/>
    <pivotField showAll="0" defaultSubtotal="0">
      <items count="4">
        <item x="1"/>
        <item x="2"/>
        <item x="0"/>
        <item x="3"/>
      </items>
    </pivotField>
  </pivotFields>
  <rowFields count="2">
    <field x="0"/>
    <field x="7"/>
  </rowFields>
  <rowItems count="85">
    <i>
      <x/>
    </i>
    <i r="1">
      <x v="51"/>
    </i>
    <i r="1">
      <x v="61"/>
    </i>
    <i>
      <x v="1"/>
    </i>
    <i r="1">
      <x v="43"/>
    </i>
    <i>
      <x v="2"/>
    </i>
    <i r="1">
      <x v="31"/>
    </i>
    <i>
      <x v="3"/>
    </i>
    <i r="1">
      <x v="35"/>
    </i>
    <i r="1">
      <x v="42"/>
    </i>
    <i>
      <x v="4"/>
    </i>
    <i r="1">
      <x v="32"/>
    </i>
    <i>
      <x v="5"/>
    </i>
    <i r="1">
      <x v="3"/>
    </i>
    <i>
      <x v="6"/>
    </i>
    <i r="1">
      <x v="20"/>
    </i>
    <i r="1">
      <x v="60"/>
    </i>
    <i>
      <x v="7"/>
    </i>
    <i r="1">
      <x v="21"/>
    </i>
    <i r="1">
      <x v="23"/>
    </i>
    <i r="1">
      <x v="40"/>
    </i>
    <i r="1">
      <x v="50"/>
    </i>
    <i>
      <x v="8"/>
    </i>
    <i r="1">
      <x v="2"/>
    </i>
    <i r="1">
      <x v="24"/>
    </i>
    <i r="1">
      <x v="25"/>
    </i>
    <i r="1">
      <x v="26"/>
    </i>
    <i>
      <x v="9"/>
    </i>
    <i r="1">
      <x v="7"/>
    </i>
    <i r="1">
      <x v="8"/>
    </i>
    <i r="1">
      <x v="10"/>
    </i>
    <i>
      <x v="10"/>
    </i>
    <i r="1">
      <x v="13"/>
    </i>
    <i r="1">
      <x v="33"/>
    </i>
    <i r="1">
      <x v="34"/>
    </i>
    <i r="1">
      <x v="41"/>
    </i>
    <i r="1">
      <x v="56"/>
    </i>
    <i>
      <x v="11"/>
    </i>
    <i r="1">
      <x/>
    </i>
    <i r="1">
      <x v="1"/>
    </i>
    <i r="1">
      <x v="6"/>
    </i>
    <i r="1">
      <x v="47"/>
    </i>
    <i r="1">
      <x v="57"/>
    </i>
    <i r="1">
      <x v="58"/>
    </i>
    <i>
      <x v="12"/>
    </i>
    <i r="1">
      <x v="11"/>
    </i>
    <i r="1">
      <x v="16"/>
    </i>
    <i r="1">
      <x v="17"/>
    </i>
    <i r="1">
      <x v="28"/>
    </i>
    <i r="1">
      <x v="29"/>
    </i>
    <i r="1">
      <x v="30"/>
    </i>
    <i r="1">
      <x v="48"/>
    </i>
    <i r="1">
      <x v="59"/>
    </i>
    <i r="1">
      <x v="62"/>
    </i>
    <i>
      <x v="13"/>
    </i>
    <i r="1">
      <x v="4"/>
    </i>
    <i r="1">
      <x v="9"/>
    </i>
    <i r="1">
      <x v="15"/>
    </i>
    <i r="1">
      <x v="46"/>
    </i>
    <i r="1">
      <x v="54"/>
    </i>
    <i r="1">
      <x v="55"/>
    </i>
    <i>
      <x v="14"/>
    </i>
    <i r="1">
      <x v="52"/>
    </i>
    <i>
      <x v="15"/>
    </i>
    <i r="1">
      <x v="18"/>
    </i>
    <i r="1">
      <x v="45"/>
    </i>
    <i r="1">
      <x v="49"/>
    </i>
    <i>
      <x v="16"/>
    </i>
    <i r="1">
      <x v="5"/>
    </i>
    <i>
      <x v="17"/>
    </i>
    <i r="1">
      <x v="39"/>
    </i>
    <i>
      <x v="18"/>
    </i>
    <i r="1">
      <x v="14"/>
    </i>
    <i r="1">
      <x v="22"/>
    </i>
    <i r="1">
      <x v="38"/>
    </i>
    <i r="1">
      <x v="44"/>
    </i>
    <i>
      <x v="19"/>
    </i>
    <i r="1">
      <x v="19"/>
    </i>
    <i r="1">
      <x v="36"/>
    </i>
    <i r="1">
      <x v="37"/>
    </i>
    <i r="1">
      <x v="53"/>
    </i>
    <i>
      <x v="20"/>
    </i>
    <i r="1">
      <x v="12"/>
    </i>
    <i r="1">
      <x v="27"/>
    </i>
    <i t="grand">
      <x/>
    </i>
  </rowItems>
  <colFields count="2">
    <field x="3"/>
    <field x="1"/>
  </colFields>
  <colItems count="11">
    <i>
      <x/>
      <x/>
    </i>
    <i r="1">
      <x v="1"/>
    </i>
    <i r="1">
      <x v="2"/>
    </i>
    <i r="1">
      <x v="3"/>
    </i>
    <i r="1">
      <x v="4"/>
    </i>
    <i r="1">
      <x v="5"/>
    </i>
    <i r="1">
      <x v="6"/>
    </i>
    <i r="1">
      <x v="7"/>
    </i>
    <i r="1">
      <x v="8"/>
    </i>
    <i t="default">
      <x/>
    </i>
    <i t="grand">
      <x/>
    </i>
  </colItems>
  <dataFields count="1">
    <dataField name="Sum of Total Amount" fld="15" baseField="0" baseItem="0" numFmtId="164"/>
  </dataFields>
  <formats count="13">
    <format dxfId="12">
      <pivotArea type="all" dataOnly="0" outline="0" fieldPosition="0"/>
    </format>
    <format dxfId="11">
      <pivotArea outline="0" collapsedLevelsAreSubtotals="1" fieldPosition="0"/>
    </format>
    <format dxfId="10">
      <pivotArea type="origin" dataOnly="0" labelOnly="1" outline="0" fieldPosition="0"/>
    </format>
    <format dxfId="9">
      <pivotArea field="3" type="button" dataOnly="0" labelOnly="1" outline="0" axis="axisCol" fieldPosition="0"/>
    </format>
    <format dxfId="8">
      <pivotArea field="1" type="button" dataOnly="0" labelOnly="1" outline="0" axis="axisCol" fieldPosition="1"/>
    </format>
    <format dxfId="7">
      <pivotArea type="topRight" dataOnly="0" labelOnly="1" outline="0" fieldPosition="0"/>
    </format>
    <format dxfId="6">
      <pivotArea field="7" type="button" dataOnly="0" labelOnly="1" outline="0" axis="axisRow" fieldPosition="1"/>
    </format>
    <format dxfId="5">
      <pivotArea dataOnly="0" labelOnly="1" fieldPosition="0">
        <references count="1">
          <reference field="7" count="0"/>
        </references>
      </pivotArea>
    </format>
    <format dxfId="4">
      <pivotArea dataOnly="0" labelOnly="1" grandRow="1" outline="0" fieldPosition="0"/>
    </format>
    <format dxfId="3">
      <pivotArea dataOnly="0" labelOnly="1" fieldPosition="0">
        <references count="1">
          <reference field="3" count="0"/>
        </references>
      </pivotArea>
    </format>
    <format dxfId="2">
      <pivotArea dataOnly="0" labelOnly="1" fieldPosition="0">
        <references count="1">
          <reference field="3" count="0" defaultSubtotal="1"/>
        </references>
      </pivotArea>
    </format>
    <format dxfId="1">
      <pivotArea dataOnly="0" labelOnly="1" grandCol="1" outline="0" fieldPosition="0"/>
    </format>
    <format dxfId="0">
      <pivotArea dataOnly="0" labelOnly="1" fieldPosition="0">
        <references count="2">
          <reference field="1" count="6">
            <x v="0"/>
            <x v="1"/>
            <x v="2"/>
            <x v="3"/>
            <x v="4"/>
            <x v="5"/>
          </reference>
          <reference field="3"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4D869A-49C9-4B98-A997-BC1A52CB006C}" name="PivotTable3" cacheId="503"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4:B5" firstHeaderRow="1" firstDataRow="1" firstDataCol="1" rowPageCount="2" colPageCount="1"/>
  <pivotFields count="18">
    <pivotField axis="axisPage" multipleItemSelectionAllowed="1" showAll="0">
      <items count="27">
        <item m="1" x="25"/>
        <item m="1" x="21"/>
        <item m="1" x="15"/>
        <item x="2"/>
        <item m="1" x="17"/>
        <item h="1" m="1" x="10"/>
        <item m="1" x="24"/>
        <item h="1" m="1" x="20"/>
        <item m="1" x="23"/>
        <item h="1" m="1" x="19"/>
        <item m="1" x="12"/>
        <item x="1"/>
        <item m="1" x="16"/>
        <item x="0"/>
        <item m="1" x="13"/>
        <item h="1" m="1" x="8"/>
        <item m="1" x="18"/>
        <item m="1" x="14"/>
        <item m="1" x="9"/>
        <item x="5"/>
        <item m="1" x="11"/>
        <item x="4"/>
        <item m="1" x="22"/>
        <item x="3"/>
        <item h="1" x="6"/>
        <item h="1" x="7"/>
        <item t="default"/>
      </items>
    </pivotField>
    <pivotField showAll="0"/>
    <pivotField axis="axisPage" multipleItemSelectionAllowed="1" showAll="0">
      <items count="4">
        <item h="1" m="1" x="2"/>
        <item m="1" x="1"/>
        <item h="1" x="0"/>
        <item t="default"/>
      </items>
    </pivotField>
    <pivotField numFmtId="14" showAll="0">
      <items count="473">
        <item m="1" x="326"/>
        <item m="1" x="428"/>
        <item m="1" x="216"/>
        <item m="1" x="372"/>
        <item m="1" x="165"/>
        <item m="1" x="315"/>
        <item m="1" x="262"/>
        <item m="1" x="351"/>
        <item m="1" x="303"/>
        <item m="1" x="245"/>
        <item m="1" x="397"/>
        <item m="1" x="187"/>
        <item m="1" x="130"/>
        <item m="1" x="228"/>
        <item m="1" x="383"/>
        <item m="1" x="320"/>
        <item m="1" x="115"/>
        <item m="1" x="273"/>
        <item m="1" x="209"/>
        <item m="1" x="366"/>
        <item m="1" x="159"/>
        <item m="1" x="308"/>
        <item m="1" x="463"/>
        <item m="1" x="253"/>
        <item m="1" x="195"/>
        <item m="1" x="345"/>
        <item m="1" x="144"/>
        <item m="1" x="295"/>
        <item m="1" x="419"/>
        <item m="1" x="206"/>
        <item m="1" x="360"/>
        <item m="1" x="457"/>
        <item m="1" x="248"/>
        <item m="1" x="403"/>
        <item m="1" x="191"/>
        <item m="1" x="340"/>
        <item m="1" x="137"/>
        <item m="1" x="443"/>
        <item m="1" x="234"/>
        <item m="1" x="176"/>
        <item m="1" x="327"/>
        <item m="1" x="429"/>
        <item m="1" x="217"/>
        <item m="1" x="373"/>
        <item m="1" x="166"/>
        <item m="1" x="316"/>
        <item m="1" x="439"/>
        <item m="1" x="229"/>
        <item m="1" x="384"/>
        <item m="1" x="175"/>
        <item m="1" x="274"/>
        <item m="1" x="424"/>
        <item m="1" x="210"/>
        <item m="1" x="367"/>
        <item m="1" x="160"/>
        <item m="1" x="254"/>
        <item m="1" x="407"/>
        <item m="1" x="346"/>
        <item m="1" x="145"/>
        <item m="1" x="296"/>
        <item m="1" x="391"/>
        <item m="1" x="180"/>
        <item m="1" x="333"/>
        <item m="1" x="123"/>
        <item m="1" x="282"/>
        <item m="1" x="223"/>
        <item m="1" x="458"/>
        <item m="1" x="404"/>
        <item m="1" x="138"/>
        <item m="1" x="292"/>
        <item m="1" x="444"/>
        <item m="1" x="235"/>
        <item m="1" x="387"/>
        <item m="1" x="177"/>
        <item m="1" x="118"/>
        <item m="1" x="278"/>
        <item m="1" x="430"/>
        <item m="1" x="218"/>
        <item m="1" x="374"/>
        <item m="1" x="167"/>
        <item m="1" x="468"/>
        <item m="1" x="263"/>
        <item m="1" x="412"/>
        <item m="1" x="200"/>
        <item m="1" x="352"/>
        <item m="1" x="398"/>
        <item m="1" x="425"/>
        <item m="1" x="464"/>
        <item m="1" x="255"/>
        <item m="1" x="408"/>
        <item m="1" x="196"/>
        <item m="1" x="239"/>
        <item m="1" x="392"/>
        <item m="1" x="181"/>
        <item m="1" x="124"/>
        <item m="1" x="434"/>
        <item m="1" x="224"/>
        <item m="1" x="378"/>
        <item m="1" x="172"/>
        <item m="1" x="110"/>
        <item m="1" x="269"/>
        <item m="1" x="420"/>
        <item m="1" x="155"/>
        <item m="1" x="328"/>
        <item m="1" x="119"/>
        <item m="1" x="279"/>
        <item m="1" x="431"/>
        <item m="1" x="168"/>
        <item m="1" x="317"/>
        <item m="1" x="469"/>
        <item m="1" x="264"/>
        <item m="1" x="413"/>
        <item m="1" x="353"/>
        <item m="1" x="151"/>
        <item m="1" x="304"/>
        <item m="1" x="399"/>
        <item m="1" x="131"/>
        <item m="1" x="287"/>
        <item m="1" x="440"/>
        <item m="1" x="230"/>
        <item m="1" x="385"/>
        <item m="1" x="321"/>
        <item m="1" x="146"/>
        <item m="1" x="297"/>
        <item m="1" x="182"/>
        <item m="1" x="334"/>
        <item m="1" x="125"/>
        <item m="1" x="435"/>
        <item m="1" x="379"/>
        <item m="1" x="421"/>
        <item m="1" x="361"/>
        <item m="1" x="156"/>
        <item m="1" x="306"/>
        <item m="1" x="459"/>
        <item m="1" x="249"/>
        <item m="1" x="341"/>
        <item m="1" x="139"/>
        <item m="1" x="293"/>
        <item m="1" x="445"/>
        <item m="1" x="414"/>
        <item m="1" x="201"/>
        <item m="1" x="354"/>
        <item m="1" x="400"/>
        <item m="1" x="188"/>
        <item m="1" x="337"/>
        <item m="1" x="132"/>
        <item m="1" x="288"/>
        <item m="1" x="231"/>
        <item m="1" x="322"/>
        <item m="1" x="116"/>
        <item m="1" x="211"/>
        <item m="1" x="161"/>
        <item m="1" x="309"/>
        <item m="1" x="465"/>
        <item m="1" x="256"/>
        <item m="1" x="283"/>
        <item m="1" x="380"/>
        <item m="1" x="111"/>
        <item m="1" x="270"/>
        <item m="1" x="422"/>
        <item m="1" x="207"/>
        <item m="1" x="362"/>
        <item m="1" x="460"/>
        <item m="1" x="250"/>
        <item m="1" x="405"/>
        <item m="1" x="192"/>
        <item m="1" x="342"/>
        <item m="1" x="140"/>
        <item m="1" x="446"/>
        <item m="1" x="236"/>
        <item m="1" x="388"/>
        <item m="1" x="178"/>
        <item m="1" x="329"/>
        <item m="1" x="120"/>
        <item m="1" x="219"/>
        <item m="1" x="454"/>
        <item m="1" x="133"/>
        <item m="1" x="289"/>
        <item m="1" x="441"/>
        <item m="1" x="212"/>
        <item m="1" x="368"/>
        <item m="1" x="162"/>
        <item m="1" x="257"/>
        <item m="1" x="409"/>
        <item m="1" x="197"/>
        <item m="1" x="347"/>
        <item m="1" x="147"/>
        <item m="1" x="450"/>
        <item m="1" x="240"/>
        <item m="1" x="393"/>
        <item m="1" x="183"/>
        <item m="1" x="141"/>
        <item m="1" x="447"/>
        <item m="1" x="389"/>
        <item m="1" x="330"/>
        <item m="1" x="121"/>
        <item m="1" x="220"/>
        <item m="1" x="375"/>
        <item m="1" x="470"/>
        <item m="1" x="265"/>
        <item m="1" x="415"/>
        <item m="1" x="202"/>
        <item m="1" x="355"/>
        <item m="1" x="275"/>
        <item m="1" x="426"/>
        <item m="1" x="369"/>
        <item m="1" x="310"/>
        <item m="1" x="466"/>
        <item m="1" x="258"/>
        <item m="1" x="348"/>
        <item m="1" x="298"/>
        <item m="1" x="451"/>
        <item m="1" x="241"/>
        <item m="1" x="394"/>
        <item m="1" x="126"/>
        <item m="1" x="284"/>
        <item m="1" x="436"/>
        <item m="1" x="225"/>
        <item m="1" x="318"/>
        <item m="1" x="112"/>
        <item m="1" x="271"/>
        <item m="1" x="423"/>
        <item m="1" x="363"/>
        <item m="1" x="461"/>
        <item m="1" x="251"/>
        <item m="1" x="193"/>
        <item m="1" x="343"/>
        <item m="1" x="294"/>
        <item m="1" x="448"/>
        <item m="1" x="237"/>
        <item m="1" x="390"/>
        <item m="1" x="331"/>
        <item m="1" x="280"/>
        <item m="1" x="432"/>
        <item m="1" x="221"/>
        <item m="1" x="376"/>
        <item m="1" x="169"/>
        <item m="1" x="266"/>
        <item m="1" x="416"/>
        <item m="1" x="203"/>
        <item m="1" x="356"/>
        <item m="1" x="152"/>
        <item m="1" x="305"/>
        <item m="1" x="323"/>
        <item m="1" x="276"/>
        <item m="1" x="427"/>
        <item m="1" x="213"/>
        <item m="1" x="311"/>
        <item m="1" x="467"/>
        <item m="1" x="259"/>
        <item m="1" x="410"/>
        <item m="1" x="198"/>
        <item m="1" x="148"/>
        <item m="1" x="299"/>
        <item m="1" x="242"/>
        <item m="1" x="395"/>
        <item m="1" x="184"/>
        <item m="1" x="127"/>
        <item m="1" x="285"/>
        <item m="1" x="437"/>
        <item m="1" x="173"/>
        <item m="1" x="142"/>
        <item m="1" x="449"/>
        <item m="1" x="238"/>
        <item m="1" x="179"/>
        <item m="1" x="122"/>
        <item m="1" x="281"/>
        <item m="1" x="433"/>
        <item m="1" x="222"/>
        <item m="1" x="170"/>
        <item m="1" x="471"/>
        <item m="1" x="267"/>
        <item m="1" x="417"/>
        <item m="1" x="204"/>
        <item m="1" x="357"/>
        <item m="1" x="153"/>
        <item m="1" x="455"/>
        <item m="1" x="246"/>
        <item m="1" x="401"/>
        <item m="1" x="189"/>
        <item m="1" x="338"/>
        <item m="1" x="134"/>
        <item m="1" x="442"/>
        <item m="1" x="232"/>
        <item m="1" x="312"/>
        <item m="1" x="260"/>
        <item m="1" x="411"/>
        <item m="1" x="349"/>
        <item m="1" x="149"/>
        <item m="1" x="300"/>
        <item m="1" x="452"/>
        <item m="1" x="243"/>
        <item m="1" x="335"/>
        <item m="1" x="438"/>
        <item m="1" x="226"/>
        <item m="1" x="381"/>
        <item m="1" x="319"/>
        <item m="1" x="406"/>
        <item m="1" x="377"/>
        <item m="1" x="171"/>
        <item m="1" x="268"/>
        <item m="1" x="418"/>
        <item m="1" x="358"/>
        <item m="1" x="456"/>
        <item m="1" x="339"/>
        <item m="1" x="135"/>
        <item m="1" x="290"/>
        <item m="1" x="324"/>
        <item m="1" x="117"/>
        <item m="1" x="277"/>
        <item m="1" x="214"/>
        <item m="1" x="370"/>
        <item m="1" x="244"/>
        <item m="1" x="185"/>
        <item m="1" x="336"/>
        <item m="1" x="128"/>
        <item m="1" x="227"/>
        <item m="1" x="382"/>
        <item m="1" x="174"/>
        <item m="1" x="113"/>
        <item m="1" x="272"/>
        <item m="1" x="208"/>
        <item m="1" x="364"/>
        <item m="1" x="157"/>
        <item m="1" x="307"/>
        <item m="1" x="462"/>
        <item m="1" x="252"/>
        <item m="1" x="194"/>
        <item m="1" x="344"/>
        <item m="1" x="143"/>
        <item x="0"/>
        <item x="1"/>
        <item x="2"/>
        <item m="1" x="205"/>
        <item m="1" x="359"/>
        <item m="1" x="154"/>
        <item x="3"/>
        <item m="1" x="247"/>
        <item x="4"/>
        <item m="1" x="190"/>
        <item x="5"/>
        <item m="1" x="136"/>
        <item m="1" x="233"/>
        <item m="1" x="386"/>
        <item x="6"/>
        <item x="7"/>
        <item m="1" x="313"/>
        <item x="8"/>
        <item m="1" x="261"/>
        <item m="1" x="199"/>
        <item m="1" x="350"/>
        <item m="1" x="150"/>
        <item m="1" x="301"/>
        <item m="1" x="453"/>
        <item m="1" x="114"/>
        <item x="9"/>
        <item m="1" x="365"/>
        <item m="1" x="158"/>
        <item x="10"/>
        <item x="11"/>
        <item x="13"/>
        <item x="14"/>
        <item x="15"/>
        <item x="16"/>
        <item x="17"/>
        <item x="18"/>
        <item x="19"/>
        <item m="1" x="332"/>
        <item x="20"/>
        <item x="22"/>
        <item x="23"/>
        <item x="24"/>
        <item x="25"/>
        <item x="26"/>
        <item x="27"/>
        <item m="1" x="291"/>
        <item x="28"/>
        <item x="29"/>
        <item m="1" x="325"/>
        <item x="30"/>
        <item m="1" x="163"/>
        <item x="32"/>
        <item x="34"/>
        <item x="35"/>
        <item x="36"/>
        <item x="37"/>
        <item x="38"/>
        <item x="39"/>
        <item m="1" x="396"/>
        <item m="1" x="186"/>
        <item m="1" x="286"/>
        <item x="42"/>
        <item x="44"/>
        <item x="45"/>
        <item x="46"/>
        <item x="47"/>
        <item x="48"/>
        <item x="49"/>
        <item x="50"/>
        <item x="51"/>
        <item x="52"/>
        <item m="1" x="402"/>
        <item x="54"/>
        <item m="1" x="215"/>
        <item m="1" x="371"/>
        <item m="1" x="164"/>
        <item m="1" x="314"/>
        <item x="55"/>
        <item x="56"/>
        <item x="59"/>
        <item m="1" x="302"/>
        <item x="61"/>
        <item x="62"/>
        <item m="1" x="129"/>
        <item x="63"/>
        <item x="64"/>
        <item x="65"/>
        <item x="67"/>
        <item x="68"/>
        <item x="69"/>
        <item x="70"/>
        <item x="71"/>
        <item x="72"/>
        <item x="12"/>
        <item x="21"/>
        <item x="31"/>
        <item x="33"/>
        <item x="40"/>
        <item x="41"/>
        <item x="43"/>
        <item x="53"/>
        <item x="57"/>
        <item x="58"/>
        <item x="60"/>
        <item x="66"/>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showAll="0"/>
    <pivotField showAll="0"/>
    <pivotField axis="axisRow" showAll="0">
      <items count="89">
        <item m="1" x="84"/>
        <item m="1" x="87"/>
        <item m="1" x="78"/>
        <item m="1" x="69"/>
        <item m="1" x="83"/>
        <item m="1" x="82"/>
        <item m="1" x="71"/>
        <item m="1" x="74"/>
        <item m="1" x="80"/>
        <item m="1" x="64"/>
        <item m="1" x="68"/>
        <item m="1" x="76"/>
        <item m="1" x="66"/>
        <item m="1" x="73"/>
        <item m="1" x="63"/>
        <item m="1" x="77"/>
        <item m="1" x="85"/>
        <item m="1" x="65"/>
        <item m="1" x="79"/>
        <item m="1" x="75"/>
        <item m="1" x="70"/>
        <item m="1" x="86"/>
        <item m="1" x="81"/>
        <item m="1" x="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m="1" x="67"/>
        <item t="default"/>
      </items>
    </pivotField>
    <pivotField numFmtId="164" showAll="0"/>
    <pivotField numFmtId="164" showAll="0"/>
    <pivotField numFmtId="164" showAll="0"/>
    <pivotField numFmtId="164" showAll="0"/>
    <pivotField numFmtId="164" showAll="0"/>
    <pivotField numFmtId="164" showAll="0"/>
    <pivotField numFmtId="164" showAll="0"/>
    <pivotField dataField="1" numFmtId="164" showAll="0"/>
    <pivotField showAll="0" defaultSubtotal="0"/>
    <pivotField showAll="0" defaultSubtotal="0"/>
    <pivotField showAll="0" defaultSubtotal="0">
      <items count="4">
        <item x="1"/>
        <item x="0"/>
        <item x="2"/>
        <item x="3"/>
      </items>
    </pivotField>
  </pivotFields>
  <rowFields count="1">
    <field x="6"/>
  </rowFields>
  <rowItems count="1">
    <i t="grand">
      <x/>
    </i>
  </rowItems>
  <colItems count="1">
    <i/>
  </colItems>
  <pageFields count="2">
    <pageField fld="2" hier="-1"/>
    <pageField fld="0" hier="-1"/>
  </pageFields>
  <dataFields count="1">
    <dataField name="Sum of Total Amount"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 xr10:uid="{D5837A6E-05A9-4608-88E0-161D1B86D812}" sourceName="QTR">
  <pivotTables>
    <pivotTable tabId="4" name="PivotTable1"/>
  </pivotTables>
  <data>
    <tabular pivotCacheId="30862553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 xr10:uid="{0B814C6D-5067-49A5-A1D0-53840E99CC88}" sourceName="FY">
  <pivotTables>
    <pivotTable tabId="4" name="PivotTable1"/>
  </pivotTables>
  <data>
    <tabular pivotCacheId="308625533">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1" xr10:uid="{BA298DAD-DA30-4B49-9D02-C4B6FEF4B95E}" sourceName="QTR">
  <pivotTables>
    <pivotTable tabId="3" name="PivotTable1"/>
  </pivotTables>
  <data>
    <tabular pivotCacheId="308625533">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1" xr10:uid="{D35DBE3C-01D1-4290-ADF3-DA2BF3854152}" sourceName="FY">
  <pivotTables>
    <pivotTable tabId="3" name="PivotTable1"/>
  </pivotTables>
  <data>
    <tabular pivotCacheId="308625533">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R 1" xr10:uid="{DDC4E482-60CE-4AA1-9570-DEEEDADDE6C1}" cache="Slicer_QTR1" caption="QTR" columnCount="4" rowHeight="209550"/>
  <slicer name="FY 1" xr10:uid="{5F891D41-FFB3-4717-942B-7702B049B07D}" cache="Slicer_FY1" caption="FY" columnCount="3"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R" xr10:uid="{FFDBA7C5-6D63-42FF-B6D0-6D67E1D84278}" cache="Slicer_QTR" caption="QTR" columnCount="4" rowHeight="209550"/>
  <slicer name="FY" xr10:uid="{DDB37178-7370-4758-A11D-7ECA320AD07B}" cache="Slicer_FY" caption="FY" columnCount="3"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5ED40-D429-4355-BC38-10FAAADADDA8}">
  <dimension ref="A9:L96"/>
  <sheetViews>
    <sheetView workbookViewId="0">
      <pane xSplit="1" ySplit="11" topLeftCell="B12" activePane="bottomRight" state="frozen"/>
      <selection pane="topRight" activeCell="B1" sqref="B1"/>
      <selection pane="bottomLeft" activeCell="A12" sqref="A12"/>
      <selection pane="bottomRight" activeCell="A19" activeCellId="3" sqref="A12 A15 A17 A19 A22 A24 A26 A29 A34 A39 A43 A49 A56 A66 A73 A75 A79 A81 A83 A88 A93"/>
    </sheetView>
  </sheetViews>
  <sheetFormatPr defaultRowHeight="12" x14ac:dyDescent="0.2"/>
  <cols>
    <col min="1" max="1" width="51.85546875" bestFit="1" customWidth="1"/>
    <col min="2" max="2" width="15.42578125" bestFit="1" customWidth="1"/>
    <col min="3" max="3" width="8" bestFit="1" customWidth="1"/>
    <col min="4" max="5" width="8.7109375" bestFit="1" customWidth="1"/>
    <col min="6" max="6" width="8.42578125" bestFit="1" customWidth="1"/>
    <col min="7" max="7" width="8.5703125" bestFit="1" customWidth="1"/>
    <col min="8" max="8" width="8.7109375" bestFit="1" customWidth="1"/>
    <col min="9" max="9" width="8.5703125" bestFit="1" customWidth="1"/>
    <col min="10" max="10" width="8.42578125" bestFit="1" customWidth="1"/>
    <col min="11" max="11" width="12" bestFit="1" customWidth="1"/>
    <col min="12" max="12" width="10.28515625" bestFit="1" customWidth="1"/>
    <col min="13" max="13" width="8.85546875" bestFit="1" customWidth="1"/>
    <col min="14" max="14" width="8.5703125" bestFit="1" customWidth="1"/>
    <col min="15" max="15" width="8.85546875" bestFit="1" customWidth="1"/>
    <col min="16" max="16" width="8.5703125" bestFit="1" customWidth="1"/>
    <col min="17" max="17" width="8.42578125" bestFit="1" customWidth="1"/>
    <col min="18" max="18" width="8.85546875" bestFit="1" customWidth="1"/>
    <col min="19" max="19" width="12" bestFit="1" customWidth="1"/>
    <col min="20" max="20" width="9.42578125" bestFit="1" customWidth="1"/>
    <col min="21" max="28" width="8.85546875" bestFit="1" customWidth="1"/>
    <col min="29" max="29" width="12" bestFit="1" customWidth="1"/>
    <col min="30" max="30" width="10.28515625" bestFit="1" customWidth="1"/>
  </cols>
  <sheetData>
    <row r="9" spans="1:12" x14ac:dyDescent="0.2">
      <c r="A9" s="3" t="s">
        <v>28</v>
      </c>
      <c r="B9" s="3" t="s">
        <v>29</v>
      </c>
      <c r="C9" s="4"/>
      <c r="D9" s="4"/>
      <c r="E9" s="4"/>
      <c r="F9" s="4"/>
      <c r="G9" s="4"/>
      <c r="H9" s="4"/>
      <c r="I9" s="4"/>
      <c r="J9" s="4"/>
      <c r="K9" s="4"/>
      <c r="L9" s="4"/>
    </row>
    <row r="10" spans="1:12" x14ac:dyDescent="0.2">
      <c r="A10" s="4"/>
      <c r="B10" s="4" t="s">
        <v>31</v>
      </c>
      <c r="C10" s="4"/>
      <c r="D10" s="4"/>
      <c r="E10" s="4"/>
      <c r="F10" s="4"/>
      <c r="G10" s="4"/>
      <c r="H10" s="4"/>
      <c r="I10" s="4"/>
      <c r="J10" s="4"/>
      <c r="K10" s="4" t="s">
        <v>33</v>
      </c>
      <c r="L10" s="4" t="s">
        <v>27</v>
      </c>
    </row>
    <row r="11" spans="1:12" x14ac:dyDescent="0.2">
      <c r="A11" s="3" t="s">
        <v>26</v>
      </c>
      <c r="B11" s="4" t="s">
        <v>36</v>
      </c>
      <c r="C11" s="4" t="s">
        <v>35</v>
      </c>
      <c r="D11" s="4" t="s">
        <v>34</v>
      </c>
      <c r="E11" s="4" t="s">
        <v>39</v>
      </c>
      <c r="F11" s="4" t="s">
        <v>38</v>
      </c>
      <c r="G11" s="4" t="s">
        <v>37</v>
      </c>
      <c r="H11" s="4" t="s">
        <v>43</v>
      </c>
      <c r="I11" s="4" t="s">
        <v>44</v>
      </c>
      <c r="J11" s="4" t="s">
        <v>571</v>
      </c>
      <c r="K11" s="4"/>
      <c r="L11" s="4"/>
    </row>
    <row r="12" spans="1:12" x14ac:dyDescent="0.2">
      <c r="A12" s="5" t="s">
        <v>592</v>
      </c>
      <c r="B12" s="6"/>
      <c r="C12" s="6"/>
      <c r="D12" s="6">
        <v>25</v>
      </c>
      <c r="E12" s="6"/>
      <c r="F12" s="6"/>
      <c r="G12" s="6">
        <v>113</v>
      </c>
      <c r="H12" s="6">
        <v>11.36</v>
      </c>
      <c r="I12" s="6">
        <v>26</v>
      </c>
      <c r="J12" s="6">
        <v>39</v>
      </c>
      <c r="K12" s="6">
        <v>214.35999999999999</v>
      </c>
      <c r="L12" s="6">
        <v>214.35999999999999</v>
      </c>
    </row>
    <row r="13" spans="1:12" x14ac:dyDescent="0.2">
      <c r="A13" s="22" t="s">
        <v>115</v>
      </c>
      <c r="B13" s="6"/>
      <c r="C13" s="6"/>
      <c r="D13" s="6">
        <v>25</v>
      </c>
      <c r="E13" s="6"/>
      <c r="F13" s="6"/>
      <c r="G13" s="6">
        <v>113</v>
      </c>
      <c r="H13" s="6">
        <v>11.04</v>
      </c>
      <c r="I13" s="6">
        <v>26</v>
      </c>
      <c r="J13" s="6">
        <v>39</v>
      </c>
      <c r="K13" s="6">
        <v>214.04</v>
      </c>
      <c r="L13" s="6">
        <v>214.04</v>
      </c>
    </row>
    <row r="14" spans="1:12" x14ac:dyDescent="0.2">
      <c r="A14" s="22" t="s">
        <v>418</v>
      </c>
      <c r="B14" s="6"/>
      <c r="C14" s="6"/>
      <c r="D14" s="6"/>
      <c r="E14" s="6"/>
      <c r="F14" s="6"/>
      <c r="G14" s="6"/>
      <c r="H14" s="6">
        <v>0.32</v>
      </c>
      <c r="I14" s="6"/>
      <c r="J14" s="6"/>
      <c r="K14" s="6">
        <v>0.32</v>
      </c>
      <c r="L14" s="6">
        <v>0.32</v>
      </c>
    </row>
    <row r="15" spans="1:12" x14ac:dyDescent="0.2">
      <c r="A15" s="5" t="s">
        <v>591</v>
      </c>
      <c r="B15" s="6"/>
      <c r="C15" s="6"/>
      <c r="D15" s="6">
        <v>12</v>
      </c>
      <c r="E15" s="6">
        <v>2</v>
      </c>
      <c r="F15" s="6">
        <v>3.12</v>
      </c>
      <c r="G15" s="6">
        <v>1.19</v>
      </c>
      <c r="H15" s="6">
        <v>10</v>
      </c>
      <c r="I15" s="6">
        <v>8</v>
      </c>
      <c r="J15" s="6"/>
      <c r="K15" s="6">
        <v>36.31</v>
      </c>
      <c r="L15" s="6">
        <v>36.31</v>
      </c>
    </row>
    <row r="16" spans="1:12" x14ac:dyDescent="0.2">
      <c r="A16" s="22" t="s">
        <v>106</v>
      </c>
      <c r="B16" s="6"/>
      <c r="C16" s="6"/>
      <c r="D16" s="6">
        <v>12</v>
      </c>
      <c r="E16" s="6">
        <v>2</v>
      </c>
      <c r="F16" s="6">
        <v>3.12</v>
      </c>
      <c r="G16" s="6">
        <v>1.19</v>
      </c>
      <c r="H16" s="6">
        <v>10</v>
      </c>
      <c r="I16" s="6">
        <v>8</v>
      </c>
      <c r="J16" s="6"/>
      <c r="K16" s="6">
        <v>36.31</v>
      </c>
      <c r="L16" s="6">
        <v>36.31</v>
      </c>
    </row>
    <row r="17" spans="1:12" x14ac:dyDescent="0.2">
      <c r="A17" s="5" t="s">
        <v>587</v>
      </c>
      <c r="B17" s="6"/>
      <c r="C17" s="6"/>
      <c r="D17" s="6">
        <v>17</v>
      </c>
      <c r="E17" s="6">
        <v>2</v>
      </c>
      <c r="F17" s="6">
        <v>0.21000000000000002</v>
      </c>
      <c r="G17" s="6">
        <v>2.35</v>
      </c>
      <c r="H17" s="6">
        <v>11.67</v>
      </c>
      <c r="I17" s="6">
        <v>12</v>
      </c>
      <c r="J17" s="6">
        <v>3.17</v>
      </c>
      <c r="K17" s="6">
        <v>48.400000000000006</v>
      </c>
      <c r="L17" s="6">
        <v>48.400000000000006</v>
      </c>
    </row>
    <row r="18" spans="1:12" x14ac:dyDescent="0.2">
      <c r="A18" s="22" t="s">
        <v>94</v>
      </c>
      <c r="B18" s="6"/>
      <c r="C18" s="6"/>
      <c r="D18" s="6">
        <v>17</v>
      </c>
      <c r="E18" s="6">
        <v>2</v>
      </c>
      <c r="F18" s="6">
        <v>0.21000000000000002</v>
      </c>
      <c r="G18" s="6">
        <v>2.35</v>
      </c>
      <c r="H18" s="6">
        <v>11.67</v>
      </c>
      <c r="I18" s="6">
        <v>12</v>
      </c>
      <c r="J18" s="6">
        <v>3.17</v>
      </c>
      <c r="K18" s="6">
        <v>48.400000000000006</v>
      </c>
      <c r="L18" s="6">
        <v>48.400000000000006</v>
      </c>
    </row>
    <row r="19" spans="1:12" x14ac:dyDescent="0.2">
      <c r="A19" s="5" t="s">
        <v>589</v>
      </c>
      <c r="B19" s="6"/>
      <c r="C19" s="6"/>
      <c r="D19" s="6">
        <v>88</v>
      </c>
      <c r="E19" s="6">
        <v>32</v>
      </c>
      <c r="F19" s="6">
        <v>64.13</v>
      </c>
      <c r="G19" s="6">
        <v>61.05</v>
      </c>
      <c r="H19" s="6">
        <v>58.31</v>
      </c>
      <c r="I19" s="6">
        <v>36.08</v>
      </c>
      <c r="J19" s="6">
        <v>112</v>
      </c>
      <c r="K19" s="6">
        <v>451.57000000000005</v>
      </c>
      <c r="L19" s="6">
        <v>451.57000000000005</v>
      </c>
    </row>
    <row r="20" spans="1:12" x14ac:dyDescent="0.2">
      <c r="A20" s="22" t="s">
        <v>98</v>
      </c>
      <c r="B20" s="6"/>
      <c r="C20" s="6"/>
      <c r="D20" s="6">
        <v>48</v>
      </c>
      <c r="E20" s="6">
        <v>19</v>
      </c>
      <c r="F20" s="6">
        <v>46.099999999999994</v>
      </c>
      <c r="G20" s="6">
        <v>19.02</v>
      </c>
      <c r="H20" s="6">
        <v>22.34</v>
      </c>
      <c r="I20" s="6">
        <v>23.08</v>
      </c>
      <c r="J20" s="6">
        <v>19</v>
      </c>
      <c r="K20" s="6">
        <v>196.54000000000002</v>
      </c>
      <c r="L20" s="6">
        <v>196.54000000000002</v>
      </c>
    </row>
    <row r="21" spans="1:12" x14ac:dyDescent="0.2">
      <c r="A21" s="22" t="s">
        <v>105</v>
      </c>
      <c r="B21" s="6"/>
      <c r="C21" s="6"/>
      <c r="D21" s="6">
        <v>40</v>
      </c>
      <c r="E21" s="6">
        <v>13</v>
      </c>
      <c r="F21" s="6">
        <v>18.03</v>
      </c>
      <c r="G21" s="6">
        <v>42.03</v>
      </c>
      <c r="H21" s="6">
        <v>35.97</v>
      </c>
      <c r="I21" s="6">
        <v>13</v>
      </c>
      <c r="J21" s="6">
        <v>93</v>
      </c>
      <c r="K21" s="6">
        <v>255.03</v>
      </c>
      <c r="L21" s="6">
        <v>255.03</v>
      </c>
    </row>
    <row r="22" spans="1:12" x14ac:dyDescent="0.2">
      <c r="A22" s="5" t="s">
        <v>588</v>
      </c>
      <c r="B22" s="6"/>
      <c r="C22" s="6"/>
      <c r="D22" s="6">
        <v>19</v>
      </c>
      <c r="E22" s="6">
        <v>12</v>
      </c>
      <c r="F22" s="6">
        <v>2.12</v>
      </c>
      <c r="G22" s="6">
        <v>1.52</v>
      </c>
      <c r="H22" s="6">
        <v>16.43</v>
      </c>
      <c r="I22" s="6">
        <v>14</v>
      </c>
      <c r="J22" s="6">
        <v>7.17</v>
      </c>
      <c r="K22" s="6">
        <v>72.239999999999995</v>
      </c>
      <c r="L22" s="6">
        <v>72.239999999999995</v>
      </c>
    </row>
    <row r="23" spans="1:12" x14ac:dyDescent="0.2">
      <c r="A23" s="22" t="s">
        <v>95</v>
      </c>
      <c r="B23" s="6"/>
      <c r="C23" s="6"/>
      <c r="D23" s="6">
        <v>19</v>
      </c>
      <c r="E23" s="6">
        <v>12</v>
      </c>
      <c r="F23" s="6">
        <v>2.12</v>
      </c>
      <c r="G23" s="6">
        <v>1.52</v>
      </c>
      <c r="H23" s="6">
        <v>16.43</v>
      </c>
      <c r="I23" s="6">
        <v>14</v>
      </c>
      <c r="J23" s="6">
        <v>7.17</v>
      </c>
      <c r="K23" s="6">
        <v>72.239999999999995</v>
      </c>
      <c r="L23" s="6">
        <v>72.239999999999995</v>
      </c>
    </row>
    <row r="24" spans="1:12" x14ac:dyDescent="0.2">
      <c r="A24" s="5" t="s">
        <v>575</v>
      </c>
      <c r="B24" s="6"/>
      <c r="C24" s="6">
        <v>13</v>
      </c>
      <c r="D24" s="6">
        <v>55.05</v>
      </c>
      <c r="E24" s="6">
        <v>29</v>
      </c>
      <c r="F24" s="6">
        <v>140.6</v>
      </c>
      <c r="G24" s="6">
        <v>5.05</v>
      </c>
      <c r="H24" s="6">
        <v>0</v>
      </c>
      <c r="I24" s="6">
        <v>107</v>
      </c>
      <c r="J24" s="6">
        <v>120.1</v>
      </c>
      <c r="K24" s="6">
        <v>469.79999999999995</v>
      </c>
      <c r="L24" s="6">
        <v>469.79999999999995</v>
      </c>
    </row>
    <row r="25" spans="1:12" x14ac:dyDescent="0.2">
      <c r="A25" s="22" t="s">
        <v>55</v>
      </c>
      <c r="B25" s="6"/>
      <c r="C25" s="6">
        <v>13</v>
      </c>
      <c r="D25" s="6">
        <v>55.05</v>
      </c>
      <c r="E25" s="6">
        <v>29</v>
      </c>
      <c r="F25" s="6">
        <v>140.6</v>
      </c>
      <c r="G25" s="6">
        <v>5.05</v>
      </c>
      <c r="H25" s="6">
        <v>0</v>
      </c>
      <c r="I25" s="6">
        <v>107</v>
      </c>
      <c r="J25" s="6">
        <v>120.1</v>
      </c>
      <c r="K25" s="6">
        <v>469.79999999999995</v>
      </c>
      <c r="L25" s="6">
        <v>469.79999999999995</v>
      </c>
    </row>
    <row r="26" spans="1:12" x14ac:dyDescent="0.2">
      <c r="A26" s="5" t="s">
        <v>585</v>
      </c>
      <c r="B26" s="6"/>
      <c r="C26" s="6">
        <v>2</v>
      </c>
      <c r="D26" s="6">
        <v>16</v>
      </c>
      <c r="E26" s="6">
        <v>2</v>
      </c>
      <c r="F26" s="6">
        <v>1</v>
      </c>
      <c r="G26" s="6">
        <v>9</v>
      </c>
      <c r="H26" s="6">
        <v>3.7</v>
      </c>
      <c r="I26" s="6">
        <v>-1</v>
      </c>
      <c r="J26" s="6"/>
      <c r="K26" s="6">
        <v>32.700000000000003</v>
      </c>
      <c r="L26" s="6">
        <v>32.700000000000003</v>
      </c>
    </row>
    <row r="27" spans="1:12" x14ac:dyDescent="0.2">
      <c r="A27" s="22" t="s">
        <v>73</v>
      </c>
      <c r="B27" s="6"/>
      <c r="C27" s="6">
        <v>2</v>
      </c>
      <c r="D27" s="6">
        <v>9</v>
      </c>
      <c r="E27" s="6"/>
      <c r="F27" s="6"/>
      <c r="G27" s="6"/>
      <c r="H27" s="6"/>
      <c r="I27" s="6"/>
      <c r="J27" s="6"/>
      <c r="K27" s="6">
        <v>11</v>
      </c>
      <c r="L27" s="6">
        <v>11</v>
      </c>
    </row>
    <row r="28" spans="1:12" x14ac:dyDescent="0.2">
      <c r="A28" s="22" t="s">
        <v>180</v>
      </c>
      <c r="B28" s="6"/>
      <c r="C28" s="6"/>
      <c r="D28" s="6">
        <v>7</v>
      </c>
      <c r="E28" s="6">
        <v>2</v>
      </c>
      <c r="F28" s="6">
        <v>1</v>
      </c>
      <c r="G28" s="6">
        <v>9</v>
      </c>
      <c r="H28" s="6">
        <v>3.7</v>
      </c>
      <c r="I28" s="6">
        <v>-1</v>
      </c>
      <c r="J28" s="6"/>
      <c r="K28" s="6">
        <v>21.7</v>
      </c>
      <c r="L28" s="6">
        <v>21.7</v>
      </c>
    </row>
    <row r="29" spans="1:12" x14ac:dyDescent="0.2">
      <c r="A29" s="5" t="s">
        <v>586</v>
      </c>
      <c r="B29" s="6"/>
      <c r="C29" s="6">
        <v>2</v>
      </c>
      <c r="D29" s="6">
        <v>39</v>
      </c>
      <c r="E29" s="6">
        <v>18</v>
      </c>
      <c r="F29" s="6">
        <v>1</v>
      </c>
      <c r="G29" s="6">
        <v>66</v>
      </c>
      <c r="H29" s="6">
        <v>13.05</v>
      </c>
      <c r="I29" s="6">
        <v>0.19999999999999996</v>
      </c>
      <c r="J29" s="6">
        <v>2.2000000000000002</v>
      </c>
      <c r="K29" s="6">
        <v>141.44999999999999</v>
      </c>
      <c r="L29" s="6">
        <v>141.44999999999999</v>
      </c>
    </row>
    <row r="30" spans="1:12" x14ac:dyDescent="0.2">
      <c r="A30" s="22" t="s">
        <v>76</v>
      </c>
      <c r="B30" s="6"/>
      <c r="C30" s="6">
        <v>1</v>
      </c>
      <c r="D30" s="6">
        <v>9</v>
      </c>
      <c r="E30" s="6">
        <v>7</v>
      </c>
      <c r="F30" s="6">
        <v>1</v>
      </c>
      <c r="G30" s="6">
        <v>12</v>
      </c>
      <c r="H30" s="6">
        <v>5</v>
      </c>
      <c r="I30" s="6"/>
      <c r="J30" s="6"/>
      <c r="K30" s="6">
        <v>35</v>
      </c>
      <c r="L30" s="6">
        <v>35</v>
      </c>
    </row>
    <row r="31" spans="1:12" x14ac:dyDescent="0.2">
      <c r="A31" s="22" t="s">
        <v>78</v>
      </c>
      <c r="B31" s="6"/>
      <c r="C31" s="6">
        <v>1</v>
      </c>
      <c r="D31" s="6">
        <v>14</v>
      </c>
      <c r="E31" s="6">
        <v>7</v>
      </c>
      <c r="F31" s="6"/>
      <c r="G31" s="6">
        <v>25</v>
      </c>
      <c r="H31" s="6">
        <v>-0.95</v>
      </c>
      <c r="I31" s="6">
        <v>-0.8</v>
      </c>
      <c r="J31" s="6"/>
      <c r="K31" s="6">
        <v>45.25</v>
      </c>
      <c r="L31" s="6">
        <v>45.25</v>
      </c>
    </row>
    <row r="32" spans="1:12" x14ac:dyDescent="0.2">
      <c r="A32" s="22" t="s">
        <v>103</v>
      </c>
      <c r="B32" s="6"/>
      <c r="C32" s="6"/>
      <c r="D32" s="6">
        <v>10</v>
      </c>
      <c r="E32" s="6"/>
      <c r="F32" s="6"/>
      <c r="G32" s="6">
        <v>18</v>
      </c>
      <c r="H32" s="6">
        <v>5</v>
      </c>
      <c r="I32" s="6">
        <v>1</v>
      </c>
      <c r="J32" s="6">
        <v>2.2000000000000002</v>
      </c>
      <c r="K32" s="6">
        <v>36.200000000000003</v>
      </c>
      <c r="L32" s="6">
        <v>36.200000000000003</v>
      </c>
    </row>
    <row r="33" spans="1:12" x14ac:dyDescent="0.2">
      <c r="A33" s="22" t="s">
        <v>114</v>
      </c>
      <c r="B33" s="6"/>
      <c r="C33" s="6"/>
      <c r="D33" s="6">
        <v>6</v>
      </c>
      <c r="E33" s="6">
        <v>4</v>
      </c>
      <c r="F33" s="6"/>
      <c r="G33" s="6">
        <v>11</v>
      </c>
      <c r="H33" s="6">
        <v>4</v>
      </c>
      <c r="I33" s="6"/>
      <c r="J33" s="6"/>
      <c r="K33" s="6">
        <v>25</v>
      </c>
      <c r="L33" s="6">
        <v>25</v>
      </c>
    </row>
    <row r="34" spans="1:12" x14ac:dyDescent="0.2">
      <c r="A34" s="5" t="s">
        <v>574</v>
      </c>
      <c r="B34" s="6">
        <v>30</v>
      </c>
      <c r="C34" s="6"/>
      <c r="D34" s="6">
        <v>690</v>
      </c>
      <c r="E34" s="6">
        <v>535</v>
      </c>
      <c r="F34" s="6">
        <v>2.12</v>
      </c>
      <c r="G34" s="6">
        <v>159.24</v>
      </c>
      <c r="H34" s="6">
        <v>50</v>
      </c>
      <c r="I34" s="6">
        <v>39.56</v>
      </c>
      <c r="J34" s="6">
        <v>388.87999999999994</v>
      </c>
      <c r="K34" s="6">
        <v>1894.7999999999997</v>
      </c>
      <c r="L34" s="6">
        <v>1894.7999999999997</v>
      </c>
    </row>
    <row r="35" spans="1:12" x14ac:dyDescent="0.2">
      <c r="A35" s="22" t="s">
        <v>52</v>
      </c>
      <c r="B35" s="6">
        <v>30</v>
      </c>
      <c r="C35" s="6"/>
      <c r="D35" s="6">
        <v>25</v>
      </c>
      <c r="E35" s="6">
        <v>100</v>
      </c>
      <c r="F35" s="6">
        <v>0.28000000000000003</v>
      </c>
      <c r="G35" s="6">
        <v>26.06</v>
      </c>
      <c r="H35" s="6">
        <v>10</v>
      </c>
      <c r="I35" s="6">
        <v>1</v>
      </c>
      <c r="J35" s="6">
        <v>31</v>
      </c>
      <c r="K35" s="6">
        <v>223.34</v>
      </c>
      <c r="L35" s="6">
        <v>223.34</v>
      </c>
    </row>
    <row r="36" spans="1:12" x14ac:dyDescent="0.2">
      <c r="A36" s="22" t="s">
        <v>84</v>
      </c>
      <c r="B36" s="6"/>
      <c r="C36" s="6"/>
      <c r="D36" s="6">
        <v>600</v>
      </c>
      <c r="E36" s="6">
        <v>350</v>
      </c>
      <c r="F36" s="6">
        <v>0.28000000000000003</v>
      </c>
      <c r="G36" s="6">
        <v>112.06</v>
      </c>
      <c r="H36" s="6">
        <v>6</v>
      </c>
      <c r="I36" s="6">
        <v>36.28</v>
      </c>
      <c r="J36" s="6">
        <v>310.83</v>
      </c>
      <c r="K36" s="6">
        <v>1415.4499999999998</v>
      </c>
      <c r="L36" s="6">
        <v>1415.4499999999998</v>
      </c>
    </row>
    <row r="37" spans="1:12" x14ac:dyDescent="0.2">
      <c r="A37" s="22" t="s">
        <v>85</v>
      </c>
      <c r="B37" s="6"/>
      <c r="C37" s="6"/>
      <c r="D37" s="6">
        <v>25</v>
      </c>
      <c r="E37" s="6">
        <v>25</v>
      </c>
      <c r="F37" s="6">
        <v>0.28000000000000003</v>
      </c>
      <c r="G37" s="6">
        <v>6.06</v>
      </c>
      <c r="H37" s="6">
        <v>3</v>
      </c>
      <c r="I37" s="6">
        <v>1</v>
      </c>
      <c r="J37" s="6">
        <v>16.22</v>
      </c>
      <c r="K37" s="6">
        <v>76.56</v>
      </c>
      <c r="L37" s="6">
        <v>76.56</v>
      </c>
    </row>
    <row r="38" spans="1:12" x14ac:dyDescent="0.2">
      <c r="A38" s="22" t="s">
        <v>86</v>
      </c>
      <c r="B38" s="6"/>
      <c r="C38" s="6"/>
      <c r="D38" s="6">
        <v>40</v>
      </c>
      <c r="E38" s="6">
        <v>60</v>
      </c>
      <c r="F38" s="6">
        <v>1.28</v>
      </c>
      <c r="G38" s="6">
        <v>15.06</v>
      </c>
      <c r="H38" s="6">
        <v>31</v>
      </c>
      <c r="I38" s="6">
        <v>1.28</v>
      </c>
      <c r="J38" s="6">
        <v>30.83</v>
      </c>
      <c r="K38" s="6">
        <v>179.45</v>
      </c>
      <c r="L38" s="6">
        <v>179.45</v>
      </c>
    </row>
    <row r="39" spans="1:12" x14ac:dyDescent="0.2">
      <c r="A39" s="5" t="s">
        <v>578</v>
      </c>
      <c r="B39" s="6"/>
      <c r="C39" s="6">
        <v>51.21</v>
      </c>
      <c r="D39" s="6">
        <v>142.5</v>
      </c>
      <c r="E39" s="6">
        <v>-1</v>
      </c>
      <c r="F39" s="6">
        <v>0</v>
      </c>
      <c r="G39" s="6"/>
      <c r="H39" s="6">
        <v>-6.21</v>
      </c>
      <c r="I39" s="6">
        <v>0</v>
      </c>
      <c r="J39" s="6">
        <v>-5.49</v>
      </c>
      <c r="K39" s="6">
        <v>181.01</v>
      </c>
      <c r="L39" s="6">
        <v>181.01</v>
      </c>
    </row>
    <row r="40" spans="1:12" x14ac:dyDescent="0.2">
      <c r="A40" s="22" t="s">
        <v>59</v>
      </c>
      <c r="B40" s="6"/>
      <c r="C40" s="6">
        <v>17.07</v>
      </c>
      <c r="D40" s="6">
        <v>40.5</v>
      </c>
      <c r="E40" s="6">
        <v>-1</v>
      </c>
      <c r="F40" s="6">
        <v>0</v>
      </c>
      <c r="G40" s="6"/>
      <c r="H40" s="6">
        <v>-1.45</v>
      </c>
      <c r="I40" s="6">
        <v>0</v>
      </c>
      <c r="J40" s="6">
        <v>-1.83</v>
      </c>
      <c r="K40" s="6">
        <v>53.29</v>
      </c>
      <c r="L40" s="6">
        <v>53.29</v>
      </c>
    </row>
    <row r="41" spans="1:12" x14ac:dyDescent="0.2">
      <c r="A41" s="22" t="s">
        <v>60</v>
      </c>
      <c r="B41" s="6"/>
      <c r="C41" s="6">
        <v>17.07</v>
      </c>
      <c r="D41" s="6">
        <v>52.5</v>
      </c>
      <c r="E41" s="6"/>
      <c r="F41" s="6">
        <v>0</v>
      </c>
      <c r="G41" s="6"/>
      <c r="H41" s="6">
        <v>-2</v>
      </c>
      <c r="I41" s="6">
        <v>0</v>
      </c>
      <c r="J41" s="6">
        <v>-1.83</v>
      </c>
      <c r="K41" s="6">
        <v>65.739999999999995</v>
      </c>
      <c r="L41" s="6">
        <v>65.739999999999995</v>
      </c>
    </row>
    <row r="42" spans="1:12" x14ac:dyDescent="0.2">
      <c r="A42" s="22" t="s">
        <v>62</v>
      </c>
      <c r="B42" s="6"/>
      <c r="C42" s="6">
        <v>17.07</v>
      </c>
      <c r="D42" s="6">
        <v>49.5</v>
      </c>
      <c r="E42" s="6"/>
      <c r="F42" s="6">
        <v>0</v>
      </c>
      <c r="G42" s="6"/>
      <c r="H42" s="6">
        <v>-2.76</v>
      </c>
      <c r="I42" s="6">
        <v>0</v>
      </c>
      <c r="J42" s="6">
        <v>-1.83</v>
      </c>
      <c r="K42" s="6">
        <v>61.98</v>
      </c>
      <c r="L42" s="6">
        <v>61.98</v>
      </c>
    </row>
    <row r="43" spans="1:12" x14ac:dyDescent="0.2">
      <c r="A43" s="5" t="s">
        <v>581</v>
      </c>
      <c r="B43" s="6"/>
      <c r="C43" s="6">
        <v>3</v>
      </c>
      <c r="D43" s="6">
        <v>186</v>
      </c>
      <c r="E43" s="6">
        <v>53</v>
      </c>
      <c r="F43" s="6">
        <v>144.57</v>
      </c>
      <c r="G43" s="6">
        <v>154.80000000000001</v>
      </c>
      <c r="H43" s="6">
        <v>110.07999999999998</v>
      </c>
      <c r="I43" s="6">
        <v>122.42</v>
      </c>
      <c r="J43" s="6">
        <v>217.21999999999997</v>
      </c>
      <c r="K43" s="6">
        <v>991.08999999999992</v>
      </c>
      <c r="L43" s="6">
        <v>991.08999999999992</v>
      </c>
    </row>
    <row r="44" spans="1:12" x14ac:dyDescent="0.2">
      <c r="A44" s="22" t="s">
        <v>66</v>
      </c>
      <c r="B44" s="6"/>
      <c r="C44" s="6">
        <v>3</v>
      </c>
      <c r="D44" s="6">
        <v>33</v>
      </c>
      <c r="E44" s="6">
        <v>17</v>
      </c>
      <c r="F44" s="6">
        <v>9</v>
      </c>
      <c r="G44" s="6">
        <v>42.96</v>
      </c>
      <c r="H44" s="6">
        <v>7.71</v>
      </c>
      <c r="I44" s="6">
        <v>0.42</v>
      </c>
      <c r="J44" s="6">
        <v>25</v>
      </c>
      <c r="K44" s="6">
        <v>138.09</v>
      </c>
      <c r="L44" s="6">
        <v>138.09</v>
      </c>
    </row>
    <row r="45" spans="1:12" x14ac:dyDescent="0.2">
      <c r="A45" s="22" t="s">
        <v>96</v>
      </c>
      <c r="B45" s="6"/>
      <c r="C45" s="6"/>
      <c r="D45" s="6">
        <v>45</v>
      </c>
      <c r="E45" s="6">
        <v>18</v>
      </c>
      <c r="F45" s="6">
        <v>86.03</v>
      </c>
      <c r="G45" s="6">
        <v>78.53</v>
      </c>
      <c r="H45" s="6">
        <v>63</v>
      </c>
      <c r="I45" s="6">
        <v>53</v>
      </c>
      <c r="J45" s="6">
        <v>66</v>
      </c>
      <c r="K45" s="6">
        <v>409.56</v>
      </c>
      <c r="L45" s="6">
        <v>409.56</v>
      </c>
    </row>
    <row r="46" spans="1:12" x14ac:dyDescent="0.2">
      <c r="A46" s="22" t="s">
        <v>97</v>
      </c>
      <c r="B46" s="6"/>
      <c r="C46" s="6"/>
      <c r="D46" s="6">
        <v>38</v>
      </c>
      <c r="E46" s="6">
        <v>8</v>
      </c>
      <c r="F46" s="6">
        <v>3.13</v>
      </c>
      <c r="G46" s="6">
        <v>24.78</v>
      </c>
      <c r="H46" s="6">
        <v>24</v>
      </c>
      <c r="I46" s="6">
        <v>24</v>
      </c>
      <c r="J46" s="6">
        <v>60</v>
      </c>
      <c r="K46" s="6">
        <v>181.91</v>
      </c>
      <c r="L46" s="6">
        <v>181.91</v>
      </c>
    </row>
    <row r="47" spans="1:12" x14ac:dyDescent="0.2">
      <c r="A47" s="22" t="s">
        <v>104</v>
      </c>
      <c r="B47" s="6"/>
      <c r="C47" s="6"/>
      <c r="D47" s="6">
        <v>48</v>
      </c>
      <c r="E47" s="6">
        <v>8</v>
      </c>
      <c r="F47" s="6">
        <v>43.410000000000004</v>
      </c>
      <c r="G47" s="6">
        <v>0.53</v>
      </c>
      <c r="H47" s="6">
        <v>0.08</v>
      </c>
      <c r="I47" s="6">
        <v>25</v>
      </c>
      <c r="J47" s="6">
        <v>62.08</v>
      </c>
      <c r="K47" s="6">
        <v>187.1</v>
      </c>
      <c r="L47" s="6">
        <v>187.1</v>
      </c>
    </row>
    <row r="48" spans="1:12" x14ac:dyDescent="0.2">
      <c r="A48" s="22" t="s">
        <v>125</v>
      </c>
      <c r="B48" s="6"/>
      <c r="C48" s="6"/>
      <c r="D48" s="6">
        <v>22</v>
      </c>
      <c r="E48" s="6">
        <v>2</v>
      </c>
      <c r="F48" s="6">
        <v>3</v>
      </c>
      <c r="G48" s="6">
        <v>8</v>
      </c>
      <c r="H48" s="6">
        <v>15.29</v>
      </c>
      <c r="I48" s="6">
        <v>20</v>
      </c>
      <c r="J48" s="6">
        <v>4.1400000000000006</v>
      </c>
      <c r="K48" s="6">
        <v>74.429999999999993</v>
      </c>
      <c r="L48" s="6">
        <v>74.429999999999993</v>
      </c>
    </row>
    <row r="49" spans="1:12" x14ac:dyDescent="0.2">
      <c r="A49" s="5" t="s">
        <v>573</v>
      </c>
      <c r="B49" s="6">
        <v>11</v>
      </c>
      <c r="C49" s="6">
        <v>10.4</v>
      </c>
      <c r="D49" s="6">
        <v>140</v>
      </c>
      <c r="E49" s="6">
        <v>46</v>
      </c>
      <c r="F49" s="6">
        <v>56.539999999999992</v>
      </c>
      <c r="G49" s="6">
        <v>104.6</v>
      </c>
      <c r="H49" s="6">
        <v>81.33</v>
      </c>
      <c r="I49" s="6">
        <v>41.75</v>
      </c>
      <c r="J49" s="6">
        <v>40.83</v>
      </c>
      <c r="K49" s="6">
        <v>532.45000000000005</v>
      </c>
      <c r="L49" s="6">
        <v>532.45000000000005</v>
      </c>
    </row>
    <row r="50" spans="1:12" x14ac:dyDescent="0.2">
      <c r="A50" s="22" t="s">
        <v>47</v>
      </c>
      <c r="B50" s="6">
        <v>10</v>
      </c>
      <c r="C50" s="6">
        <v>3</v>
      </c>
      <c r="D50" s="6">
        <v>21</v>
      </c>
      <c r="E50" s="6">
        <v>8</v>
      </c>
      <c r="F50" s="6">
        <v>1.03</v>
      </c>
      <c r="G50" s="6">
        <v>9</v>
      </c>
      <c r="H50" s="6">
        <v>-0.92999999999999994</v>
      </c>
      <c r="I50" s="6"/>
      <c r="J50" s="6">
        <v>-0.03</v>
      </c>
      <c r="K50" s="6">
        <v>51.07</v>
      </c>
      <c r="L50" s="6">
        <v>51.07</v>
      </c>
    </row>
    <row r="51" spans="1:12" x14ac:dyDescent="0.2">
      <c r="A51" s="22" t="s">
        <v>49</v>
      </c>
      <c r="B51" s="6">
        <v>1</v>
      </c>
      <c r="C51" s="6">
        <v>7</v>
      </c>
      <c r="D51" s="6">
        <v>9</v>
      </c>
      <c r="E51" s="6"/>
      <c r="F51" s="6">
        <v>0.03</v>
      </c>
      <c r="G51" s="6"/>
      <c r="H51" s="6">
        <v>1.93</v>
      </c>
      <c r="I51" s="6"/>
      <c r="J51" s="6">
        <v>-0.38</v>
      </c>
      <c r="K51" s="6">
        <v>18.580000000000002</v>
      </c>
      <c r="L51" s="6">
        <v>18.580000000000002</v>
      </c>
    </row>
    <row r="52" spans="1:12" x14ac:dyDescent="0.2">
      <c r="A52" s="22" t="s">
        <v>58</v>
      </c>
      <c r="B52" s="6"/>
      <c r="C52" s="6">
        <v>0.4</v>
      </c>
      <c r="D52" s="6"/>
      <c r="E52" s="6"/>
      <c r="F52" s="6"/>
      <c r="G52" s="6"/>
      <c r="H52" s="6">
        <v>2.88</v>
      </c>
      <c r="I52" s="6"/>
      <c r="J52" s="6">
        <v>-0.03</v>
      </c>
      <c r="K52" s="6">
        <v>3.25</v>
      </c>
      <c r="L52" s="6">
        <v>3.25</v>
      </c>
    </row>
    <row r="53" spans="1:12" x14ac:dyDescent="0.2">
      <c r="A53" s="22" t="s">
        <v>111</v>
      </c>
      <c r="B53" s="6"/>
      <c r="C53" s="6"/>
      <c r="D53" s="6">
        <v>73</v>
      </c>
      <c r="E53" s="6">
        <v>29</v>
      </c>
      <c r="F53" s="6">
        <v>30.16</v>
      </c>
      <c r="G53" s="6">
        <v>50.54</v>
      </c>
      <c r="H53" s="6">
        <v>58.8</v>
      </c>
      <c r="I53" s="6">
        <v>15.1</v>
      </c>
      <c r="J53" s="6">
        <v>-0.13</v>
      </c>
      <c r="K53" s="6">
        <v>256.47000000000003</v>
      </c>
      <c r="L53" s="6">
        <v>256.47000000000003</v>
      </c>
    </row>
    <row r="54" spans="1:12" x14ac:dyDescent="0.2">
      <c r="A54" s="22" t="s">
        <v>136</v>
      </c>
      <c r="B54" s="6"/>
      <c r="C54" s="6"/>
      <c r="D54" s="6">
        <v>31</v>
      </c>
      <c r="E54" s="6">
        <v>9</v>
      </c>
      <c r="F54" s="6">
        <v>18.16</v>
      </c>
      <c r="G54" s="6">
        <v>31.53</v>
      </c>
      <c r="H54" s="6">
        <v>1.65</v>
      </c>
      <c r="I54" s="6">
        <v>25</v>
      </c>
      <c r="J54" s="6">
        <v>16.3</v>
      </c>
      <c r="K54" s="6">
        <v>132.64000000000001</v>
      </c>
      <c r="L54" s="6">
        <v>132.64000000000001</v>
      </c>
    </row>
    <row r="55" spans="1:12" x14ac:dyDescent="0.2">
      <c r="A55" s="22" t="s">
        <v>138</v>
      </c>
      <c r="B55" s="6"/>
      <c r="C55" s="6"/>
      <c r="D55" s="6">
        <v>6</v>
      </c>
      <c r="E55" s="6"/>
      <c r="F55" s="6">
        <v>7.1599999999999993</v>
      </c>
      <c r="G55" s="6">
        <v>13.53</v>
      </c>
      <c r="H55" s="6">
        <v>17</v>
      </c>
      <c r="I55" s="6">
        <v>1.65</v>
      </c>
      <c r="J55" s="6">
        <v>25.1</v>
      </c>
      <c r="K55" s="6">
        <v>70.44</v>
      </c>
      <c r="L55" s="6">
        <v>70.44</v>
      </c>
    </row>
    <row r="56" spans="1:12" x14ac:dyDescent="0.2">
      <c r="A56" s="5" t="s">
        <v>579</v>
      </c>
      <c r="B56" s="6"/>
      <c r="C56" s="6">
        <v>5</v>
      </c>
      <c r="D56" s="6">
        <v>137.05000000000001</v>
      </c>
      <c r="E56" s="6">
        <v>26.1</v>
      </c>
      <c r="F56" s="6">
        <v>40.299999999999997</v>
      </c>
      <c r="G56" s="6">
        <v>141.25</v>
      </c>
      <c r="H56" s="6">
        <v>68.900000000000006</v>
      </c>
      <c r="I56" s="6">
        <v>114.7</v>
      </c>
      <c r="J56" s="6">
        <v>-20.7</v>
      </c>
      <c r="K56" s="6">
        <v>512.6</v>
      </c>
      <c r="L56" s="6">
        <v>512.6</v>
      </c>
    </row>
    <row r="57" spans="1:12" x14ac:dyDescent="0.2">
      <c r="A57" s="22" t="s">
        <v>63</v>
      </c>
      <c r="B57" s="6"/>
      <c r="C57" s="6">
        <v>2</v>
      </c>
      <c r="D57" s="6"/>
      <c r="E57" s="6"/>
      <c r="F57" s="6"/>
      <c r="G57" s="6"/>
      <c r="H57" s="6">
        <v>0.75</v>
      </c>
      <c r="I57" s="6"/>
      <c r="J57" s="6">
        <v>-0.4</v>
      </c>
      <c r="K57" s="6">
        <v>2.35</v>
      </c>
      <c r="L57" s="6">
        <v>2.35</v>
      </c>
    </row>
    <row r="58" spans="1:12" x14ac:dyDescent="0.2">
      <c r="A58" s="22" t="s">
        <v>69</v>
      </c>
      <c r="B58" s="6"/>
      <c r="C58" s="6">
        <v>2</v>
      </c>
      <c r="D58" s="6">
        <v>0.05</v>
      </c>
      <c r="E58" s="6"/>
      <c r="F58" s="6">
        <v>0.05</v>
      </c>
      <c r="G58" s="6"/>
      <c r="H58" s="6">
        <v>2.6999999999999997</v>
      </c>
      <c r="I58" s="6"/>
      <c r="J58" s="6"/>
      <c r="K58" s="6">
        <v>4.7999999999999989</v>
      </c>
      <c r="L58" s="6">
        <v>4.7999999999999989</v>
      </c>
    </row>
    <row r="59" spans="1:12" x14ac:dyDescent="0.2">
      <c r="A59" s="22" t="s">
        <v>70</v>
      </c>
      <c r="B59" s="6"/>
      <c r="C59" s="6">
        <v>1</v>
      </c>
      <c r="D59" s="6">
        <v>10</v>
      </c>
      <c r="E59" s="6"/>
      <c r="F59" s="6"/>
      <c r="G59" s="6"/>
      <c r="H59" s="6">
        <v>0.45</v>
      </c>
      <c r="I59" s="6"/>
      <c r="J59" s="6"/>
      <c r="K59" s="6">
        <v>11.45</v>
      </c>
      <c r="L59" s="6">
        <v>11.45</v>
      </c>
    </row>
    <row r="60" spans="1:12" x14ac:dyDescent="0.2">
      <c r="A60" s="22" t="s">
        <v>90</v>
      </c>
      <c r="B60" s="6"/>
      <c r="C60" s="6"/>
      <c r="D60" s="6">
        <v>48</v>
      </c>
      <c r="E60" s="6">
        <v>5</v>
      </c>
      <c r="F60" s="6">
        <v>7.3</v>
      </c>
      <c r="G60" s="6">
        <v>56.6</v>
      </c>
      <c r="H60" s="6">
        <v>25.4</v>
      </c>
      <c r="I60" s="6">
        <v>18.399999999999999</v>
      </c>
      <c r="J60" s="6">
        <v>-10.75</v>
      </c>
      <c r="K60" s="6">
        <v>149.95000000000002</v>
      </c>
      <c r="L60" s="6">
        <v>149.95000000000002</v>
      </c>
    </row>
    <row r="61" spans="1:12" x14ac:dyDescent="0.2">
      <c r="A61" s="22" t="s">
        <v>91</v>
      </c>
      <c r="B61" s="6"/>
      <c r="C61" s="6"/>
      <c r="D61" s="6">
        <v>31</v>
      </c>
      <c r="E61" s="6">
        <v>4</v>
      </c>
      <c r="F61" s="6">
        <v>7.05</v>
      </c>
      <c r="G61" s="6">
        <v>49.05</v>
      </c>
      <c r="H61" s="6">
        <v>27</v>
      </c>
      <c r="I61" s="6">
        <v>20</v>
      </c>
      <c r="J61" s="6">
        <v>-20</v>
      </c>
      <c r="K61" s="6">
        <v>118.1</v>
      </c>
      <c r="L61" s="6">
        <v>118.1</v>
      </c>
    </row>
    <row r="62" spans="1:12" x14ac:dyDescent="0.2">
      <c r="A62" s="22" t="s">
        <v>92</v>
      </c>
      <c r="B62" s="6"/>
      <c r="C62" s="6"/>
      <c r="D62" s="6">
        <v>26</v>
      </c>
      <c r="E62" s="6">
        <v>10.1</v>
      </c>
      <c r="F62" s="6">
        <v>6.3</v>
      </c>
      <c r="G62" s="6">
        <v>7</v>
      </c>
      <c r="H62" s="6">
        <v>4.0999999999999996</v>
      </c>
      <c r="I62" s="6">
        <v>42</v>
      </c>
      <c r="J62" s="6">
        <v>8.3000000000000007</v>
      </c>
      <c r="K62" s="6">
        <v>103.8</v>
      </c>
      <c r="L62" s="6">
        <v>103.8</v>
      </c>
    </row>
    <row r="63" spans="1:12" x14ac:dyDescent="0.2">
      <c r="A63" s="22" t="s">
        <v>112</v>
      </c>
      <c r="B63" s="6"/>
      <c r="C63" s="6"/>
      <c r="D63" s="6">
        <v>20</v>
      </c>
      <c r="E63" s="6">
        <v>4</v>
      </c>
      <c r="F63" s="6">
        <v>9.3000000000000007</v>
      </c>
      <c r="G63" s="6">
        <v>10.050000000000001</v>
      </c>
      <c r="H63" s="6">
        <v>5</v>
      </c>
      <c r="I63" s="6">
        <v>22</v>
      </c>
      <c r="J63" s="6">
        <v>2.15</v>
      </c>
      <c r="K63" s="6">
        <v>72.5</v>
      </c>
      <c r="L63" s="6">
        <v>72.5</v>
      </c>
    </row>
    <row r="64" spans="1:12" x14ac:dyDescent="0.2">
      <c r="A64" s="22" t="s">
        <v>140</v>
      </c>
      <c r="B64" s="6"/>
      <c r="C64" s="6"/>
      <c r="D64" s="6">
        <v>2</v>
      </c>
      <c r="E64" s="6">
        <v>3</v>
      </c>
      <c r="F64" s="6">
        <v>10.3</v>
      </c>
      <c r="G64" s="6">
        <v>18.55</v>
      </c>
      <c r="H64" s="6">
        <v>2</v>
      </c>
      <c r="I64" s="6">
        <v>12.3</v>
      </c>
      <c r="J64" s="6">
        <v>0</v>
      </c>
      <c r="K64" s="6">
        <v>48.150000000000006</v>
      </c>
      <c r="L64" s="6">
        <v>48.150000000000006</v>
      </c>
    </row>
    <row r="65" spans="1:12" x14ac:dyDescent="0.2">
      <c r="A65" s="22" t="s">
        <v>419</v>
      </c>
      <c r="B65" s="6"/>
      <c r="C65" s="6"/>
      <c r="D65" s="6"/>
      <c r="E65" s="6"/>
      <c r="F65" s="6"/>
      <c r="G65" s="6"/>
      <c r="H65" s="6">
        <v>1.5</v>
      </c>
      <c r="I65" s="6"/>
      <c r="J65" s="6"/>
      <c r="K65" s="6">
        <v>1.5</v>
      </c>
      <c r="L65" s="6">
        <v>1.5</v>
      </c>
    </row>
    <row r="66" spans="1:12" x14ac:dyDescent="0.2">
      <c r="A66" s="5" t="s">
        <v>576</v>
      </c>
      <c r="B66" s="6"/>
      <c r="C66" s="6">
        <v>19.95</v>
      </c>
      <c r="D66" s="6">
        <v>138</v>
      </c>
      <c r="E66" s="6">
        <v>53</v>
      </c>
      <c r="F66" s="6">
        <v>75.3</v>
      </c>
      <c r="G66" s="6">
        <v>179.14999999999998</v>
      </c>
      <c r="H66" s="6">
        <v>102.6</v>
      </c>
      <c r="I66" s="6">
        <v>20.05</v>
      </c>
      <c r="J66" s="6">
        <v>14</v>
      </c>
      <c r="K66" s="6">
        <v>602.04999999999995</v>
      </c>
      <c r="L66" s="6">
        <v>602.04999999999995</v>
      </c>
    </row>
    <row r="67" spans="1:12" x14ac:dyDescent="0.2">
      <c r="A67" s="22" t="s">
        <v>56</v>
      </c>
      <c r="B67" s="6"/>
      <c r="C67" s="6">
        <v>4</v>
      </c>
      <c r="D67" s="6">
        <v>13</v>
      </c>
      <c r="E67" s="6"/>
      <c r="F67" s="6">
        <v>0.05</v>
      </c>
      <c r="G67" s="6"/>
      <c r="H67" s="6">
        <v>0.29999999999999982</v>
      </c>
      <c r="I67" s="6"/>
      <c r="J67" s="6">
        <v>-1.9999999999999998</v>
      </c>
      <c r="K67" s="6">
        <v>15.350000000000001</v>
      </c>
      <c r="L67" s="6">
        <v>15.350000000000001</v>
      </c>
    </row>
    <row r="68" spans="1:12" x14ac:dyDescent="0.2">
      <c r="A68" s="22" t="s">
        <v>61</v>
      </c>
      <c r="B68" s="6"/>
      <c r="C68" s="6">
        <v>12.95</v>
      </c>
      <c r="D68" s="6"/>
      <c r="E68" s="6"/>
      <c r="F68" s="6">
        <v>0.05</v>
      </c>
      <c r="G68" s="6"/>
      <c r="H68" s="6"/>
      <c r="I68" s="6"/>
      <c r="J68" s="6"/>
      <c r="K68" s="6">
        <v>13</v>
      </c>
      <c r="L68" s="6">
        <v>13</v>
      </c>
    </row>
    <row r="69" spans="1:12" x14ac:dyDescent="0.2">
      <c r="A69" s="22" t="s">
        <v>68</v>
      </c>
      <c r="B69" s="6"/>
      <c r="C69" s="6">
        <v>3</v>
      </c>
      <c r="D69" s="6">
        <v>8</v>
      </c>
      <c r="E69" s="6"/>
      <c r="F69" s="6">
        <v>0.05</v>
      </c>
      <c r="G69" s="6"/>
      <c r="H69" s="6">
        <v>9.9999999999999978E-2</v>
      </c>
      <c r="I69" s="6"/>
      <c r="J69" s="6"/>
      <c r="K69" s="6">
        <v>11.15</v>
      </c>
      <c r="L69" s="6">
        <v>11.15</v>
      </c>
    </row>
    <row r="70" spans="1:12" x14ac:dyDescent="0.2">
      <c r="A70" s="22" t="s">
        <v>110</v>
      </c>
      <c r="B70" s="6"/>
      <c r="C70" s="6"/>
      <c r="D70" s="6">
        <v>75</v>
      </c>
      <c r="E70" s="6">
        <v>29</v>
      </c>
      <c r="F70" s="6">
        <v>52.05</v>
      </c>
      <c r="G70" s="6">
        <v>94.05</v>
      </c>
      <c r="H70" s="6">
        <v>46.999999999999993</v>
      </c>
      <c r="I70" s="6">
        <v>2.15</v>
      </c>
      <c r="J70" s="6"/>
      <c r="K70" s="6">
        <v>299.25</v>
      </c>
      <c r="L70" s="6">
        <v>299.25</v>
      </c>
    </row>
    <row r="71" spans="1:12" x14ac:dyDescent="0.2">
      <c r="A71" s="22" t="s">
        <v>123</v>
      </c>
      <c r="B71" s="6"/>
      <c r="C71" s="6"/>
      <c r="D71" s="6">
        <v>17</v>
      </c>
      <c r="E71" s="6">
        <v>7</v>
      </c>
      <c r="F71" s="6">
        <v>7.05</v>
      </c>
      <c r="G71" s="6">
        <v>16.05</v>
      </c>
      <c r="H71" s="6">
        <v>2</v>
      </c>
      <c r="I71" s="6">
        <v>-0.1</v>
      </c>
      <c r="J71" s="6">
        <v>15</v>
      </c>
      <c r="K71" s="6">
        <v>64</v>
      </c>
      <c r="L71" s="6">
        <v>64</v>
      </c>
    </row>
    <row r="72" spans="1:12" x14ac:dyDescent="0.2">
      <c r="A72" s="22" t="s">
        <v>124</v>
      </c>
      <c r="B72" s="6"/>
      <c r="C72" s="6"/>
      <c r="D72" s="6">
        <v>25</v>
      </c>
      <c r="E72" s="6">
        <v>17</v>
      </c>
      <c r="F72" s="6">
        <v>16.05</v>
      </c>
      <c r="G72" s="6">
        <v>69.05</v>
      </c>
      <c r="H72" s="6">
        <v>53.2</v>
      </c>
      <c r="I72" s="6">
        <v>18</v>
      </c>
      <c r="J72" s="6">
        <v>1</v>
      </c>
      <c r="K72" s="6">
        <v>199.3</v>
      </c>
      <c r="L72" s="6">
        <v>199.3</v>
      </c>
    </row>
    <row r="73" spans="1:12" x14ac:dyDescent="0.2">
      <c r="A73" s="5" t="s">
        <v>593</v>
      </c>
      <c r="B73" s="6"/>
      <c r="C73" s="6"/>
      <c r="D73" s="6">
        <v>439</v>
      </c>
      <c r="E73" s="6">
        <v>98</v>
      </c>
      <c r="F73" s="6">
        <v>118</v>
      </c>
      <c r="G73" s="6">
        <v>347.25</v>
      </c>
      <c r="H73" s="6">
        <v>231</v>
      </c>
      <c r="I73" s="6">
        <v>145</v>
      </c>
      <c r="J73" s="6">
        <v>273</v>
      </c>
      <c r="K73" s="6">
        <v>1651.25</v>
      </c>
      <c r="L73" s="6">
        <v>1651.25</v>
      </c>
    </row>
    <row r="74" spans="1:12" x14ac:dyDescent="0.2">
      <c r="A74" s="22" t="s">
        <v>117</v>
      </c>
      <c r="B74" s="6"/>
      <c r="C74" s="6"/>
      <c r="D74" s="6">
        <v>439</v>
      </c>
      <c r="E74" s="6">
        <v>98</v>
      </c>
      <c r="F74" s="6">
        <v>118</v>
      </c>
      <c r="G74" s="6">
        <v>347.25</v>
      </c>
      <c r="H74" s="6">
        <v>231</v>
      </c>
      <c r="I74" s="6">
        <v>145</v>
      </c>
      <c r="J74" s="6">
        <v>273</v>
      </c>
      <c r="K74" s="6">
        <v>1651.25</v>
      </c>
      <c r="L74" s="6">
        <v>1651.25</v>
      </c>
    </row>
    <row r="75" spans="1:12" x14ac:dyDescent="0.2">
      <c r="A75" s="5" t="s">
        <v>583</v>
      </c>
      <c r="B75" s="6"/>
      <c r="C75" s="6">
        <v>4</v>
      </c>
      <c r="D75" s="6">
        <v>160</v>
      </c>
      <c r="E75" s="6">
        <v>35</v>
      </c>
      <c r="F75" s="6">
        <v>94.21</v>
      </c>
      <c r="G75" s="6">
        <v>71.14</v>
      </c>
      <c r="H75" s="6">
        <v>72.199999999999989</v>
      </c>
      <c r="I75" s="6">
        <v>67.73</v>
      </c>
      <c r="J75" s="6">
        <v>40</v>
      </c>
      <c r="K75" s="6">
        <v>544.28</v>
      </c>
      <c r="L75" s="6">
        <v>544.28</v>
      </c>
    </row>
    <row r="76" spans="1:12" x14ac:dyDescent="0.2">
      <c r="A76" s="22" t="s">
        <v>71</v>
      </c>
      <c r="B76" s="6"/>
      <c r="C76" s="6">
        <v>4</v>
      </c>
      <c r="D76" s="6">
        <v>18</v>
      </c>
      <c r="E76" s="6"/>
      <c r="F76" s="6">
        <v>7.0000000000000007E-2</v>
      </c>
      <c r="G76" s="6"/>
      <c r="H76" s="6"/>
      <c r="I76" s="6"/>
      <c r="J76" s="6"/>
      <c r="K76" s="6">
        <v>22.07</v>
      </c>
      <c r="L76" s="6">
        <v>22.07</v>
      </c>
    </row>
    <row r="77" spans="1:12" x14ac:dyDescent="0.2">
      <c r="A77" s="22" t="s">
        <v>109</v>
      </c>
      <c r="B77" s="6"/>
      <c r="C77" s="6"/>
      <c r="D77" s="6">
        <v>46</v>
      </c>
      <c r="E77" s="6">
        <v>11</v>
      </c>
      <c r="F77" s="6">
        <v>21.07</v>
      </c>
      <c r="G77" s="6">
        <v>14.07</v>
      </c>
      <c r="H77" s="6">
        <v>36.07</v>
      </c>
      <c r="I77" s="6">
        <v>26.8</v>
      </c>
      <c r="J77" s="6">
        <v>20</v>
      </c>
      <c r="K77" s="6">
        <v>175.01</v>
      </c>
      <c r="L77" s="6">
        <v>175.01</v>
      </c>
    </row>
    <row r="78" spans="1:12" x14ac:dyDescent="0.2">
      <c r="A78" s="22" t="s">
        <v>113</v>
      </c>
      <c r="B78" s="6"/>
      <c r="C78" s="6"/>
      <c r="D78" s="6">
        <v>96</v>
      </c>
      <c r="E78" s="6">
        <v>24</v>
      </c>
      <c r="F78" s="6">
        <v>73.069999999999993</v>
      </c>
      <c r="G78" s="6">
        <v>57.07</v>
      </c>
      <c r="H78" s="6">
        <v>36.129999999999995</v>
      </c>
      <c r="I78" s="6">
        <v>40.93</v>
      </c>
      <c r="J78" s="6">
        <v>20</v>
      </c>
      <c r="K78" s="6">
        <v>347.2</v>
      </c>
      <c r="L78" s="6">
        <v>347.2</v>
      </c>
    </row>
    <row r="79" spans="1:12" x14ac:dyDescent="0.2">
      <c r="A79" s="5" t="s">
        <v>577</v>
      </c>
      <c r="B79" s="6"/>
      <c r="C79" s="6">
        <v>6</v>
      </c>
      <c r="D79" s="6">
        <v>24</v>
      </c>
      <c r="E79" s="6">
        <v>5</v>
      </c>
      <c r="F79" s="6">
        <v>14.78</v>
      </c>
      <c r="G79" s="6">
        <v>0.01</v>
      </c>
      <c r="H79" s="6">
        <v>-4.333333333333333</v>
      </c>
      <c r="I79" s="6"/>
      <c r="J79" s="6">
        <v>-0.03</v>
      </c>
      <c r="K79" s="6">
        <v>45.426666666666662</v>
      </c>
      <c r="L79" s="6">
        <v>45.426666666666662</v>
      </c>
    </row>
    <row r="80" spans="1:12" x14ac:dyDescent="0.2">
      <c r="A80" s="22" t="s">
        <v>57</v>
      </c>
      <c r="B80" s="6"/>
      <c r="C80" s="6">
        <v>6</v>
      </c>
      <c r="D80" s="6">
        <v>24</v>
      </c>
      <c r="E80" s="6">
        <v>5</v>
      </c>
      <c r="F80" s="6">
        <v>14.78</v>
      </c>
      <c r="G80" s="6">
        <v>0.01</v>
      </c>
      <c r="H80" s="6">
        <v>-4.333333333333333</v>
      </c>
      <c r="I80" s="6"/>
      <c r="J80" s="6">
        <v>-0.03</v>
      </c>
      <c r="K80" s="6">
        <v>45.426666666666662</v>
      </c>
      <c r="L80" s="6">
        <v>45.426666666666662</v>
      </c>
    </row>
    <row r="81" spans="1:12" x14ac:dyDescent="0.2">
      <c r="A81" s="5" t="s">
        <v>590</v>
      </c>
      <c r="B81" s="6"/>
      <c r="C81" s="6"/>
      <c r="D81" s="6">
        <v>72</v>
      </c>
      <c r="E81" s="6">
        <v>47.6</v>
      </c>
      <c r="F81" s="6">
        <v>5.3999999999999995</v>
      </c>
      <c r="G81" s="6">
        <v>59.05</v>
      </c>
      <c r="H81" s="6">
        <v>44</v>
      </c>
      <c r="I81" s="6">
        <v>32.25</v>
      </c>
      <c r="J81" s="6">
        <v>30</v>
      </c>
      <c r="K81" s="6">
        <v>290.3</v>
      </c>
      <c r="L81" s="6">
        <v>290.3</v>
      </c>
    </row>
    <row r="82" spans="1:12" x14ac:dyDescent="0.2">
      <c r="A82" s="22" t="s">
        <v>102</v>
      </c>
      <c r="B82" s="6"/>
      <c r="C82" s="6"/>
      <c r="D82" s="6">
        <v>72</v>
      </c>
      <c r="E82" s="6">
        <v>47.6</v>
      </c>
      <c r="F82" s="6">
        <v>5.3999999999999995</v>
      </c>
      <c r="G82" s="6">
        <v>59.05</v>
      </c>
      <c r="H82" s="6">
        <v>44</v>
      </c>
      <c r="I82" s="6">
        <v>32.25</v>
      </c>
      <c r="J82" s="6">
        <v>30</v>
      </c>
      <c r="K82" s="6">
        <v>290.3</v>
      </c>
      <c r="L82" s="6">
        <v>290.3</v>
      </c>
    </row>
    <row r="83" spans="1:12" x14ac:dyDescent="0.2">
      <c r="A83" s="5" t="s">
        <v>582</v>
      </c>
      <c r="B83" s="6"/>
      <c r="C83" s="6">
        <v>2</v>
      </c>
      <c r="D83" s="6">
        <v>55</v>
      </c>
      <c r="E83" s="6">
        <v>32</v>
      </c>
      <c r="F83" s="6">
        <v>16.119999999999997</v>
      </c>
      <c r="G83" s="6">
        <v>61.04</v>
      </c>
      <c r="H83" s="6">
        <v>42.46</v>
      </c>
      <c r="I83" s="6">
        <v>18</v>
      </c>
      <c r="J83" s="6">
        <v>36.21</v>
      </c>
      <c r="K83" s="6">
        <v>262.83000000000004</v>
      </c>
      <c r="L83" s="6">
        <v>262.83000000000004</v>
      </c>
    </row>
    <row r="84" spans="1:12" x14ac:dyDescent="0.2">
      <c r="A84" s="22" t="s">
        <v>67</v>
      </c>
      <c r="B84" s="6"/>
      <c r="C84" s="6">
        <v>1</v>
      </c>
      <c r="D84" s="6">
        <v>1</v>
      </c>
      <c r="E84" s="6"/>
      <c r="F84" s="6">
        <v>0.04</v>
      </c>
      <c r="G84" s="6"/>
      <c r="H84" s="6"/>
      <c r="I84" s="6"/>
      <c r="J84" s="6"/>
      <c r="K84" s="6">
        <v>2.04</v>
      </c>
      <c r="L84" s="6">
        <v>2.04</v>
      </c>
    </row>
    <row r="85" spans="1:12" x14ac:dyDescent="0.2">
      <c r="A85" s="22" t="s">
        <v>77</v>
      </c>
      <c r="B85" s="6"/>
      <c r="C85" s="6">
        <v>1</v>
      </c>
      <c r="D85" s="6">
        <v>26</v>
      </c>
      <c r="E85" s="6">
        <v>10</v>
      </c>
      <c r="F85" s="6">
        <v>14.499999999999998</v>
      </c>
      <c r="G85" s="6">
        <v>29.46</v>
      </c>
      <c r="H85" s="6">
        <v>-2.96</v>
      </c>
      <c r="I85" s="6"/>
      <c r="J85" s="6">
        <v>29.21</v>
      </c>
      <c r="K85" s="6">
        <v>107.21000000000001</v>
      </c>
      <c r="L85" s="6">
        <v>107.21000000000001</v>
      </c>
    </row>
    <row r="86" spans="1:12" x14ac:dyDescent="0.2">
      <c r="A86" s="22" t="s">
        <v>101</v>
      </c>
      <c r="B86" s="6"/>
      <c r="C86" s="6"/>
      <c r="D86" s="6">
        <v>10</v>
      </c>
      <c r="E86" s="6">
        <v>6</v>
      </c>
      <c r="F86" s="6">
        <v>1.29</v>
      </c>
      <c r="G86" s="6">
        <v>2.29</v>
      </c>
      <c r="H86" s="6">
        <v>16</v>
      </c>
      <c r="I86" s="6">
        <v>1</v>
      </c>
      <c r="J86" s="6"/>
      <c r="K86" s="6">
        <v>36.58</v>
      </c>
      <c r="L86" s="6">
        <v>36.58</v>
      </c>
    </row>
    <row r="87" spans="1:12" x14ac:dyDescent="0.2">
      <c r="A87" s="22" t="s">
        <v>108</v>
      </c>
      <c r="B87" s="6"/>
      <c r="C87" s="6"/>
      <c r="D87" s="6">
        <v>18</v>
      </c>
      <c r="E87" s="6">
        <v>16</v>
      </c>
      <c r="F87" s="6">
        <v>0.28999999999999998</v>
      </c>
      <c r="G87" s="6">
        <v>29.29</v>
      </c>
      <c r="H87" s="6">
        <v>29.42</v>
      </c>
      <c r="I87" s="6">
        <v>17</v>
      </c>
      <c r="J87" s="6">
        <v>7</v>
      </c>
      <c r="K87" s="6">
        <v>117</v>
      </c>
      <c r="L87" s="6">
        <v>117</v>
      </c>
    </row>
    <row r="88" spans="1:12" x14ac:dyDescent="0.2">
      <c r="A88" s="5" t="s">
        <v>584</v>
      </c>
      <c r="B88" s="6"/>
      <c r="C88" s="6">
        <v>2</v>
      </c>
      <c r="D88" s="6">
        <v>86</v>
      </c>
      <c r="E88" s="6">
        <v>42</v>
      </c>
      <c r="F88" s="6">
        <v>13.869999999999997</v>
      </c>
      <c r="G88" s="6">
        <v>57.66</v>
      </c>
      <c r="H88" s="6">
        <v>64.33</v>
      </c>
      <c r="I88" s="6">
        <v>36.1</v>
      </c>
      <c r="J88" s="6">
        <v>48.02</v>
      </c>
      <c r="K88" s="6">
        <v>349.98</v>
      </c>
      <c r="L88" s="6">
        <v>349.98</v>
      </c>
    </row>
    <row r="89" spans="1:12" x14ac:dyDescent="0.2">
      <c r="A89" s="22" t="s">
        <v>72</v>
      </c>
      <c r="B89" s="6"/>
      <c r="C89" s="6">
        <v>2</v>
      </c>
      <c r="D89" s="6">
        <v>9</v>
      </c>
      <c r="E89" s="6"/>
      <c r="F89" s="6"/>
      <c r="G89" s="6"/>
      <c r="H89" s="6">
        <v>2.33</v>
      </c>
      <c r="I89" s="6"/>
      <c r="J89" s="6"/>
      <c r="K89" s="6">
        <v>13.33</v>
      </c>
      <c r="L89" s="6">
        <v>13.33</v>
      </c>
    </row>
    <row r="90" spans="1:12" x14ac:dyDescent="0.2">
      <c r="A90" s="22" t="s">
        <v>99</v>
      </c>
      <c r="B90" s="6"/>
      <c r="C90" s="6"/>
      <c r="D90" s="6">
        <v>32</v>
      </c>
      <c r="E90" s="6">
        <v>21</v>
      </c>
      <c r="F90" s="6">
        <v>5.2799999999999994</v>
      </c>
      <c r="G90" s="6">
        <v>35.68</v>
      </c>
      <c r="H90" s="6">
        <v>27.5</v>
      </c>
      <c r="I90" s="6">
        <v>22.97</v>
      </c>
      <c r="J90" s="6">
        <v>27</v>
      </c>
      <c r="K90" s="6">
        <v>171.43</v>
      </c>
      <c r="L90" s="6">
        <v>171.43</v>
      </c>
    </row>
    <row r="91" spans="1:12" x14ac:dyDescent="0.2">
      <c r="A91" s="22" t="s">
        <v>100</v>
      </c>
      <c r="B91" s="6"/>
      <c r="C91" s="6"/>
      <c r="D91" s="6">
        <v>28</v>
      </c>
      <c r="E91" s="6">
        <v>11</v>
      </c>
      <c r="F91" s="6">
        <v>4.2799999999999994</v>
      </c>
      <c r="G91" s="6">
        <v>6.03</v>
      </c>
      <c r="H91" s="6">
        <v>3.5</v>
      </c>
      <c r="I91" s="6">
        <v>-0.72</v>
      </c>
      <c r="J91" s="6">
        <v>11.870000000000001</v>
      </c>
      <c r="K91" s="6">
        <v>63.960000000000008</v>
      </c>
      <c r="L91" s="6">
        <v>63.960000000000008</v>
      </c>
    </row>
    <row r="92" spans="1:12" x14ac:dyDescent="0.2">
      <c r="A92" s="22" t="s">
        <v>120</v>
      </c>
      <c r="B92" s="6"/>
      <c r="C92" s="6"/>
      <c r="D92" s="6">
        <v>17</v>
      </c>
      <c r="E92" s="6">
        <v>10</v>
      </c>
      <c r="F92" s="6">
        <v>4.3099999999999996</v>
      </c>
      <c r="G92" s="6">
        <v>15.95</v>
      </c>
      <c r="H92" s="6">
        <v>31</v>
      </c>
      <c r="I92" s="6">
        <v>13.85</v>
      </c>
      <c r="J92" s="6">
        <v>9.15</v>
      </c>
      <c r="K92" s="6">
        <v>101.25999999999999</v>
      </c>
      <c r="L92" s="6">
        <v>101.25999999999999</v>
      </c>
    </row>
    <row r="93" spans="1:12" x14ac:dyDescent="0.2">
      <c r="A93" s="5" t="s">
        <v>580</v>
      </c>
      <c r="B93" s="6"/>
      <c r="C93" s="6">
        <v>3</v>
      </c>
      <c r="D93" s="6">
        <v>101</v>
      </c>
      <c r="E93" s="6">
        <v>301</v>
      </c>
      <c r="F93" s="6">
        <v>97.03</v>
      </c>
      <c r="G93" s="6">
        <v>148.51999999999998</v>
      </c>
      <c r="H93" s="6">
        <v>153.88999999999999</v>
      </c>
      <c r="I93" s="6">
        <v>112.02</v>
      </c>
      <c r="J93" s="6">
        <v>132.26</v>
      </c>
      <c r="K93" s="6">
        <v>1048.72</v>
      </c>
      <c r="L93" s="6">
        <v>1048.72</v>
      </c>
    </row>
    <row r="94" spans="1:12" x14ac:dyDescent="0.2">
      <c r="A94" s="22" t="s">
        <v>65</v>
      </c>
      <c r="B94" s="6"/>
      <c r="C94" s="6">
        <v>3</v>
      </c>
      <c r="D94" s="6">
        <v>61</v>
      </c>
      <c r="E94" s="6">
        <v>9</v>
      </c>
      <c r="F94" s="6">
        <v>2.0199999999999996</v>
      </c>
      <c r="G94" s="6">
        <v>9.51</v>
      </c>
      <c r="H94" s="6">
        <v>31.549999999999997</v>
      </c>
      <c r="I94" s="6">
        <v>26</v>
      </c>
      <c r="J94" s="6">
        <v>14.26</v>
      </c>
      <c r="K94" s="6">
        <v>156.33999999999997</v>
      </c>
      <c r="L94" s="6">
        <v>156.33999999999997</v>
      </c>
    </row>
    <row r="95" spans="1:12" x14ac:dyDescent="0.2">
      <c r="A95" s="22" t="s">
        <v>89</v>
      </c>
      <c r="B95" s="6"/>
      <c r="C95" s="6"/>
      <c r="D95" s="6">
        <v>40</v>
      </c>
      <c r="E95" s="6">
        <v>292</v>
      </c>
      <c r="F95" s="6">
        <v>95.01</v>
      </c>
      <c r="G95" s="6">
        <v>139.01</v>
      </c>
      <c r="H95" s="6">
        <v>122.34</v>
      </c>
      <c r="I95" s="6">
        <v>86.02</v>
      </c>
      <c r="J95" s="6">
        <v>118</v>
      </c>
      <c r="K95" s="6">
        <v>892.38</v>
      </c>
      <c r="L95" s="6">
        <v>892.38</v>
      </c>
    </row>
    <row r="96" spans="1:12" x14ac:dyDescent="0.2">
      <c r="A96" s="5" t="s">
        <v>27</v>
      </c>
      <c r="B96" s="6">
        <v>41</v>
      </c>
      <c r="C96" s="6">
        <v>123.56000000000002</v>
      </c>
      <c r="D96" s="6">
        <v>2641.6</v>
      </c>
      <c r="E96" s="6">
        <v>1369.7</v>
      </c>
      <c r="F96" s="6">
        <v>890.42</v>
      </c>
      <c r="G96" s="6">
        <v>1742.8699999999994</v>
      </c>
      <c r="H96" s="6">
        <v>1134.7666666666667</v>
      </c>
      <c r="I96" s="6">
        <v>951.85999999999979</v>
      </c>
      <c r="J96" s="6">
        <v>1477.8400000000001</v>
      </c>
      <c r="K96" s="6">
        <v>10373.616666666665</v>
      </c>
      <c r="L96" s="6">
        <v>10373.616666666665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B71D-0064-4A15-AABB-B4180DD8EAA6}">
  <dimension ref="A10:L97"/>
  <sheetViews>
    <sheetView tabSelected="1" workbookViewId="0">
      <pane ySplit="12" topLeftCell="A13" activePane="bottomLeft" state="frozen"/>
      <selection pane="bottomLeft" activeCell="A13" sqref="A13:XFD13"/>
    </sheetView>
  </sheetViews>
  <sheetFormatPr defaultRowHeight="12" x14ac:dyDescent="0.2"/>
  <cols>
    <col min="1" max="1" width="51.85546875" bestFit="1" customWidth="1"/>
    <col min="2" max="2" width="15.42578125" bestFit="1" customWidth="1"/>
    <col min="3" max="3" width="12.28515625" bestFit="1" customWidth="1"/>
    <col min="4" max="4" width="9.85546875" bestFit="1" customWidth="1"/>
    <col min="5" max="10" width="11.28515625" bestFit="1" customWidth="1"/>
    <col min="11" max="12" width="12.28515625" bestFit="1" customWidth="1"/>
    <col min="13" max="13" width="13.42578125" bestFit="1" customWidth="1"/>
    <col min="14" max="18" width="12.28515625" bestFit="1" customWidth="1"/>
    <col min="19" max="19" width="13.42578125" bestFit="1" customWidth="1"/>
    <col min="20" max="28" width="12.28515625" bestFit="1" customWidth="1"/>
    <col min="29" max="30" width="13.42578125" bestFit="1" customWidth="1"/>
    <col min="31" max="31" width="18.140625" bestFit="1" customWidth="1"/>
    <col min="32" max="32" width="12.42578125" bestFit="1" customWidth="1"/>
    <col min="33" max="33" width="18.140625" bestFit="1" customWidth="1"/>
    <col min="34" max="34" width="12.42578125" bestFit="1" customWidth="1"/>
    <col min="35" max="35" width="18.140625" bestFit="1" customWidth="1"/>
    <col min="36" max="36" width="19.7109375" bestFit="1" customWidth="1"/>
    <col min="37" max="37" width="25.28515625" bestFit="1" customWidth="1"/>
    <col min="38" max="38" width="12.42578125" bestFit="1" customWidth="1"/>
    <col min="39" max="39" width="18.140625" bestFit="1" customWidth="1"/>
    <col min="40" max="40" width="12.42578125" bestFit="1" customWidth="1"/>
    <col min="41" max="41" width="18.140625" bestFit="1" customWidth="1"/>
    <col min="42" max="42" width="12.42578125" bestFit="1" customWidth="1"/>
    <col min="43" max="43" width="18.140625" bestFit="1" customWidth="1"/>
    <col min="44" max="44" width="12.42578125" bestFit="1" customWidth="1"/>
    <col min="45" max="45" width="18.140625" bestFit="1" customWidth="1"/>
    <col min="46" max="46" width="12.42578125" bestFit="1" customWidth="1"/>
    <col min="47" max="47" width="18.140625" bestFit="1" customWidth="1"/>
    <col min="48" max="48" width="12.42578125" bestFit="1" customWidth="1"/>
    <col min="49" max="49" width="18.140625" bestFit="1" customWidth="1"/>
    <col min="50" max="50" width="12.42578125" bestFit="1" customWidth="1"/>
    <col min="51" max="51" width="18.140625" bestFit="1" customWidth="1"/>
    <col min="52" max="52" width="12.42578125" bestFit="1" customWidth="1"/>
    <col min="53" max="53" width="18.140625" bestFit="1" customWidth="1"/>
    <col min="54" max="54" width="19.7109375" bestFit="1" customWidth="1"/>
    <col min="55" max="55" width="25.28515625" bestFit="1" customWidth="1"/>
    <col min="56" max="56" width="17" bestFit="1" customWidth="1"/>
    <col min="57" max="57" width="22.7109375" bestFit="1" customWidth="1"/>
  </cols>
  <sheetData>
    <row r="10" spans="1:12" x14ac:dyDescent="0.2">
      <c r="A10" s="3" t="s">
        <v>40</v>
      </c>
      <c r="B10" s="3" t="s">
        <v>29</v>
      </c>
      <c r="C10" s="4"/>
      <c r="D10" s="4"/>
      <c r="E10" s="4"/>
      <c r="F10" s="4"/>
      <c r="G10" s="4"/>
      <c r="H10" s="4"/>
      <c r="I10" s="4"/>
      <c r="J10" s="4"/>
      <c r="K10" s="4"/>
      <c r="L10" s="4"/>
    </row>
    <row r="11" spans="1:12" x14ac:dyDescent="0.2">
      <c r="A11" s="4"/>
      <c r="B11" s="4" t="s">
        <v>31</v>
      </c>
      <c r="C11" s="4"/>
      <c r="D11" s="4"/>
      <c r="E11" s="4"/>
      <c r="F11" s="4"/>
      <c r="G11" s="4"/>
      <c r="H11" s="4"/>
      <c r="I11" s="4"/>
      <c r="J11" s="4"/>
      <c r="K11" s="4" t="s">
        <v>33</v>
      </c>
      <c r="L11" s="4" t="s">
        <v>27</v>
      </c>
    </row>
    <row r="12" spans="1:12" x14ac:dyDescent="0.2">
      <c r="A12" s="3" t="s">
        <v>26</v>
      </c>
      <c r="B12" s="4" t="s">
        <v>35</v>
      </c>
      <c r="C12" s="4" t="s">
        <v>34</v>
      </c>
      <c r="D12" s="4" t="s">
        <v>36</v>
      </c>
      <c r="E12" s="4" t="s">
        <v>38</v>
      </c>
      <c r="F12" s="4" t="s">
        <v>37</v>
      </c>
      <c r="G12" s="4" t="s">
        <v>39</v>
      </c>
      <c r="H12" s="4" t="s">
        <v>43</v>
      </c>
      <c r="I12" s="4" t="s">
        <v>44</v>
      </c>
      <c r="J12" s="4" t="s">
        <v>571</v>
      </c>
      <c r="K12" s="4"/>
      <c r="L12" s="4"/>
    </row>
    <row r="13" spans="1:12" x14ac:dyDescent="0.2">
      <c r="A13" s="5" t="s">
        <v>592</v>
      </c>
      <c r="B13" s="6"/>
      <c r="C13" s="6">
        <v>116593.65606800001</v>
      </c>
      <c r="D13" s="6"/>
      <c r="E13" s="6"/>
      <c r="F13" s="6">
        <v>526822.83483299997</v>
      </c>
      <c r="G13" s="6"/>
      <c r="H13" s="6">
        <v>52812.514371999998</v>
      </c>
      <c r="I13" s="6">
        <v>118992.094706</v>
      </c>
      <c r="J13" s="6">
        <v>174485.30050099999</v>
      </c>
      <c r="K13" s="6">
        <v>989706.40047999995</v>
      </c>
      <c r="L13" s="6">
        <v>989706.40047999995</v>
      </c>
    </row>
    <row r="14" spans="1:12" x14ac:dyDescent="0.2">
      <c r="A14" s="22" t="s">
        <v>115</v>
      </c>
      <c r="B14" s="6"/>
      <c r="C14" s="6">
        <v>116593.65606800001</v>
      </c>
      <c r="D14" s="6"/>
      <c r="E14" s="6"/>
      <c r="F14" s="6">
        <v>526822.83483299997</v>
      </c>
      <c r="G14" s="6"/>
      <c r="H14" s="6">
        <v>51510.031218999997</v>
      </c>
      <c r="I14" s="6">
        <v>118992.094706</v>
      </c>
      <c r="J14" s="6">
        <v>174485.30050099999</v>
      </c>
      <c r="K14" s="6">
        <v>988403.91732699994</v>
      </c>
      <c r="L14" s="6">
        <v>988403.91732699994</v>
      </c>
    </row>
    <row r="15" spans="1:12" x14ac:dyDescent="0.2">
      <c r="A15" s="22" t="s">
        <v>418</v>
      </c>
      <c r="B15" s="6"/>
      <c r="C15" s="6"/>
      <c r="D15" s="6"/>
      <c r="E15" s="6"/>
      <c r="F15" s="6"/>
      <c r="G15" s="6"/>
      <c r="H15" s="6">
        <v>1302.4831529999999</v>
      </c>
      <c r="I15" s="6"/>
      <c r="J15" s="6"/>
      <c r="K15" s="6">
        <v>1302.4831529999999</v>
      </c>
      <c r="L15" s="6">
        <v>1302.4831529999999</v>
      </c>
    </row>
    <row r="16" spans="1:12" x14ac:dyDescent="0.2">
      <c r="A16" s="5" t="s">
        <v>591</v>
      </c>
      <c r="B16" s="6"/>
      <c r="C16" s="6">
        <v>83920.535122000001</v>
      </c>
      <c r="D16" s="6"/>
      <c r="E16" s="6">
        <v>21777.191080999997</v>
      </c>
      <c r="F16" s="6">
        <v>8309.8844749999989</v>
      </c>
      <c r="G16" s="6">
        <v>13986.756302999998</v>
      </c>
      <c r="H16" s="6">
        <v>70200.120553000001</v>
      </c>
      <c r="I16" s="6">
        <v>51280.022173999998</v>
      </c>
      <c r="J16" s="6"/>
      <c r="K16" s="6">
        <v>249474.509708</v>
      </c>
      <c r="L16" s="6">
        <v>249474.509708</v>
      </c>
    </row>
    <row r="17" spans="1:12" x14ac:dyDescent="0.2">
      <c r="A17" s="22" t="s">
        <v>106</v>
      </c>
      <c r="B17" s="6"/>
      <c r="C17" s="6">
        <v>83920.535122000001</v>
      </c>
      <c r="D17" s="6"/>
      <c r="E17" s="6">
        <v>21777.191080999997</v>
      </c>
      <c r="F17" s="6">
        <v>8309.8844749999989</v>
      </c>
      <c r="G17" s="6">
        <v>13986.756302999998</v>
      </c>
      <c r="H17" s="6">
        <v>70200.120553000001</v>
      </c>
      <c r="I17" s="6">
        <v>51280.022173999998</v>
      </c>
      <c r="J17" s="6"/>
      <c r="K17" s="6">
        <v>249474.509708</v>
      </c>
      <c r="L17" s="6">
        <v>249474.509708</v>
      </c>
    </row>
    <row r="18" spans="1:12" x14ac:dyDescent="0.2">
      <c r="A18" s="5" t="s">
        <v>587</v>
      </c>
      <c r="B18" s="6"/>
      <c r="C18" s="6">
        <v>118887.43619199999</v>
      </c>
      <c r="D18" s="6"/>
      <c r="E18" s="6">
        <v>1397.03026</v>
      </c>
      <c r="F18" s="6">
        <v>16503.208843</v>
      </c>
      <c r="G18" s="6">
        <v>13986.756302999998</v>
      </c>
      <c r="H18" s="6">
        <v>81855.742664999998</v>
      </c>
      <c r="I18" s="6">
        <v>79255.466119999997</v>
      </c>
      <c r="J18" s="6">
        <v>21179.929329999999</v>
      </c>
      <c r="K18" s="6">
        <v>333065.56971300003</v>
      </c>
      <c r="L18" s="6">
        <v>333065.56971300003</v>
      </c>
    </row>
    <row r="19" spans="1:12" x14ac:dyDescent="0.2">
      <c r="A19" s="22" t="s">
        <v>94</v>
      </c>
      <c r="B19" s="6"/>
      <c r="C19" s="6">
        <v>118887.43619199999</v>
      </c>
      <c r="D19" s="6"/>
      <c r="E19" s="6">
        <v>1397.03026</v>
      </c>
      <c r="F19" s="6">
        <v>16503.208843</v>
      </c>
      <c r="G19" s="6">
        <v>13986.756302999998</v>
      </c>
      <c r="H19" s="6">
        <v>81855.742664999998</v>
      </c>
      <c r="I19" s="6">
        <v>79255.466119999997</v>
      </c>
      <c r="J19" s="6">
        <v>21179.929329999999</v>
      </c>
      <c r="K19" s="6">
        <v>333065.56971300003</v>
      </c>
      <c r="L19" s="6">
        <v>333065.56971300003</v>
      </c>
    </row>
    <row r="20" spans="1:12" x14ac:dyDescent="0.2">
      <c r="A20" s="5" t="s">
        <v>589</v>
      </c>
      <c r="B20" s="6"/>
      <c r="C20" s="6">
        <v>832826.62944600009</v>
      </c>
      <c r="D20" s="6"/>
      <c r="E20" s="6">
        <v>589329.47447999998</v>
      </c>
      <c r="F20" s="6">
        <v>587618.31123399991</v>
      </c>
      <c r="G20" s="6">
        <v>293676.12927000003</v>
      </c>
      <c r="H20" s="6">
        <v>553247.90422999999</v>
      </c>
      <c r="I20" s="6">
        <v>326954.49210200005</v>
      </c>
      <c r="J20" s="6">
        <v>1084396.0699689998</v>
      </c>
      <c r="K20" s="6">
        <v>4268049.0107309995</v>
      </c>
      <c r="L20" s="6">
        <v>4268049.0107309995</v>
      </c>
    </row>
    <row r="21" spans="1:12" x14ac:dyDescent="0.2">
      <c r="A21" s="22" t="s">
        <v>98</v>
      </c>
      <c r="B21" s="6"/>
      <c r="C21" s="6">
        <v>436458.67194099998</v>
      </c>
      <c r="D21" s="6"/>
      <c r="E21" s="6">
        <v>415260.62729099992</v>
      </c>
      <c r="F21" s="6">
        <v>172569.02204900002</v>
      </c>
      <c r="G21" s="6">
        <v>167985.213896</v>
      </c>
      <c r="H21" s="6">
        <v>201272.589874</v>
      </c>
      <c r="I21" s="6">
        <v>201682.66572600001</v>
      </c>
      <c r="J21" s="6">
        <v>167720.17392100001</v>
      </c>
      <c r="K21" s="6">
        <v>1762948.9646979999</v>
      </c>
      <c r="L21" s="6">
        <v>1762948.9646979999</v>
      </c>
    </row>
    <row r="22" spans="1:12" x14ac:dyDescent="0.2">
      <c r="A22" s="22" t="s">
        <v>105</v>
      </c>
      <c r="B22" s="6"/>
      <c r="C22" s="6">
        <v>396367.95750500006</v>
      </c>
      <c r="D22" s="6"/>
      <c r="E22" s="6">
        <v>174068.84718900005</v>
      </c>
      <c r="F22" s="6">
        <v>415049.28918499994</v>
      </c>
      <c r="G22" s="6">
        <v>125690.915374</v>
      </c>
      <c r="H22" s="6">
        <v>351975.31435600005</v>
      </c>
      <c r="I22" s="6">
        <v>125271.82637600001</v>
      </c>
      <c r="J22" s="6">
        <v>916675.89604799985</v>
      </c>
      <c r="K22" s="6">
        <v>2505100.0460329996</v>
      </c>
      <c r="L22" s="6">
        <v>2505100.0460329996</v>
      </c>
    </row>
    <row r="23" spans="1:12" x14ac:dyDescent="0.2">
      <c r="A23" s="5" t="s">
        <v>588</v>
      </c>
      <c r="B23" s="6"/>
      <c r="C23" s="6">
        <v>132874.181086</v>
      </c>
      <c r="D23" s="6"/>
      <c r="E23" s="6">
        <v>14783.812622000001</v>
      </c>
      <c r="F23" s="6">
        <v>10709.779007000001</v>
      </c>
      <c r="G23" s="6">
        <v>83920.545170999991</v>
      </c>
      <c r="H23" s="6">
        <v>115190.844669</v>
      </c>
      <c r="I23" s="6">
        <v>93242.200668999983</v>
      </c>
      <c r="J23" s="6">
        <v>49486.836313000007</v>
      </c>
      <c r="K23" s="6">
        <v>500208.19953699998</v>
      </c>
      <c r="L23" s="6">
        <v>500208.19953699998</v>
      </c>
    </row>
    <row r="24" spans="1:12" x14ac:dyDescent="0.2">
      <c r="A24" s="22" t="s">
        <v>95</v>
      </c>
      <c r="B24" s="6"/>
      <c r="C24" s="6">
        <v>132874.181086</v>
      </c>
      <c r="D24" s="6"/>
      <c r="E24" s="6">
        <v>14783.812622000001</v>
      </c>
      <c r="F24" s="6">
        <v>10709.779007000001</v>
      </c>
      <c r="G24" s="6">
        <v>83920.545170999991</v>
      </c>
      <c r="H24" s="6">
        <v>115190.844669</v>
      </c>
      <c r="I24" s="6">
        <v>93242.200668999983</v>
      </c>
      <c r="J24" s="6">
        <v>49486.836313000007</v>
      </c>
      <c r="K24" s="6">
        <v>500208.19953699998</v>
      </c>
      <c r="L24" s="6">
        <v>500208.19953699998</v>
      </c>
    </row>
    <row r="25" spans="1:12" x14ac:dyDescent="0.2">
      <c r="A25" s="5" t="s">
        <v>575</v>
      </c>
      <c r="B25" s="6">
        <v>50506.830008000004</v>
      </c>
      <c r="C25" s="6">
        <v>213877.04404299997</v>
      </c>
      <c r="D25" s="6"/>
      <c r="E25" s="6">
        <v>546239.30093800009</v>
      </c>
      <c r="F25" s="6">
        <v>19653.200432999998</v>
      </c>
      <c r="G25" s="6">
        <v>112666.99741299999</v>
      </c>
      <c r="H25" s="6">
        <v>1.1316000000022086E-2</v>
      </c>
      <c r="I25" s="6">
        <v>412914.91297800007</v>
      </c>
      <c r="J25" s="6">
        <v>459249.49551100004</v>
      </c>
      <c r="K25" s="6">
        <v>1815107.7926400001</v>
      </c>
      <c r="L25" s="6">
        <v>1815107.7926400001</v>
      </c>
    </row>
    <row r="26" spans="1:12" x14ac:dyDescent="0.2">
      <c r="A26" s="22" t="s">
        <v>55</v>
      </c>
      <c r="B26" s="6">
        <v>50506.830008000004</v>
      </c>
      <c r="C26" s="6">
        <v>213877.04404299997</v>
      </c>
      <c r="D26" s="6"/>
      <c r="E26" s="6">
        <v>546239.30093800009</v>
      </c>
      <c r="F26" s="6">
        <v>19653.200432999998</v>
      </c>
      <c r="G26" s="6">
        <v>112666.99741299999</v>
      </c>
      <c r="H26" s="6">
        <v>1.1316000000022086E-2</v>
      </c>
      <c r="I26" s="6">
        <v>412914.91297800007</v>
      </c>
      <c r="J26" s="6">
        <v>459249.49551100004</v>
      </c>
      <c r="K26" s="6">
        <v>1815107.7926400001</v>
      </c>
      <c r="L26" s="6">
        <v>1815107.7926400001</v>
      </c>
    </row>
    <row r="27" spans="1:12" x14ac:dyDescent="0.2">
      <c r="A27" s="5" t="s">
        <v>585</v>
      </c>
      <c r="B27" s="6">
        <v>5974.8976640000001</v>
      </c>
      <c r="C27" s="6">
        <v>40516.885722999999</v>
      </c>
      <c r="D27" s="6"/>
      <c r="E27" s="6">
        <v>1940.176097</v>
      </c>
      <c r="F27" s="6">
        <v>17463.507992999999</v>
      </c>
      <c r="G27" s="6">
        <v>3880.3522169999997</v>
      </c>
      <c r="H27" s="6">
        <v>7273.5794260000002</v>
      </c>
      <c r="I27" s="6">
        <v>-1940.198971</v>
      </c>
      <c r="J27" s="6"/>
      <c r="K27" s="6">
        <v>75109.200148999997</v>
      </c>
      <c r="L27" s="6">
        <v>75109.200148999997</v>
      </c>
    </row>
    <row r="28" spans="1:12" x14ac:dyDescent="0.2">
      <c r="A28" s="22" t="s">
        <v>73</v>
      </c>
      <c r="B28" s="6">
        <v>5974.8976640000001</v>
      </c>
      <c r="C28" s="6">
        <v>26887.041183999998</v>
      </c>
      <c r="D28" s="6"/>
      <c r="E28" s="6"/>
      <c r="F28" s="6"/>
      <c r="G28" s="6"/>
      <c r="H28" s="6"/>
      <c r="I28" s="6"/>
      <c r="J28" s="6"/>
      <c r="K28" s="6">
        <v>32861.938847999998</v>
      </c>
      <c r="L28" s="6">
        <v>32861.938847999998</v>
      </c>
    </row>
    <row r="29" spans="1:12" x14ac:dyDescent="0.2">
      <c r="A29" s="22" t="s">
        <v>180</v>
      </c>
      <c r="B29" s="6"/>
      <c r="C29" s="6">
        <v>13629.844539</v>
      </c>
      <c r="D29" s="6"/>
      <c r="E29" s="6">
        <v>1940.176097</v>
      </c>
      <c r="F29" s="6">
        <v>17463.507992999999</v>
      </c>
      <c r="G29" s="6">
        <v>3880.3522169999997</v>
      </c>
      <c r="H29" s="6">
        <v>7273.5794260000002</v>
      </c>
      <c r="I29" s="6">
        <v>-1940.198971</v>
      </c>
      <c r="J29" s="6"/>
      <c r="K29" s="6">
        <v>42247.261300999999</v>
      </c>
      <c r="L29" s="6">
        <v>42247.261300999999</v>
      </c>
    </row>
    <row r="30" spans="1:12" x14ac:dyDescent="0.2">
      <c r="A30" s="5" t="s">
        <v>586</v>
      </c>
      <c r="B30" s="6">
        <v>9324.0932319999993</v>
      </c>
      <c r="C30" s="6">
        <v>176302.55518900004</v>
      </c>
      <c r="D30" s="6"/>
      <c r="E30" s="6">
        <v>3730.1412949999999</v>
      </c>
      <c r="F30" s="6">
        <v>286588.30107100005</v>
      </c>
      <c r="G30" s="6">
        <v>73693.706785000002</v>
      </c>
      <c r="H30" s="6">
        <v>52470.840590000007</v>
      </c>
      <c r="I30" s="6">
        <v>944.9844350000003</v>
      </c>
      <c r="J30" s="6">
        <v>10305.995944999999</v>
      </c>
      <c r="K30" s="6">
        <v>613360.61854200007</v>
      </c>
      <c r="L30" s="6">
        <v>613360.61854200007</v>
      </c>
    </row>
    <row r="31" spans="1:12" x14ac:dyDescent="0.2">
      <c r="A31" s="22" t="s">
        <v>76</v>
      </c>
      <c r="B31" s="6">
        <v>4661.4194660000003</v>
      </c>
      <c r="C31" s="6">
        <v>41972.199793</v>
      </c>
      <c r="D31" s="6"/>
      <c r="E31" s="6">
        <v>3730.1412949999999</v>
      </c>
      <c r="F31" s="6">
        <v>44777.198755000005</v>
      </c>
      <c r="G31" s="6">
        <v>26110.954547000001</v>
      </c>
      <c r="H31" s="6">
        <v>18635.158332999999</v>
      </c>
      <c r="I31" s="6"/>
      <c r="J31" s="6"/>
      <c r="K31" s="6">
        <v>139887.072189</v>
      </c>
      <c r="L31" s="6">
        <v>139887.072189</v>
      </c>
    </row>
    <row r="32" spans="1:12" x14ac:dyDescent="0.2">
      <c r="A32" s="22" t="s">
        <v>78</v>
      </c>
      <c r="B32" s="6">
        <v>4662.6737659999999</v>
      </c>
      <c r="C32" s="6">
        <v>65297.728348000004</v>
      </c>
      <c r="D32" s="6"/>
      <c r="E32" s="6"/>
      <c r="F32" s="6">
        <v>116723.26259500002</v>
      </c>
      <c r="G32" s="6">
        <v>32662.209668</v>
      </c>
      <c r="H32" s="6">
        <v>-4413.9932940000008</v>
      </c>
      <c r="I32" s="6">
        <v>-3730.209621</v>
      </c>
      <c r="J32" s="6"/>
      <c r="K32" s="6">
        <v>211201.67146200003</v>
      </c>
      <c r="L32" s="6">
        <v>211201.67146200003</v>
      </c>
    </row>
    <row r="33" spans="1:12" x14ac:dyDescent="0.2">
      <c r="A33" s="22" t="s">
        <v>103</v>
      </c>
      <c r="B33" s="6"/>
      <c r="C33" s="6">
        <v>46651.778721000002</v>
      </c>
      <c r="D33" s="6"/>
      <c r="E33" s="6"/>
      <c r="F33" s="6">
        <v>84040.76849100001</v>
      </c>
      <c r="G33" s="6"/>
      <c r="H33" s="6">
        <v>23344.659142000004</v>
      </c>
      <c r="I33" s="6">
        <v>4675.1940560000003</v>
      </c>
      <c r="J33" s="6">
        <v>10305.995944999999</v>
      </c>
      <c r="K33" s="6">
        <v>169018.39635500003</v>
      </c>
      <c r="L33" s="6">
        <v>169018.39635500003</v>
      </c>
    </row>
    <row r="34" spans="1:12" x14ac:dyDescent="0.2">
      <c r="A34" s="22" t="s">
        <v>114</v>
      </c>
      <c r="B34" s="6"/>
      <c r="C34" s="6">
        <v>22380.848327</v>
      </c>
      <c r="D34" s="6"/>
      <c r="E34" s="6"/>
      <c r="F34" s="6">
        <v>41047.071230000001</v>
      </c>
      <c r="G34" s="6">
        <v>14920.54257</v>
      </c>
      <c r="H34" s="6">
        <v>14905.016409</v>
      </c>
      <c r="I34" s="6"/>
      <c r="J34" s="6"/>
      <c r="K34" s="6">
        <v>93253.47853600001</v>
      </c>
      <c r="L34" s="6">
        <v>93253.47853600001</v>
      </c>
    </row>
    <row r="35" spans="1:12" x14ac:dyDescent="0.2">
      <c r="A35" s="5" t="s">
        <v>574</v>
      </c>
      <c r="B35" s="6"/>
      <c r="C35" s="6">
        <v>2316155.4950560001</v>
      </c>
      <c r="D35" s="6">
        <v>100702.41</v>
      </c>
      <c r="E35" s="6">
        <v>7196.7110110000003</v>
      </c>
      <c r="F35" s="6">
        <v>534497.46790300007</v>
      </c>
      <c r="G35" s="6">
        <v>1795859.7408889998</v>
      </c>
      <c r="H35" s="6">
        <v>167929.93341099995</v>
      </c>
      <c r="I35" s="6">
        <v>132833.118808</v>
      </c>
      <c r="J35" s="6">
        <v>1301552.39035</v>
      </c>
      <c r="K35" s="6">
        <v>6356727.2674280005</v>
      </c>
      <c r="L35" s="6">
        <v>6356727.2674280005</v>
      </c>
    </row>
    <row r="36" spans="1:12" x14ac:dyDescent="0.2">
      <c r="A36" s="22" t="s">
        <v>52</v>
      </c>
      <c r="B36" s="6"/>
      <c r="C36" s="6">
        <v>83918.660623000003</v>
      </c>
      <c r="D36" s="6">
        <v>100702.41</v>
      </c>
      <c r="E36" s="6">
        <v>959.99172899999996</v>
      </c>
      <c r="F36" s="6">
        <v>87461.907356000011</v>
      </c>
      <c r="G36" s="6">
        <v>335674.72470099997</v>
      </c>
      <c r="H36" s="6">
        <v>33567.449414000002</v>
      </c>
      <c r="I36" s="6">
        <v>3356.7440999999999</v>
      </c>
      <c r="J36" s="6">
        <v>103099.70831</v>
      </c>
      <c r="K36" s="6">
        <v>748741.59623300005</v>
      </c>
      <c r="L36" s="6">
        <v>748741.59623300005</v>
      </c>
    </row>
    <row r="37" spans="1:12" x14ac:dyDescent="0.2">
      <c r="A37" s="22" t="s">
        <v>84</v>
      </c>
      <c r="B37" s="6"/>
      <c r="C37" s="6">
        <v>2014048.297975</v>
      </c>
      <c r="D37" s="6"/>
      <c r="E37" s="6">
        <v>959.99172899999996</v>
      </c>
      <c r="F37" s="6">
        <v>376170.89948200004</v>
      </c>
      <c r="G37" s="6">
        <v>1174861.506696</v>
      </c>
      <c r="H37" s="6">
        <v>20233.080681999974</v>
      </c>
      <c r="I37" s="6">
        <v>121802.89530400001</v>
      </c>
      <c r="J37" s="6">
        <v>1042412.698991</v>
      </c>
      <c r="K37" s="6">
        <v>4750489.3708589999</v>
      </c>
      <c r="L37" s="6">
        <v>4750489.3708589999</v>
      </c>
    </row>
    <row r="38" spans="1:12" x14ac:dyDescent="0.2">
      <c r="A38" s="22" t="s">
        <v>85</v>
      </c>
      <c r="B38" s="6"/>
      <c r="C38" s="6">
        <v>83918.659132000001</v>
      </c>
      <c r="D38" s="6"/>
      <c r="E38" s="6">
        <v>959.99172899999996</v>
      </c>
      <c r="F38" s="6">
        <v>20326.970685</v>
      </c>
      <c r="G38" s="6">
        <v>83918.681618000002</v>
      </c>
      <c r="H38" s="6">
        <v>10070.232597</v>
      </c>
      <c r="I38" s="6">
        <v>3356.7440999999999</v>
      </c>
      <c r="J38" s="6">
        <v>53516.494995000001</v>
      </c>
      <c r="K38" s="6">
        <v>256067.77485600003</v>
      </c>
      <c r="L38" s="6">
        <v>256067.77485600003</v>
      </c>
    </row>
    <row r="39" spans="1:12" x14ac:dyDescent="0.2">
      <c r="A39" s="22" t="s">
        <v>86</v>
      </c>
      <c r="B39" s="6"/>
      <c r="C39" s="6">
        <v>134269.87732599999</v>
      </c>
      <c r="D39" s="6"/>
      <c r="E39" s="6">
        <v>4316.7358240000003</v>
      </c>
      <c r="F39" s="6">
        <v>50537.69038</v>
      </c>
      <c r="G39" s="6">
        <v>201404.82787400001</v>
      </c>
      <c r="H39" s="6">
        <v>104059.17071799998</v>
      </c>
      <c r="I39" s="6">
        <v>4316.7353040000007</v>
      </c>
      <c r="J39" s="6">
        <v>102523.488054</v>
      </c>
      <c r="K39" s="6">
        <v>601428.52547999995</v>
      </c>
      <c r="L39" s="6">
        <v>601428.52547999995</v>
      </c>
    </row>
    <row r="40" spans="1:12" x14ac:dyDescent="0.2">
      <c r="A40" s="5" t="s">
        <v>578</v>
      </c>
      <c r="B40" s="6">
        <v>167134.28490600002</v>
      </c>
      <c r="C40" s="6">
        <v>465038.92667900003</v>
      </c>
      <c r="D40" s="6"/>
      <c r="E40" s="6">
        <v>1.9878239999998186</v>
      </c>
      <c r="F40" s="6"/>
      <c r="G40" s="6">
        <v>-3263.43</v>
      </c>
      <c r="H40" s="6">
        <v>-20331.909701999997</v>
      </c>
      <c r="I40" s="6">
        <v>-2.3089999995136168E-3</v>
      </c>
      <c r="J40" s="6">
        <v>-18283.623981000001</v>
      </c>
      <c r="K40" s="6">
        <v>590296.23341700004</v>
      </c>
      <c r="L40" s="6">
        <v>590296.23341700004</v>
      </c>
    </row>
    <row r="41" spans="1:12" x14ac:dyDescent="0.2">
      <c r="A41" s="22" t="s">
        <v>59</v>
      </c>
      <c r="B41" s="6">
        <v>55711.428302</v>
      </c>
      <c r="C41" s="6">
        <v>132168.95084200002</v>
      </c>
      <c r="D41" s="6"/>
      <c r="E41" s="6">
        <v>0.66637300000002142</v>
      </c>
      <c r="F41" s="6"/>
      <c r="G41" s="6">
        <v>-3263.43</v>
      </c>
      <c r="H41" s="6">
        <v>-4739.7399169999999</v>
      </c>
      <c r="I41" s="6">
        <v>-1.2229999992996454E-3</v>
      </c>
      <c r="J41" s="6">
        <v>-6094.5413269999999</v>
      </c>
      <c r="K41" s="6">
        <v>173783.33305000002</v>
      </c>
      <c r="L41" s="6">
        <v>173783.33305000002</v>
      </c>
    </row>
    <row r="42" spans="1:12" x14ac:dyDescent="0.2">
      <c r="A42" s="22" t="s">
        <v>60</v>
      </c>
      <c r="B42" s="6">
        <v>55711.428302</v>
      </c>
      <c r="C42" s="6">
        <v>171330.13581600002</v>
      </c>
      <c r="D42" s="6"/>
      <c r="E42" s="6">
        <v>0.65507799999977578</v>
      </c>
      <c r="F42" s="6"/>
      <c r="G42" s="6"/>
      <c r="H42" s="6">
        <v>-6526.8575609999998</v>
      </c>
      <c r="I42" s="6">
        <v>-5.4300000010698568E-4</v>
      </c>
      <c r="J42" s="6">
        <v>-6094.5413269999999</v>
      </c>
      <c r="K42" s="6">
        <v>214420.81976500002</v>
      </c>
      <c r="L42" s="6">
        <v>214420.81976500002</v>
      </c>
    </row>
    <row r="43" spans="1:12" x14ac:dyDescent="0.2">
      <c r="A43" s="22" t="s">
        <v>62</v>
      </c>
      <c r="B43" s="6">
        <v>55711.428302</v>
      </c>
      <c r="C43" s="6">
        <v>161539.84002100001</v>
      </c>
      <c r="D43" s="6"/>
      <c r="E43" s="6">
        <v>0.66637300000002142</v>
      </c>
      <c r="F43" s="6"/>
      <c r="G43" s="6"/>
      <c r="H43" s="6">
        <v>-9065.3122239999993</v>
      </c>
      <c r="I43" s="6">
        <v>-5.4300000010698568E-4</v>
      </c>
      <c r="J43" s="6">
        <v>-6094.5413269999999</v>
      </c>
      <c r="K43" s="6">
        <v>202092.080602</v>
      </c>
      <c r="L43" s="6">
        <v>202092.080602</v>
      </c>
    </row>
    <row r="44" spans="1:12" x14ac:dyDescent="0.2">
      <c r="A44" s="5" t="s">
        <v>581</v>
      </c>
      <c r="B44" s="6">
        <v>10629.376402</v>
      </c>
      <c r="C44" s="6">
        <v>619706.664109</v>
      </c>
      <c r="D44" s="6"/>
      <c r="E44" s="6">
        <v>418342.18088</v>
      </c>
      <c r="F44" s="6">
        <v>524375.40821199992</v>
      </c>
      <c r="G44" s="6">
        <v>167728.81015100004</v>
      </c>
      <c r="H44" s="6">
        <v>391435.8503990001</v>
      </c>
      <c r="I44" s="6">
        <v>434531.04328300001</v>
      </c>
      <c r="J44" s="6">
        <v>692101.73292899993</v>
      </c>
      <c r="K44" s="6">
        <v>3258851.0663649999</v>
      </c>
      <c r="L44" s="6">
        <v>3258851.0663649999</v>
      </c>
    </row>
    <row r="45" spans="1:12" x14ac:dyDescent="0.2">
      <c r="A45" s="22" t="s">
        <v>66</v>
      </c>
      <c r="B45" s="6">
        <v>10629.376402</v>
      </c>
      <c r="C45" s="6">
        <v>116958.03639199999</v>
      </c>
      <c r="D45" s="6"/>
      <c r="E45" s="6">
        <v>31846.825439</v>
      </c>
      <c r="F45" s="6">
        <v>152391.132117</v>
      </c>
      <c r="G45" s="6">
        <v>60237.427529000001</v>
      </c>
      <c r="H45" s="6">
        <v>27024.638464000003</v>
      </c>
      <c r="I45" s="6">
        <v>1519.9624779999999</v>
      </c>
      <c r="J45" s="6">
        <v>85960.068779000008</v>
      </c>
      <c r="K45" s="6">
        <v>486567.46759999997</v>
      </c>
      <c r="L45" s="6">
        <v>486567.46759999997</v>
      </c>
    </row>
    <row r="46" spans="1:12" x14ac:dyDescent="0.2">
      <c r="A46" s="22" t="s">
        <v>96</v>
      </c>
      <c r="B46" s="6"/>
      <c r="C46" s="6">
        <v>125312.90078300002</v>
      </c>
      <c r="D46" s="6"/>
      <c r="E46" s="6">
        <v>237682.842619</v>
      </c>
      <c r="F46" s="6">
        <v>243894.859012</v>
      </c>
      <c r="G46" s="6">
        <v>50302.669445000007</v>
      </c>
      <c r="H46" s="6">
        <v>194041.55064500001</v>
      </c>
      <c r="I46" s="6">
        <v>159164.565164</v>
      </c>
      <c r="J46" s="6">
        <v>202501.77461699996</v>
      </c>
      <c r="K46" s="6">
        <v>1212901.1622850001</v>
      </c>
      <c r="L46" s="6">
        <v>1212901.1622850001</v>
      </c>
    </row>
    <row r="47" spans="1:12" x14ac:dyDescent="0.2">
      <c r="A47" s="22" t="s">
        <v>97</v>
      </c>
      <c r="B47" s="6"/>
      <c r="C47" s="6">
        <v>106316.89609999998</v>
      </c>
      <c r="D47" s="6"/>
      <c r="E47" s="6">
        <v>8751.567563999999</v>
      </c>
      <c r="F47" s="6">
        <v>76861.277600999994</v>
      </c>
      <c r="G47" s="6">
        <v>22377.458048999997</v>
      </c>
      <c r="H47" s="6">
        <v>74990.787875000009</v>
      </c>
      <c r="I47" s="6">
        <v>73119.452110000013</v>
      </c>
      <c r="J47" s="6">
        <v>185466.652328</v>
      </c>
      <c r="K47" s="6">
        <v>547884.09162700002</v>
      </c>
      <c r="L47" s="6">
        <v>547884.09162700002</v>
      </c>
    </row>
    <row r="48" spans="1:12" x14ac:dyDescent="0.2">
      <c r="A48" s="22" t="s">
        <v>104</v>
      </c>
      <c r="B48" s="6"/>
      <c r="C48" s="6">
        <v>134288.735403</v>
      </c>
      <c r="D48" s="6"/>
      <c r="E48" s="6">
        <v>121405.59436499998</v>
      </c>
      <c r="F48" s="6">
        <v>1468.5139769999998</v>
      </c>
      <c r="G48" s="6">
        <v>22377.458048999997</v>
      </c>
      <c r="H48" s="6">
        <v>221.99987999999979</v>
      </c>
      <c r="I48" s="6">
        <v>76228.206663000004</v>
      </c>
      <c r="J48" s="6">
        <v>192058.08906500004</v>
      </c>
      <c r="K48" s="6">
        <v>548048.59740199998</v>
      </c>
      <c r="L48" s="6">
        <v>548048.59740199998</v>
      </c>
    </row>
    <row r="49" spans="1:12" x14ac:dyDescent="0.2">
      <c r="A49" s="22" t="s">
        <v>125</v>
      </c>
      <c r="B49" s="6"/>
      <c r="C49" s="6">
        <v>136830.09543100002</v>
      </c>
      <c r="D49" s="6"/>
      <c r="E49" s="6">
        <v>18655.350892999999</v>
      </c>
      <c r="F49" s="6">
        <v>49759.625504999996</v>
      </c>
      <c r="G49" s="6">
        <v>12433.797079</v>
      </c>
      <c r="H49" s="6">
        <v>95156.873534999992</v>
      </c>
      <c r="I49" s="6">
        <v>124498.85686800002</v>
      </c>
      <c r="J49" s="6">
        <v>26115.148140000001</v>
      </c>
      <c r="K49" s="6">
        <v>463449.74745100003</v>
      </c>
      <c r="L49" s="6">
        <v>463449.74745100003</v>
      </c>
    </row>
    <row r="50" spans="1:12" x14ac:dyDescent="0.2">
      <c r="A50" s="5" t="s">
        <v>573</v>
      </c>
      <c r="B50" s="6">
        <v>48487.440582000003</v>
      </c>
      <c r="C50" s="6">
        <v>652715.57737399987</v>
      </c>
      <c r="D50" s="6">
        <v>51284.79</v>
      </c>
      <c r="E50" s="6">
        <v>263468.94685199996</v>
      </c>
      <c r="F50" s="6">
        <v>487881.23410299991</v>
      </c>
      <c r="G50" s="6">
        <v>214463.68525899999</v>
      </c>
      <c r="H50" s="6">
        <v>378391.86404399993</v>
      </c>
      <c r="I50" s="6">
        <v>192481.66868399997</v>
      </c>
      <c r="J50" s="6">
        <v>189289.20521699998</v>
      </c>
      <c r="K50" s="6">
        <v>2478464.4121150002</v>
      </c>
      <c r="L50" s="6">
        <v>2478464.4121150002</v>
      </c>
    </row>
    <row r="51" spans="1:12" x14ac:dyDescent="0.2">
      <c r="A51" s="22" t="s">
        <v>47</v>
      </c>
      <c r="B51" s="6">
        <v>13986.755698000001</v>
      </c>
      <c r="C51" s="6">
        <v>97907.358892000004</v>
      </c>
      <c r="D51" s="6">
        <v>46622.53</v>
      </c>
      <c r="E51" s="6">
        <v>4778.81513</v>
      </c>
      <c r="F51" s="6">
        <v>42000.198670999998</v>
      </c>
      <c r="G51" s="6">
        <v>37298.045659000003</v>
      </c>
      <c r="H51" s="6">
        <v>-4312.5774570000003</v>
      </c>
      <c r="I51" s="6"/>
      <c r="J51" s="6">
        <v>-60.081971000000003</v>
      </c>
      <c r="K51" s="6">
        <v>238221.04462199999</v>
      </c>
      <c r="L51" s="6">
        <v>238221.04462199999</v>
      </c>
    </row>
    <row r="52" spans="1:12" x14ac:dyDescent="0.2">
      <c r="A52" s="22" t="s">
        <v>49</v>
      </c>
      <c r="B52" s="6">
        <v>32635.778198</v>
      </c>
      <c r="C52" s="6">
        <v>41960.290610999997</v>
      </c>
      <c r="D52" s="6">
        <v>4662.26</v>
      </c>
      <c r="E52" s="6">
        <v>116.55947999999999</v>
      </c>
      <c r="F52" s="6"/>
      <c r="G52" s="6"/>
      <c r="H52" s="6">
        <v>8546.9919910000008</v>
      </c>
      <c r="I52" s="6"/>
      <c r="J52" s="6">
        <v>-1507.159934</v>
      </c>
      <c r="K52" s="6">
        <v>86414.720345999987</v>
      </c>
      <c r="L52" s="6">
        <v>86414.720345999987</v>
      </c>
    </row>
    <row r="53" spans="1:12" x14ac:dyDescent="0.2">
      <c r="A53" s="22" t="s">
        <v>58</v>
      </c>
      <c r="B53" s="6">
        <v>1864.906686</v>
      </c>
      <c r="C53" s="6"/>
      <c r="D53" s="6"/>
      <c r="E53" s="6"/>
      <c r="F53" s="6"/>
      <c r="G53" s="6"/>
      <c r="H53" s="6">
        <v>12764.988039</v>
      </c>
      <c r="I53" s="6"/>
      <c r="J53" s="6">
        <v>-60.081971000000003</v>
      </c>
      <c r="K53" s="6">
        <v>14569.812754</v>
      </c>
      <c r="L53" s="6">
        <v>14569.812754</v>
      </c>
    </row>
    <row r="54" spans="1:12" x14ac:dyDescent="0.2">
      <c r="A54" s="22" t="s">
        <v>111</v>
      </c>
      <c r="B54" s="6"/>
      <c r="C54" s="6">
        <v>340344.51925999991</v>
      </c>
      <c r="D54" s="6"/>
      <c r="E54" s="6">
        <v>140584.13618799997</v>
      </c>
      <c r="F54" s="6">
        <v>235669.04542099993</v>
      </c>
      <c r="G54" s="6">
        <v>135205.34923200001</v>
      </c>
      <c r="H54" s="6">
        <v>274352.58552099997</v>
      </c>
      <c r="I54" s="6">
        <v>70451.601274000001</v>
      </c>
      <c r="J54" s="6">
        <v>-599.97298999999998</v>
      </c>
      <c r="K54" s="6">
        <v>1196007.2639059999</v>
      </c>
      <c r="L54" s="6">
        <v>1196007.2639059999</v>
      </c>
    </row>
    <row r="55" spans="1:12" x14ac:dyDescent="0.2">
      <c r="A55" s="22" t="s">
        <v>136</v>
      </c>
      <c r="B55" s="6"/>
      <c r="C55" s="6">
        <v>144529.88476400002</v>
      </c>
      <c r="D55" s="6"/>
      <c r="E55" s="6">
        <v>84637.112965000008</v>
      </c>
      <c r="F55" s="6">
        <v>147086.23337499998</v>
      </c>
      <c r="G55" s="6">
        <v>41960.290368000002</v>
      </c>
      <c r="H55" s="6">
        <v>7692.7683210000005</v>
      </c>
      <c r="I55" s="6">
        <v>114333.76184399999</v>
      </c>
      <c r="J55" s="6">
        <v>74480.185899999997</v>
      </c>
      <c r="K55" s="6">
        <v>614720.23753699998</v>
      </c>
      <c r="L55" s="6">
        <v>614720.23753699998</v>
      </c>
    </row>
    <row r="56" spans="1:12" x14ac:dyDescent="0.2">
      <c r="A56" s="22" t="s">
        <v>138</v>
      </c>
      <c r="B56" s="6"/>
      <c r="C56" s="6">
        <v>27973.523846999997</v>
      </c>
      <c r="D56" s="6"/>
      <c r="E56" s="6">
        <v>33352.323088999998</v>
      </c>
      <c r="F56" s="6">
        <v>63125.756635999991</v>
      </c>
      <c r="G56" s="6"/>
      <c r="H56" s="6">
        <v>79347.107628999991</v>
      </c>
      <c r="I56" s="6">
        <v>7696.3055659999991</v>
      </c>
      <c r="J56" s="6">
        <v>117036.316183</v>
      </c>
      <c r="K56" s="6">
        <v>328531.33294999995</v>
      </c>
      <c r="L56" s="6">
        <v>328531.33294999995</v>
      </c>
    </row>
    <row r="57" spans="1:12" x14ac:dyDescent="0.2">
      <c r="A57" s="5" t="s">
        <v>579</v>
      </c>
      <c r="B57" s="6">
        <v>21290.352675999999</v>
      </c>
      <c r="C57" s="6">
        <v>605124.675085</v>
      </c>
      <c r="D57" s="6"/>
      <c r="E57" s="6">
        <v>177253.724865</v>
      </c>
      <c r="F57" s="6">
        <v>597363.13239599997</v>
      </c>
      <c r="G57" s="6">
        <v>117604.33516800001</v>
      </c>
      <c r="H57" s="6">
        <v>295641.59757300001</v>
      </c>
      <c r="I57" s="6">
        <v>506806.49251399992</v>
      </c>
      <c r="J57" s="6">
        <v>-75074.837484000032</v>
      </c>
      <c r="K57" s="6">
        <v>2246009.4727929998</v>
      </c>
      <c r="L57" s="6">
        <v>2246009.4727929998</v>
      </c>
    </row>
    <row r="58" spans="1:12" x14ac:dyDescent="0.2">
      <c r="A58" s="22" t="s">
        <v>63</v>
      </c>
      <c r="B58" s="6">
        <v>8547.1842629999992</v>
      </c>
      <c r="C58" s="6"/>
      <c r="D58" s="6"/>
      <c r="E58" s="6"/>
      <c r="F58" s="6"/>
      <c r="G58" s="6"/>
      <c r="H58" s="6">
        <v>2775.0538999999999</v>
      </c>
      <c r="I58" s="6"/>
      <c r="J58" s="6">
        <v>-1465.0109379999999</v>
      </c>
      <c r="K58" s="6">
        <v>9857.2272249999987</v>
      </c>
      <c r="L58" s="6">
        <v>9857.2272249999987</v>
      </c>
    </row>
    <row r="59" spans="1:12" x14ac:dyDescent="0.2">
      <c r="A59" s="22" t="s">
        <v>69</v>
      </c>
      <c r="B59" s="6">
        <v>8547.1844920000003</v>
      </c>
      <c r="C59" s="6">
        <v>213.682804</v>
      </c>
      <c r="D59" s="6"/>
      <c r="E59" s="6">
        <v>213.682964</v>
      </c>
      <c r="F59" s="6"/>
      <c r="G59" s="6"/>
      <c r="H59" s="6">
        <v>9990.1939469999998</v>
      </c>
      <c r="I59" s="6"/>
      <c r="J59" s="6"/>
      <c r="K59" s="6">
        <v>18964.744207</v>
      </c>
      <c r="L59" s="6">
        <v>18964.744207</v>
      </c>
    </row>
    <row r="60" spans="1:12" x14ac:dyDescent="0.2">
      <c r="A60" s="22" t="s">
        <v>70</v>
      </c>
      <c r="B60" s="6">
        <v>4195.983921</v>
      </c>
      <c r="C60" s="6">
        <v>41959.837925</v>
      </c>
      <c r="D60" s="6"/>
      <c r="E60" s="6"/>
      <c r="F60" s="6"/>
      <c r="G60" s="6"/>
      <c r="H60" s="6">
        <v>1665.03234</v>
      </c>
      <c r="I60" s="6"/>
      <c r="J60" s="6"/>
      <c r="K60" s="6">
        <v>47820.854185999997</v>
      </c>
      <c r="L60" s="6">
        <v>47820.854185999997</v>
      </c>
    </row>
    <row r="61" spans="1:12" x14ac:dyDescent="0.2">
      <c r="A61" s="22" t="s">
        <v>90</v>
      </c>
      <c r="B61" s="6"/>
      <c r="C61" s="6">
        <v>205132.43799400004</v>
      </c>
      <c r="D61" s="6"/>
      <c r="E61" s="6">
        <v>31228.827871000001</v>
      </c>
      <c r="F61" s="6">
        <v>237043.40870199999</v>
      </c>
      <c r="G61" s="6">
        <v>21367.960949999997</v>
      </c>
      <c r="H61" s="6">
        <v>108646.628788</v>
      </c>
      <c r="I61" s="6">
        <v>73577.306295999995</v>
      </c>
      <c r="J61" s="6">
        <v>-43039.971231000018</v>
      </c>
      <c r="K61" s="6">
        <v>633956.59936999995</v>
      </c>
      <c r="L61" s="6">
        <v>633956.59936999995</v>
      </c>
    </row>
    <row r="62" spans="1:12" x14ac:dyDescent="0.2">
      <c r="A62" s="22" t="s">
        <v>91</v>
      </c>
      <c r="B62" s="6"/>
      <c r="C62" s="6">
        <v>132481.37087299998</v>
      </c>
      <c r="D62" s="6"/>
      <c r="E62" s="6">
        <v>30128.828664000001</v>
      </c>
      <c r="F62" s="6">
        <v>204714.58657600003</v>
      </c>
      <c r="G62" s="6">
        <v>17094.368877000001</v>
      </c>
      <c r="H62" s="6">
        <v>115713.78448100001</v>
      </c>
      <c r="I62" s="6">
        <v>80994.014962000001</v>
      </c>
      <c r="J62" s="6">
        <v>-82398.740901000012</v>
      </c>
      <c r="K62" s="6">
        <v>498728.21353199997</v>
      </c>
      <c r="L62" s="6">
        <v>498728.21353199997</v>
      </c>
    </row>
    <row r="63" spans="1:12" x14ac:dyDescent="0.2">
      <c r="A63" s="22" t="s">
        <v>92</v>
      </c>
      <c r="B63" s="6"/>
      <c r="C63" s="6">
        <v>131318.31736699998</v>
      </c>
      <c r="D63" s="6"/>
      <c r="E63" s="6">
        <v>31856.768646</v>
      </c>
      <c r="F63" s="6">
        <v>35398.155697000002</v>
      </c>
      <c r="G63" s="6">
        <v>49226.859722000001</v>
      </c>
      <c r="H63" s="6">
        <v>19720.822103999995</v>
      </c>
      <c r="I63" s="6">
        <v>209722.125092</v>
      </c>
      <c r="J63" s="6">
        <v>41965.646379999998</v>
      </c>
      <c r="K63" s="6">
        <v>519208.69500800001</v>
      </c>
      <c r="L63" s="6">
        <v>519208.69500800001</v>
      </c>
    </row>
    <row r="64" spans="1:12" x14ac:dyDescent="0.2">
      <c r="A64" s="22" t="s">
        <v>112</v>
      </c>
      <c r="B64" s="6"/>
      <c r="C64" s="6">
        <v>85471.84391499999</v>
      </c>
      <c r="D64" s="6"/>
      <c r="E64" s="6">
        <v>39776.012059999994</v>
      </c>
      <c r="F64" s="6">
        <v>42949.604946000007</v>
      </c>
      <c r="G64" s="6">
        <v>17094.368857999998</v>
      </c>
      <c r="H64" s="6">
        <v>21367.961259</v>
      </c>
      <c r="I64" s="6">
        <v>91983.446945000003</v>
      </c>
      <c r="J64" s="6">
        <v>9207.1833960000004</v>
      </c>
      <c r="K64" s="6">
        <v>307850.42137900001</v>
      </c>
      <c r="L64" s="6">
        <v>307850.42137900001</v>
      </c>
    </row>
    <row r="65" spans="1:12" x14ac:dyDescent="0.2">
      <c r="A65" s="22" t="s">
        <v>140</v>
      </c>
      <c r="B65" s="6"/>
      <c r="C65" s="6">
        <v>8547.1842070000002</v>
      </c>
      <c r="D65" s="6"/>
      <c r="E65" s="6">
        <v>44049.604660000005</v>
      </c>
      <c r="F65" s="6">
        <v>77257.376474999997</v>
      </c>
      <c r="G65" s="6">
        <v>12820.776760999999</v>
      </c>
      <c r="H65" s="6">
        <v>8547.1842140000008</v>
      </c>
      <c r="I65" s="6">
        <v>50529.599218999996</v>
      </c>
      <c r="J65" s="6">
        <v>656.05581000000075</v>
      </c>
      <c r="K65" s="6">
        <v>202407.78134599997</v>
      </c>
      <c r="L65" s="6">
        <v>202407.78134599997</v>
      </c>
    </row>
    <row r="66" spans="1:12" x14ac:dyDescent="0.2">
      <c r="A66" s="22" t="s">
        <v>419</v>
      </c>
      <c r="B66" s="6"/>
      <c r="C66" s="6"/>
      <c r="D66" s="6"/>
      <c r="E66" s="6"/>
      <c r="F66" s="6"/>
      <c r="G66" s="6"/>
      <c r="H66" s="6">
        <v>7214.9365400000006</v>
      </c>
      <c r="I66" s="6"/>
      <c r="J66" s="6"/>
      <c r="K66" s="6">
        <v>7214.9365400000006</v>
      </c>
      <c r="L66" s="6">
        <v>7214.9365400000006</v>
      </c>
    </row>
    <row r="67" spans="1:12" x14ac:dyDescent="0.2">
      <c r="A67" s="5" t="s">
        <v>576</v>
      </c>
      <c r="B67" s="6">
        <v>72855.47471200001</v>
      </c>
      <c r="C67" s="6">
        <v>503969.03016800003</v>
      </c>
      <c r="D67" s="6"/>
      <c r="E67" s="6">
        <v>274998.66398299998</v>
      </c>
      <c r="F67" s="6">
        <v>646195.41003799997</v>
      </c>
      <c r="G67" s="6">
        <v>193557.636164</v>
      </c>
      <c r="H67" s="6">
        <v>368753.45529700001</v>
      </c>
      <c r="I67" s="6">
        <v>69482.793487000003</v>
      </c>
      <c r="J67" s="6">
        <v>49145.040680000006</v>
      </c>
      <c r="K67" s="6">
        <v>2178957.5045289998</v>
      </c>
      <c r="L67" s="6">
        <v>2178957.5045289998</v>
      </c>
    </row>
    <row r="68" spans="1:12" x14ac:dyDescent="0.2">
      <c r="A68" s="22" t="s">
        <v>56</v>
      </c>
      <c r="B68" s="6">
        <v>14607.61153</v>
      </c>
      <c r="C68" s="6">
        <v>47474.769830000005</v>
      </c>
      <c r="D68" s="6"/>
      <c r="E68" s="6">
        <v>182.59666899999999</v>
      </c>
      <c r="F68" s="6"/>
      <c r="G68" s="6"/>
      <c r="H68" s="6">
        <v>562.55884399999923</v>
      </c>
      <c r="I68" s="6"/>
      <c r="J68" s="6">
        <v>-8067.6853479999991</v>
      </c>
      <c r="K68" s="6">
        <v>54759.851525000005</v>
      </c>
      <c r="L68" s="6">
        <v>54759.851525000005</v>
      </c>
    </row>
    <row r="69" spans="1:12" x14ac:dyDescent="0.2">
      <c r="A69" s="22" t="s">
        <v>61</v>
      </c>
      <c r="B69" s="6">
        <v>47292.151530000003</v>
      </c>
      <c r="C69" s="6"/>
      <c r="D69" s="6"/>
      <c r="E69" s="6">
        <v>182.59666899999999</v>
      </c>
      <c r="F69" s="6"/>
      <c r="G69" s="6"/>
      <c r="H69" s="6"/>
      <c r="I69" s="6"/>
      <c r="J69" s="6"/>
      <c r="K69" s="6">
        <v>47474.748199000001</v>
      </c>
      <c r="L69" s="6">
        <v>47474.748199000001</v>
      </c>
    </row>
    <row r="70" spans="1:12" x14ac:dyDescent="0.2">
      <c r="A70" s="22" t="s">
        <v>68</v>
      </c>
      <c r="B70" s="6">
        <v>10955.711652</v>
      </c>
      <c r="C70" s="6">
        <v>29215.223330000001</v>
      </c>
      <c r="D70" s="6"/>
      <c r="E70" s="6">
        <v>182.59666899999999</v>
      </c>
      <c r="F70" s="6"/>
      <c r="G70" s="6"/>
      <c r="H70" s="6">
        <v>365.18199199999981</v>
      </c>
      <c r="I70" s="6"/>
      <c r="J70" s="6"/>
      <c r="K70" s="6">
        <v>40718.713642999995</v>
      </c>
      <c r="L70" s="6">
        <v>40718.713642999995</v>
      </c>
    </row>
    <row r="71" spans="1:12" x14ac:dyDescent="0.2">
      <c r="A71" s="22" t="s">
        <v>110</v>
      </c>
      <c r="B71" s="6"/>
      <c r="C71" s="6">
        <v>273895.52593200002</v>
      </c>
      <c r="D71" s="6"/>
      <c r="E71" s="6">
        <v>190087.66096699997</v>
      </c>
      <c r="F71" s="6">
        <v>339568.29004899994</v>
      </c>
      <c r="G71" s="6">
        <v>105908.76645900001</v>
      </c>
      <c r="H71" s="6">
        <v>168647.01116700002</v>
      </c>
      <c r="I71" s="6">
        <v>7343.6878650000017</v>
      </c>
      <c r="J71" s="6"/>
      <c r="K71" s="6">
        <v>1085450.9424389999</v>
      </c>
      <c r="L71" s="6">
        <v>1085450.9424389999</v>
      </c>
    </row>
    <row r="72" spans="1:12" x14ac:dyDescent="0.2">
      <c r="A72" s="22" t="s">
        <v>123</v>
      </c>
      <c r="B72" s="6"/>
      <c r="C72" s="6">
        <v>62083.612686999993</v>
      </c>
      <c r="D72" s="6"/>
      <c r="E72" s="6">
        <v>25747.197267000003</v>
      </c>
      <c r="F72" s="6">
        <v>58615.586582999997</v>
      </c>
      <c r="G72" s="6">
        <v>25564.386095000002</v>
      </c>
      <c r="H72" s="6">
        <v>7304.2295960000001</v>
      </c>
      <c r="I72" s="6">
        <v>-365.19615499999998</v>
      </c>
      <c r="J72" s="6">
        <v>53560.825763000001</v>
      </c>
      <c r="K72" s="6">
        <v>232510.64183599997</v>
      </c>
      <c r="L72" s="6">
        <v>232510.64183599997</v>
      </c>
    </row>
    <row r="73" spans="1:12" x14ac:dyDescent="0.2">
      <c r="A73" s="22" t="s">
        <v>124</v>
      </c>
      <c r="B73" s="6"/>
      <c r="C73" s="6">
        <v>91299.898389000009</v>
      </c>
      <c r="D73" s="6"/>
      <c r="E73" s="6">
        <v>58616.015741999996</v>
      </c>
      <c r="F73" s="6">
        <v>248011.533406</v>
      </c>
      <c r="G73" s="6">
        <v>62084.483609999996</v>
      </c>
      <c r="H73" s="6">
        <v>191874.47369799999</v>
      </c>
      <c r="I73" s="6">
        <v>62504.301777000001</v>
      </c>
      <c r="J73" s="6">
        <v>3651.9002650000002</v>
      </c>
      <c r="K73" s="6">
        <v>718042.60688699991</v>
      </c>
      <c r="L73" s="6">
        <v>718042.60688699991</v>
      </c>
    </row>
    <row r="74" spans="1:12" x14ac:dyDescent="0.2">
      <c r="A74" s="5" t="s">
        <v>593</v>
      </c>
      <c r="B74" s="6"/>
      <c r="C74" s="6">
        <v>1091564.8239449998</v>
      </c>
      <c r="D74" s="6"/>
      <c r="E74" s="6">
        <v>293402.92990600003</v>
      </c>
      <c r="F74" s="6">
        <v>863425.15956299996</v>
      </c>
      <c r="G74" s="6">
        <v>241352.455159</v>
      </c>
      <c r="H74" s="6">
        <v>574564.65165300004</v>
      </c>
      <c r="I74" s="6">
        <v>360540.22448700003</v>
      </c>
      <c r="J74" s="6">
        <v>678393.42321300006</v>
      </c>
      <c r="K74" s="6">
        <v>4103243.667926</v>
      </c>
      <c r="L74" s="6">
        <v>4103243.667926</v>
      </c>
    </row>
    <row r="75" spans="1:12" x14ac:dyDescent="0.2">
      <c r="A75" s="22" t="s">
        <v>117</v>
      </c>
      <c r="B75" s="6"/>
      <c r="C75" s="6">
        <v>1091564.8239449998</v>
      </c>
      <c r="D75" s="6"/>
      <c r="E75" s="6">
        <v>293402.92990600003</v>
      </c>
      <c r="F75" s="6">
        <v>863425.15956299996</v>
      </c>
      <c r="G75" s="6">
        <v>241352.455159</v>
      </c>
      <c r="H75" s="6">
        <v>574564.65165300004</v>
      </c>
      <c r="I75" s="6">
        <v>360540.22448700003</v>
      </c>
      <c r="J75" s="6">
        <v>678393.42321300006</v>
      </c>
      <c r="K75" s="6">
        <v>4103243.667926</v>
      </c>
      <c r="L75" s="6">
        <v>4103243.667926</v>
      </c>
    </row>
    <row r="76" spans="1:12" x14ac:dyDescent="0.2">
      <c r="A76" s="5" t="s">
        <v>583</v>
      </c>
      <c r="B76" s="6">
        <v>16317.471375000001</v>
      </c>
      <c r="C76" s="6">
        <v>652698.80459800002</v>
      </c>
      <c r="D76" s="6"/>
      <c r="E76" s="6">
        <v>384276.41414399998</v>
      </c>
      <c r="F76" s="6">
        <v>288192.65567800001</v>
      </c>
      <c r="G76" s="6">
        <v>142777.872569</v>
      </c>
      <c r="H76" s="6">
        <v>294997.843024</v>
      </c>
      <c r="I76" s="6">
        <v>267757.22714999993</v>
      </c>
      <c r="J76" s="6">
        <v>165161.06226899999</v>
      </c>
      <c r="K76" s="6">
        <v>2212179.350807</v>
      </c>
      <c r="L76" s="6">
        <v>2212179.350807</v>
      </c>
    </row>
    <row r="77" spans="1:12" x14ac:dyDescent="0.2">
      <c r="A77" s="22" t="s">
        <v>71</v>
      </c>
      <c r="B77" s="6">
        <v>16317.471375000001</v>
      </c>
      <c r="C77" s="6">
        <v>73428.621253999998</v>
      </c>
      <c r="D77" s="6"/>
      <c r="E77" s="6">
        <v>271.95705400000003</v>
      </c>
      <c r="F77" s="6"/>
      <c r="G77" s="6"/>
      <c r="H77" s="6"/>
      <c r="I77" s="6"/>
      <c r="J77" s="6"/>
      <c r="K77" s="6">
        <v>90018.04968299999</v>
      </c>
      <c r="L77" s="6">
        <v>90018.04968299999</v>
      </c>
    </row>
    <row r="78" spans="1:12" x14ac:dyDescent="0.2">
      <c r="A78" s="22" t="s">
        <v>109</v>
      </c>
      <c r="B78" s="6"/>
      <c r="C78" s="6">
        <v>187650.89537299998</v>
      </c>
      <c r="D78" s="6"/>
      <c r="E78" s="6">
        <v>85938.670347000007</v>
      </c>
      <c r="F78" s="6">
        <v>57383.106872000004</v>
      </c>
      <c r="G78" s="6">
        <v>44873.045419000002</v>
      </c>
      <c r="H78" s="6">
        <v>147362.94837299999</v>
      </c>
      <c r="I78" s="6">
        <v>105051.080982</v>
      </c>
      <c r="J78" s="6">
        <v>81587.357952999999</v>
      </c>
      <c r="K78" s="6">
        <v>709847.10531899997</v>
      </c>
      <c r="L78" s="6">
        <v>709847.10531899997</v>
      </c>
    </row>
    <row r="79" spans="1:12" x14ac:dyDescent="0.2">
      <c r="A79" s="22" t="s">
        <v>113</v>
      </c>
      <c r="B79" s="6"/>
      <c r="C79" s="6">
        <v>391619.28797100001</v>
      </c>
      <c r="D79" s="6"/>
      <c r="E79" s="6">
        <v>298065.78674299998</v>
      </c>
      <c r="F79" s="6">
        <v>230809.54880600001</v>
      </c>
      <c r="G79" s="6">
        <v>97904.827149999983</v>
      </c>
      <c r="H79" s="6">
        <v>147634.89465100001</v>
      </c>
      <c r="I79" s="6">
        <v>162706.14616799995</v>
      </c>
      <c r="J79" s="6">
        <v>83573.704315999988</v>
      </c>
      <c r="K79" s="6">
        <v>1412314.1958050001</v>
      </c>
      <c r="L79" s="6">
        <v>1412314.1958050001</v>
      </c>
    </row>
    <row r="80" spans="1:12" x14ac:dyDescent="0.2">
      <c r="A80" s="5" t="s">
        <v>577</v>
      </c>
      <c r="B80" s="6">
        <v>20976.382012000002</v>
      </c>
      <c r="C80" s="6">
        <v>83157.760298000008</v>
      </c>
      <c r="D80" s="6"/>
      <c r="E80" s="6">
        <v>47260.664128999997</v>
      </c>
      <c r="F80" s="6">
        <v>19.424672999999999</v>
      </c>
      <c r="G80" s="6">
        <v>17480.320711</v>
      </c>
      <c r="H80" s="6">
        <v>-15149.615942</v>
      </c>
      <c r="I80" s="6"/>
      <c r="J80" s="6">
        <v>-3400.474725</v>
      </c>
      <c r="K80" s="6">
        <v>150344.461156</v>
      </c>
      <c r="L80" s="6">
        <v>150344.461156</v>
      </c>
    </row>
    <row r="81" spans="1:12" x14ac:dyDescent="0.2">
      <c r="A81" s="22" t="s">
        <v>57</v>
      </c>
      <c r="B81" s="6">
        <v>20976.382012000002</v>
      </c>
      <c r="C81" s="6">
        <v>83157.760298000008</v>
      </c>
      <c r="D81" s="6"/>
      <c r="E81" s="6">
        <v>47260.664128999997</v>
      </c>
      <c r="F81" s="6">
        <v>19.424672999999999</v>
      </c>
      <c r="G81" s="6">
        <v>17480.320711</v>
      </c>
      <c r="H81" s="6">
        <v>-15149.615942</v>
      </c>
      <c r="I81" s="6"/>
      <c r="J81" s="6">
        <v>-3400.474725</v>
      </c>
      <c r="K81" s="6">
        <v>150344.461156</v>
      </c>
      <c r="L81" s="6">
        <v>150344.461156</v>
      </c>
    </row>
    <row r="82" spans="1:12" x14ac:dyDescent="0.2">
      <c r="A82" s="5" t="s">
        <v>590</v>
      </c>
      <c r="B82" s="6"/>
      <c r="C82" s="6">
        <v>374841.09773899999</v>
      </c>
      <c r="D82" s="6"/>
      <c r="E82" s="6">
        <v>28023.447330999996</v>
      </c>
      <c r="F82" s="6">
        <v>307466.32337299996</v>
      </c>
      <c r="G82" s="6">
        <v>247781.21259499999</v>
      </c>
      <c r="H82" s="6">
        <v>229368.18903099999</v>
      </c>
      <c r="I82" s="6">
        <v>162478.93435900001</v>
      </c>
      <c r="J82" s="6">
        <v>155439.38879199998</v>
      </c>
      <c r="K82" s="6">
        <v>1505398.5932199999</v>
      </c>
      <c r="L82" s="6">
        <v>1505398.5932199999</v>
      </c>
    </row>
    <row r="83" spans="1:12" x14ac:dyDescent="0.2">
      <c r="A83" s="22" t="s">
        <v>102</v>
      </c>
      <c r="B83" s="6"/>
      <c r="C83" s="6">
        <v>374841.09773899999</v>
      </c>
      <c r="D83" s="6"/>
      <c r="E83" s="6">
        <v>28023.447330999996</v>
      </c>
      <c r="F83" s="6">
        <v>307466.32337299996</v>
      </c>
      <c r="G83" s="6">
        <v>247781.21259499999</v>
      </c>
      <c r="H83" s="6">
        <v>229368.18903099999</v>
      </c>
      <c r="I83" s="6">
        <v>162478.93435900001</v>
      </c>
      <c r="J83" s="6">
        <v>155439.38879199998</v>
      </c>
      <c r="K83" s="6">
        <v>1505398.5932199999</v>
      </c>
      <c r="L83" s="6">
        <v>1505398.5932199999</v>
      </c>
    </row>
    <row r="84" spans="1:12" x14ac:dyDescent="0.2">
      <c r="A84" s="5" t="s">
        <v>582</v>
      </c>
      <c r="B84" s="6">
        <v>9790.4782969999997</v>
      </c>
      <c r="C84" s="6">
        <v>268582.91912400001</v>
      </c>
      <c r="D84" s="6"/>
      <c r="E84" s="6">
        <v>81814.352312999996</v>
      </c>
      <c r="F84" s="6">
        <v>296147.334562</v>
      </c>
      <c r="G84" s="6">
        <v>153850.82889200002</v>
      </c>
      <c r="H84" s="6">
        <v>197048.93033</v>
      </c>
      <c r="I84" s="6">
        <v>78367.747804999992</v>
      </c>
      <c r="J84" s="6">
        <v>180540.98312199998</v>
      </c>
      <c r="K84" s="6">
        <v>1266143.5744449999</v>
      </c>
      <c r="L84" s="6">
        <v>1266143.5744449999</v>
      </c>
    </row>
    <row r="85" spans="1:12" x14ac:dyDescent="0.2">
      <c r="A85" s="22" t="s">
        <v>67</v>
      </c>
      <c r="B85" s="6">
        <v>4662.1654339999995</v>
      </c>
      <c r="C85" s="6">
        <v>4662.164753</v>
      </c>
      <c r="D85" s="6"/>
      <c r="E85" s="6">
        <v>194.25826699999999</v>
      </c>
      <c r="F85" s="6"/>
      <c r="G85" s="6"/>
      <c r="H85" s="6"/>
      <c r="I85" s="6"/>
      <c r="J85" s="6"/>
      <c r="K85" s="6">
        <v>9518.5884539999988</v>
      </c>
      <c r="L85" s="6">
        <v>9518.5884539999988</v>
      </c>
    </row>
    <row r="86" spans="1:12" x14ac:dyDescent="0.2">
      <c r="A86" s="22" t="s">
        <v>77</v>
      </c>
      <c r="B86" s="6">
        <v>5128.3128630000001</v>
      </c>
      <c r="C86" s="6">
        <v>133380.022986</v>
      </c>
      <c r="D86" s="6"/>
      <c r="E86" s="6">
        <v>74375.968779000003</v>
      </c>
      <c r="F86" s="6">
        <v>151134.73240099999</v>
      </c>
      <c r="G86" s="6">
        <v>51283.117922999998</v>
      </c>
      <c r="H86" s="6">
        <v>-15171.257278999999</v>
      </c>
      <c r="I86" s="6"/>
      <c r="J86" s="6">
        <v>147190.30652399999</v>
      </c>
      <c r="K86" s="6">
        <v>547321.20419700001</v>
      </c>
      <c r="L86" s="6">
        <v>547321.20419700001</v>
      </c>
    </row>
    <row r="87" spans="1:12" x14ac:dyDescent="0.2">
      <c r="A87" s="22" t="s">
        <v>101</v>
      </c>
      <c r="B87" s="6"/>
      <c r="C87" s="6">
        <v>46621.687223000008</v>
      </c>
      <c r="D87" s="6"/>
      <c r="E87" s="6">
        <v>5954.7383740000005</v>
      </c>
      <c r="F87" s="6">
        <v>10683.549143000004</v>
      </c>
      <c r="G87" s="6">
        <v>27973.002676</v>
      </c>
      <c r="H87" s="6">
        <v>74863.143685999996</v>
      </c>
      <c r="I87" s="6">
        <v>4662.1651869999996</v>
      </c>
      <c r="J87" s="6"/>
      <c r="K87" s="6">
        <v>170758.28628900001</v>
      </c>
      <c r="L87" s="6">
        <v>170758.28628900001</v>
      </c>
    </row>
    <row r="88" spans="1:12" x14ac:dyDescent="0.2">
      <c r="A88" s="22" t="s">
        <v>108</v>
      </c>
      <c r="B88" s="6"/>
      <c r="C88" s="6">
        <v>83919.044162000006</v>
      </c>
      <c r="D88" s="6"/>
      <c r="E88" s="6">
        <v>1289.3868929999999</v>
      </c>
      <c r="F88" s="6">
        <v>134329.05301799998</v>
      </c>
      <c r="G88" s="6">
        <v>74594.708293000003</v>
      </c>
      <c r="H88" s="6">
        <v>137357.04392299999</v>
      </c>
      <c r="I88" s="6">
        <v>73705.582617999986</v>
      </c>
      <c r="J88" s="6">
        <v>33350.676597999998</v>
      </c>
      <c r="K88" s="6">
        <v>538545.495505</v>
      </c>
      <c r="L88" s="6">
        <v>538545.495505</v>
      </c>
    </row>
    <row r="89" spans="1:12" x14ac:dyDescent="0.2">
      <c r="A89" s="5" t="s">
        <v>584</v>
      </c>
      <c r="B89" s="6">
        <v>6837.7430729999996</v>
      </c>
      <c r="C89" s="6">
        <v>294052.43637100002</v>
      </c>
      <c r="D89" s="6"/>
      <c r="E89" s="6">
        <v>47409.093203999997</v>
      </c>
      <c r="F89" s="6">
        <v>197199.40703599999</v>
      </c>
      <c r="G89" s="6">
        <v>143592.74447999999</v>
      </c>
      <c r="H89" s="6">
        <v>219241.84895000001</v>
      </c>
      <c r="I89" s="6">
        <v>117739.25503099999</v>
      </c>
      <c r="J89" s="6">
        <v>167002.16012499999</v>
      </c>
      <c r="K89" s="6">
        <v>1193074.68827</v>
      </c>
      <c r="L89" s="6">
        <v>1193074.68827</v>
      </c>
    </row>
    <row r="90" spans="1:12" x14ac:dyDescent="0.2">
      <c r="A90" s="22" t="s">
        <v>72</v>
      </c>
      <c r="B90" s="6">
        <v>6837.7430729999996</v>
      </c>
      <c r="C90" s="6">
        <v>30769.877092999999</v>
      </c>
      <c r="D90" s="6"/>
      <c r="E90" s="6"/>
      <c r="F90" s="6"/>
      <c r="G90" s="6"/>
      <c r="H90" s="6">
        <v>7570.6833260000003</v>
      </c>
      <c r="I90" s="6"/>
      <c r="J90" s="6"/>
      <c r="K90" s="6">
        <v>45178.303491999999</v>
      </c>
      <c r="L90" s="6">
        <v>45178.303491999999</v>
      </c>
    </row>
    <row r="91" spans="1:12" x14ac:dyDescent="0.2">
      <c r="A91" s="22" t="s">
        <v>99</v>
      </c>
      <c r="B91" s="6"/>
      <c r="C91" s="6">
        <v>109433.24002800003</v>
      </c>
      <c r="D91" s="6"/>
      <c r="E91" s="6">
        <v>18059.886029999998</v>
      </c>
      <c r="F91" s="6">
        <v>122018.98194499998</v>
      </c>
      <c r="G91" s="6">
        <v>71796.365783000001</v>
      </c>
      <c r="H91" s="6">
        <v>94026.131475000017</v>
      </c>
      <c r="I91" s="6">
        <v>74480.536701999998</v>
      </c>
      <c r="J91" s="6">
        <v>91287.706198999993</v>
      </c>
      <c r="K91" s="6">
        <v>581102.84816199995</v>
      </c>
      <c r="L91" s="6">
        <v>581102.84816199995</v>
      </c>
    </row>
    <row r="92" spans="1:12" x14ac:dyDescent="0.2">
      <c r="A92" s="22" t="s">
        <v>100</v>
      </c>
      <c r="B92" s="6"/>
      <c r="C92" s="6">
        <v>95728.469342000011</v>
      </c>
      <c r="D92" s="6"/>
      <c r="E92" s="6">
        <v>14641.014487</v>
      </c>
      <c r="F92" s="6">
        <v>20598.724935000002</v>
      </c>
      <c r="G92" s="6">
        <v>37607.630382000003</v>
      </c>
      <c r="H92" s="6">
        <v>11396.716504</v>
      </c>
      <c r="I92" s="6">
        <v>-2466.0198620000001</v>
      </c>
      <c r="J92" s="6">
        <v>44518.814525000002</v>
      </c>
      <c r="K92" s="6">
        <v>222025.35031300003</v>
      </c>
      <c r="L92" s="6">
        <v>222025.35031300003</v>
      </c>
    </row>
    <row r="93" spans="1:12" x14ac:dyDescent="0.2">
      <c r="A93" s="22" t="s">
        <v>120</v>
      </c>
      <c r="B93" s="6"/>
      <c r="C93" s="6">
        <v>58120.849907999997</v>
      </c>
      <c r="D93" s="6"/>
      <c r="E93" s="6">
        <v>14708.192686999999</v>
      </c>
      <c r="F93" s="6">
        <v>54581.700156000006</v>
      </c>
      <c r="G93" s="6">
        <v>34188.748315000004</v>
      </c>
      <c r="H93" s="6">
        <v>106248.317645</v>
      </c>
      <c r="I93" s="6">
        <v>45724.738190999997</v>
      </c>
      <c r="J93" s="6">
        <v>31195.639401</v>
      </c>
      <c r="K93" s="6">
        <v>344768.18630300002</v>
      </c>
      <c r="L93" s="6">
        <v>344768.18630300002</v>
      </c>
    </row>
    <row r="94" spans="1:12" x14ac:dyDescent="0.2">
      <c r="A94" s="5" t="s">
        <v>580</v>
      </c>
      <c r="B94" s="6">
        <v>13636.275065</v>
      </c>
      <c r="C94" s="6">
        <v>396826.98660000006</v>
      </c>
      <c r="D94" s="6"/>
      <c r="E94" s="6">
        <v>268582.20678000001</v>
      </c>
      <c r="F94" s="6">
        <v>423540.85458000004</v>
      </c>
      <c r="G94" s="6">
        <v>835899.5744889999</v>
      </c>
      <c r="H94" s="6">
        <v>492892.94410600007</v>
      </c>
      <c r="I94" s="6">
        <v>360937.72248999996</v>
      </c>
      <c r="J94" s="6">
        <v>390719.82594100002</v>
      </c>
      <c r="K94" s="6">
        <v>3183036.3900510003</v>
      </c>
      <c r="L94" s="6">
        <v>3183036.3900510003</v>
      </c>
    </row>
    <row r="95" spans="1:12" x14ac:dyDescent="0.2">
      <c r="A95" s="22" t="s">
        <v>65</v>
      </c>
      <c r="B95" s="6">
        <v>13636.275065</v>
      </c>
      <c r="C95" s="6">
        <v>301086.78589100007</v>
      </c>
      <c r="D95" s="6"/>
      <c r="E95" s="6">
        <v>10165.095965</v>
      </c>
      <c r="F95" s="6">
        <v>46760.993042000002</v>
      </c>
      <c r="G95" s="6">
        <v>44955.220153000002</v>
      </c>
      <c r="H95" s="6">
        <v>159672.97060100001</v>
      </c>
      <c r="I95" s="6">
        <v>126260.719728</v>
      </c>
      <c r="J95" s="6">
        <v>69490.085338999997</v>
      </c>
      <c r="K95" s="6">
        <v>772028.14578400005</v>
      </c>
      <c r="L95" s="6">
        <v>772028.14578400005</v>
      </c>
    </row>
    <row r="96" spans="1:12" x14ac:dyDescent="0.2">
      <c r="A96" s="22" t="s">
        <v>89</v>
      </c>
      <c r="B96" s="6"/>
      <c r="C96" s="6">
        <v>95740.200708999997</v>
      </c>
      <c r="D96" s="6"/>
      <c r="E96" s="6">
        <v>258417.11081499999</v>
      </c>
      <c r="F96" s="6">
        <v>376779.86153800006</v>
      </c>
      <c r="G96" s="6">
        <v>790944.35433599993</v>
      </c>
      <c r="H96" s="6">
        <v>333219.97350500006</v>
      </c>
      <c r="I96" s="6">
        <v>234677.00276199999</v>
      </c>
      <c r="J96" s="6">
        <v>321229.74060200003</v>
      </c>
      <c r="K96" s="6">
        <v>2411008.2442670004</v>
      </c>
      <c r="L96" s="6">
        <v>2411008.2442670004</v>
      </c>
    </row>
    <row r="97" spans="1:12" x14ac:dyDescent="0.2">
      <c r="A97" s="5" t="s">
        <v>27</v>
      </c>
      <c r="B97" s="6">
        <v>453761.10000400001</v>
      </c>
      <c r="C97" s="6">
        <v>10040234.120014999</v>
      </c>
      <c r="D97" s="6">
        <v>151987.20000000001</v>
      </c>
      <c r="E97" s="6">
        <v>3471228.4499950004</v>
      </c>
      <c r="F97" s="6">
        <v>6639972.8400059994</v>
      </c>
      <c r="G97" s="6">
        <v>4864497.0299880002</v>
      </c>
      <c r="H97" s="6">
        <v>4507837.1399950003</v>
      </c>
      <c r="I97" s="6">
        <v>3765600.2000020011</v>
      </c>
      <c r="J97" s="6">
        <v>5671689.9040169986</v>
      </c>
      <c r="K97" s="6">
        <v>39566807.984021991</v>
      </c>
      <c r="L97" s="6">
        <v>39566807.984021991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B0EC6-C75F-4824-9C1C-11D4C3981565}">
  <dimension ref="A1:B5"/>
  <sheetViews>
    <sheetView workbookViewId="0">
      <selection activeCell="A4" sqref="A4"/>
    </sheetView>
  </sheetViews>
  <sheetFormatPr defaultRowHeight="12" x14ac:dyDescent="0.2"/>
  <cols>
    <col min="1" max="1" width="12.7109375" bestFit="1" customWidth="1"/>
    <col min="2" max="2" width="18.140625" bestFit="1" customWidth="1"/>
    <col min="3" max="3" width="8.7109375" bestFit="1" customWidth="1"/>
    <col min="4" max="4" width="8" bestFit="1" customWidth="1"/>
    <col min="5" max="5" width="8.5703125" bestFit="1" customWidth="1"/>
    <col min="6" max="6" width="8.85546875" bestFit="1" customWidth="1"/>
    <col min="7" max="7" width="8.5703125" bestFit="1" customWidth="1"/>
    <col min="8" max="9" width="8.85546875" bestFit="1" customWidth="1"/>
    <col min="10" max="10" width="10.28515625" bestFit="1" customWidth="1"/>
  </cols>
  <sheetData>
    <row r="1" spans="1:2" x14ac:dyDescent="0.2">
      <c r="A1" s="7" t="s">
        <v>30</v>
      </c>
      <c r="B1" t="s">
        <v>42</v>
      </c>
    </row>
    <row r="2" spans="1:2" x14ac:dyDescent="0.2">
      <c r="A2" s="7" t="s">
        <v>32</v>
      </c>
      <c r="B2" t="s">
        <v>42</v>
      </c>
    </row>
    <row r="4" spans="1:2" x14ac:dyDescent="0.2">
      <c r="A4" s="7" t="s">
        <v>26</v>
      </c>
      <c r="B4" t="s">
        <v>40</v>
      </c>
    </row>
    <row r="5" spans="1:2" x14ac:dyDescent="0.2">
      <c r="A5" s="8" t="s">
        <v>27</v>
      </c>
      <c r="B5"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2BD4-CAE9-4B30-8F8F-97B523EF7314}">
  <dimension ref="A1:P2707"/>
  <sheetViews>
    <sheetView workbookViewId="0">
      <pane xSplit="7" ySplit="1" topLeftCell="M2687" activePane="bottomRight" state="frozen"/>
      <selection pane="topRight" activeCell="E1" sqref="E1"/>
      <selection pane="bottomLeft" activeCell="A2" sqref="A2"/>
      <selection pane="bottomRight" sqref="A1:A1048576"/>
    </sheetView>
  </sheetViews>
  <sheetFormatPr defaultRowHeight="12" x14ac:dyDescent="0.2"/>
  <cols>
    <col min="1" max="1" width="15.7109375" bestFit="1" customWidth="1"/>
    <col min="2" max="2" width="10.7109375" bestFit="1" customWidth="1"/>
    <col min="3" max="4" width="10.7109375" customWidth="1"/>
    <col min="5" max="5" width="10.7109375" bestFit="1" customWidth="1"/>
    <col min="6" max="6" width="18.28515625" bestFit="1" customWidth="1"/>
    <col min="7" max="7" width="45.5703125" customWidth="1"/>
    <col min="8" max="8" width="35.42578125" bestFit="1" customWidth="1"/>
    <col min="9" max="9" width="7.140625" bestFit="1" customWidth="1"/>
    <col min="10" max="10" width="8.140625" bestFit="1" customWidth="1"/>
    <col min="11" max="11" width="6.5703125" bestFit="1" customWidth="1"/>
    <col min="12" max="12" width="13.140625" bestFit="1" customWidth="1"/>
    <col min="13" max="13" width="13" bestFit="1" customWidth="1"/>
    <col min="14" max="15" width="13.42578125" bestFit="1" customWidth="1"/>
    <col min="16" max="16" width="13.140625" bestFit="1" customWidth="1"/>
    <col min="17" max="17" width="13.42578125" bestFit="1" customWidth="1"/>
    <col min="19" max="19" width="11.5703125" bestFit="1" customWidth="1"/>
    <col min="20" max="20" width="13.140625" bestFit="1" customWidth="1"/>
  </cols>
  <sheetData>
    <row r="1" spans="1:16" ht="15" x14ac:dyDescent="0.2">
      <c r="A1" s="20" t="s">
        <v>572</v>
      </c>
      <c r="B1" s="1" t="s">
        <v>32</v>
      </c>
      <c r="C1" s="1" t="s">
        <v>41</v>
      </c>
      <c r="D1" s="1" t="s">
        <v>30</v>
      </c>
      <c r="E1" s="10" t="s">
        <v>0</v>
      </c>
      <c r="F1" s="11" t="s">
        <v>1</v>
      </c>
      <c r="G1" s="11" t="s">
        <v>2</v>
      </c>
      <c r="H1" s="11" t="s">
        <v>3</v>
      </c>
      <c r="I1" s="12" t="s">
        <v>4</v>
      </c>
      <c r="J1" s="12" t="s">
        <v>5</v>
      </c>
      <c r="K1" s="12" t="s">
        <v>6</v>
      </c>
      <c r="L1" s="12" t="s">
        <v>7</v>
      </c>
      <c r="M1" s="12" t="s">
        <v>8</v>
      </c>
      <c r="N1" s="12" t="s">
        <v>9</v>
      </c>
      <c r="O1" s="12" t="s">
        <v>10</v>
      </c>
      <c r="P1" s="12" t="s">
        <v>11</v>
      </c>
    </row>
    <row r="2" spans="1:16" ht="15" x14ac:dyDescent="0.2">
      <c r="A2" s="4" t="s">
        <v>573</v>
      </c>
      <c r="B2" s="21" t="str">
        <f>+TEXT(E2,"MMM-yyy")</f>
        <v>Jun-2025</v>
      </c>
      <c r="C2" s="2" t="str">
        <f>"Q" &amp; CHOOSE(MONTH(E2),4,4,4,1,1,1,2,2,2,3,3,3)</f>
        <v>Q1</v>
      </c>
      <c r="D2" s="2" t="s">
        <v>31</v>
      </c>
      <c r="E2" s="13">
        <v>45833</v>
      </c>
      <c r="F2" s="14" t="s">
        <v>45</v>
      </c>
      <c r="G2" s="14" t="s">
        <v>46</v>
      </c>
      <c r="H2" s="14" t="s">
        <v>47</v>
      </c>
      <c r="I2" s="15">
        <v>10</v>
      </c>
      <c r="J2" s="15">
        <v>400</v>
      </c>
      <c r="K2" s="15">
        <v>111.74</v>
      </c>
      <c r="L2" s="15">
        <v>44696</v>
      </c>
      <c r="M2" s="15">
        <v>-3437.12</v>
      </c>
      <c r="N2" s="15">
        <v>0</v>
      </c>
      <c r="O2" s="15">
        <v>5363.6500000000005</v>
      </c>
      <c r="P2" s="15">
        <v>46622.53</v>
      </c>
    </row>
    <row r="3" spans="1:16" ht="15" x14ac:dyDescent="0.2">
      <c r="A3" s="4" t="s">
        <v>573</v>
      </c>
      <c r="B3" s="21" t="str">
        <f t="shared" ref="B3:B66" si="0">+TEXT(E3,"MMM-yyy")</f>
        <v>Jun-2025</v>
      </c>
      <c r="C3" s="2" t="str">
        <f t="shared" ref="C3:C66" si="1">"Q" &amp; CHOOSE(MONTH(E3),4,4,4,1,1,1,2,2,2,3,3,3)</f>
        <v>Q1</v>
      </c>
      <c r="D3" s="2" t="s">
        <v>31</v>
      </c>
      <c r="E3" s="13">
        <v>45834</v>
      </c>
      <c r="F3" s="14" t="s">
        <v>48</v>
      </c>
      <c r="G3" s="14" t="s">
        <v>46</v>
      </c>
      <c r="H3" s="14" t="s">
        <v>49</v>
      </c>
      <c r="I3" s="15">
        <v>1</v>
      </c>
      <c r="J3" s="15">
        <v>40</v>
      </c>
      <c r="K3" s="15">
        <v>111.74</v>
      </c>
      <c r="L3" s="15">
        <v>4469.6000000000004</v>
      </c>
      <c r="M3" s="15">
        <v>-343.71</v>
      </c>
      <c r="N3" s="15">
        <v>0</v>
      </c>
      <c r="O3" s="15">
        <v>536.37</v>
      </c>
      <c r="P3" s="15">
        <v>4662.26</v>
      </c>
    </row>
    <row r="4" spans="1:16" ht="15" x14ac:dyDescent="0.2">
      <c r="A4" s="4" t="s">
        <v>574</v>
      </c>
      <c r="B4" s="21" t="str">
        <f t="shared" si="0"/>
        <v>Jun-2025</v>
      </c>
      <c r="C4" s="2" t="str">
        <f t="shared" si="1"/>
        <v>Q1</v>
      </c>
      <c r="D4" s="2" t="s">
        <v>31</v>
      </c>
      <c r="E4" s="13">
        <v>45835</v>
      </c>
      <c r="F4" s="14" t="s">
        <v>50</v>
      </c>
      <c r="G4" s="14" t="s">
        <v>51</v>
      </c>
      <c r="H4" s="14" t="s">
        <v>52</v>
      </c>
      <c r="I4" s="15">
        <v>30</v>
      </c>
      <c r="J4" s="15">
        <v>540</v>
      </c>
      <c r="K4" s="15">
        <v>178.78</v>
      </c>
      <c r="L4" s="15">
        <v>96541.2</v>
      </c>
      <c r="M4" s="15">
        <v>-7424.0199999999995</v>
      </c>
      <c r="N4" s="15">
        <v>0</v>
      </c>
      <c r="O4" s="15">
        <v>11585.23</v>
      </c>
      <c r="P4" s="15">
        <v>100702.41</v>
      </c>
    </row>
    <row r="5" spans="1:16" ht="15" x14ac:dyDescent="0.2">
      <c r="A5" s="4" t="s">
        <v>575</v>
      </c>
      <c r="B5" s="21" t="str">
        <f t="shared" si="0"/>
        <v>Jul-2025</v>
      </c>
      <c r="C5" s="2" t="str">
        <f t="shared" si="1"/>
        <v>Q2</v>
      </c>
      <c r="D5" s="2" t="s">
        <v>31</v>
      </c>
      <c r="E5" s="13">
        <v>45842</v>
      </c>
      <c r="F5" s="14" t="s">
        <v>53</v>
      </c>
      <c r="G5" s="14" t="s">
        <v>54</v>
      </c>
      <c r="H5" s="14" t="s">
        <v>55</v>
      </c>
      <c r="I5" s="15">
        <v>3</v>
      </c>
      <c r="J5" s="15">
        <v>60</v>
      </c>
      <c r="K5" s="15">
        <v>186.23</v>
      </c>
      <c r="L5" s="15">
        <v>11173.8</v>
      </c>
      <c r="M5" s="15">
        <v>-859.2700000000001</v>
      </c>
      <c r="N5" s="15">
        <v>0</v>
      </c>
      <c r="O5" s="15">
        <v>1340.888191</v>
      </c>
      <c r="P5" s="15">
        <v>11655.418191000001</v>
      </c>
    </row>
    <row r="6" spans="1:16" ht="15" x14ac:dyDescent="0.2">
      <c r="A6" s="4" t="s">
        <v>576</v>
      </c>
      <c r="B6" s="21" t="str">
        <f t="shared" si="0"/>
        <v>Jul-2025</v>
      </c>
      <c r="C6" s="2" t="str">
        <f t="shared" si="1"/>
        <v>Q2</v>
      </c>
      <c r="D6" s="2" t="s">
        <v>31</v>
      </c>
      <c r="E6" s="13">
        <v>45842</v>
      </c>
      <c r="F6" s="14" t="s">
        <v>53</v>
      </c>
      <c r="G6" s="14" t="s">
        <v>54</v>
      </c>
      <c r="H6" s="14" t="s">
        <v>56</v>
      </c>
      <c r="I6" s="15">
        <v>1</v>
      </c>
      <c r="J6" s="15">
        <v>20</v>
      </c>
      <c r="K6" s="15">
        <v>175.05</v>
      </c>
      <c r="L6" s="15">
        <v>3500.9999999999995</v>
      </c>
      <c r="M6" s="15">
        <v>-269.23</v>
      </c>
      <c r="N6" s="15">
        <v>0</v>
      </c>
      <c r="O6" s="15">
        <v>420.12987799999996</v>
      </c>
      <c r="P6" s="15">
        <v>3651.8998780000002</v>
      </c>
    </row>
    <row r="7" spans="1:16" ht="15" x14ac:dyDescent="0.2">
      <c r="A7" s="4" t="s">
        <v>577</v>
      </c>
      <c r="B7" s="21" t="str">
        <f t="shared" si="0"/>
        <v>Jul-2025</v>
      </c>
      <c r="C7" s="2" t="str">
        <f t="shared" si="1"/>
        <v>Q2</v>
      </c>
      <c r="D7" s="2" t="s">
        <v>31</v>
      </c>
      <c r="E7" s="13">
        <v>45842</v>
      </c>
      <c r="F7" s="14" t="s">
        <v>53</v>
      </c>
      <c r="G7" s="14" t="s">
        <v>54</v>
      </c>
      <c r="H7" s="14" t="s">
        <v>57</v>
      </c>
      <c r="I7" s="15">
        <v>1</v>
      </c>
      <c r="J7" s="15">
        <v>180</v>
      </c>
      <c r="K7" s="15">
        <v>18.62</v>
      </c>
      <c r="L7" s="15">
        <v>3351.6</v>
      </c>
      <c r="M7" s="15">
        <v>-257.74</v>
      </c>
      <c r="N7" s="15">
        <v>0</v>
      </c>
      <c r="O7" s="15">
        <v>402.20158699999996</v>
      </c>
      <c r="P7" s="15">
        <v>3496.0615870000001</v>
      </c>
    </row>
    <row r="8" spans="1:16" ht="15" x14ac:dyDescent="0.2">
      <c r="A8" s="4" t="s">
        <v>573</v>
      </c>
      <c r="B8" s="21" t="str">
        <f t="shared" si="0"/>
        <v>Jul-2025</v>
      </c>
      <c r="C8" s="2" t="str">
        <f t="shared" si="1"/>
        <v>Q2</v>
      </c>
      <c r="D8" s="2" t="s">
        <v>31</v>
      </c>
      <c r="E8" s="13">
        <v>45842</v>
      </c>
      <c r="F8" s="14" t="s">
        <v>53</v>
      </c>
      <c r="G8" s="14" t="s">
        <v>54</v>
      </c>
      <c r="H8" s="14" t="s">
        <v>49</v>
      </c>
      <c r="I8" s="15">
        <v>2</v>
      </c>
      <c r="J8" s="15">
        <v>80</v>
      </c>
      <c r="K8" s="15">
        <v>111.74</v>
      </c>
      <c r="L8" s="15">
        <v>8939.2000000000007</v>
      </c>
      <c r="M8" s="15">
        <v>-687.42</v>
      </c>
      <c r="N8" s="15">
        <v>0</v>
      </c>
      <c r="O8" s="15">
        <v>1072.730832</v>
      </c>
      <c r="P8" s="15">
        <v>9324.5108319999999</v>
      </c>
    </row>
    <row r="9" spans="1:16" ht="15" x14ac:dyDescent="0.2">
      <c r="A9" s="4" t="s">
        <v>573</v>
      </c>
      <c r="B9" s="21" t="str">
        <f t="shared" si="0"/>
        <v>Jul-2025</v>
      </c>
      <c r="C9" s="2" t="str">
        <f t="shared" si="1"/>
        <v>Q2</v>
      </c>
      <c r="D9" s="2" t="s">
        <v>31</v>
      </c>
      <c r="E9" s="13">
        <v>45842</v>
      </c>
      <c r="F9" s="14" t="s">
        <v>53</v>
      </c>
      <c r="G9" s="14" t="s">
        <v>54</v>
      </c>
      <c r="H9" s="14" t="s">
        <v>58</v>
      </c>
      <c r="I9" s="15">
        <v>0.4</v>
      </c>
      <c r="J9" s="15">
        <v>16</v>
      </c>
      <c r="K9" s="15">
        <v>111.74</v>
      </c>
      <c r="L9" s="15">
        <v>1787.84</v>
      </c>
      <c r="M9" s="15">
        <v>-137.47999999999999</v>
      </c>
      <c r="N9" s="15">
        <v>0</v>
      </c>
      <c r="O9" s="15">
        <v>214.54668599999999</v>
      </c>
      <c r="P9" s="15">
        <v>1864.906686</v>
      </c>
    </row>
    <row r="10" spans="1:16" ht="15" x14ac:dyDescent="0.2">
      <c r="A10" s="4" t="s">
        <v>578</v>
      </c>
      <c r="B10" s="21" t="str">
        <f t="shared" si="0"/>
        <v>Jul-2025</v>
      </c>
      <c r="C10" s="2" t="str">
        <f t="shared" si="1"/>
        <v>Q2</v>
      </c>
      <c r="D10" s="2" t="s">
        <v>31</v>
      </c>
      <c r="E10" s="13">
        <v>45842</v>
      </c>
      <c r="F10" s="14" t="s">
        <v>53</v>
      </c>
      <c r="G10" s="14" t="s">
        <v>54</v>
      </c>
      <c r="H10" s="14" t="s">
        <v>59</v>
      </c>
      <c r="I10" s="15">
        <v>2</v>
      </c>
      <c r="J10" s="15">
        <v>84</v>
      </c>
      <c r="K10" s="15">
        <v>74.489999999999995</v>
      </c>
      <c r="L10" s="15">
        <v>6257.16</v>
      </c>
      <c r="M10" s="15">
        <v>-481.18</v>
      </c>
      <c r="N10" s="15">
        <v>0</v>
      </c>
      <c r="O10" s="15">
        <v>750.87700300000006</v>
      </c>
      <c r="P10" s="15">
        <v>6526.8570030000001</v>
      </c>
    </row>
    <row r="11" spans="1:16" ht="15" x14ac:dyDescent="0.2">
      <c r="A11" s="4" t="s">
        <v>578</v>
      </c>
      <c r="B11" s="21" t="str">
        <f t="shared" si="0"/>
        <v>Jul-2025</v>
      </c>
      <c r="C11" s="2" t="str">
        <f t="shared" si="1"/>
        <v>Q2</v>
      </c>
      <c r="D11" s="2" t="s">
        <v>31</v>
      </c>
      <c r="E11" s="13">
        <v>45842</v>
      </c>
      <c r="F11" s="14" t="s">
        <v>53</v>
      </c>
      <c r="G11" s="14" t="s">
        <v>54</v>
      </c>
      <c r="H11" s="14" t="s">
        <v>60</v>
      </c>
      <c r="I11" s="15">
        <v>2</v>
      </c>
      <c r="J11" s="15">
        <v>84</v>
      </c>
      <c r="K11" s="15">
        <v>74.489999999999995</v>
      </c>
      <c r="L11" s="15">
        <v>6257.16</v>
      </c>
      <c r="M11" s="15">
        <v>-481.18</v>
      </c>
      <c r="N11" s="15">
        <v>0</v>
      </c>
      <c r="O11" s="15">
        <v>750.87700300000006</v>
      </c>
      <c r="P11" s="15">
        <v>6526.8570030000001</v>
      </c>
    </row>
    <row r="12" spans="1:16" ht="15" x14ac:dyDescent="0.2">
      <c r="A12" s="4" t="s">
        <v>576</v>
      </c>
      <c r="B12" s="21" t="str">
        <f t="shared" si="0"/>
        <v>Jul-2025</v>
      </c>
      <c r="C12" s="2" t="str">
        <f t="shared" si="1"/>
        <v>Q2</v>
      </c>
      <c r="D12" s="2" t="s">
        <v>31</v>
      </c>
      <c r="E12" s="13">
        <v>45842</v>
      </c>
      <c r="F12" s="14" t="s">
        <v>53</v>
      </c>
      <c r="G12" s="14" t="s">
        <v>54</v>
      </c>
      <c r="H12" s="14" t="s">
        <v>61</v>
      </c>
      <c r="I12" s="15">
        <v>1</v>
      </c>
      <c r="J12" s="15">
        <v>20</v>
      </c>
      <c r="K12" s="15">
        <v>175.05</v>
      </c>
      <c r="L12" s="15">
        <v>3500.9999999999995</v>
      </c>
      <c r="M12" s="15">
        <v>-269.23</v>
      </c>
      <c r="N12" s="15">
        <v>0</v>
      </c>
      <c r="O12" s="15">
        <v>420.12987799999996</v>
      </c>
      <c r="P12" s="15">
        <v>3651.8998780000002</v>
      </c>
    </row>
    <row r="13" spans="1:16" ht="15" x14ac:dyDescent="0.2">
      <c r="A13" s="4" t="s">
        <v>578</v>
      </c>
      <c r="B13" s="21" t="str">
        <f t="shared" si="0"/>
        <v>Jul-2025</v>
      </c>
      <c r="C13" s="2" t="str">
        <f t="shared" si="1"/>
        <v>Q2</v>
      </c>
      <c r="D13" s="2" t="s">
        <v>31</v>
      </c>
      <c r="E13" s="13">
        <v>45842</v>
      </c>
      <c r="F13" s="14" t="s">
        <v>53</v>
      </c>
      <c r="G13" s="14" t="s">
        <v>54</v>
      </c>
      <c r="H13" s="14" t="s">
        <v>62</v>
      </c>
      <c r="I13" s="15">
        <v>2</v>
      </c>
      <c r="J13" s="15">
        <v>84</v>
      </c>
      <c r="K13" s="15">
        <v>74.489999999999995</v>
      </c>
      <c r="L13" s="15">
        <v>6257.16</v>
      </c>
      <c r="M13" s="15">
        <v>-481.18</v>
      </c>
      <c r="N13" s="15">
        <v>0</v>
      </c>
      <c r="O13" s="15">
        <v>750.87700300000006</v>
      </c>
      <c r="P13" s="15">
        <v>6526.8570030000001</v>
      </c>
    </row>
    <row r="14" spans="1:16" ht="15" x14ac:dyDescent="0.2">
      <c r="A14" s="4" t="s">
        <v>579</v>
      </c>
      <c r="B14" s="21" t="str">
        <f t="shared" si="0"/>
        <v>Jul-2025</v>
      </c>
      <c r="C14" s="2" t="str">
        <f t="shared" si="1"/>
        <v>Q2</v>
      </c>
      <c r="D14" s="2" t="s">
        <v>31</v>
      </c>
      <c r="E14" s="13">
        <v>45842</v>
      </c>
      <c r="F14" s="14" t="s">
        <v>53</v>
      </c>
      <c r="G14" s="14" t="s">
        <v>54</v>
      </c>
      <c r="H14" s="14" t="s">
        <v>63</v>
      </c>
      <c r="I14" s="15">
        <v>1</v>
      </c>
      <c r="J14" s="15">
        <v>20</v>
      </c>
      <c r="K14" s="15">
        <v>204.85</v>
      </c>
      <c r="L14" s="15">
        <v>4097</v>
      </c>
      <c r="M14" s="15">
        <v>-315.06</v>
      </c>
      <c r="N14" s="15">
        <v>0</v>
      </c>
      <c r="O14" s="15">
        <v>491.65193999999997</v>
      </c>
      <c r="P14" s="15">
        <v>4273.5919400000002</v>
      </c>
    </row>
    <row r="15" spans="1:16" ht="15" x14ac:dyDescent="0.2">
      <c r="A15" s="4" t="s">
        <v>580</v>
      </c>
      <c r="B15" s="21" t="str">
        <f t="shared" si="0"/>
        <v>Jul-2025</v>
      </c>
      <c r="C15" s="2" t="str">
        <f t="shared" si="1"/>
        <v>Q2</v>
      </c>
      <c r="D15" s="2" t="s">
        <v>31</v>
      </c>
      <c r="E15" s="13">
        <v>45842</v>
      </c>
      <c r="F15" s="14" t="s">
        <v>64</v>
      </c>
      <c r="G15" s="14" t="s">
        <v>22</v>
      </c>
      <c r="H15" s="14" t="s">
        <v>65</v>
      </c>
      <c r="I15" s="15">
        <v>1</v>
      </c>
      <c r="J15" s="15">
        <v>130</v>
      </c>
      <c r="K15" s="15">
        <v>33.520000000000003</v>
      </c>
      <c r="L15" s="15">
        <v>4357.6000000000004</v>
      </c>
      <c r="M15" s="15">
        <v>-335.1</v>
      </c>
      <c r="N15" s="15">
        <v>0</v>
      </c>
      <c r="O15" s="15">
        <v>522.92513099999996</v>
      </c>
      <c r="P15" s="15">
        <v>4545.425131</v>
      </c>
    </row>
    <row r="16" spans="1:16" ht="15" x14ac:dyDescent="0.2">
      <c r="A16" s="4" t="s">
        <v>576</v>
      </c>
      <c r="B16" s="21" t="str">
        <f t="shared" si="0"/>
        <v>Jul-2025</v>
      </c>
      <c r="C16" s="2" t="str">
        <f t="shared" si="1"/>
        <v>Q2</v>
      </c>
      <c r="D16" s="2" t="s">
        <v>31</v>
      </c>
      <c r="E16" s="13">
        <v>45842</v>
      </c>
      <c r="F16" s="14" t="s">
        <v>64</v>
      </c>
      <c r="G16" s="14" t="s">
        <v>22</v>
      </c>
      <c r="H16" s="14" t="s">
        <v>61</v>
      </c>
      <c r="I16" s="15">
        <v>1</v>
      </c>
      <c r="J16" s="15">
        <v>20</v>
      </c>
      <c r="K16" s="15">
        <v>175.05</v>
      </c>
      <c r="L16" s="15">
        <v>3500.9999999999995</v>
      </c>
      <c r="M16" s="15">
        <v>-269.23</v>
      </c>
      <c r="N16" s="15">
        <v>0</v>
      </c>
      <c r="O16" s="15">
        <v>420.13020499999999</v>
      </c>
      <c r="P16" s="15">
        <v>3651.9002049999999</v>
      </c>
    </row>
    <row r="17" spans="1:16" ht="15" x14ac:dyDescent="0.2">
      <c r="A17" s="4" t="s">
        <v>581</v>
      </c>
      <c r="B17" s="21" t="str">
        <f t="shared" si="0"/>
        <v>Jul-2025</v>
      </c>
      <c r="C17" s="2" t="str">
        <f t="shared" si="1"/>
        <v>Q2</v>
      </c>
      <c r="D17" s="2" t="s">
        <v>31</v>
      </c>
      <c r="E17" s="13">
        <v>45842</v>
      </c>
      <c r="F17" s="14" t="s">
        <v>64</v>
      </c>
      <c r="G17" s="14" t="s">
        <v>22</v>
      </c>
      <c r="H17" s="14" t="s">
        <v>66</v>
      </c>
      <c r="I17" s="15">
        <v>1</v>
      </c>
      <c r="J17" s="15">
        <v>24</v>
      </c>
      <c r="K17" s="15">
        <v>141.53</v>
      </c>
      <c r="L17" s="15">
        <v>3396.72</v>
      </c>
      <c r="M17" s="15">
        <v>-261.20999999999998</v>
      </c>
      <c r="N17" s="15">
        <v>0</v>
      </c>
      <c r="O17" s="15">
        <v>407.61640199999999</v>
      </c>
      <c r="P17" s="15">
        <v>3543.1264019999999</v>
      </c>
    </row>
    <row r="18" spans="1:16" ht="15" x14ac:dyDescent="0.2">
      <c r="A18" s="4" t="s">
        <v>582</v>
      </c>
      <c r="B18" s="21" t="str">
        <f t="shared" si="0"/>
        <v>Jul-2025</v>
      </c>
      <c r="C18" s="2" t="str">
        <f t="shared" si="1"/>
        <v>Q2</v>
      </c>
      <c r="D18" s="2" t="s">
        <v>31</v>
      </c>
      <c r="E18" s="13">
        <v>45842</v>
      </c>
      <c r="F18" s="14" t="s">
        <v>64</v>
      </c>
      <c r="G18" s="14" t="s">
        <v>22</v>
      </c>
      <c r="H18" s="14" t="s">
        <v>67</v>
      </c>
      <c r="I18" s="15">
        <v>1</v>
      </c>
      <c r="J18" s="15">
        <v>24</v>
      </c>
      <c r="K18" s="15">
        <v>186.23</v>
      </c>
      <c r="L18" s="15">
        <v>4469.5200000000004</v>
      </c>
      <c r="M18" s="15">
        <v>-343.71</v>
      </c>
      <c r="N18" s="15">
        <v>0</v>
      </c>
      <c r="O18" s="15">
        <v>536.35543400000006</v>
      </c>
      <c r="P18" s="15">
        <v>4662.1654339999995</v>
      </c>
    </row>
    <row r="19" spans="1:16" ht="15" x14ac:dyDescent="0.2">
      <c r="A19" s="4" t="s">
        <v>577</v>
      </c>
      <c r="B19" s="21" t="str">
        <f t="shared" si="0"/>
        <v>Jul-2025</v>
      </c>
      <c r="C19" s="2" t="str">
        <f t="shared" si="1"/>
        <v>Q2</v>
      </c>
      <c r="D19" s="2" t="s">
        <v>31</v>
      </c>
      <c r="E19" s="13">
        <v>45842</v>
      </c>
      <c r="F19" s="14" t="s">
        <v>64</v>
      </c>
      <c r="G19" s="14" t="s">
        <v>22</v>
      </c>
      <c r="H19" s="14" t="s">
        <v>57</v>
      </c>
      <c r="I19" s="15">
        <v>2</v>
      </c>
      <c r="J19" s="15">
        <v>360</v>
      </c>
      <c r="K19" s="15">
        <v>18.62</v>
      </c>
      <c r="L19" s="15">
        <v>6703.2</v>
      </c>
      <c r="M19" s="15">
        <v>-515.48</v>
      </c>
      <c r="N19" s="15">
        <v>0</v>
      </c>
      <c r="O19" s="15">
        <v>804.40380099999993</v>
      </c>
      <c r="P19" s="15">
        <v>6992.1238009999997</v>
      </c>
    </row>
    <row r="20" spans="1:16" ht="15" x14ac:dyDescent="0.2">
      <c r="A20" s="4" t="s">
        <v>576</v>
      </c>
      <c r="B20" s="21" t="str">
        <f t="shared" si="0"/>
        <v>Jul-2025</v>
      </c>
      <c r="C20" s="2" t="str">
        <f t="shared" si="1"/>
        <v>Q2</v>
      </c>
      <c r="D20" s="2" t="s">
        <v>31</v>
      </c>
      <c r="E20" s="13">
        <v>45842</v>
      </c>
      <c r="F20" s="14" t="s">
        <v>64</v>
      </c>
      <c r="G20" s="14" t="s">
        <v>22</v>
      </c>
      <c r="H20" s="14" t="s">
        <v>68</v>
      </c>
      <c r="I20" s="15">
        <v>1</v>
      </c>
      <c r="J20" s="15">
        <v>20</v>
      </c>
      <c r="K20" s="15">
        <v>175.05</v>
      </c>
      <c r="L20" s="15">
        <v>3500.9999999999995</v>
      </c>
      <c r="M20" s="15">
        <v>-269.23</v>
      </c>
      <c r="N20" s="15">
        <v>0</v>
      </c>
      <c r="O20" s="15">
        <v>420.13020499999999</v>
      </c>
      <c r="P20" s="15">
        <v>3651.9002049999999</v>
      </c>
    </row>
    <row r="21" spans="1:16" ht="15" x14ac:dyDescent="0.2">
      <c r="A21" s="4" t="s">
        <v>575</v>
      </c>
      <c r="B21" s="21" t="str">
        <f t="shared" si="0"/>
        <v>Jul-2025</v>
      </c>
      <c r="C21" s="2" t="str">
        <f t="shared" si="1"/>
        <v>Q2</v>
      </c>
      <c r="D21" s="2" t="s">
        <v>31</v>
      </c>
      <c r="E21" s="13">
        <v>45842</v>
      </c>
      <c r="F21" s="14" t="s">
        <v>64</v>
      </c>
      <c r="G21" s="14" t="s">
        <v>22</v>
      </c>
      <c r="H21" s="14" t="s">
        <v>55</v>
      </c>
      <c r="I21" s="15">
        <v>5</v>
      </c>
      <c r="J21" s="15">
        <v>100</v>
      </c>
      <c r="K21" s="15">
        <v>186.23</v>
      </c>
      <c r="L21" s="15">
        <v>18623</v>
      </c>
      <c r="M21" s="15">
        <v>-1432.1100000000001</v>
      </c>
      <c r="N21" s="15">
        <v>0</v>
      </c>
      <c r="O21" s="15">
        <v>2234.8162580000003</v>
      </c>
      <c r="P21" s="15">
        <v>19425.706257999998</v>
      </c>
    </row>
    <row r="22" spans="1:16" ht="15" x14ac:dyDescent="0.2">
      <c r="A22" s="4" t="s">
        <v>578</v>
      </c>
      <c r="B22" s="21" t="str">
        <f t="shared" si="0"/>
        <v>Jul-2025</v>
      </c>
      <c r="C22" s="2" t="str">
        <f t="shared" si="1"/>
        <v>Q2</v>
      </c>
      <c r="D22" s="2" t="s">
        <v>31</v>
      </c>
      <c r="E22" s="13">
        <v>45842</v>
      </c>
      <c r="F22" s="14" t="s">
        <v>64</v>
      </c>
      <c r="G22" s="14" t="s">
        <v>22</v>
      </c>
      <c r="H22" s="14" t="s">
        <v>59</v>
      </c>
      <c r="I22" s="15">
        <v>5</v>
      </c>
      <c r="J22" s="15">
        <v>210</v>
      </c>
      <c r="K22" s="15">
        <v>74.489999999999995</v>
      </c>
      <c r="L22" s="15">
        <v>15642.9</v>
      </c>
      <c r="M22" s="15">
        <v>-1202.94</v>
      </c>
      <c r="N22" s="15">
        <v>0</v>
      </c>
      <c r="O22" s="15">
        <v>1877.1952689999998</v>
      </c>
      <c r="P22" s="15">
        <v>16317.155269000001</v>
      </c>
    </row>
    <row r="23" spans="1:16" ht="15" x14ac:dyDescent="0.2">
      <c r="A23" s="4" t="s">
        <v>579</v>
      </c>
      <c r="B23" s="21" t="str">
        <f t="shared" si="0"/>
        <v>Jul-2025</v>
      </c>
      <c r="C23" s="2" t="str">
        <f t="shared" si="1"/>
        <v>Q2</v>
      </c>
      <c r="D23" s="2" t="s">
        <v>31</v>
      </c>
      <c r="E23" s="13">
        <v>45842</v>
      </c>
      <c r="F23" s="14" t="s">
        <v>64</v>
      </c>
      <c r="G23" s="14" t="s">
        <v>22</v>
      </c>
      <c r="H23" s="14" t="s">
        <v>63</v>
      </c>
      <c r="I23" s="15">
        <v>1</v>
      </c>
      <c r="J23" s="15">
        <v>20</v>
      </c>
      <c r="K23" s="15">
        <v>204.85</v>
      </c>
      <c r="L23" s="15">
        <v>4097</v>
      </c>
      <c r="M23" s="15">
        <v>-315.06</v>
      </c>
      <c r="N23" s="15">
        <v>0</v>
      </c>
      <c r="O23" s="15">
        <v>491.65232299999997</v>
      </c>
      <c r="P23" s="15">
        <v>4273.5923229999999</v>
      </c>
    </row>
    <row r="24" spans="1:16" ht="15" x14ac:dyDescent="0.2">
      <c r="A24" s="4" t="s">
        <v>576</v>
      </c>
      <c r="B24" s="21" t="str">
        <f t="shared" si="0"/>
        <v>Jul-2025</v>
      </c>
      <c r="C24" s="2" t="str">
        <f t="shared" si="1"/>
        <v>Q2</v>
      </c>
      <c r="D24" s="2" t="s">
        <v>31</v>
      </c>
      <c r="E24" s="13">
        <v>45842</v>
      </c>
      <c r="F24" s="14" t="s">
        <v>64</v>
      </c>
      <c r="G24" s="14" t="s">
        <v>22</v>
      </c>
      <c r="H24" s="14" t="s">
        <v>56</v>
      </c>
      <c r="I24" s="15">
        <v>1</v>
      </c>
      <c r="J24" s="15">
        <v>20</v>
      </c>
      <c r="K24" s="15">
        <v>175.05</v>
      </c>
      <c r="L24" s="15">
        <v>3500.9999999999995</v>
      </c>
      <c r="M24" s="15">
        <v>-269.23</v>
      </c>
      <c r="N24" s="15">
        <v>0</v>
      </c>
      <c r="O24" s="15">
        <v>420.13020499999999</v>
      </c>
      <c r="P24" s="15">
        <v>3651.9002049999999</v>
      </c>
    </row>
    <row r="25" spans="1:16" ht="15" x14ac:dyDescent="0.2">
      <c r="A25" s="4" t="s">
        <v>579</v>
      </c>
      <c r="B25" s="21" t="str">
        <f t="shared" si="0"/>
        <v>Jul-2025</v>
      </c>
      <c r="C25" s="2" t="str">
        <f t="shared" si="1"/>
        <v>Q2</v>
      </c>
      <c r="D25" s="2" t="s">
        <v>31</v>
      </c>
      <c r="E25" s="13">
        <v>45842</v>
      </c>
      <c r="F25" s="14" t="s">
        <v>64</v>
      </c>
      <c r="G25" s="14" t="s">
        <v>22</v>
      </c>
      <c r="H25" s="14" t="s">
        <v>69</v>
      </c>
      <c r="I25" s="15">
        <v>1</v>
      </c>
      <c r="J25" s="15">
        <v>20</v>
      </c>
      <c r="K25" s="15">
        <v>204.85</v>
      </c>
      <c r="L25" s="15">
        <v>4097</v>
      </c>
      <c r="M25" s="15">
        <v>-315.06</v>
      </c>
      <c r="N25" s="15">
        <v>0</v>
      </c>
      <c r="O25" s="15">
        <v>491.65232299999997</v>
      </c>
      <c r="P25" s="15">
        <v>4273.5923229999999</v>
      </c>
    </row>
    <row r="26" spans="1:16" ht="15" x14ac:dyDescent="0.2">
      <c r="A26" s="4" t="s">
        <v>573</v>
      </c>
      <c r="B26" s="21" t="str">
        <f t="shared" si="0"/>
        <v>Jul-2025</v>
      </c>
      <c r="C26" s="2" t="str">
        <f t="shared" si="1"/>
        <v>Q2</v>
      </c>
      <c r="D26" s="2" t="s">
        <v>31</v>
      </c>
      <c r="E26" s="13">
        <v>45842</v>
      </c>
      <c r="F26" s="14" t="s">
        <v>64</v>
      </c>
      <c r="G26" s="14" t="s">
        <v>22</v>
      </c>
      <c r="H26" s="14" t="s">
        <v>49</v>
      </c>
      <c r="I26" s="15">
        <v>2</v>
      </c>
      <c r="J26" s="15">
        <v>80</v>
      </c>
      <c r="K26" s="15">
        <v>111.74</v>
      </c>
      <c r="L26" s="15">
        <v>8939.2000000000007</v>
      </c>
      <c r="M26" s="15">
        <v>-687.42</v>
      </c>
      <c r="N26" s="15">
        <v>0</v>
      </c>
      <c r="O26" s="15">
        <v>1072.7316680000001</v>
      </c>
      <c r="P26" s="15">
        <v>9324.5116679999992</v>
      </c>
    </row>
    <row r="27" spans="1:16" ht="15" x14ac:dyDescent="0.2">
      <c r="A27" s="4" t="s">
        <v>579</v>
      </c>
      <c r="B27" s="21" t="str">
        <f t="shared" si="0"/>
        <v>Jul-2025</v>
      </c>
      <c r="C27" s="2" t="str">
        <f t="shared" si="1"/>
        <v>Q2</v>
      </c>
      <c r="D27" s="2" t="s">
        <v>31</v>
      </c>
      <c r="E27" s="13">
        <v>45842</v>
      </c>
      <c r="F27" s="14" t="s">
        <v>64</v>
      </c>
      <c r="G27" s="14" t="s">
        <v>22</v>
      </c>
      <c r="H27" s="14" t="s">
        <v>70</v>
      </c>
      <c r="I27" s="15">
        <v>1</v>
      </c>
      <c r="J27" s="15">
        <v>20</v>
      </c>
      <c r="K27" s="15">
        <v>201.13</v>
      </c>
      <c r="L27" s="15">
        <v>4022.6</v>
      </c>
      <c r="M27" s="15">
        <v>-309.33999999999997</v>
      </c>
      <c r="N27" s="15">
        <v>0</v>
      </c>
      <c r="O27" s="15">
        <v>482.72392100000002</v>
      </c>
      <c r="P27" s="15">
        <v>4195.983921</v>
      </c>
    </row>
    <row r="28" spans="1:16" ht="15" x14ac:dyDescent="0.2">
      <c r="A28" s="4" t="s">
        <v>583</v>
      </c>
      <c r="B28" s="21" t="str">
        <f t="shared" si="0"/>
        <v>Jul-2025</v>
      </c>
      <c r="C28" s="2" t="str">
        <f t="shared" si="1"/>
        <v>Q2</v>
      </c>
      <c r="D28" s="2" t="s">
        <v>31</v>
      </c>
      <c r="E28" s="13">
        <v>45842</v>
      </c>
      <c r="F28" s="14" t="s">
        <v>64</v>
      </c>
      <c r="G28" s="14" t="s">
        <v>22</v>
      </c>
      <c r="H28" s="14" t="s">
        <v>71</v>
      </c>
      <c r="I28" s="15">
        <v>2</v>
      </c>
      <c r="J28" s="15">
        <v>30</v>
      </c>
      <c r="K28" s="15">
        <v>260.72000000000003</v>
      </c>
      <c r="L28" s="15">
        <v>7821.6</v>
      </c>
      <c r="M28" s="15">
        <v>-601.48</v>
      </c>
      <c r="N28" s="15">
        <v>0</v>
      </c>
      <c r="O28" s="15">
        <v>938.61583400000006</v>
      </c>
      <c r="P28" s="15">
        <v>8158.7358340000001</v>
      </c>
    </row>
    <row r="29" spans="1:16" ht="15" x14ac:dyDescent="0.2">
      <c r="A29" s="4" t="s">
        <v>578</v>
      </c>
      <c r="B29" s="21" t="str">
        <f t="shared" si="0"/>
        <v>Jul-2025</v>
      </c>
      <c r="C29" s="2" t="str">
        <f t="shared" si="1"/>
        <v>Q2</v>
      </c>
      <c r="D29" s="2" t="s">
        <v>31</v>
      </c>
      <c r="E29" s="13">
        <v>45842</v>
      </c>
      <c r="F29" s="14" t="s">
        <v>64</v>
      </c>
      <c r="G29" s="14" t="s">
        <v>22</v>
      </c>
      <c r="H29" s="14" t="s">
        <v>60</v>
      </c>
      <c r="I29" s="15">
        <v>5</v>
      </c>
      <c r="J29" s="15">
        <v>210</v>
      </c>
      <c r="K29" s="15">
        <v>74.489999999999995</v>
      </c>
      <c r="L29" s="15">
        <v>15642.9</v>
      </c>
      <c r="M29" s="15">
        <v>-1202.94</v>
      </c>
      <c r="N29" s="15">
        <v>0</v>
      </c>
      <c r="O29" s="15">
        <v>1877.1952689999998</v>
      </c>
      <c r="P29" s="15">
        <v>16317.155269000001</v>
      </c>
    </row>
    <row r="30" spans="1:16" ht="15" x14ac:dyDescent="0.2">
      <c r="A30" s="4" t="s">
        <v>578</v>
      </c>
      <c r="B30" s="21" t="str">
        <f t="shared" si="0"/>
        <v>Jul-2025</v>
      </c>
      <c r="C30" s="2" t="str">
        <f t="shared" si="1"/>
        <v>Q2</v>
      </c>
      <c r="D30" s="2" t="s">
        <v>31</v>
      </c>
      <c r="E30" s="13">
        <v>45842</v>
      </c>
      <c r="F30" s="14" t="s">
        <v>64</v>
      </c>
      <c r="G30" s="14" t="s">
        <v>22</v>
      </c>
      <c r="H30" s="14" t="s">
        <v>62</v>
      </c>
      <c r="I30" s="15">
        <v>5</v>
      </c>
      <c r="J30" s="15">
        <v>210</v>
      </c>
      <c r="K30" s="15">
        <v>74.489999999999995</v>
      </c>
      <c r="L30" s="15">
        <v>15642.9</v>
      </c>
      <c r="M30" s="15">
        <v>-1202.94</v>
      </c>
      <c r="N30" s="15">
        <v>0</v>
      </c>
      <c r="O30" s="15">
        <v>1877.1952689999998</v>
      </c>
      <c r="P30" s="15">
        <v>16317.155269000001</v>
      </c>
    </row>
    <row r="31" spans="1:16" ht="15" x14ac:dyDescent="0.2">
      <c r="A31" s="4" t="s">
        <v>584</v>
      </c>
      <c r="B31" s="21" t="str">
        <f t="shared" si="0"/>
        <v>Jul-2025</v>
      </c>
      <c r="C31" s="2" t="str">
        <f t="shared" si="1"/>
        <v>Q2</v>
      </c>
      <c r="D31" s="2" t="s">
        <v>31</v>
      </c>
      <c r="E31" s="13">
        <v>45842</v>
      </c>
      <c r="F31" s="14" t="s">
        <v>64</v>
      </c>
      <c r="G31" s="14" t="s">
        <v>22</v>
      </c>
      <c r="H31" s="14" t="s">
        <v>72</v>
      </c>
      <c r="I31" s="15">
        <v>1</v>
      </c>
      <c r="J31" s="15">
        <v>40</v>
      </c>
      <c r="K31" s="15">
        <v>81.94</v>
      </c>
      <c r="L31" s="15">
        <v>3277.6</v>
      </c>
      <c r="M31" s="15">
        <v>-252.05</v>
      </c>
      <c r="N31" s="15">
        <v>0</v>
      </c>
      <c r="O31" s="15">
        <v>393.32159799999999</v>
      </c>
      <c r="P31" s="15">
        <v>3418.8715980000002</v>
      </c>
    </row>
    <row r="32" spans="1:16" ht="15" x14ac:dyDescent="0.2">
      <c r="A32" s="4" t="s">
        <v>585</v>
      </c>
      <c r="B32" s="21" t="str">
        <f t="shared" si="0"/>
        <v>Jul-2025</v>
      </c>
      <c r="C32" s="2" t="str">
        <f t="shared" si="1"/>
        <v>Q2</v>
      </c>
      <c r="D32" s="2" t="s">
        <v>31</v>
      </c>
      <c r="E32" s="13">
        <v>45842</v>
      </c>
      <c r="F32" s="14" t="s">
        <v>64</v>
      </c>
      <c r="G32" s="14" t="s">
        <v>22</v>
      </c>
      <c r="H32" s="14" t="s">
        <v>73</v>
      </c>
      <c r="I32" s="15">
        <v>1</v>
      </c>
      <c r="J32" s="15">
        <v>1600</v>
      </c>
      <c r="K32" s="15">
        <v>1.79</v>
      </c>
      <c r="L32" s="15">
        <v>2864</v>
      </c>
      <c r="M32" s="15">
        <v>-220.24</v>
      </c>
      <c r="N32" s="15">
        <v>0</v>
      </c>
      <c r="O32" s="15">
        <v>343.68888599999997</v>
      </c>
      <c r="P32" s="15">
        <v>2987.4488860000001</v>
      </c>
    </row>
    <row r="33" spans="1:16" ht="15" x14ac:dyDescent="0.2">
      <c r="A33" s="4" t="s">
        <v>581</v>
      </c>
      <c r="B33" s="21" t="str">
        <f t="shared" si="0"/>
        <v>Jul-2025</v>
      </c>
      <c r="C33" s="2" t="str">
        <f t="shared" si="1"/>
        <v>Q2</v>
      </c>
      <c r="D33" s="2" t="s">
        <v>31</v>
      </c>
      <c r="E33" s="13">
        <v>45845</v>
      </c>
      <c r="F33" s="14" t="s">
        <v>74</v>
      </c>
      <c r="G33" s="14" t="s">
        <v>46</v>
      </c>
      <c r="H33" s="14" t="s">
        <v>66</v>
      </c>
      <c r="I33" s="15">
        <v>2</v>
      </c>
      <c r="J33" s="15">
        <v>48</v>
      </c>
      <c r="K33" s="15">
        <v>141.53</v>
      </c>
      <c r="L33" s="15">
        <v>6793.44</v>
      </c>
      <c r="M33" s="15">
        <v>-522.41999999999996</v>
      </c>
      <c r="N33" s="15">
        <v>0</v>
      </c>
      <c r="O33" s="15">
        <v>815.23</v>
      </c>
      <c r="P33" s="15">
        <v>7086.25</v>
      </c>
    </row>
    <row r="34" spans="1:16" ht="15" x14ac:dyDescent="0.2">
      <c r="A34" s="4" t="s">
        <v>578</v>
      </c>
      <c r="B34" s="21" t="str">
        <f t="shared" si="0"/>
        <v>Jul-2025</v>
      </c>
      <c r="C34" s="2" t="str">
        <f t="shared" si="1"/>
        <v>Q2</v>
      </c>
      <c r="D34" s="2" t="s">
        <v>31</v>
      </c>
      <c r="E34" s="13">
        <v>45847</v>
      </c>
      <c r="F34" s="14" t="s">
        <v>75</v>
      </c>
      <c r="G34" s="14" t="s">
        <v>21</v>
      </c>
      <c r="H34" s="14" t="s">
        <v>60</v>
      </c>
      <c r="I34" s="15">
        <v>10</v>
      </c>
      <c r="J34" s="15">
        <v>420</v>
      </c>
      <c r="K34" s="15">
        <v>74.489999999999995</v>
      </c>
      <c r="L34" s="15">
        <v>31285.8</v>
      </c>
      <c r="M34" s="15">
        <v>-2405.88</v>
      </c>
      <c r="N34" s="15">
        <v>0</v>
      </c>
      <c r="O34" s="15">
        <v>3754.3893630000002</v>
      </c>
      <c r="P34" s="15">
        <v>32634.309363</v>
      </c>
    </row>
    <row r="35" spans="1:16" ht="15" x14ac:dyDescent="0.2">
      <c r="A35" s="4" t="s">
        <v>576</v>
      </c>
      <c r="B35" s="21" t="str">
        <f t="shared" si="0"/>
        <v>Jul-2025</v>
      </c>
      <c r="C35" s="2" t="str">
        <f t="shared" si="1"/>
        <v>Q2</v>
      </c>
      <c r="D35" s="2" t="s">
        <v>31</v>
      </c>
      <c r="E35" s="13">
        <v>45847</v>
      </c>
      <c r="F35" s="14" t="s">
        <v>75</v>
      </c>
      <c r="G35" s="14" t="s">
        <v>21</v>
      </c>
      <c r="H35" s="14" t="s">
        <v>56</v>
      </c>
      <c r="I35" s="15">
        <v>2</v>
      </c>
      <c r="J35" s="15">
        <v>40</v>
      </c>
      <c r="K35" s="15">
        <v>175.05</v>
      </c>
      <c r="L35" s="15">
        <v>7001.9999999999991</v>
      </c>
      <c r="M35" s="15">
        <v>-538.45000000000005</v>
      </c>
      <c r="N35" s="15">
        <v>0</v>
      </c>
      <c r="O35" s="15">
        <v>840.26144700000009</v>
      </c>
      <c r="P35" s="15">
        <v>7303.811447</v>
      </c>
    </row>
    <row r="36" spans="1:16" ht="15" x14ac:dyDescent="0.2">
      <c r="A36" s="4" t="s">
        <v>573</v>
      </c>
      <c r="B36" s="21" t="str">
        <f t="shared" si="0"/>
        <v>Jul-2025</v>
      </c>
      <c r="C36" s="2" t="str">
        <f t="shared" si="1"/>
        <v>Q2</v>
      </c>
      <c r="D36" s="2" t="s">
        <v>31</v>
      </c>
      <c r="E36" s="13">
        <v>45847</v>
      </c>
      <c r="F36" s="14" t="s">
        <v>75</v>
      </c>
      <c r="G36" s="14" t="s">
        <v>21</v>
      </c>
      <c r="H36" s="14" t="s">
        <v>49</v>
      </c>
      <c r="I36" s="15">
        <v>3</v>
      </c>
      <c r="J36" s="15">
        <v>120</v>
      </c>
      <c r="K36" s="15">
        <v>111.74</v>
      </c>
      <c r="L36" s="15">
        <v>13408.8</v>
      </c>
      <c r="M36" s="15">
        <v>-1031.1400000000001</v>
      </c>
      <c r="N36" s="15">
        <v>0</v>
      </c>
      <c r="O36" s="15">
        <v>1609.0956980000001</v>
      </c>
      <c r="P36" s="15">
        <v>13986.755698000001</v>
      </c>
    </row>
    <row r="37" spans="1:16" ht="15" x14ac:dyDescent="0.2">
      <c r="A37" s="4" t="s">
        <v>580</v>
      </c>
      <c r="B37" s="21" t="str">
        <f t="shared" si="0"/>
        <v>Jul-2025</v>
      </c>
      <c r="C37" s="2" t="str">
        <f t="shared" si="1"/>
        <v>Q2</v>
      </c>
      <c r="D37" s="2" t="s">
        <v>31</v>
      </c>
      <c r="E37" s="13">
        <v>45847</v>
      </c>
      <c r="F37" s="14" t="s">
        <v>75</v>
      </c>
      <c r="G37" s="14" t="s">
        <v>21</v>
      </c>
      <c r="H37" s="14" t="s">
        <v>65</v>
      </c>
      <c r="I37" s="15">
        <v>2</v>
      </c>
      <c r="J37" s="15">
        <v>260</v>
      </c>
      <c r="K37" s="15">
        <v>33.520000000000003</v>
      </c>
      <c r="L37" s="15">
        <v>8715.2000000000007</v>
      </c>
      <c r="M37" s="15">
        <v>-670.2</v>
      </c>
      <c r="N37" s="15">
        <v>0</v>
      </c>
      <c r="O37" s="15">
        <v>1045.8499339999998</v>
      </c>
      <c r="P37" s="15">
        <v>9090.8499339999998</v>
      </c>
    </row>
    <row r="38" spans="1:16" ht="15" x14ac:dyDescent="0.2">
      <c r="A38" s="4" t="s">
        <v>586</v>
      </c>
      <c r="B38" s="21" t="str">
        <f t="shared" si="0"/>
        <v>Jul-2025</v>
      </c>
      <c r="C38" s="2" t="str">
        <f t="shared" si="1"/>
        <v>Q2</v>
      </c>
      <c r="D38" s="2" t="s">
        <v>31</v>
      </c>
      <c r="E38" s="13">
        <v>45847</v>
      </c>
      <c r="F38" s="14" t="s">
        <v>75</v>
      </c>
      <c r="G38" s="14" t="s">
        <v>21</v>
      </c>
      <c r="H38" s="14" t="s">
        <v>76</v>
      </c>
      <c r="I38" s="15">
        <v>1</v>
      </c>
      <c r="J38" s="15">
        <v>240</v>
      </c>
      <c r="K38" s="15">
        <v>18.62</v>
      </c>
      <c r="L38" s="15">
        <v>4468.8</v>
      </c>
      <c r="M38" s="15">
        <v>-343.65</v>
      </c>
      <c r="N38" s="15">
        <v>0</v>
      </c>
      <c r="O38" s="15">
        <v>536.26946600000008</v>
      </c>
      <c r="P38" s="15">
        <v>4661.4194660000003</v>
      </c>
    </row>
    <row r="39" spans="1:16" ht="15" x14ac:dyDescent="0.2">
      <c r="A39" s="4" t="s">
        <v>585</v>
      </c>
      <c r="B39" s="21" t="str">
        <f t="shared" si="0"/>
        <v>Jul-2025</v>
      </c>
      <c r="C39" s="2" t="str">
        <f t="shared" si="1"/>
        <v>Q2</v>
      </c>
      <c r="D39" s="2" t="s">
        <v>31</v>
      </c>
      <c r="E39" s="13">
        <v>45847</v>
      </c>
      <c r="F39" s="14" t="s">
        <v>75</v>
      </c>
      <c r="G39" s="14" t="s">
        <v>21</v>
      </c>
      <c r="H39" s="14" t="s">
        <v>73</v>
      </c>
      <c r="I39" s="15">
        <v>1</v>
      </c>
      <c r="J39" s="15">
        <v>1600</v>
      </c>
      <c r="K39" s="15">
        <v>1.79</v>
      </c>
      <c r="L39" s="15">
        <v>2864</v>
      </c>
      <c r="M39" s="15">
        <v>-220.24</v>
      </c>
      <c r="N39" s="15">
        <v>0</v>
      </c>
      <c r="O39" s="15">
        <v>343.68877800000001</v>
      </c>
      <c r="P39" s="15">
        <v>2987.4487779999999</v>
      </c>
    </row>
    <row r="40" spans="1:16" ht="15" x14ac:dyDescent="0.2">
      <c r="A40" s="4" t="s">
        <v>578</v>
      </c>
      <c r="B40" s="21" t="str">
        <f t="shared" si="0"/>
        <v>Jul-2025</v>
      </c>
      <c r="C40" s="2" t="str">
        <f t="shared" si="1"/>
        <v>Q2</v>
      </c>
      <c r="D40" s="2" t="s">
        <v>31</v>
      </c>
      <c r="E40" s="13">
        <v>45847</v>
      </c>
      <c r="F40" s="14" t="s">
        <v>75</v>
      </c>
      <c r="G40" s="14" t="s">
        <v>21</v>
      </c>
      <c r="H40" s="14" t="s">
        <v>59</v>
      </c>
      <c r="I40" s="15">
        <v>10</v>
      </c>
      <c r="J40" s="15">
        <v>420</v>
      </c>
      <c r="K40" s="15">
        <v>74.489999999999995</v>
      </c>
      <c r="L40" s="15">
        <v>31285.8</v>
      </c>
      <c r="M40" s="15">
        <v>-2405.88</v>
      </c>
      <c r="N40" s="15">
        <v>0</v>
      </c>
      <c r="O40" s="15">
        <v>3754.3893630000002</v>
      </c>
      <c r="P40" s="15">
        <v>32634.309363</v>
      </c>
    </row>
    <row r="41" spans="1:16" ht="15" x14ac:dyDescent="0.2">
      <c r="A41" s="4" t="s">
        <v>582</v>
      </c>
      <c r="B41" s="21" t="str">
        <f t="shared" si="0"/>
        <v>Jul-2025</v>
      </c>
      <c r="C41" s="2" t="str">
        <f t="shared" si="1"/>
        <v>Q2</v>
      </c>
      <c r="D41" s="2" t="s">
        <v>31</v>
      </c>
      <c r="E41" s="13">
        <v>45847</v>
      </c>
      <c r="F41" s="14" t="s">
        <v>75</v>
      </c>
      <c r="G41" s="14" t="s">
        <v>21</v>
      </c>
      <c r="H41" s="14" t="s">
        <v>77</v>
      </c>
      <c r="I41" s="15">
        <v>1</v>
      </c>
      <c r="J41" s="15">
        <v>24</v>
      </c>
      <c r="K41" s="15">
        <v>204.85</v>
      </c>
      <c r="L41" s="15">
        <v>4916.4000000000005</v>
      </c>
      <c r="M41" s="15">
        <v>-378.07</v>
      </c>
      <c r="N41" s="15">
        <v>0</v>
      </c>
      <c r="O41" s="15">
        <v>589.98286299999995</v>
      </c>
      <c r="P41" s="15">
        <v>5128.3128630000001</v>
      </c>
    </row>
    <row r="42" spans="1:16" ht="15" x14ac:dyDescent="0.2">
      <c r="A42" s="4" t="s">
        <v>583</v>
      </c>
      <c r="B42" s="21" t="str">
        <f t="shared" si="0"/>
        <v>Jul-2025</v>
      </c>
      <c r="C42" s="2" t="str">
        <f t="shared" si="1"/>
        <v>Q2</v>
      </c>
      <c r="D42" s="2" t="s">
        <v>31</v>
      </c>
      <c r="E42" s="13">
        <v>45847</v>
      </c>
      <c r="F42" s="14" t="s">
        <v>75</v>
      </c>
      <c r="G42" s="14" t="s">
        <v>21</v>
      </c>
      <c r="H42" s="14" t="s">
        <v>71</v>
      </c>
      <c r="I42" s="15">
        <v>2</v>
      </c>
      <c r="J42" s="15">
        <v>30</v>
      </c>
      <c r="K42" s="15">
        <v>260.72000000000003</v>
      </c>
      <c r="L42" s="15">
        <v>7821.6</v>
      </c>
      <c r="M42" s="15">
        <v>-601.48</v>
      </c>
      <c r="N42" s="15">
        <v>0</v>
      </c>
      <c r="O42" s="15">
        <v>938.61554100000001</v>
      </c>
      <c r="P42" s="15">
        <v>8158.735541</v>
      </c>
    </row>
    <row r="43" spans="1:16" ht="15" x14ac:dyDescent="0.2">
      <c r="A43" s="4" t="s">
        <v>576</v>
      </c>
      <c r="B43" s="21" t="str">
        <f t="shared" si="0"/>
        <v>Jul-2025</v>
      </c>
      <c r="C43" s="2" t="str">
        <f t="shared" si="1"/>
        <v>Q2</v>
      </c>
      <c r="D43" s="2" t="s">
        <v>31</v>
      </c>
      <c r="E43" s="13">
        <v>45847</v>
      </c>
      <c r="F43" s="14" t="s">
        <v>75</v>
      </c>
      <c r="G43" s="14" t="s">
        <v>21</v>
      </c>
      <c r="H43" s="14" t="s">
        <v>61</v>
      </c>
      <c r="I43" s="15">
        <v>2</v>
      </c>
      <c r="J43" s="15">
        <v>40</v>
      </c>
      <c r="K43" s="15">
        <v>175.05</v>
      </c>
      <c r="L43" s="15">
        <v>7001.9999999999991</v>
      </c>
      <c r="M43" s="15">
        <v>-538.45000000000005</v>
      </c>
      <c r="N43" s="15">
        <v>0</v>
      </c>
      <c r="O43" s="15">
        <v>840.26144700000009</v>
      </c>
      <c r="P43" s="15">
        <v>7303.811447</v>
      </c>
    </row>
    <row r="44" spans="1:16" ht="15" x14ac:dyDescent="0.2">
      <c r="A44" s="4" t="s">
        <v>576</v>
      </c>
      <c r="B44" s="21" t="str">
        <f t="shared" si="0"/>
        <v>Jul-2025</v>
      </c>
      <c r="C44" s="2" t="str">
        <f t="shared" si="1"/>
        <v>Q2</v>
      </c>
      <c r="D44" s="2" t="s">
        <v>31</v>
      </c>
      <c r="E44" s="13">
        <v>45847</v>
      </c>
      <c r="F44" s="14" t="s">
        <v>75</v>
      </c>
      <c r="G44" s="14" t="s">
        <v>21</v>
      </c>
      <c r="H44" s="14" t="s">
        <v>68</v>
      </c>
      <c r="I44" s="15">
        <v>2</v>
      </c>
      <c r="J44" s="15">
        <v>40</v>
      </c>
      <c r="K44" s="15">
        <v>175.05</v>
      </c>
      <c r="L44" s="15">
        <v>7001.9999999999991</v>
      </c>
      <c r="M44" s="15">
        <v>-538.45000000000005</v>
      </c>
      <c r="N44" s="15">
        <v>0</v>
      </c>
      <c r="O44" s="15">
        <v>840.26144700000009</v>
      </c>
      <c r="P44" s="15">
        <v>7303.811447</v>
      </c>
    </row>
    <row r="45" spans="1:16" ht="15" x14ac:dyDescent="0.2">
      <c r="A45" s="4" t="s">
        <v>579</v>
      </c>
      <c r="B45" s="21" t="str">
        <f t="shared" si="0"/>
        <v>Jul-2025</v>
      </c>
      <c r="C45" s="2" t="str">
        <f t="shared" si="1"/>
        <v>Q2</v>
      </c>
      <c r="D45" s="2" t="s">
        <v>31</v>
      </c>
      <c r="E45" s="13">
        <v>45847</v>
      </c>
      <c r="F45" s="14" t="s">
        <v>75</v>
      </c>
      <c r="G45" s="14" t="s">
        <v>21</v>
      </c>
      <c r="H45" s="14" t="s">
        <v>69</v>
      </c>
      <c r="I45" s="15">
        <v>1</v>
      </c>
      <c r="J45" s="15">
        <v>20</v>
      </c>
      <c r="K45" s="15">
        <v>204.85</v>
      </c>
      <c r="L45" s="15">
        <v>4097</v>
      </c>
      <c r="M45" s="15">
        <v>-315.06</v>
      </c>
      <c r="N45" s="15">
        <v>0</v>
      </c>
      <c r="O45" s="15">
        <v>491.65216900000001</v>
      </c>
      <c r="P45" s="15">
        <v>4273.5921689999996</v>
      </c>
    </row>
    <row r="46" spans="1:16" ht="15" x14ac:dyDescent="0.2">
      <c r="A46" s="4" t="s">
        <v>577</v>
      </c>
      <c r="B46" s="21" t="str">
        <f t="shared" si="0"/>
        <v>Jul-2025</v>
      </c>
      <c r="C46" s="2" t="str">
        <f t="shared" si="1"/>
        <v>Q2</v>
      </c>
      <c r="D46" s="2" t="s">
        <v>31</v>
      </c>
      <c r="E46" s="13">
        <v>45847</v>
      </c>
      <c r="F46" s="14" t="s">
        <v>75</v>
      </c>
      <c r="G46" s="14" t="s">
        <v>21</v>
      </c>
      <c r="H46" s="14" t="s">
        <v>57</v>
      </c>
      <c r="I46" s="15">
        <v>3</v>
      </c>
      <c r="J46" s="15">
        <v>540</v>
      </c>
      <c r="K46" s="15">
        <v>18.62</v>
      </c>
      <c r="L46" s="15">
        <v>10054.799999999999</v>
      </c>
      <c r="M46" s="15">
        <v>-773.20999999999992</v>
      </c>
      <c r="N46" s="15">
        <v>0</v>
      </c>
      <c r="O46" s="15">
        <v>1206.6066239999998</v>
      </c>
      <c r="P46" s="15">
        <v>10488.196624</v>
      </c>
    </row>
    <row r="47" spans="1:16" ht="15" x14ac:dyDescent="0.2">
      <c r="A47" s="4" t="s">
        <v>578</v>
      </c>
      <c r="B47" s="21" t="str">
        <f t="shared" si="0"/>
        <v>Jul-2025</v>
      </c>
      <c r="C47" s="2" t="str">
        <f t="shared" si="1"/>
        <v>Q2</v>
      </c>
      <c r="D47" s="2" t="s">
        <v>31</v>
      </c>
      <c r="E47" s="13">
        <v>45847</v>
      </c>
      <c r="F47" s="14" t="s">
        <v>75</v>
      </c>
      <c r="G47" s="14" t="s">
        <v>21</v>
      </c>
      <c r="H47" s="14" t="s">
        <v>62</v>
      </c>
      <c r="I47" s="15">
        <v>10</v>
      </c>
      <c r="J47" s="15">
        <v>420</v>
      </c>
      <c r="K47" s="15">
        <v>74.489999999999995</v>
      </c>
      <c r="L47" s="15">
        <v>31285.8</v>
      </c>
      <c r="M47" s="15">
        <v>-2405.88</v>
      </c>
      <c r="N47" s="15">
        <v>0</v>
      </c>
      <c r="O47" s="15">
        <v>3754.3893630000002</v>
      </c>
      <c r="P47" s="15">
        <v>32634.309363</v>
      </c>
    </row>
    <row r="48" spans="1:16" ht="15" x14ac:dyDescent="0.2">
      <c r="A48" s="4" t="s">
        <v>586</v>
      </c>
      <c r="B48" s="21" t="str">
        <f t="shared" si="0"/>
        <v>Jul-2025</v>
      </c>
      <c r="C48" s="2" t="str">
        <f t="shared" si="1"/>
        <v>Q2</v>
      </c>
      <c r="D48" s="2" t="s">
        <v>31</v>
      </c>
      <c r="E48" s="13">
        <v>45847</v>
      </c>
      <c r="F48" s="14" t="s">
        <v>75</v>
      </c>
      <c r="G48" s="14" t="s">
        <v>21</v>
      </c>
      <c r="H48" s="14" t="s">
        <v>78</v>
      </c>
      <c r="I48" s="15">
        <v>1</v>
      </c>
      <c r="J48" s="15">
        <v>600</v>
      </c>
      <c r="K48" s="15">
        <v>7.45</v>
      </c>
      <c r="L48" s="15">
        <v>4470</v>
      </c>
      <c r="M48" s="15">
        <v>-343.74</v>
      </c>
      <c r="N48" s="15">
        <v>0</v>
      </c>
      <c r="O48" s="15">
        <v>536.41376600000001</v>
      </c>
      <c r="P48" s="15">
        <v>4662.6737659999999</v>
      </c>
    </row>
    <row r="49" spans="1:16" ht="15" x14ac:dyDescent="0.2">
      <c r="A49" s="4" t="s">
        <v>573</v>
      </c>
      <c r="B49" s="21" t="str">
        <f t="shared" si="0"/>
        <v>Jul-2025</v>
      </c>
      <c r="C49" s="2" t="str">
        <f t="shared" si="1"/>
        <v>Q2</v>
      </c>
      <c r="D49" s="2" t="s">
        <v>31</v>
      </c>
      <c r="E49" s="13">
        <v>45847</v>
      </c>
      <c r="F49" s="14" t="s">
        <v>75</v>
      </c>
      <c r="G49" s="14" t="s">
        <v>21</v>
      </c>
      <c r="H49" s="14" t="s">
        <v>47</v>
      </c>
      <c r="I49" s="15">
        <v>3</v>
      </c>
      <c r="J49" s="15">
        <v>120</v>
      </c>
      <c r="K49" s="15">
        <v>111.74</v>
      </c>
      <c r="L49" s="15">
        <v>13408.8</v>
      </c>
      <c r="M49" s="15">
        <v>-1031.1400000000001</v>
      </c>
      <c r="N49" s="15">
        <v>0</v>
      </c>
      <c r="O49" s="15">
        <v>1609.0956980000001</v>
      </c>
      <c r="P49" s="15">
        <v>13986.755698000001</v>
      </c>
    </row>
    <row r="50" spans="1:16" ht="15" x14ac:dyDescent="0.2">
      <c r="A50" s="4" t="s">
        <v>575</v>
      </c>
      <c r="B50" s="21" t="str">
        <f t="shared" si="0"/>
        <v>Jul-2025</v>
      </c>
      <c r="C50" s="2" t="str">
        <f t="shared" si="1"/>
        <v>Q2</v>
      </c>
      <c r="D50" s="2" t="s">
        <v>31</v>
      </c>
      <c r="E50" s="13">
        <v>45847</v>
      </c>
      <c r="F50" s="14" t="s">
        <v>75</v>
      </c>
      <c r="G50" s="14" t="s">
        <v>21</v>
      </c>
      <c r="H50" s="14" t="s">
        <v>55</v>
      </c>
      <c r="I50" s="15">
        <v>5</v>
      </c>
      <c r="J50" s="15">
        <v>100</v>
      </c>
      <c r="K50" s="15">
        <v>186.23</v>
      </c>
      <c r="L50" s="15">
        <v>18623</v>
      </c>
      <c r="M50" s="15">
        <v>-1432.1100000000001</v>
      </c>
      <c r="N50" s="15">
        <v>0</v>
      </c>
      <c r="O50" s="15">
        <v>2234.8155590000001</v>
      </c>
      <c r="P50" s="15">
        <v>19425.705559000002</v>
      </c>
    </row>
    <row r="51" spans="1:16" ht="15" x14ac:dyDescent="0.2">
      <c r="A51" s="4" t="s">
        <v>584</v>
      </c>
      <c r="B51" s="21" t="str">
        <f t="shared" si="0"/>
        <v>Jul-2025</v>
      </c>
      <c r="C51" s="2" t="str">
        <f t="shared" si="1"/>
        <v>Q2</v>
      </c>
      <c r="D51" s="2" t="s">
        <v>31</v>
      </c>
      <c r="E51" s="13">
        <v>45847</v>
      </c>
      <c r="F51" s="14" t="s">
        <v>75</v>
      </c>
      <c r="G51" s="14" t="s">
        <v>21</v>
      </c>
      <c r="H51" s="14" t="s">
        <v>72</v>
      </c>
      <c r="I51" s="15">
        <v>1</v>
      </c>
      <c r="J51" s="15">
        <v>40</v>
      </c>
      <c r="K51" s="15">
        <v>81.94</v>
      </c>
      <c r="L51" s="15">
        <v>3277.6</v>
      </c>
      <c r="M51" s="15">
        <v>-252.05</v>
      </c>
      <c r="N51" s="15">
        <v>0</v>
      </c>
      <c r="O51" s="15">
        <v>393.32147499999996</v>
      </c>
      <c r="P51" s="15">
        <v>3418.8714749999999</v>
      </c>
    </row>
    <row r="52" spans="1:16" ht="15" x14ac:dyDescent="0.2">
      <c r="A52" s="4" t="s">
        <v>576</v>
      </c>
      <c r="B52" s="21" t="str">
        <f t="shared" si="0"/>
        <v>Jul-2025</v>
      </c>
      <c r="C52" s="2" t="str">
        <f t="shared" si="1"/>
        <v>Q2</v>
      </c>
      <c r="D52" s="2" t="s">
        <v>31</v>
      </c>
      <c r="E52" s="13">
        <v>45859</v>
      </c>
      <c r="F52" s="14" t="s">
        <v>79</v>
      </c>
      <c r="G52" s="14" t="s">
        <v>80</v>
      </c>
      <c r="H52" s="14" t="s">
        <v>61</v>
      </c>
      <c r="I52" s="15">
        <v>0.05</v>
      </c>
      <c r="J52" s="15">
        <v>1</v>
      </c>
      <c r="K52" s="15">
        <v>175.05</v>
      </c>
      <c r="L52" s="15">
        <v>175.05</v>
      </c>
      <c r="M52" s="15">
        <v>-13.46</v>
      </c>
      <c r="N52" s="15">
        <v>0</v>
      </c>
      <c r="O52" s="15">
        <v>21.01</v>
      </c>
      <c r="P52" s="15">
        <v>182.6</v>
      </c>
    </row>
    <row r="53" spans="1:16" ht="15" x14ac:dyDescent="0.2">
      <c r="A53" s="4" t="s">
        <v>576</v>
      </c>
      <c r="B53" s="21" t="str">
        <f t="shared" si="0"/>
        <v>Jul-2025</v>
      </c>
      <c r="C53" s="2" t="str">
        <f t="shared" si="1"/>
        <v>Q2</v>
      </c>
      <c r="D53" s="2" t="s">
        <v>31</v>
      </c>
      <c r="E53" s="13">
        <v>45860</v>
      </c>
      <c r="F53" s="14" t="s">
        <v>81</v>
      </c>
      <c r="G53" s="14" t="s">
        <v>21</v>
      </c>
      <c r="H53" s="14" t="s">
        <v>61</v>
      </c>
      <c r="I53" s="15">
        <v>8.9</v>
      </c>
      <c r="J53" s="15">
        <v>178</v>
      </c>
      <c r="K53" s="15">
        <v>175.05</v>
      </c>
      <c r="L53" s="15">
        <v>31158.9</v>
      </c>
      <c r="M53" s="15">
        <v>-2396.1200000000003</v>
      </c>
      <c r="N53" s="15">
        <v>0</v>
      </c>
      <c r="O53" s="15">
        <v>3739.1600000000003</v>
      </c>
      <c r="P53" s="15">
        <v>32501.94</v>
      </c>
    </row>
    <row r="54" spans="1:16" ht="15" x14ac:dyDescent="0.2">
      <c r="A54" s="4" t="s">
        <v>578</v>
      </c>
      <c r="B54" s="21" t="str">
        <f t="shared" si="0"/>
        <v>Jul-2025</v>
      </c>
      <c r="C54" s="2" t="str">
        <f t="shared" si="1"/>
        <v>Q2</v>
      </c>
      <c r="D54" s="2" t="s">
        <v>31</v>
      </c>
      <c r="E54" s="13">
        <v>45862</v>
      </c>
      <c r="F54" s="14" t="s">
        <v>82</v>
      </c>
      <c r="G54" s="14" t="s">
        <v>80</v>
      </c>
      <c r="H54" s="14" t="s">
        <v>59</v>
      </c>
      <c r="I54" s="15">
        <v>7.0000000000000007E-2</v>
      </c>
      <c r="J54" s="15">
        <v>3</v>
      </c>
      <c r="K54" s="15">
        <v>74.489999999999995</v>
      </c>
      <c r="L54" s="15">
        <v>223.47</v>
      </c>
      <c r="M54" s="15">
        <v>-17.18</v>
      </c>
      <c r="N54" s="15">
        <v>0</v>
      </c>
      <c r="O54" s="15">
        <v>26.816666999999999</v>
      </c>
      <c r="P54" s="15">
        <v>233.10666699999999</v>
      </c>
    </row>
    <row r="55" spans="1:16" ht="15" x14ac:dyDescent="0.2">
      <c r="A55" s="4" t="s">
        <v>578</v>
      </c>
      <c r="B55" s="21" t="str">
        <f t="shared" si="0"/>
        <v>Jul-2025</v>
      </c>
      <c r="C55" s="2" t="str">
        <f t="shared" si="1"/>
        <v>Q2</v>
      </c>
      <c r="D55" s="2" t="s">
        <v>31</v>
      </c>
      <c r="E55" s="13">
        <v>45862</v>
      </c>
      <c r="F55" s="14" t="s">
        <v>82</v>
      </c>
      <c r="G55" s="14" t="s">
        <v>80</v>
      </c>
      <c r="H55" s="14" t="s">
        <v>62</v>
      </c>
      <c r="I55" s="15">
        <v>7.0000000000000007E-2</v>
      </c>
      <c r="J55" s="15">
        <v>3</v>
      </c>
      <c r="K55" s="15">
        <v>74.489999999999995</v>
      </c>
      <c r="L55" s="15">
        <v>223.47</v>
      </c>
      <c r="M55" s="15">
        <v>-17.18</v>
      </c>
      <c r="N55" s="15">
        <v>0</v>
      </c>
      <c r="O55" s="15">
        <v>26.816666999999999</v>
      </c>
      <c r="P55" s="15">
        <v>233.10666699999999</v>
      </c>
    </row>
    <row r="56" spans="1:16" ht="15" x14ac:dyDescent="0.2">
      <c r="A56" s="4" t="s">
        <v>578</v>
      </c>
      <c r="B56" s="21" t="str">
        <f t="shared" si="0"/>
        <v>Jul-2025</v>
      </c>
      <c r="C56" s="2" t="str">
        <f t="shared" si="1"/>
        <v>Q2</v>
      </c>
      <c r="D56" s="2" t="s">
        <v>31</v>
      </c>
      <c r="E56" s="13">
        <v>45862</v>
      </c>
      <c r="F56" s="14" t="s">
        <v>82</v>
      </c>
      <c r="G56" s="14" t="s">
        <v>80</v>
      </c>
      <c r="H56" s="14" t="s">
        <v>60</v>
      </c>
      <c r="I56" s="15">
        <v>7.0000000000000007E-2</v>
      </c>
      <c r="J56" s="15">
        <v>3</v>
      </c>
      <c r="K56" s="15">
        <v>74.489999999999995</v>
      </c>
      <c r="L56" s="15">
        <v>223.47</v>
      </c>
      <c r="M56" s="15">
        <v>-17.18</v>
      </c>
      <c r="N56" s="15">
        <v>0</v>
      </c>
      <c r="O56" s="15">
        <v>26.816666999999999</v>
      </c>
      <c r="P56" s="15">
        <v>233.10666699999999</v>
      </c>
    </row>
    <row r="57" spans="1:16" ht="15" x14ac:dyDescent="0.2">
      <c r="A57" s="4" t="s">
        <v>574</v>
      </c>
      <c r="B57" s="21" t="str">
        <f t="shared" si="0"/>
        <v>Aug-2025</v>
      </c>
      <c r="C57" s="2" t="str">
        <f t="shared" si="1"/>
        <v>Q2</v>
      </c>
      <c r="D57" s="2" t="s">
        <v>31</v>
      </c>
      <c r="E57" s="13">
        <v>45874</v>
      </c>
      <c r="F57" s="14" t="s">
        <v>83</v>
      </c>
      <c r="G57" s="14" t="s">
        <v>51</v>
      </c>
      <c r="H57" s="14" t="s">
        <v>84</v>
      </c>
      <c r="I57" s="15">
        <v>100</v>
      </c>
      <c r="J57" s="15">
        <v>1800</v>
      </c>
      <c r="K57" s="15">
        <v>178.78</v>
      </c>
      <c r="L57" s="15">
        <v>321804</v>
      </c>
      <c r="M57" s="15">
        <v>-24746.73</v>
      </c>
      <c r="N57" s="15">
        <v>0</v>
      </c>
      <c r="O57" s="15">
        <v>38617.4421</v>
      </c>
      <c r="P57" s="15">
        <v>335674.7121</v>
      </c>
    </row>
    <row r="58" spans="1:16" ht="15" x14ac:dyDescent="0.2">
      <c r="A58" s="4" t="s">
        <v>574</v>
      </c>
      <c r="B58" s="21" t="str">
        <f t="shared" si="0"/>
        <v>Aug-2025</v>
      </c>
      <c r="C58" s="2" t="str">
        <f t="shared" si="1"/>
        <v>Q2</v>
      </c>
      <c r="D58" s="2" t="s">
        <v>31</v>
      </c>
      <c r="E58" s="13">
        <v>45874</v>
      </c>
      <c r="F58" s="14" t="s">
        <v>83</v>
      </c>
      <c r="G58" s="14" t="s">
        <v>51</v>
      </c>
      <c r="H58" s="14" t="s">
        <v>52</v>
      </c>
      <c r="I58" s="15">
        <v>5</v>
      </c>
      <c r="J58" s="15">
        <v>90</v>
      </c>
      <c r="K58" s="15">
        <v>178.78</v>
      </c>
      <c r="L58" s="15">
        <v>16090.2</v>
      </c>
      <c r="M58" s="15">
        <v>-1237.3400000000001</v>
      </c>
      <c r="N58" s="15">
        <v>0</v>
      </c>
      <c r="O58" s="15">
        <v>1930.87165</v>
      </c>
      <c r="P58" s="15">
        <v>16783.731650000002</v>
      </c>
    </row>
    <row r="59" spans="1:16" ht="15" x14ac:dyDescent="0.2">
      <c r="A59" s="4" t="s">
        <v>574</v>
      </c>
      <c r="B59" s="21" t="str">
        <f t="shared" si="0"/>
        <v>Aug-2025</v>
      </c>
      <c r="C59" s="2" t="str">
        <f t="shared" si="1"/>
        <v>Q2</v>
      </c>
      <c r="D59" s="2" t="s">
        <v>31</v>
      </c>
      <c r="E59" s="13">
        <v>45874</v>
      </c>
      <c r="F59" s="14" t="s">
        <v>83</v>
      </c>
      <c r="G59" s="14" t="s">
        <v>51</v>
      </c>
      <c r="H59" s="14" t="s">
        <v>85</v>
      </c>
      <c r="I59" s="15">
        <v>5</v>
      </c>
      <c r="J59" s="15">
        <v>90</v>
      </c>
      <c r="K59" s="15">
        <v>178.78</v>
      </c>
      <c r="L59" s="15">
        <v>16090.2</v>
      </c>
      <c r="M59" s="15">
        <v>-1237.3400000000001</v>
      </c>
      <c r="N59" s="15">
        <v>0</v>
      </c>
      <c r="O59" s="15">
        <v>1930.87165</v>
      </c>
      <c r="P59" s="15">
        <v>16783.731650000002</v>
      </c>
    </row>
    <row r="60" spans="1:16" ht="15" x14ac:dyDescent="0.2">
      <c r="A60" s="4" t="s">
        <v>574</v>
      </c>
      <c r="B60" s="21" t="str">
        <f t="shared" si="0"/>
        <v>Aug-2025</v>
      </c>
      <c r="C60" s="2" t="str">
        <f t="shared" si="1"/>
        <v>Q2</v>
      </c>
      <c r="D60" s="2" t="s">
        <v>31</v>
      </c>
      <c r="E60" s="13">
        <v>45874</v>
      </c>
      <c r="F60" s="14" t="s">
        <v>83</v>
      </c>
      <c r="G60" s="14" t="s">
        <v>51</v>
      </c>
      <c r="H60" s="14" t="s">
        <v>86</v>
      </c>
      <c r="I60" s="15">
        <v>10</v>
      </c>
      <c r="J60" s="15">
        <v>180</v>
      </c>
      <c r="K60" s="15">
        <v>178.78</v>
      </c>
      <c r="L60" s="15">
        <v>32180.400000000001</v>
      </c>
      <c r="M60" s="15">
        <v>-2474.6699999999996</v>
      </c>
      <c r="N60" s="15">
        <v>0</v>
      </c>
      <c r="O60" s="15">
        <v>3861.7446</v>
      </c>
      <c r="P60" s="15">
        <v>33567.474600000001</v>
      </c>
    </row>
    <row r="61" spans="1:16" ht="15" x14ac:dyDescent="0.2">
      <c r="A61" s="4" t="s">
        <v>580</v>
      </c>
      <c r="B61" s="21" t="str">
        <f t="shared" si="0"/>
        <v>Aug-2025</v>
      </c>
      <c r="C61" s="2" t="str">
        <f t="shared" si="1"/>
        <v>Q2</v>
      </c>
      <c r="D61" s="2" t="s">
        <v>31</v>
      </c>
      <c r="E61" s="13">
        <v>45874</v>
      </c>
      <c r="F61" s="14" t="s">
        <v>87</v>
      </c>
      <c r="G61" s="14" t="s">
        <v>88</v>
      </c>
      <c r="H61" s="14" t="s">
        <v>89</v>
      </c>
      <c r="I61" s="15">
        <v>1</v>
      </c>
      <c r="J61" s="15">
        <v>70</v>
      </c>
      <c r="K61" s="15">
        <v>32.78</v>
      </c>
      <c r="L61" s="15">
        <v>2294.6</v>
      </c>
      <c r="M61" s="15">
        <v>-176.45</v>
      </c>
      <c r="N61" s="15">
        <v>0</v>
      </c>
      <c r="O61" s="15">
        <v>275.35973899999999</v>
      </c>
      <c r="P61" s="15">
        <v>2393.5097390000001</v>
      </c>
    </row>
    <row r="62" spans="1:16" ht="15" x14ac:dyDescent="0.2">
      <c r="A62" s="4" t="s">
        <v>579</v>
      </c>
      <c r="B62" s="21" t="str">
        <f t="shared" si="0"/>
        <v>Aug-2025</v>
      </c>
      <c r="C62" s="2" t="str">
        <f t="shared" si="1"/>
        <v>Q2</v>
      </c>
      <c r="D62" s="2" t="s">
        <v>31</v>
      </c>
      <c r="E62" s="13">
        <v>45874</v>
      </c>
      <c r="F62" s="14" t="s">
        <v>87</v>
      </c>
      <c r="G62" s="14" t="s">
        <v>88</v>
      </c>
      <c r="H62" s="14" t="s">
        <v>90</v>
      </c>
      <c r="I62" s="15">
        <v>1</v>
      </c>
      <c r="J62" s="15">
        <v>20</v>
      </c>
      <c r="K62" s="15">
        <v>204.85</v>
      </c>
      <c r="L62" s="15">
        <v>4097</v>
      </c>
      <c r="M62" s="15">
        <v>-315.06</v>
      </c>
      <c r="N62" s="15">
        <v>0</v>
      </c>
      <c r="O62" s="15">
        <v>491.65262799999999</v>
      </c>
      <c r="P62" s="15">
        <v>4273.5926280000003</v>
      </c>
    </row>
    <row r="63" spans="1:16" ht="15" x14ac:dyDescent="0.2">
      <c r="A63" s="4" t="s">
        <v>579</v>
      </c>
      <c r="B63" s="21" t="str">
        <f t="shared" si="0"/>
        <v>Aug-2025</v>
      </c>
      <c r="C63" s="2" t="str">
        <f t="shared" si="1"/>
        <v>Q2</v>
      </c>
      <c r="D63" s="2" t="s">
        <v>31</v>
      </c>
      <c r="E63" s="13">
        <v>45874</v>
      </c>
      <c r="F63" s="14" t="s">
        <v>87</v>
      </c>
      <c r="G63" s="14" t="s">
        <v>88</v>
      </c>
      <c r="H63" s="14" t="s">
        <v>91</v>
      </c>
      <c r="I63" s="15">
        <v>1</v>
      </c>
      <c r="J63" s="15">
        <v>20</v>
      </c>
      <c r="K63" s="15">
        <v>204.85</v>
      </c>
      <c r="L63" s="15">
        <v>4097</v>
      </c>
      <c r="M63" s="15">
        <v>-315.06</v>
      </c>
      <c r="N63" s="15">
        <v>0</v>
      </c>
      <c r="O63" s="15">
        <v>491.65262799999999</v>
      </c>
      <c r="P63" s="15">
        <v>4273.5926280000003</v>
      </c>
    </row>
    <row r="64" spans="1:16" ht="15" x14ac:dyDescent="0.2">
      <c r="A64" s="4" t="s">
        <v>579</v>
      </c>
      <c r="B64" s="21" t="str">
        <f t="shared" si="0"/>
        <v>Aug-2025</v>
      </c>
      <c r="C64" s="2" t="str">
        <f t="shared" si="1"/>
        <v>Q2</v>
      </c>
      <c r="D64" s="2" t="s">
        <v>31</v>
      </c>
      <c r="E64" s="13">
        <v>45874</v>
      </c>
      <c r="F64" s="14" t="s">
        <v>87</v>
      </c>
      <c r="G64" s="14" t="s">
        <v>88</v>
      </c>
      <c r="H64" s="14" t="s">
        <v>92</v>
      </c>
      <c r="I64" s="15">
        <v>1</v>
      </c>
      <c r="J64" s="15">
        <v>20</v>
      </c>
      <c r="K64" s="15">
        <v>242.1</v>
      </c>
      <c r="L64" s="15">
        <v>4841.9999999999991</v>
      </c>
      <c r="M64" s="15">
        <v>-372.35</v>
      </c>
      <c r="N64" s="15">
        <v>0</v>
      </c>
      <c r="O64" s="15">
        <v>581.05500500000005</v>
      </c>
      <c r="P64" s="15">
        <v>5050.7050049999998</v>
      </c>
    </row>
    <row r="65" spans="1:16" ht="15" x14ac:dyDescent="0.2">
      <c r="A65" s="4" t="s">
        <v>577</v>
      </c>
      <c r="B65" s="21" t="str">
        <f t="shared" si="0"/>
        <v>Aug-2025</v>
      </c>
      <c r="C65" s="2" t="str">
        <f t="shared" si="1"/>
        <v>Q2</v>
      </c>
      <c r="D65" s="2" t="s">
        <v>31</v>
      </c>
      <c r="E65" s="13">
        <v>45874</v>
      </c>
      <c r="F65" s="14" t="s">
        <v>93</v>
      </c>
      <c r="G65" s="14" t="s">
        <v>12</v>
      </c>
      <c r="H65" s="14" t="s">
        <v>57</v>
      </c>
      <c r="I65" s="15">
        <v>1</v>
      </c>
      <c r="J65" s="15">
        <v>180</v>
      </c>
      <c r="K65" s="15">
        <v>18.62</v>
      </c>
      <c r="L65" s="15">
        <v>3351.6</v>
      </c>
      <c r="M65" s="15">
        <v>-257.74</v>
      </c>
      <c r="N65" s="15">
        <v>0</v>
      </c>
      <c r="O65" s="15">
        <v>402.20184800000004</v>
      </c>
      <c r="P65" s="15">
        <v>3496.0618479999998</v>
      </c>
    </row>
    <row r="66" spans="1:16" ht="15" x14ac:dyDescent="0.2">
      <c r="A66" s="4" t="s">
        <v>587</v>
      </c>
      <c r="B66" s="21" t="str">
        <f t="shared" si="0"/>
        <v>Aug-2025</v>
      </c>
      <c r="C66" s="2" t="str">
        <f t="shared" si="1"/>
        <v>Q2</v>
      </c>
      <c r="D66" s="2" t="s">
        <v>31</v>
      </c>
      <c r="E66" s="13">
        <v>45874</v>
      </c>
      <c r="F66" s="14" t="s">
        <v>93</v>
      </c>
      <c r="G66" s="14" t="s">
        <v>12</v>
      </c>
      <c r="H66" s="14" t="s">
        <v>94</v>
      </c>
      <c r="I66" s="15">
        <v>1</v>
      </c>
      <c r="J66" s="15">
        <v>60</v>
      </c>
      <c r="K66" s="15">
        <v>111.74</v>
      </c>
      <c r="L66" s="15">
        <v>6704.4</v>
      </c>
      <c r="M66" s="15">
        <v>-515.57000000000005</v>
      </c>
      <c r="N66" s="15">
        <v>0</v>
      </c>
      <c r="O66" s="15">
        <v>804.54799600000001</v>
      </c>
      <c r="P66" s="15">
        <v>6993.3779960000002</v>
      </c>
    </row>
    <row r="67" spans="1:16" ht="15" x14ac:dyDescent="0.2">
      <c r="A67" s="4" t="s">
        <v>588</v>
      </c>
      <c r="B67" s="21" t="str">
        <f t="shared" ref="B67:B130" si="2">+TEXT(E67,"MMM-yyy")</f>
        <v>Aug-2025</v>
      </c>
      <c r="C67" s="2" t="str">
        <f t="shared" ref="C67:C130" si="3">"Q" &amp; CHOOSE(MONTH(E67),4,4,4,1,1,1,2,2,2,3,3,3)</f>
        <v>Q2</v>
      </c>
      <c r="D67" s="2" t="s">
        <v>31</v>
      </c>
      <c r="E67" s="13">
        <v>45874</v>
      </c>
      <c r="F67" s="14" t="s">
        <v>93</v>
      </c>
      <c r="G67" s="14" t="s">
        <v>12</v>
      </c>
      <c r="H67" s="14" t="s">
        <v>95</v>
      </c>
      <c r="I67" s="15">
        <v>1</v>
      </c>
      <c r="J67" s="15">
        <v>60</v>
      </c>
      <c r="K67" s="15">
        <v>111.74</v>
      </c>
      <c r="L67" s="15">
        <v>6704.4</v>
      </c>
      <c r="M67" s="15">
        <v>-515.57000000000005</v>
      </c>
      <c r="N67" s="15">
        <v>0</v>
      </c>
      <c r="O67" s="15">
        <v>804.54799600000001</v>
      </c>
      <c r="P67" s="15">
        <v>6993.3779960000002</v>
      </c>
    </row>
    <row r="68" spans="1:16" ht="15" x14ac:dyDescent="0.2">
      <c r="A68" s="4" t="s">
        <v>581</v>
      </c>
      <c r="B68" s="21" t="str">
        <f t="shared" si="2"/>
        <v>Aug-2025</v>
      </c>
      <c r="C68" s="2" t="str">
        <f t="shared" si="3"/>
        <v>Q2</v>
      </c>
      <c r="D68" s="2" t="s">
        <v>31</v>
      </c>
      <c r="E68" s="13">
        <v>45874</v>
      </c>
      <c r="F68" s="14" t="s">
        <v>93</v>
      </c>
      <c r="G68" s="14" t="s">
        <v>12</v>
      </c>
      <c r="H68" s="14" t="s">
        <v>96</v>
      </c>
      <c r="I68" s="15">
        <v>2</v>
      </c>
      <c r="J68" s="15">
        <v>80</v>
      </c>
      <c r="K68" s="15">
        <v>67.040000000000006</v>
      </c>
      <c r="L68" s="15">
        <v>5363.2</v>
      </c>
      <c r="M68" s="15">
        <v>-412.43</v>
      </c>
      <c r="N68" s="15">
        <v>0</v>
      </c>
      <c r="O68" s="15">
        <v>643.60017600000003</v>
      </c>
      <c r="P68" s="15">
        <v>5594.3701760000004</v>
      </c>
    </row>
    <row r="69" spans="1:16" ht="15" x14ac:dyDescent="0.2">
      <c r="A69" s="4" t="s">
        <v>581</v>
      </c>
      <c r="B69" s="21" t="str">
        <f t="shared" si="2"/>
        <v>Aug-2025</v>
      </c>
      <c r="C69" s="2" t="str">
        <f t="shared" si="3"/>
        <v>Q2</v>
      </c>
      <c r="D69" s="2" t="s">
        <v>31</v>
      </c>
      <c r="E69" s="13">
        <v>45874</v>
      </c>
      <c r="F69" s="14" t="s">
        <v>93</v>
      </c>
      <c r="G69" s="14" t="s">
        <v>12</v>
      </c>
      <c r="H69" s="14" t="s">
        <v>97</v>
      </c>
      <c r="I69" s="15">
        <v>2</v>
      </c>
      <c r="J69" s="15">
        <v>80</v>
      </c>
      <c r="K69" s="15">
        <v>67.040000000000006</v>
      </c>
      <c r="L69" s="15">
        <v>5363.2</v>
      </c>
      <c r="M69" s="15">
        <v>-412.43</v>
      </c>
      <c r="N69" s="15">
        <v>0</v>
      </c>
      <c r="O69" s="15">
        <v>643.60017600000003</v>
      </c>
      <c r="P69" s="15">
        <v>5594.3701760000004</v>
      </c>
    </row>
    <row r="70" spans="1:16" ht="15" x14ac:dyDescent="0.2">
      <c r="A70" s="4" t="s">
        <v>589</v>
      </c>
      <c r="B70" s="21" t="str">
        <f t="shared" si="2"/>
        <v>Aug-2025</v>
      </c>
      <c r="C70" s="2" t="str">
        <f t="shared" si="3"/>
        <v>Q2</v>
      </c>
      <c r="D70" s="2" t="s">
        <v>31</v>
      </c>
      <c r="E70" s="13">
        <v>45874</v>
      </c>
      <c r="F70" s="14" t="s">
        <v>93</v>
      </c>
      <c r="G70" s="14" t="s">
        <v>12</v>
      </c>
      <c r="H70" s="14" t="s">
        <v>98</v>
      </c>
      <c r="I70" s="15">
        <v>1</v>
      </c>
      <c r="J70" s="15">
        <v>60</v>
      </c>
      <c r="K70" s="15">
        <v>145.26</v>
      </c>
      <c r="L70" s="15">
        <v>8715.6</v>
      </c>
      <c r="M70" s="15">
        <v>-670.23</v>
      </c>
      <c r="N70" s="15">
        <v>0</v>
      </c>
      <c r="O70" s="15">
        <v>1045.898224</v>
      </c>
      <c r="P70" s="15">
        <v>9091.2682239999995</v>
      </c>
    </row>
    <row r="71" spans="1:16" ht="15" x14ac:dyDescent="0.2">
      <c r="A71" s="4" t="s">
        <v>578</v>
      </c>
      <c r="B71" s="21" t="str">
        <f t="shared" si="2"/>
        <v>Aug-2025</v>
      </c>
      <c r="C71" s="2" t="str">
        <f t="shared" si="3"/>
        <v>Q2</v>
      </c>
      <c r="D71" s="2" t="s">
        <v>31</v>
      </c>
      <c r="E71" s="13">
        <v>45874</v>
      </c>
      <c r="F71" s="14" t="s">
        <v>93</v>
      </c>
      <c r="G71" s="14" t="s">
        <v>12</v>
      </c>
      <c r="H71" s="14" t="s">
        <v>60</v>
      </c>
      <c r="I71" s="15">
        <v>2</v>
      </c>
      <c r="J71" s="15">
        <v>84</v>
      </c>
      <c r="K71" s="15">
        <v>74.489999999999995</v>
      </c>
      <c r="L71" s="15">
        <v>6257.16</v>
      </c>
      <c r="M71" s="15">
        <v>-481.18</v>
      </c>
      <c r="N71" s="15">
        <v>0</v>
      </c>
      <c r="O71" s="15">
        <v>750.87748899999997</v>
      </c>
      <c r="P71" s="15">
        <v>6526.857489</v>
      </c>
    </row>
    <row r="72" spans="1:16" ht="15" x14ac:dyDescent="0.2">
      <c r="A72" s="4" t="s">
        <v>573</v>
      </c>
      <c r="B72" s="21" t="str">
        <f t="shared" si="2"/>
        <v>Aug-2025</v>
      </c>
      <c r="C72" s="2" t="str">
        <f t="shared" si="3"/>
        <v>Q2</v>
      </c>
      <c r="D72" s="2" t="s">
        <v>31</v>
      </c>
      <c r="E72" s="13">
        <v>45874</v>
      </c>
      <c r="F72" s="14" t="s">
        <v>93</v>
      </c>
      <c r="G72" s="14" t="s">
        <v>12</v>
      </c>
      <c r="H72" s="14" t="s">
        <v>47</v>
      </c>
      <c r="I72" s="15">
        <v>1</v>
      </c>
      <c r="J72" s="15">
        <v>40</v>
      </c>
      <c r="K72" s="15">
        <v>111.74</v>
      </c>
      <c r="L72" s="15">
        <v>4469.6000000000004</v>
      </c>
      <c r="M72" s="15">
        <v>-343.71</v>
      </c>
      <c r="N72" s="15">
        <v>0</v>
      </c>
      <c r="O72" s="15">
        <v>536.36576400000001</v>
      </c>
      <c r="P72" s="15">
        <v>4662.2557640000005</v>
      </c>
    </row>
    <row r="73" spans="1:16" ht="15" x14ac:dyDescent="0.2">
      <c r="A73" s="4" t="s">
        <v>576</v>
      </c>
      <c r="B73" s="21" t="str">
        <f t="shared" si="2"/>
        <v>Aug-2025</v>
      </c>
      <c r="C73" s="2" t="str">
        <f t="shared" si="3"/>
        <v>Q2</v>
      </c>
      <c r="D73" s="2" t="s">
        <v>31</v>
      </c>
      <c r="E73" s="13">
        <v>45874</v>
      </c>
      <c r="F73" s="14" t="s">
        <v>93</v>
      </c>
      <c r="G73" s="14" t="s">
        <v>12</v>
      </c>
      <c r="H73" s="14" t="s">
        <v>68</v>
      </c>
      <c r="I73" s="15">
        <v>1</v>
      </c>
      <c r="J73" s="15">
        <v>20</v>
      </c>
      <c r="K73" s="15">
        <v>175.05</v>
      </c>
      <c r="L73" s="15">
        <v>3500.9999999999995</v>
      </c>
      <c r="M73" s="15">
        <v>-269.23</v>
      </c>
      <c r="N73" s="15">
        <v>0</v>
      </c>
      <c r="O73" s="15">
        <v>420.13014999999996</v>
      </c>
      <c r="P73" s="15">
        <v>3651.9001499999999</v>
      </c>
    </row>
    <row r="74" spans="1:16" ht="15" x14ac:dyDescent="0.2">
      <c r="A74" s="4" t="s">
        <v>584</v>
      </c>
      <c r="B74" s="21" t="str">
        <f t="shared" si="2"/>
        <v>Aug-2025</v>
      </c>
      <c r="C74" s="2" t="str">
        <f t="shared" si="3"/>
        <v>Q2</v>
      </c>
      <c r="D74" s="2" t="s">
        <v>31</v>
      </c>
      <c r="E74" s="13">
        <v>45874</v>
      </c>
      <c r="F74" s="14" t="s">
        <v>93</v>
      </c>
      <c r="G74" s="14" t="s">
        <v>12</v>
      </c>
      <c r="H74" s="14" t="s">
        <v>99</v>
      </c>
      <c r="I74" s="15">
        <v>2</v>
      </c>
      <c r="J74" s="15">
        <v>80</v>
      </c>
      <c r="K74" s="15">
        <v>81.94</v>
      </c>
      <c r="L74" s="15">
        <v>6555.2</v>
      </c>
      <c r="M74" s="15">
        <v>-504.09</v>
      </c>
      <c r="N74" s="15">
        <v>0</v>
      </c>
      <c r="O74" s="15">
        <v>786.64439300000004</v>
      </c>
      <c r="P74" s="15">
        <v>6837.7543930000002</v>
      </c>
    </row>
    <row r="75" spans="1:16" ht="15" x14ac:dyDescent="0.2">
      <c r="A75" s="4" t="s">
        <v>579</v>
      </c>
      <c r="B75" s="21" t="str">
        <f t="shared" si="2"/>
        <v>Aug-2025</v>
      </c>
      <c r="C75" s="2" t="str">
        <f t="shared" si="3"/>
        <v>Q2</v>
      </c>
      <c r="D75" s="2" t="s">
        <v>31</v>
      </c>
      <c r="E75" s="13">
        <v>45874</v>
      </c>
      <c r="F75" s="14" t="s">
        <v>93</v>
      </c>
      <c r="G75" s="14" t="s">
        <v>12</v>
      </c>
      <c r="H75" s="14" t="s">
        <v>70</v>
      </c>
      <c r="I75" s="15">
        <v>1</v>
      </c>
      <c r="J75" s="15">
        <v>20</v>
      </c>
      <c r="K75" s="15">
        <v>201.13</v>
      </c>
      <c r="L75" s="15">
        <v>4022.6</v>
      </c>
      <c r="M75" s="15">
        <v>-309.33999999999997</v>
      </c>
      <c r="N75" s="15">
        <v>0</v>
      </c>
      <c r="O75" s="15">
        <v>482.72385700000001</v>
      </c>
      <c r="P75" s="15">
        <v>4195.9838570000002</v>
      </c>
    </row>
    <row r="76" spans="1:16" ht="15" x14ac:dyDescent="0.2">
      <c r="A76" s="4" t="s">
        <v>584</v>
      </c>
      <c r="B76" s="21" t="str">
        <f t="shared" si="2"/>
        <v>Aug-2025</v>
      </c>
      <c r="C76" s="2" t="str">
        <f t="shared" si="3"/>
        <v>Q2</v>
      </c>
      <c r="D76" s="2" t="s">
        <v>31</v>
      </c>
      <c r="E76" s="13">
        <v>45874</v>
      </c>
      <c r="F76" s="14" t="s">
        <v>93</v>
      </c>
      <c r="G76" s="14" t="s">
        <v>12</v>
      </c>
      <c r="H76" s="14" t="s">
        <v>100</v>
      </c>
      <c r="I76" s="15">
        <v>1</v>
      </c>
      <c r="J76" s="15">
        <v>40</v>
      </c>
      <c r="K76" s="15">
        <v>81.94</v>
      </c>
      <c r="L76" s="15">
        <v>3277.6</v>
      </c>
      <c r="M76" s="15">
        <v>-252.05</v>
      </c>
      <c r="N76" s="15">
        <v>0</v>
      </c>
      <c r="O76" s="15">
        <v>393.32154700000001</v>
      </c>
      <c r="P76" s="15">
        <v>3418.8715470000002</v>
      </c>
    </row>
    <row r="77" spans="1:16" ht="15" x14ac:dyDescent="0.2">
      <c r="A77" s="4" t="s">
        <v>582</v>
      </c>
      <c r="B77" s="21" t="str">
        <f t="shared" si="2"/>
        <v>Aug-2025</v>
      </c>
      <c r="C77" s="2" t="str">
        <f t="shared" si="3"/>
        <v>Q2</v>
      </c>
      <c r="D77" s="2" t="s">
        <v>31</v>
      </c>
      <c r="E77" s="13">
        <v>45874</v>
      </c>
      <c r="F77" s="14" t="s">
        <v>93</v>
      </c>
      <c r="G77" s="14" t="s">
        <v>12</v>
      </c>
      <c r="H77" s="14" t="s">
        <v>101</v>
      </c>
      <c r="I77" s="15">
        <v>2</v>
      </c>
      <c r="J77" s="15">
        <v>48</v>
      </c>
      <c r="K77" s="15">
        <v>186.23</v>
      </c>
      <c r="L77" s="15">
        <v>8939.0400000000009</v>
      </c>
      <c r="M77" s="15">
        <v>-687.41</v>
      </c>
      <c r="N77" s="15">
        <v>0</v>
      </c>
      <c r="O77" s="15">
        <v>1072.712027</v>
      </c>
      <c r="P77" s="15">
        <v>9324.3420270000006</v>
      </c>
    </row>
    <row r="78" spans="1:16" ht="15" x14ac:dyDescent="0.2">
      <c r="A78" s="4" t="s">
        <v>580</v>
      </c>
      <c r="B78" s="21" t="str">
        <f t="shared" si="2"/>
        <v>Aug-2025</v>
      </c>
      <c r="C78" s="2" t="str">
        <f t="shared" si="3"/>
        <v>Q2</v>
      </c>
      <c r="D78" s="2" t="s">
        <v>31</v>
      </c>
      <c r="E78" s="13">
        <v>45874</v>
      </c>
      <c r="F78" s="14" t="s">
        <v>93</v>
      </c>
      <c r="G78" s="14" t="s">
        <v>12</v>
      </c>
      <c r="H78" s="14" t="s">
        <v>65</v>
      </c>
      <c r="I78" s="15">
        <v>2</v>
      </c>
      <c r="J78" s="15">
        <v>260</v>
      </c>
      <c r="K78" s="15">
        <v>33.520000000000003</v>
      </c>
      <c r="L78" s="15">
        <v>8715.2000000000007</v>
      </c>
      <c r="M78" s="15">
        <v>-670.2</v>
      </c>
      <c r="N78" s="15">
        <v>0</v>
      </c>
      <c r="O78" s="15">
        <v>1045.8501240000001</v>
      </c>
      <c r="P78" s="15">
        <v>9090.8501240000005</v>
      </c>
    </row>
    <row r="79" spans="1:16" ht="15" x14ac:dyDescent="0.2">
      <c r="A79" s="4" t="s">
        <v>590</v>
      </c>
      <c r="B79" s="21" t="str">
        <f t="shared" si="2"/>
        <v>Aug-2025</v>
      </c>
      <c r="C79" s="2" t="str">
        <f t="shared" si="3"/>
        <v>Q2</v>
      </c>
      <c r="D79" s="2" t="s">
        <v>31</v>
      </c>
      <c r="E79" s="13">
        <v>45874</v>
      </c>
      <c r="F79" s="14" t="s">
        <v>93</v>
      </c>
      <c r="G79" s="14" t="s">
        <v>12</v>
      </c>
      <c r="H79" s="14" t="s">
        <v>102</v>
      </c>
      <c r="I79" s="15">
        <v>5</v>
      </c>
      <c r="J79" s="15">
        <v>100</v>
      </c>
      <c r="K79" s="15">
        <v>249.55</v>
      </c>
      <c r="L79" s="15">
        <v>24955</v>
      </c>
      <c r="M79" s="15">
        <v>-1919.04</v>
      </c>
      <c r="N79" s="15">
        <v>0</v>
      </c>
      <c r="O79" s="15">
        <v>2994.6751559999998</v>
      </c>
      <c r="P79" s="15">
        <v>26030.635156</v>
      </c>
    </row>
    <row r="80" spans="1:16" ht="15" x14ac:dyDescent="0.2">
      <c r="A80" s="4" t="s">
        <v>586</v>
      </c>
      <c r="B80" s="21" t="str">
        <f t="shared" si="2"/>
        <v>Aug-2025</v>
      </c>
      <c r="C80" s="2" t="str">
        <f t="shared" si="3"/>
        <v>Q2</v>
      </c>
      <c r="D80" s="2" t="s">
        <v>31</v>
      </c>
      <c r="E80" s="13">
        <v>45874</v>
      </c>
      <c r="F80" s="14" t="s">
        <v>93</v>
      </c>
      <c r="G80" s="14" t="s">
        <v>12</v>
      </c>
      <c r="H80" s="14" t="s">
        <v>103</v>
      </c>
      <c r="I80" s="15">
        <v>1</v>
      </c>
      <c r="J80" s="15">
        <v>600</v>
      </c>
      <c r="K80" s="15">
        <v>7.46</v>
      </c>
      <c r="L80" s="15">
        <v>4476</v>
      </c>
      <c r="M80" s="15">
        <v>-344.2</v>
      </c>
      <c r="N80" s="15">
        <v>0</v>
      </c>
      <c r="O80" s="15">
        <v>537.13406399999997</v>
      </c>
      <c r="P80" s="15">
        <v>4668.934064</v>
      </c>
    </row>
    <row r="81" spans="1:16" ht="15" x14ac:dyDescent="0.2">
      <c r="A81" s="4" t="s">
        <v>581</v>
      </c>
      <c r="B81" s="21" t="str">
        <f t="shared" si="2"/>
        <v>Aug-2025</v>
      </c>
      <c r="C81" s="2" t="str">
        <f t="shared" si="3"/>
        <v>Q2</v>
      </c>
      <c r="D81" s="2" t="s">
        <v>31</v>
      </c>
      <c r="E81" s="13">
        <v>45874</v>
      </c>
      <c r="F81" s="14" t="s">
        <v>93</v>
      </c>
      <c r="G81" s="14" t="s">
        <v>12</v>
      </c>
      <c r="H81" s="14" t="s">
        <v>104</v>
      </c>
      <c r="I81" s="15">
        <v>2</v>
      </c>
      <c r="J81" s="15">
        <v>80</v>
      </c>
      <c r="K81" s="15">
        <v>67.040000000000006</v>
      </c>
      <c r="L81" s="15">
        <v>5363.2</v>
      </c>
      <c r="M81" s="15">
        <v>-412.43</v>
      </c>
      <c r="N81" s="15">
        <v>0</v>
      </c>
      <c r="O81" s="15">
        <v>643.60017600000003</v>
      </c>
      <c r="P81" s="15">
        <v>5594.3701760000004</v>
      </c>
    </row>
    <row r="82" spans="1:16" ht="15" x14ac:dyDescent="0.2">
      <c r="A82" s="4" t="s">
        <v>589</v>
      </c>
      <c r="B82" s="21" t="str">
        <f t="shared" si="2"/>
        <v>Aug-2025</v>
      </c>
      <c r="C82" s="2" t="str">
        <f t="shared" si="3"/>
        <v>Q2</v>
      </c>
      <c r="D82" s="2" t="s">
        <v>31</v>
      </c>
      <c r="E82" s="13">
        <v>45874</v>
      </c>
      <c r="F82" s="14" t="s">
        <v>93</v>
      </c>
      <c r="G82" s="14" t="s">
        <v>12</v>
      </c>
      <c r="H82" s="14" t="s">
        <v>105</v>
      </c>
      <c r="I82" s="15">
        <v>4</v>
      </c>
      <c r="J82" s="15">
        <v>120</v>
      </c>
      <c r="K82" s="15">
        <v>316.58999999999997</v>
      </c>
      <c r="L82" s="15">
        <v>37990.799999999996</v>
      </c>
      <c r="M82" s="15">
        <v>-2921.4900000000002</v>
      </c>
      <c r="N82" s="15">
        <v>0</v>
      </c>
      <c r="O82" s="15">
        <v>4559.0108410000003</v>
      </c>
      <c r="P82" s="15">
        <v>39628.320841000001</v>
      </c>
    </row>
    <row r="83" spans="1:16" ht="15" x14ac:dyDescent="0.2">
      <c r="A83" s="4" t="s">
        <v>591</v>
      </c>
      <c r="B83" s="21" t="str">
        <f t="shared" si="2"/>
        <v>Aug-2025</v>
      </c>
      <c r="C83" s="2" t="str">
        <f t="shared" si="3"/>
        <v>Q2</v>
      </c>
      <c r="D83" s="2" t="s">
        <v>31</v>
      </c>
      <c r="E83" s="13">
        <v>45874</v>
      </c>
      <c r="F83" s="14" t="s">
        <v>93</v>
      </c>
      <c r="G83" s="14" t="s">
        <v>12</v>
      </c>
      <c r="H83" s="14" t="s">
        <v>106</v>
      </c>
      <c r="I83" s="15">
        <v>1</v>
      </c>
      <c r="J83" s="15">
        <v>60</v>
      </c>
      <c r="K83" s="15">
        <v>111.74</v>
      </c>
      <c r="L83" s="15">
        <v>6704.4</v>
      </c>
      <c r="M83" s="15">
        <v>-515.57000000000005</v>
      </c>
      <c r="N83" s="15">
        <v>0</v>
      </c>
      <c r="O83" s="15">
        <v>804.54799600000001</v>
      </c>
      <c r="P83" s="15">
        <v>6993.3779960000002</v>
      </c>
    </row>
    <row r="84" spans="1:16" ht="15" x14ac:dyDescent="0.2">
      <c r="A84" s="4" t="s">
        <v>582</v>
      </c>
      <c r="B84" s="21" t="str">
        <f t="shared" si="2"/>
        <v>Aug-2025</v>
      </c>
      <c r="C84" s="2" t="str">
        <f t="shared" si="3"/>
        <v>Q2</v>
      </c>
      <c r="D84" s="2" t="s">
        <v>31</v>
      </c>
      <c r="E84" s="13">
        <v>45874</v>
      </c>
      <c r="F84" s="14" t="s">
        <v>107</v>
      </c>
      <c r="G84" s="14" t="s">
        <v>12</v>
      </c>
      <c r="H84" s="14" t="s">
        <v>108</v>
      </c>
      <c r="I84" s="15">
        <v>2</v>
      </c>
      <c r="J84" s="15">
        <v>48</v>
      </c>
      <c r="K84" s="15">
        <v>186.23</v>
      </c>
      <c r="L84" s="15">
        <v>8939.0400000000009</v>
      </c>
      <c r="M84" s="15">
        <v>-687.41</v>
      </c>
      <c r="N84" s="15">
        <v>0</v>
      </c>
      <c r="O84" s="15">
        <v>1072.7121050000001</v>
      </c>
      <c r="P84" s="15">
        <v>9324.3421049999997</v>
      </c>
    </row>
    <row r="85" spans="1:16" ht="15" x14ac:dyDescent="0.2">
      <c r="A85" s="4" t="s">
        <v>580</v>
      </c>
      <c r="B85" s="21" t="str">
        <f t="shared" si="2"/>
        <v>Aug-2025</v>
      </c>
      <c r="C85" s="2" t="str">
        <f t="shared" si="3"/>
        <v>Q2</v>
      </c>
      <c r="D85" s="2" t="s">
        <v>31</v>
      </c>
      <c r="E85" s="13">
        <v>45874</v>
      </c>
      <c r="F85" s="14" t="s">
        <v>107</v>
      </c>
      <c r="G85" s="14" t="s">
        <v>12</v>
      </c>
      <c r="H85" s="14" t="s">
        <v>89</v>
      </c>
      <c r="I85" s="15">
        <v>5</v>
      </c>
      <c r="J85" s="15">
        <v>350</v>
      </c>
      <c r="K85" s="15">
        <v>32.78</v>
      </c>
      <c r="L85" s="15">
        <v>11473</v>
      </c>
      <c r="M85" s="15">
        <v>-882.2700000000001</v>
      </c>
      <c r="N85" s="15">
        <v>0</v>
      </c>
      <c r="O85" s="15">
        <v>1376.795163</v>
      </c>
      <c r="P85" s="15">
        <v>11967.525163</v>
      </c>
    </row>
    <row r="86" spans="1:16" ht="15" x14ac:dyDescent="0.2">
      <c r="A86" s="4" t="s">
        <v>581</v>
      </c>
      <c r="B86" s="21" t="str">
        <f t="shared" si="2"/>
        <v>Aug-2025</v>
      </c>
      <c r="C86" s="2" t="str">
        <f t="shared" si="3"/>
        <v>Q2</v>
      </c>
      <c r="D86" s="2" t="s">
        <v>31</v>
      </c>
      <c r="E86" s="13">
        <v>45874</v>
      </c>
      <c r="F86" s="14" t="s">
        <v>107</v>
      </c>
      <c r="G86" s="14" t="s">
        <v>12</v>
      </c>
      <c r="H86" s="14" t="s">
        <v>66</v>
      </c>
      <c r="I86" s="15">
        <v>1</v>
      </c>
      <c r="J86" s="15">
        <v>24</v>
      </c>
      <c r="K86" s="15">
        <v>141.53</v>
      </c>
      <c r="L86" s="15">
        <v>3396.72</v>
      </c>
      <c r="M86" s="15">
        <v>-261.20999999999998</v>
      </c>
      <c r="N86" s="15">
        <v>0</v>
      </c>
      <c r="O86" s="15">
        <v>407.616378</v>
      </c>
      <c r="P86" s="15">
        <v>3543.1263779999999</v>
      </c>
    </row>
    <row r="87" spans="1:16" ht="15" x14ac:dyDescent="0.2">
      <c r="A87" s="4" t="s">
        <v>583</v>
      </c>
      <c r="B87" s="21" t="str">
        <f t="shared" si="2"/>
        <v>Aug-2025</v>
      </c>
      <c r="C87" s="2" t="str">
        <f t="shared" si="3"/>
        <v>Q2</v>
      </c>
      <c r="D87" s="2" t="s">
        <v>31</v>
      </c>
      <c r="E87" s="13">
        <v>45874</v>
      </c>
      <c r="F87" s="14" t="s">
        <v>107</v>
      </c>
      <c r="G87" s="14" t="s">
        <v>12</v>
      </c>
      <c r="H87" s="14" t="s">
        <v>109</v>
      </c>
      <c r="I87" s="15">
        <v>2</v>
      </c>
      <c r="J87" s="15">
        <v>30</v>
      </c>
      <c r="K87" s="15">
        <v>260.72000000000003</v>
      </c>
      <c r="L87" s="15">
        <v>7821.6</v>
      </c>
      <c r="M87" s="15">
        <v>-601.48</v>
      </c>
      <c r="N87" s="15">
        <v>0</v>
      </c>
      <c r="O87" s="15">
        <v>938.61577900000009</v>
      </c>
      <c r="P87" s="15">
        <v>8158.7357789999996</v>
      </c>
    </row>
    <row r="88" spans="1:16" ht="15" x14ac:dyDescent="0.2">
      <c r="A88" s="4" t="s">
        <v>576</v>
      </c>
      <c r="B88" s="21" t="str">
        <f t="shared" si="2"/>
        <v>Aug-2025</v>
      </c>
      <c r="C88" s="2" t="str">
        <f t="shared" si="3"/>
        <v>Q2</v>
      </c>
      <c r="D88" s="2" t="s">
        <v>31</v>
      </c>
      <c r="E88" s="13">
        <v>45874</v>
      </c>
      <c r="F88" s="14" t="s">
        <v>107</v>
      </c>
      <c r="G88" s="14" t="s">
        <v>12</v>
      </c>
      <c r="H88" s="14" t="s">
        <v>110</v>
      </c>
      <c r="I88" s="15">
        <v>5</v>
      </c>
      <c r="J88" s="15">
        <v>100</v>
      </c>
      <c r="K88" s="15">
        <v>175.05</v>
      </c>
      <c r="L88" s="15">
        <v>17505</v>
      </c>
      <c r="M88" s="15">
        <v>-1346.1299999999999</v>
      </c>
      <c r="N88" s="15">
        <v>0</v>
      </c>
      <c r="O88" s="15">
        <v>2100.6535009999998</v>
      </c>
      <c r="P88" s="15">
        <v>18259.523501</v>
      </c>
    </row>
    <row r="89" spans="1:16" ht="15" x14ac:dyDescent="0.2">
      <c r="A89" s="4" t="s">
        <v>573</v>
      </c>
      <c r="B89" s="21" t="str">
        <f t="shared" si="2"/>
        <v>Aug-2025</v>
      </c>
      <c r="C89" s="2" t="str">
        <f t="shared" si="3"/>
        <v>Q2</v>
      </c>
      <c r="D89" s="2" t="s">
        <v>31</v>
      </c>
      <c r="E89" s="13">
        <v>45874</v>
      </c>
      <c r="F89" s="14" t="s">
        <v>107</v>
      </c>
      <c r="G89" s="14" t="s">
        <v>12</v>
      </c>
      <c r="H89" s="14" t="s">
        <v>111</v>
      </c>
      <c r="I89" s="15">
        <v>5</v>
      </c>
      <c r="J89" s="15">
        <v>200</v>
      </c>
      <c r="K89" s="15">
        <v>111.74</v>
      </c>
      <c r="L89" s="15">
        <v>22348</v>
      </c>
      <c r="M89" s="15">
        <v>-1718.56</v>
      </c>
      <c r="N89" s="15">
        <v>0</v>
      </c>
      <c r="O89" s="15">
        <v>2681.8277130000001</v>
      </c>
      <c r="P89" s="15">
        <v>23311.267713000001</v>
      </c>
    </row>
    <row r="90" spans="1:16" ht="15" x14ac:dyDescent="0.2">
      <c r="A90" s="4" t="s">
        <v>586</v>
      </c>
      <c r="B90" s="21" t="str">
        <f t="shared" si="2"/>
        <v>Aug-2025</v>
      </c>
      <c r="C90" s="2" t="str">
        <f t="shared" si="3"/>
        <v>Q2</v>
      </c>
      <c r="D90" s="2" t="s">
        <v>31</v>
      </c>
      <c r="E90" s="13">
        <v>45874</v>
      </c>
      <c r="F90" s="14" t="s">
        <v>107</v>
      </c>
      <c r="G90" s="14" t="s">
        <v>12</v>
      </c>
      <c r="H90" s="14" t="s">
        <v>78</v>
      </c>
      <c r="I90" s="15">
        <v>1</v>
      </c>
      <c r="J90" s="15">
        <v>600</v>
      </c>
      <c r="K90" s="15">
        <v>7.45</v>
      </c>
      <c r="L90" s="15">
        <v>4470</v>
      </c>
      <c r="M90" s="15">
        <v>-343.74</v>
      </c>
      <c r="N90" s="15">
        <v>0</v>
      </c>
      <c r="O90" s="15">
        <v>536.413903</v>
      </c>
      <c r="P90" s="15">
        <v>4662.6739029999999</v>
      </c>
    </row>
    <row r="91" spans="1:16" ht="15" x14ac:dyDescent="0.2">
      <c r="A91" s="4" t="s">
        <v>582</v>
      </c>
      <c r="B91" s="21" t="str">
        <f t="shared" si="2"/>
        <v>Aug-2025</v>
      </c>
      <c r="C91" s="2" t="str">
        <f t="shared" si="3"/>
        <v>Q2</v>
      </c>
      <c r="D91" s="2" t="s">
        <v>31</v>
      </c>
      <c r="E91" s="13">
        <v>45874</v>
      </c>
      <c r="F91" s="14" t="s">
        <v>107</v>
      </c>
      <c r="G91" s="14" t="s">
        <v>12</v>
      </c>
      <c r="H91" s="14" t="s">
        <v>77</v>
      </c>
      <c r="I91" s="15">
        <v>1</v>
      </c>
      <c r="J91" s="15">
        <v>24</v>
      </c>
      <c r="K91" s="15">
        <v>204.85</v>
      </c>
      <c r="L91" s="15">
        <v>4916.4000000000005</v>
      </c>
      <c r="M91" s="15">
        <v>-378.07</v>
      </c>
      <c r="N91" s="15">
        <v>0</v>
      </c>
      <c r="O91" s="15">
        <v>589.98301300000003</v>
      </c>
      <c r="P91" s="15">
        <v>5128.313013</v>
      </c>
    </row>
    <row r="92" spans="1:16" ht="15" x14ac:dyDescent="0.2">
      <c r="A92" s="4" t="s">
        <v>579</v>
      </c>
      <c r="B92" s="21" t="str">
        <f t="shared" si="2"/>
        <v>Aug-2025</v>
      </c>
      <c r="C92" s="2" t="str">
        <f t="shared" si="3"/>
        <v>Q2</v>
      </c>
      <c r="D92" s="2" t="s">
        <v>31</v>
      </c>
      <c r="E92" s="13">
        <v>45874</v>
      </c>
      <c r="F92" s="14" t="s">
        <v>107</v>
      </c>
      <c r="G92" s="14" t="s">
        <v>12</v>
      </c>
      <c r="H92" s="14" t="s">
        <v>112</v>
      </c>
      <c r="I92" s="15">
        <v>1</v>
      </c>
      <c r="J92" s="15">
        <v>20</v>
      </c>
      <c r="K92" s="15">
        <v>204.85</v>
      </c>
      <c r="L92" s="15">
        <v>4097</v>
      </c>
      <c r="M92" s="15">
        <v>-315.06</v>
      </c>
      <c r="N92" s="15">
        <v>0</v>
      </c>
      <c r="O92" s="15">
        <v>491.65229399999998</v>
      </c>
      <c r="P92" s="15">
        <v>4273.592294</v>
      </c>
    </row>
    <row r="93" spans="1:16" ht="15" x14ac:dyDescent="0.2">
      <c r="A93" s="4" t="s">
        <v>579</v>
      </c>
      <c r="B93" s="21" t="str">
        <f t="shared" si="2"/>
        <v>Aug-2025</v>
      </c>
      <c r="C93" s="2" t="str">
        <f t="shared" si="3"/>
        <v>Q2</v>
      </c>
      <c r="D93" s="2" t="s">
        <v>31</v>
      </c>
      <c r="E93" s="13">
        <v>45874</v>
      </c>
      <c r="F93" s="14" t="s">
        <v>107</v>
      </c>
      <c r="G93" s="14" t="s">
        <v>12</v>
      </c>
      <c r="H93" s="14" t="s">
        <v>90</v>
      </c>
      <c r="I93" s="15">
        <v>5</v>
      </c>
      <c r="J93" s="15">
        <v>100</v>
      </c>
      <c r="K93" s="15">
        <v>204.85</v>
      </c>
      <c r="L93" s="15">
        <v>20485</v>
      </c>
      <c r="M93" s="15">
        <v>-1575.3</v>
      </c>
      <c r="N93" s="15">
        <v>0</v>
      </c>
      <c r="O93" s="15">
        <v>2458.2614699999999</v>
      </c>
      <c r="P93" s="15">
        <v>21367.961469999998</v>
      </c>
    </row>
    <row r="94" spans="1:16" ht="15" x14ac:dyDescent="0.2">
      <c r="A94" s="4" t="s">
        <v>583</v>
      </c>
      <c r="B94" s="21" t="str">
        <f t="shared" si="2"/>
        <v>Aug-2025</v>
      </c>
      <c r="C94" s="2" t="str">
        <f t="shared" si="3"/>
        <v>Q2</v>
      </c>
      <c r="D94" s="2" t="s">
        <v>31</v>
      </c>
      <c r="E94" s="13">
        <v>45874</v>
      </c>
      <c r="F94" s="14" t="s">
        <v>107</v>
      </c>
      <c r="G94" s="14" t="s">
        <v>12</v>
      </c>
      <c r="H94" s="14" t="s">
        <v>113</v>
      </c>
      <c r="I94" s="15">
        <v>3</v>
      </c>
      <c r="J94" s="15">
        <v>45</v>
      </c>
      <c r="K94" s="15">
        <v>260.72000000000003</v>
      </c>
      <c r="L94" s="15">
        <v>11732.4</v>
      </c>
      <c r="M94" s="15">
        <v>-902.22</v>
      </c>
      <c r="N94" s="15">
        <v>0</v>
      </c>
      <c r="O94" s="15">
        <v>1407.923669</v>
      </c>
      <c r="P94" s="15">
        <v>12238.103669</v>
      </c>
    </row>
    <row r="95" spans="1:16" ht="15" x14ac:dyDescent="0.2">
      <c r="A95" s="4" t="s">
        <v>579</v>
      </c>
      <c r="B95" s="21" t="str">
        <f t="shared" si="2"/>
        <v>Aug-2025</v>
      </c>
      <c r="C95" s="2" t="str">
        <f t="shared" si="3"/>
        <v>Q2</v>
      </c>
      <c r="D95" s="2" t="s">
        <v>31</v>
      </c>
      <c r="E95" s="13">
        <v>45874</v>
      </c>
      <c r="F95" s="14" t="s">
        <v>107</v>
      </c>
      <c r="G95" s="14" t="s">
        <v>12</v>
      </c>
      <c r="H95" s="14" t="s">
        <v>91</v>
      </c>
      <c r="I95" s="15">
        <v>8</v>
      </c>
      <c r="J95" s="15">
        <v>160</v>
      </c>
      <c r="K95" s="15">
        <v>204.85</v>
      </c>
      <c r="L95" s="15">
        <v>32776</v>
      </c>
      <c r="M95" s="15">
        <v>-2520.4700000000003</v>
      </c>
      <c r="N95" s="15">
        <v>0</v>
      </c>
      <c r="O95" s="15">
        <v>3933.2196519999998</v>
      </c>
      <c r="P95" s="15">
        <v>34188.749651999999</v>
      </c>
    </row>
    <row r="96" spans="1:16" ht="15" x14ac:dyDescent="0.2">
      <c r="A96" s="4" t="s">
        <v>585</v>
      </c>
      <c r="B96" s="21" t="str">
        <f t="shared" si="2"/>
        <v>Aug-2025</v>
      </c>
      <c r="C96" s="2" t="str">
        <f t="shared" si="3"/>
        <v>Q2</v>
      </c>
      <c r="D96" s="2" t="s">
        <v>31</v>
      </c>
      <c r="E96" s="13">
        <v>45874</v>
      </c>
      <c r="F96" s="14" t="s">
        <v>107</v>
      </c>
      <c r="G96" s="14" t="s">
        <v>12</v>
      </c>
      <c r="H96" s="14" t="s">
        <v>73</v>
      </c>
      <c r="I96" s="15">
        <v>1</v>
      </c>
      <c r="J96" s="15">
        <v>1600</v>
      </c>
      <c r="K96" s="15">
        <v>1.79</v>
      </c>
      <c r="L96" s="15">
        <v>2864</v>
      </c>
      <c r="M96" s="15">
        <v>-220.24</v>
      </c>
      <c r="N96" s="15">
        <v>0</v>
      </c>
      <c r="O96" s="15">
        <v>343.68886600000002</v>
      </c>
      <c r="P96" s="15">
        <v>2987.4488660000002</v>
      </c>
    </row>
    <row r="97" spans="1:16" ht="15" x14ac:dyDescent="0.2">
      <c r="A97" s="4" t="s">
        <v>586</v>
      </c>
      <c r="B97" s="21" t="str">
        <f t="shared" si="2"/>
        <v>Aug-2025</v>
      </c>
      <c r="C97" s="2" t="str">
        <f t="shared" si="3"/>
        <v>Q2</v>
      </c>
      <c r="D97" s="2" t="s">
        <v>31</v>
      </c>
      <c r="E97" s="13">
        <v>45874</v>
      </c>
      <c r="F97" s="14" t="s">
        <v>107</v>
      </c>
      <c r="G97" s="14" t="s">
        <v>12</v>
      </c>
      <c r="H97" s="14" t="s">
        <v>114</v>
      </c>
      <c r="I97" s="15">
        <v>1</v>
      </c>
      <c r="J97" s="15">
        <v>240</v>
      </c>
      <c r="K97" s="15">
        <v>14.9</v>
      </c>
      <c r="L97" s="15">
        <v>3576</v>
      </c>
      <c r="M97" s="15">
        <v>-274.99</v>
      </c>
      <c r="N97" s="15">
        <v>0</v>
      </c>
      <c r="O97" s="15">
        <v>429.13138199999997</v>
      </c>
      <c r="P97" s="15">
        <v>3730.1413819999998</v>
      </c>
    </row>
    <row r="98" spans="1:16" ht="15" x14ac:dyDescent="0.2">
      <c r="A98" s="4" t="s">
        <v>578</v>
      </c>
      <c r="B98" s="21" t="str">
        <f t="shared" si="2"/>
        <v>Aug-2025</v>
      </c>
      <c r="C98" s="2" t="str">
        <f t="shared" si="3"/>
        <v>Q2</v>
      </c>
      <c r="D98" s="2" t="s">
        <v>31</v>
      </c>
      <c r="E98" s="13">
        <v>45874</v>
      </c>
      <c r="F98" s="14" t="s">
        <v>107</v>
      </c>
      <c r="G98" s="14" t="s">
        <v>12</v>
      </c>
      <c r="H98" s="14" t="s">
        <v>62</v>
      </c>
      <c r="I98" s="15">
        <v>2</v>
      </c>
      <c r="J98" s="15">
        <v>84</v>
      </c>
      <c r="K98" s="15">
        <v>74.489999999999995</v>
      </c>
      <c r="L98" s="15">
        <v>6257.16</v>
      </c>
      <c r="M98" s="15">
        <v>-481.18</v>
      </c>
      <c r="N98" s="15">
        <v>0</v>
      </c>
      <c r="O98" s="15">
        <v>750.87754399999994</v>
      </c>
      <c r="P98" s="15">
        <v>6526.8575440000004</v>
      </c>
    </row>
    <row r="99" spans="1:16" ht="15" x14ac:dyDescent="0.2">
      <c r="A99" s="4" t="s">
        <v>592</v>
      </c>
      <c r="B99" s="21" t="str">
        <f t="shared" si="2"/>
        <v>Aug-2025</v>
      </c>
      <c r="C99" s="2" t="str">
        <f t="shared" si="3"/>
        <v>Q2</v>
      </c>
      <c r="D99" s="2" t="s">
        <v>31</v>
      </c>
      <c r="E99" s="13">
        <v>45874</v>
      </c>
      <c r="F99" s="14" t="s">
        <v>107</v>
      </c>
      <c r="G99" s="14" t="s">
        <v>12</v>
      </c>
      <c r="H99" s="14" t="s">
        <v>115</v>
      </c>
      <c r="I99" s="15">
        <v>1</v>
      </c>
      <c r="J99" s="15">
        <v>50</v>
      </c>
      <c r="K99" s="15">
        <v>89.39</v>
      </c>
      <c r="L99" s="15">
        <v>4469.5</v>
      </c>
      <c r="M99" s="15">
        <v>-343.7</v>
      </c>
      <c r="N99" s="15">
        <v>0</v>
      </c>
      <c r="O99" s="15">
        <v>536.35410300000001</v>
      </c>
      <c r="P99" s="15">
        <v>4662.1541029999998</v>
      </c>
    </row>
    <row r="100" spans="1:16" ht="15" x14ac:dyDescent="0.2">
      <c r="A100" s="4" t="s">
        <v>573</v>
      </c>
      <c r="B100" s="21" t="str">
        <f t="shared" si="2"/>
        <v>Aug-2025</v>
      </c>
      <c r="C100" s="2" t="str">
        <f t="shared" si="3"/>
        <v>Q2</v>
      </c>
      <c r="D100" s="2" t="s">
        <v>31</v>
      </c>
      <c r="E100" s="13">
        <v>45874</v>
      </c>
      <c r="F100" s="14" t="s">
        <v>107</v>
      </c>
      <c r="G100" s="14" t="s">
        <v>12</v>
      </c>
      <c r="H100" s="14" t="s">
        <v>49</v>
      </c>
      <c r="I100" s="15">
        <v>2</v>
      </c>
      <c r="J100" s="15">
        <v>80</v>
      </c>
      <c r="K100" s="15">
        <v>111.74</v>
      </c>
      <c r="L100" s="15">
        <v>8939.2000000000007</v>
      </c>
      <c r="M100" s="15">
        <v>-687.42</v>
      </c>
      <c r="N100" s="15">
        <v>0</v>
      </c>
      <c r="O100" s="15">
        <v>1072.7316049999999</v>
      </c>
      <c r="P100" s="15">
        <v>9324.5116049999997</v>
      </c>
    </row>
    <row r="101" spans="1:16" ht="15" x14ac:dyDescent="0.2">
      <c r="A101" s="4" t="s">
        <v>578</v>
      </c>
      <c r="B101" s="21" t="str">
        <f t="shared" si="2"/>
        <v>Aug-2025</v>
      </c>
      <c r="C101" s="2" t="str">
        <f t="shared" si="3"/>
        <v>Q2</v>
      </c>
      <c r="D101" s="2" t="s">
        <v>31</v>
      </c>
      <c r="E101" s="13">
        <v>45874</v>
      </c>
      <c r="F101" s="14" t="s">
        <v>107</v>
      </c>
      <c r="G101" s="14" t="s">
        <v>12</v>
      </c>
      <c r="H101" s="14" t="s">
        <v>59</v>
      </c>
      <c r="I101" s="15">
        <v>2</v>
      </c>
      <c r="J101" s="15">
        <v>84</v>
      </c>
      <c r="K101" s="15">
        <v>74.489999999999995</v>
      </c>
      <c r="L101" s="15">
        <v>6257.16</v>
      </c>
      <c r="M101" s="15">
        <v>-481.18</v>
      </c>
      <c r="N101" s="15">
        <v>0</v>
      </c>
      <c r="O101" s="15">
        <v>750.87754399999994</v>
      </c>
      <c r="P101" s="15">
        <v>6526.8575440000004</v>
      </c>
    </row>
    <row r="102" spans="1:16" ht="15" x14ac:dyDescent="0.2">
      <c r="A102" s="4" t="s">
        <v>586</v>
      </c>
      <c r="B102" s="21" t="str">
        <f t="shared" si="2"/>
        <v>Aug-2025</v>
      </c>
      <c r="C102" s="2" t="str">
        <f t="shared" si="3"/>
        <v>Q2</v>
      </c>
      <c r="D102" s="2" t="s">
        <v>31</v>
      </c>
      <c r="E102" s="13">
        <v>45874</v>
      </c>
      <c r="F102" s="14" t="s">
        <v>107</v>
      </c>
      <c r="G102" s="14" t="s">
        <v>12</v>
      </c>
      <c r="H102" s="14" t="s">
        <v>76</v>
      </c>
      <c r="I102" s="15">
        <v>1</v>
      </c>
      <c r="J102" s="15">
        <v>240</v>
      </c>
      <c r="K102" s="15">
        <v>18.62</v>
      </c>
      <c r="L102" s="15">
        <v>4468.8</v>
      </c>
      <c r="M102" s="15">
        <v>-343.65</v>
      </c>
      <c r="N102" s="15">
        <v>0</v>
      </c>
      <c r="O102" s="15">
        <v>536.26960199999996</v>
      </c>
      <c r="P102" s="15">
        <v>4661.4196019999999</v>
      </c>
    </row>
    <row r="103" spans="1:16" ht="15" x14ac:dyDescent="0.2">
      <c r="A103" s="4" t="s">
        <v>579</v>
      </c>
      <c r="B103" s="21" t="str">
        <f t="shared" si="2"/>
        <v>Aug-2025</v>
      </c>
      <c r="C103" s="2" t="str">
        <f t="shared" si="3"/>
        <v>Q2</v>
      </c>
      <c r="D103" s="2" t="s">
        <v>31</v>
      </c>
      <c r="E103" s="13">
        <v>45874</v>
      </c>
      <c r="F103" s="14" t="s">
        <v>107</v>
      </c>
      <c r="G103" s="14" t="s">
        <v>12</v>
      </c>
      <c r="H103" s="14" t="s">
        <v>92</v>
      </c>
      <c r="I103" s="15">
        <v>5</v>
      </c>
      <c r="J103" s="15">
        <v>100</v>
      </c>
      <c r="K103" s="15">
        <v>242.1</v>
      </c>
      <c r="L103" s="15">
        <v>24210</v>
      </c>
      <c r="M103" s="15">
        <v>-1861.75</v>
      </c>
      <c r="N103" s="15">
        <v>0</v>
      </c>
      <c r="O103" s="15">
        <v>2905.2730550000001</v>
      </c>
      <c r="P103" s="15">
        <v>25253.523055000001</v>
      </c>
    </row>
    <row r="104" spans="1:16" ht="15" x14ac:dyDescent="0.2">
      <c r="A104" s="4" t="s">
        <v>576</v>
      </c>
      <c r="B104" s="21" t="str">
        <f t="shared" si="2"/>
        <v>Aug-2025</v>
      </c>
      <c r="C104" s="2" t="str">
        <f t="shared" si="3"/>
        <v>Q2</v>
      </c>
      <c r="D104" s="2" t="s">
        <v>31</v>
      </c>
      <c r="E104" s="13">
        <v>45874</v>
      </c>
      <c r="F104" s="14" t="s">
        <v>107</v>
      </c>
      <c r="G104" s="14" t="s">
        <v>12</v>
      </c>
      <c r="H104" s="14" t="s">
        <v>56</v>
      </c>
      <c r="I104" s="15">
        <v>2</v>
      </c>
      <c r="J104" s="15">
        <v>40</v>
      </c>
      <c r="K104" s="15">
        <v>175.05</v>
      </c>
      <c r="L104" s="15">
        <v>7001.9999999999991</v>
      </c>
      <c r="M104" s="15">
        <v>-538.45000000000005</v>
      </c>
      <c r="N104" s="15">
        <v>0</v>
      </c>
      <c r="O104" s="15">
        <v>840.26166099999989</v>
      </c>
      <c r="P104" s="15">
        <v>7303.8116609999997</v>
      </c>
    </row>
    <row r="105" spans="1:16" ht="15" x14ac:dyDescent="0.2">
      <c r="A105" s="4" t="s">
        <v>593</v>
      </c>
      <c r="B105" s="21" t="str">
        <f t="shared" si="2"/>
        <v>Aug-2025</v>
      </c>
      <c r="C105" s="2" t="str">
        <f t="shared" si="3"/>
        <v>Q2</v>
      </c>
      <c r="D105" s="2" t="s">
        <v>31</v>
      </c>
      <c r="E105" s="13">
        <v>45874</v>
      </c>
      <c r="F105" s="14" t="s">
        <v>116</v>
      </c>
      <c r="G105" s="14" t="s">
        <v>46</v>
      </c>
      <c r="H105" s="14" t="s">
        <v>117</v>
      </c>
      <c r="I105" s="15">
        <v>5</v>
      </c>
      <c r="J105" s="15">
        <v>20</v>
      </c>
      <c r="K105" s="15">
        <v>595.92999999999995</v>
      </c>
      <c r="L105" s="15">
        <v>11918.6</v>
      </c>
      <c r="M105" s="15">
        <v>-916.54</v>
      </c>
      <c r="N105" s="15">
        <v>0</v>
      </c>
      <c r="O105" s="15">
        <v>1430.2682540000001</v>
      </c>
      <c r="P105" s="15">
        <v>12432.328254</v>
      </c>
    </row>
    <row r="106" spans="1:16" ht="15" x14ac:dyDescent="0.2">
      <c r="A106" s="4" t="s">
        <v>589</v>
      </c>
      <c r="B106" s="21" t="str">
        <f t="shared" si="2"/>
        <v>Aug-2025</v>
      </c>
      <c r="C106" s="2" t="str">
        <f t="shared" si="3"/>
        <v>Q2</v>
      </c>
      <c r="D106" s="2" t="s">
        <v>31</v>
      </c>
      <c r="E106" s="13">
        <v>45874</v>
      </c>
      <c r="F106" s="14" t="s">
        <v>116</v>
      </c>
      <c r="G106" s="14" t="s">
        <v>46</v>
      </c>
      <c r="H106" s="14" t="s">
        <v>105</v>
      </c>
      <c r="I106" s="15">
        <v>4</v>
      </c>
      <c r="J106" s="15">
        <v>120</v>
      </c>
      <c r="K106" s="15">
        <v>316.58999999999997</v>
      </c>
      <c r="L106" s="15">
        <v>37990.799999999996</v>
      </c>
      <c r="M106" s="15">
        <v>-2921.4900000000002</v>
      </c>
      <c r="N106" s="15">
        <v>0</v>
      </c>
      <c r="O106" s="15">
        <v>4559.0117460000001</v>
      </c>
      <c r="P106" s="15">
        <v>39628.321746000001</v>
      </c>
    </row>
    <row r="107" spans="1:16" ht="15" x14ac:dyDescent="0.2">
      <c r="A107" s="4" t="s">
        <v>592</v>
      </c>
      <c r="B107" s="21" t="str">
        <f t="shared" si="2"/>
        <v>Aug-2025</v>
      </c>
      <c r="C107" s="2" t="str">
        <f t="shared" si="3"/>
        <v>Q2</v>
      </c>
      <c r="D107" s="2" t="s">
        <v>31</v>
      </c>
      <c r="E107" s="13">
        <v>45874</v>
      </c>
      <c r="F107" s="14" t="s">
        <v>118</v>
      </c>
      <c r="G107" s="14" t="s">
        <v>119</v>
      </c>
      <c r="H107" s="14" t="s">
        <v>115</v>
      </c>
      <c r="I107" s="15">
        <v>1</v>
      </c>
      <c r="J107" s="15">
        <v>50</v>
      </c>
      <c r="K107" s="15">
        <v>89.39</v>
      </c>
      <c r="L107" s="15">
        <v>4469.5</v>
      </c>
      <c r="M107" s="15">
        <v>-343.7</v>
      </c>
      <c r="N107" s="15">
        <v>0</v>
      </c>
      <c r="O107" s="15">
        <v>536.35421599999995</v>
      </c>
      <c r="P107" s="15">
        <v>4662.1542159999999</v>
      </c>
    </row>
    <row r="108" spans="1:16" ht="15" x14ac:dyDescent="0.2">
      <c r="A108" s="4" t="s">
        <v>580</v>
      </c>
      <c r="B108" s="21" t="str">
        <f t="shared" si="2"/>
        <v>Aug-2025</v>
      </c>
      <c r="C108" s="2" t="str">
        <f t="shared" si="3"/>
        <v>Q2</v>
      </c>
      <c r="D108" s="2" t="s">
        <v>31</v>
      </c>
      <c r="E108" s="13">
        <v>45874</v>
      </c>
      <c r="F108" s="14" t="s">
        <v>118</v>
      </c>
      <c r="G108" s="14" t="s">
        <v>119</v>
      </c>
      <c r="H108" s="14" t="s">
        <v>65</v>
      </c>
      <c r="I108" s="15">
        <v>1</v>
      </c>
      <c r="J108" s="15">
        <v>130</v>
      </c>
      <c r="K108" s="15">
        <v>33.520000000000003</v>
      </c>
      <c r="L108" s="15">
        <v>4357.6000000000004</v>
      </c>
      <c r="M108" s="15">
        <v>-335.1</v>
      </c>
      <c r="N108" s="15">
        <v>0</v>
      </c>
      <c r="O108" s="15">
        <v>522.92520999999999</v>
      </c>
      <c r="P108" s="15">
        <v>4545.4252100000003</v>
      </c>
    </row>
    <row r="109" spans="1:16" ht="15" x14ac:dyDescent="0.2">
      <c r="A109" s="4" t="s">
        <v>573</v>
      </c>
      <c r="B109" s="21" t="str">
        <f t="shared" si="2"/>
        <v>Aug-2025</v>
      </c>
      <c r="C109" s="2" t="str">
        <f t="shared" si="3"/>
        <v>Q2</v>
      </c>
      <c r="D109" s="2" t="s">
        <v>31</v>
      </c>
      <c r="E109" s="13">
        <v>45874</v>
      </c>
      <c r="F109" s="14" t="s">
        <v>118</v>
      </c>
      <c r="G109" s="14" t="s">
        <v>119</v>
      </c>
      <c r="H109" s="14" t="s">
        <v>49</v>
      </c>
      <c r="I109" s="15">
        <v>1</v>
      </c>
      <c r="J109" s="15">
        <v>40</v>
      </c>
      <c r="K109" s="15">
        <v>111.74</v>
      </c>
      <c r="L109" s="15">
        <v>4469.6000000000004</v>
      </c>
      <c r="M109" s="15">
        <v>-343.71</v>
      </c>
      <c r="N109" s="15">
        <v>0</v>
      </c>
      <c r="O109" s="15">
        <v>536.36591599999997</v>
      </c>
      <c r="P109" s="15">
        <v>4662.2559160000001</v>
      </c>
    </row>
    <row r="110" spans="1:16" ht="15" x14ac:dyDescent="0.2">
      <c r="A110" s="4" t="s">
        <v>584</v>
      </c>
      <c r="B110" s="21" t="str">
        <f t="shared" si="2"/>
        <v>Aug-2025</v>
      </c>
      <c r="C110" s="2" t="str">
        <f t="shared" si="3"/>
        <v>Q2</v>
      </c>
      <c r="D110" s="2" t="s">
        <v>31</v>
      </c>
      <c r="E110" s="13">
        <v>45874</v>
      </c>
      <c r="F110" s="14" t="s">
        <v>118</v>
      </c>
      <c r="G110" s="14" t="s">
        <v>119</v>
      </c>
      <c r="H110" s="14" t="s">
        <v>99</v>
      </c>
      <c r="I110" s="15">
        <v>1</v>
      </c>
      <c r="J110" s="15">
        <v>40</v>
      </c>
      <c r="K110" s="15">
        <v>81.94</v>
      </c>
      <c r="L110" s="15">
        <v>3277.6</v>
      </c>
      <c r="M110" s="15">
        <v>-252.05</v>
      </c>
      <c r="N110" s="15">
        <v>0</v>
      </c>
      <c r="O110" s="15">
        <v>393.32165800000001</v>
      </c>
      <c r="P110" s="15">
        <v>3418.871658</v>
      </c>
    </row>
    <row r="111" spans="1:16" ht="15" x14ac:dyDescent="0.2">
      <c r="A111" s="4" t="s">
        <v>584</v>
      </c>
      <c r="B111" s="21" t="str">
        <f t="shared" si="2"/>
        <v>Aug-2025</v>
      </c>
      <c r="C111" s="2" t="str">
        <f t="shared" si="3"/>
        <v>Q2</v>
      </c>
      <c r="D111" s="2" t="s">
        <v>31</v>
      </c>
      <c r="E111" s="13">
        <v>45874</v>
      </c>
      <c r="F111" s="14" t="s">
        <v>118</v>
      </c>
      <c r="G111" s="14" t="s">
        <v>119</v>
      </c>
      <c r="H111" s="14" t="s">
        <v>120</v>
      </c>
      <c r="I111" s="15">
        <v>1</v>
      </c>
      <c r="J111" s="15">
        <v>40</v>
      </c>
      <c r="K111" s="15">
        <v>81.94</v>
      </c>
      <c r="L111" s="15">
        <v>3277.6</v>
      </c>
      <c r="M111" s="15">
        <v>-252.05</v>
      </c>
      <c r="N111" s="15">
        <v>0</v>
      </c>
      <c r="O111" s="15">
        <v>393.32165800000001</v>
      </c>
      <c r="P111" s="15">
        <v>3418.871658</v>
      </c>
    </row>
    <row r="112" spans="1:16" ht="15" x14ac:dyDescent="0.2">
      <c r="A112" s="4" t="s">
        <v>577</v>
      </c>
      <c r="B112" s="21" t="str">
        <f t="shared" si="2"/>
        <v>Aug-2025</v>
      </c>
      <c r="C112" s="2" t="str">
        <f t="shared" si="3"/>
        <v>Q2</v>
      </c>
      <c r="D112" s="2" t="s">
        <v>31</v>
      </c>
      <c r="E112" s="13">
        <v>45874</v>
      </c>
      <c r="F112" s="14" t="s">
        <v>118</v>
      </c>
      <c r="G112" s="14" t="s">
        <v>119</v>
      </c>
      <c r="H112" s="14" t="s">
        <v>57</v>
      </c>
      <c r="I112" s="15">
        <v>1</v>
      </c>
      <c r="J112" s="15">
        <v>180</v>
      </c>
      <c r="K112" s="15">
        <v>18.62</v>
      </c>
      <c r="L112" s="15">
        <v>3351.6</v>
      </c>
      <c r="M112" s="15">
        <v>-257.74</v>
      </c>
      <c r="N112" s="15">
        <v>0</v>
      </c>
      <c r="O112" s="15">
        <v>402.20196200000004</v>
      </c>
      <c r="P112" s="15">
        <v>3496.0619620000002</v>
      </c>
    </row>
    <row r="113" spans="1:16" ht="15" x14ac:dyDescent="0.2">
      <c r="A113" s="4" t="s">
        <v>589</v>
      </c>
      <c r="B113" s="21" t="str">
        <f t="shared" si="2"/>
        <v>Aug-2025</v>
      </c>
      <c r="C113" s="2" t="str">
        <f t="shared" si="3"/>
        <v>Q2</v>
      </c>
      <c r="D113" s="2" t="s">
        <v>31</v>
      </c>
      <c r="E113" s="13">
        <v>45874</v>
      </c>
      <c r="F113" s="14" t="s">
        <v>118</v>
      </c>
      <c r="G113" s="14" t="s">
        <v>119</v>
      </c>
      <c r="H113" s="14" t="s">
        <v>105</v>
      </c>
      <c r="I113" s="15">
        <v>1</v>
      </c>
      <c r="J113" s="15">
        <v>30</v>
      </c>
      <c r="K113" s="15">
        <v>316.58999999999997</v>
      </c>
      <c r="L113" s="15">
        <v>9497.6999999999989</v>
      </c>
      <c r="M113" s="15">
        <v>-730.36999999999989</v>
      </c>
      <c r="N113" s="15">
        <v>0</v>
      </c>
      <c r="O113" s="15">
        <v>1139.7533579999999</v>
      </c>
      <c r="P113" s="15">
        <v>9907.0833579999999</v>
      </c>
    </row>
    <row r="114" spans="1:16" ht="15" x14ac:dyDescent="0.2">
      <c r="A114" s="4" t="s">
        <v>581</v>
      </c>
      <c r="B114" s="21" t="str">
        <f t="shared" si="2"/>
        <v>Aug-2025</v>
      </c>
      <c r="C114" s="2" t="str">
        <f t="shared" si="3"/>
        <v>Q2</v>
      </c>
      <c r="D114" s="2" t="s">
        <v>31</v>
      </c>
      <c r="E114" s="13">
        <v>45874</v>
      </c>
      <c r="F114" s="14" t="s">
        <v>118</v>
      </c>
      <c r="G114" s="14" t="s">
        <v>119</v>
      </c>
      <c r="H114" s="14" t="s">
        <v>66</v>
      </c>
      <c r="I114" s="15">
        <v>1</v>
      </c>
      <c r="J114" s="15">
        <v>24</v>
      </c>
      <c r="K114" s="15">
        <v>141.53</v>
      </c>
      <c r="L114" s="15">
        <v>3396.72</v>
      </c>
      <c r="M114" s="15">
        <v>-261.20999999999998</v>
      </c>
      <c r="N114" s="15">
        <v>0</v>
      </c>
      <c r="O114" s="15">
        <v>407.61646400000001</v>
      </c>
      <c r="P114" s="15">
        <v>3543.1264639999999</v>
      </c>
    </row>
    <row r="115" spans="1:16" ht="15" x14ac:dyDescent="0.2">
      <c r="A115" s="4" t="s">
        <v>578</v>
      </c>
      <c r="B115" s="21" t="str">
        <f t="shared" si="2"/>
        <v>Aug-2025</v>
      </c>
      <c r="C115" s="2" t="str">
        <f t="shared" si="3"/>
        <v>Q2</v>
      </c>
      <c r="D115" s="2" t="s">
        <v>31</v>
      </c>
      <c r="E115" s="13">
        <v>45874</v>
      </c>
      <c r="F115" s="14" t="s">
        <v>118</v>
      </c>
      <c r="G115" s="14" t="s">
        <v>119</v>
      </c>
      <c r="H115" s="14" t="s">
        <v>60</v>
      </c>
      <c r="I115" s="15">
        <v>1</v>
      </c>
      <c r="J115" s="15">
        <v>42</v>
      </c>
      <c r="K115" s="15">
        <v>74.489999999999995</v>
      </c>
      <c r="L115" s="15">
        <v>3128.58</v>
      </c>
      <c r="M115" s="15">
        <v>-240.59</v>
      </c>
      <c r="N115" s="15">
        <v>0</v>
      </c>
      <c r="O115" s="15">
        <v>375.438851</v>
      </c>
      <c r="P115" s="15">
        <v>3263.4288510000001</v>
      </c>
    </row>
    <row r="116" spans="1:16" ht="15" x14ac:dyDescent="0.2">
      <c r="A116" s="4" t="s">
        <v>589</v>
      </c>
      <c r="B116" s="21" t="str">
        <f t="shared" si="2"/>
        <v>Aug-2025</v>
      </c>
      <c r="C116" s="2" t="str">
        <f t="shared" si="3"/>
        <v>Q2</v>
      </c>
      <c r="D116" s="2" t="s">
        <v>31</v>
      </c>
      <c r="E116" s="13">
        <v>45874</v>
      </c>
      <c r="F116" s="14" t="s">
        <v>118</v>
      </c>
      <c r="G116" s="14" t="s">
        <v>119</v>
      </c>
      <c r="H116" s="14" t="s">
        <v>98</v>
      </c>
      <c r="I116" s="15">
        <v>1</v>
      </c>
      <c r="J116" s="15">
        <v>60</v>
      </c>
      <c r="K116" s="15">
        <v>145.26</v>
      </c>
      <c r="L116" s="15">
        <v>8715.6</v>
      </c>
      <c r="M116" s="15">
        <v>-670.23</v>
      </c>
      <c r="N116" s="15">
        <v>0</v>
      </c>
      <c r="O116" s="15">
        <v>1045.89852</v>
      </c>
      <c r="P116" s="15">
        <v>9091.2685199999996</v>
      </c>
    </row>
    <row r="117" spans="1:16" ht="15" x14ac:dyDescent="0.2">
      <c r="A117" s="4" t="s">
        <v>573</v>
      </c>
      <c r="B117" s="21" t="str">
        <f t="shared" si="2"/>
        <v>Aug-2025</v>
      </c>
      <c r="C117" s="2" t="str">
        <f t="shared" si="3"/>
        <v>Q2</v>
      </c>
      <c r="D117" s="2" t="s">
        <v>31</v>
      </c>
      <c r="E117" s="13">
        <v>45874</v>
      </c>
      <c r="F117" s="14" t="s">
        <v>118</v>
      </c>
      <c r="G117" s="14" t="s">
        <v>119</v>
      </c>
      <c r="H117" s="14" t="s">
        <v>111</v>
      </c>
      <c r="I117" s="15">
        <v>2</v>
      </c>
      <c r="J117" s="15">
        <v>80</v>
      </c>
      <c r="K117" s="15">
        <v>111.74</v>
      </c>
      <c r="L117" s="15">
        <v>8939.2000000000007</v>
      </c>
      <c r="M117" s="15">
        <v>-687.42</v>
      </c>
      <c r="N117" s="15">
        <v>0</v>
      </c>
      <c r="O117" s="15">
        <v>1072.7318310000001</v>
      </c>
      <c r="P117" s="15">
        <v>9324.5118309999998</v>
      </c>
    </row>
    <row r="118" spans="1:16" ht="15" x14ac:dyDescent="0.2">
      <c r="A118" s="4" t="s">
        <v>578</v>
      </c>
      <c r="B118" s="21" t="str">
        <f t="shared" si="2"/>
        <v>Aug-2025</v>
      </c>
      <c r="C118" s="2" t="str">
        <f t="shared" si="3"/>
        <v>Q2</v>
      </c>
      <c r="D118" s="2" t="s">
        <v>31</v>
      </c>
      <c r="E118" s="13">
        <v>45874</v>
      </c>
      <c r="F118" s="14" t="s">
        <v>118</v>
      </c>
      <c r="G118" s="14" t="s">
        <v>119</v>
      </c>
      <c r="H118" s="14" t="s">
        <v>62</v>
      </c>
      <c r="I118" s="15">
        <v>1</v>
      </c>
      <c r="J118" s="15">
        <v>42</v>
      </c>
      <c r="K118" s="15">
        <v>74.489999999999995</v>
      </c>
      <c r="L118" s="15">
        <v>3128.58</v>
      </c>
      <c r="M118" s="15">
        <v>-240.59</v>
      </c>
      <c r="N118" s="15">
        <v>0</v>
      </c>
      <c r="O118" s="15">
        <v>375.438851</v>
      </c>
      <c r="P118" s="15">
        <v>3263.4288510000001</v>
      </c>
    </row>
    <row r="119" spans="1:16" ht="15" x14ac:dyDescent="0.2">
      <c r="A119" s="4" t="s">
        <v>575</v>
      </c>
      <c r="B119" s="21" t="str">
        <f t="shared" si="2"/>
        <v>Aug-2025</v>
      </c>
      <c r="C119" s="2" t="str">
        <f t="shared" si="3"/>
        <v>Q2</v>
      </c>
      <c r="D119" s="2" t="s">
        <v>31</v>
      </c>
      <c r="E119" s="13">
        <v>45874</v>
      </c>
      <c r="F119" s="14" t="s">
        <v>118</v>
      </c>
      <c r="G119" s="14" t="s">
        <v>119</v>
      </c>
      <c r="H119" s="14" t="s">
        <v>55</v>
      </c>
      <c r="I119" s="15">
        <v>2</v>
      </c>
      <c r="J119" s="15">
        <v>40</v>
      </c>
      <c r="K119" s="15">
        <v>186.23</v>
      </c>
      <c r="L119" s="15">
        <v>7449.2000000000007</v>
      </c>
      <c r="M119" s="15">
        <v>-572.84</v>
      </c>
      <c r="N119" s="15">
        <v>0</v>
      </c>
      <c r="O119" s="15">
        <v>893.92715899999996</v>
      </c>
      <c r="P119" s="15">
        <v>7770.2871590000004</v>
      </c>
    </row>
    <row r="120" spans="1:16" ht="15" x14ac:dyDescent="0.2">
      <c r="A120" s="4" t="s">
        <v>573</v>
      </c>
      <c r="B120" s="21" t="str">
        <f t="shared" si="2"/>
        <v>Aug-2025</v>
      </c>
      <c r="C120" s="2" t="str">
        <f t="shared" si="3"/>
        <v>Q2</v>
      </c>
      <c r="D120" s="2" t="s">
        <v>31</v>
      </c>
      <c r="E120" s="13">
        <v>45874</v>
      </c>
      <c r="F120" s="14" t="s">
        <v>118</v>
      </c>
      <c r="G120" s="14" t="s">
        <v>119</v>
      </c>
      <c r="H120" s="14" t="s">
        <v>47</v>
      </c>
      <c r="I120" s="15">
        <v>1</v>
      </c>
      <c r="J120" s="15">
        <v>40</v>
      </c>
      <c r="K120" s="15">
        <v>111.74</v>
      </c>
      <c r="L120" s="15">
        <v>4469.6000000000004</v>
      </c>
      <c r="M120" s="15">
        <v>-343.71</v>
      </c>
      <c r="N120" s="15">
        <v>0</v>
      </c>
      <c r="O120" s="15">
        <v>536.36591599999997</v>
      </c>
      <c r="P120" s="15">
        <v>4662.2559160000001</v>
      </c>
    </row>
    <row r="121" spans="1:16" ht="15" x14ac:dyDescent="0.2">
      <c r="A121" s="4" t="s">
        <v>584</v>
      </c>
      <c r="B121" s="21" t="str">
        <f t="shared" si="2"/>
        <v>Aug-2025</v>
      </c>
      <c r="C121" s="2" t="str">
        <f t="shared" si="3"/>
        <v>Q2</v>
      </c>
      <c r="D121" s="2" t="s">
        <v>31</v>
      </c>
      <c r="E121" s="13">
        <v>45874</v>
      </c>
      <c r="F121" s="14" t="s">
        <v>118</v>
      </c>
      <c r="G121" s="14" t="s">
        <v>119</v>
      </c>
      <c r="H121" s="14" t="s">
        <v>100</v>
      </c>
      <c r="I121" s="15">
        <v>1</v>
      </c>
      <c r="J121" s="15">
        <v>40</v>
      </c>
      <c r="K121" s="15">
        <v>81.94</v>
      </c>
      <c r="L121" s="15">
        <v>3277.6</v>
      </c>
      <c r="M121" s="15">
        <v>-252.05</v>
      </c>
      <c r="N121" s="15">
        <v>0</v>
      </c>
      <c r="O121" s="15">
        <v>393.32165800000001</v>
      </c>
      <c r="P121" s="15">
        <v>3418.871658</v>
      </c>
    </row>
    <row r="122" spans="1:16" ht="15" x14ac:dyDescent="0.2">
      <c r="A122" s="4" t="s">
        <v>578</v>
      </c>
      <c r="B122" s="21" t="str">
        <f t="shared" si="2"/>
        <v>Aug-2025</v>
      </c>
      <c r="C122" s="2" t="str">
        <f t="shared" si="3"/>
        <v>Q2</v>
      </c>
      <c r="D122" s="2" t="s">
        <v>31</v>
      </c>
      <c r="E122" s="13">
        <v>45874</v>
      </c>
      <c r="F122" s="14" t="s">
        <v>118</v>
      </c>
      <c r="G122" s="14" t="s">
        <v>119</v>
      </c>
      <c r="H122" s="14" t="s">
        <v>59</v>
      </c>
      <c r="I122" s="15">
        <v>1</v>
      </c>
      <c r="J122" s="15">
        <v>42</v>
      </c>
      <c r="K122" s="15">
        <v>74.489999999999995</v>
      </c>
      <c r="L122" s="15">
        <v>3128.58</v>
      </c>
      <c r="M122" s="15">
        <v>-240.59</v>
      </c>
      <c r="N122" s="15">
        <v>0</v>
      </c>
      <c r="O122" s="15">
        <v>375.438851</v>
      </c>
      <c r="P122" s="15">
        <v>3263.4288510000001</v>
      </c>
    </row>
    <row r="123" spans="1:16" ht="15" x14ac:dyDescent="0.2">
      <c r="A123" s="4" t="s">
        <v>580</v>
      </c>
      <c r="B123" s="21" t="str">
        <f t="shared" si="2"/>
        <v>Aug-2025</v>
      </c>
      <c r="C123" s="2" t="str">
        <f t="shared" si="3"/>
        <v>Q2</v>
      </c>
      <c r="D123" s="2" t="s">
        <v>31</v>
      </c>
      <c r="E123" s="13">
        <v>45874</v>
      </c>
      <c r="F123" s="14" t="s">
        <v>118</v>
      </c>
      <c r="G123" s="14" t="s">
        <v>119</v>
      </c>
      <c r="H123" s="14" t="s">
        <v>89</v>
      </c>
      <c r="I123" s="15">
        <v>2</v>
      </c>
      <c r="J123" s="15">
        <v>140</v>
      </c>
      <c r="K123" s="15">
        <v>32.78</v>
      </c>
      <c r="L123" s="15">
        <v>4589.2</v>
      </c>
      <c r="M123" s="15">
        <v>-352.91</v>
      </c>
      <c r="N123" s="15">
        <v>0</v>
      </c>
      <c r="O123" s="15">
        <v>550.71792100000005</v>
      </c>
      <c r="P123" s="15">
        <v>4787.0079210000004</v>
      </c>
    </row>
    <row r="124" spans="1:16" ht="15" x14ac:dyDescent="0.2">
      <c r="A124" s="4" t="s">
        <v>593</v>
      </c>
      <c r="B124" s="21" t="str">
        <f t="shared" si="2"/>
        <v>Aug-2025</v>
      </c>
      <c r="C124" s="2" t="str">
        <f t="shared" si="3"/>
        <v>Q2</v>
      </c>
      <c r="D124" s="2" t="s">
        <v>31</v>
      </c>
      <c r="E124" s="13">
        <v>45874</v>
      </c>
      <c r="F124" s="14" t="s">
        <v>121</v>
      </c>
      <c r="G124" s="14" t="s">
        <v>12</v>
      </c>
      <c r="H124" s="14" t="s">
        <v>117</v>
      </c>
      <c r="I124" s="15">
        <v>40</v>
      </c>
      <c r="J124" s="15">
        <v>160</v>
      </c>
      <c r="K124" s="15">
        <v>595.92999999999995</v>
      </c>
      <c r="L124" s="15">
        <v>95348.800000000003</v>
      </c>
      <c r="M124" s="15">
        <v>-7332.32</v>
      </c>
      <c r="N124" s="15">
        <v>0</v>
      </c>
      <c r="O124" s="15">
        <v>11442.140000000001</v>
      </c>
      <c r="P124" s="15">
        <v>99458.62</v>
      </c>
    </row>
    <row r="125" spans="1:16" ht="15" x14ac:dyDescent="0.2">
      <c r="A125" s="4" t="s">
        <v>584</v>
      </c>
      <c r="B125" s="21" t="str">
        <f t="shared" si="2"/>
        <v>Aug-2025</v>
      </c>
      <c r="C125" s="2" t="str">
        <f t="shared" si="3"/>
        <v>Q2</v>
      </c>
      <c r="D125" s="2" t="s">
        <v>31</v>
      </c>
      <c r="E125" s="13">
        <v>45874</v>
      </c>
      <c r="F125" s="14" t="s">
        <v>122</v>
      </c>
      <c r="G125" s="14" t="s">
        <v>22</v>
      </c>
      <c r="H125" s="14" t="s">
        <v>99</v>
      </c>
      <c r="I125" s="15">
        <v>2</v>
      </c>
      <c r="J125" s="15">
        <v>80</v>
      </c>
      <c r="K125" s="15">
        <v>81.94</v>
      </c>
      <c r="L125" s="15">
        <v>6555.2</v>
      </c>
      <c r="M125" s="15">
        <v>-504.09</v>
      </c>
      <c r="N125" s="15">
        <v>0</v>
      </c>
      <c r="O125" s="15">
        <v>786.64413400000001</v>
      </c>
      <c r="P125" s="15">
        <v>6837.7541339999998</v>
      </c>
    </row>
    <row r="126" spans="1:16" ht="15" x14ac:dyDescent="0.2">
      <c r="A126" s="4" t="s">
        <v>582</v>
      </c>
      <c r="B126" s="21" t="str">
        <f t="shared" si="2"/>
        <v>Aug-2025</v>
      </c>
      <c r="C126" s="2" t="str">
        <f t="shared" si="3"/>
        <v>Q2</v>
      </c>
      <c r="D126" s="2" t="s">
        <v>31</v>
      </c>
      <c r="E126" s="13">
        <v>45874</v>
      </c>
      <c r="F126" s="14" t="s">
        <v>122</v>
      </c>
      <c r="G126" s="14" t="s">
        <v>22</v>
      </c>
      <c r="H126" s="14" t="s">
        <v>101</v>
      </c>
      <c r="I126" s="15">
        <v>2</v>
      </c>
      <c r="J126" s="15">
        <v>48</v>
      </c>
      <c r="K126" s="15">
        <v>186.23</v>
      </c>
      <c r="L126" s="15">
        <v>8939.0400000000009</v>
      </c>
      <c r="M126" s="15">
        <v>-687.41</v>
      </c>
      <c r="N126" s="15">
        <v>0</v>
      </c>
      <c r="O126" s="15">
        <v>1072.711673</v>
      </c>
      <c r="P126" s="15">
        <v>9324.3416730000008</v>
      </c>
    </row>
    <row r="127" spans="1:16" ht="15" x14ac:dyDescent="0.2">
      <c r="A127" s="4" t="s">
        <v>586</v>
      </c>
      <c r="B127" s="21" t="str">
        <f t="shared" si="2"/>
        <v>Aug-2025</v>
      </c>
      <c r="C127" s="2" t="str">
        <f t="shared" si="3"/>
        <v>Q2</v>
      </c>
      <c r="D127" s="2" t="s">
        <v>31</v>
      </c>
      <c r="E127" s="13">
        <v>45874</v>
      </c>
      <c r="F127" s="14" t="s">
        <v>122</v>
      </c>
      <c r="G127" s="14" t="s">
        <v>22</v>
      </c>
      <c r="H127" s="14" t="s">
        <v>103</v>
      </c>
      <c r="I127" s="15">
        <v>1</v>
      </c>
      <c r="J127" s="15">
        <v>600</v>
      </c>
      <c r="K127" s="15">
        <v>7.45</v>
      </c>
      <c r="L127" s="15">
        <v>4470</v>
      </c>
      <c r="M127" s="15">
        <v>-343.74</v>
      </c>
      <c r="N127" s="15">
        <v>0</v>
      </c>
      <c r="O127" s="15">
        <v>536.41368699999998</v>
      </c>
      <c r="P127" s="15">
        <v>4662.6736870000004</v>
      </c>
    </row>
    <row r="128" spans="1:16" ht="15" x14ac:dyDescent="0.2">
      <c r="A128" s="4" t="s">
        <v>581</v>
      </c>
      <c r="B128" s="21" t="str">
        <f t="shared" si="2"/>
        <v>Aug-2025</v>
      </c>
      <c r="C128" s="2" t="str">
        <f t="shared" si="3"/>
        <v>Q2</v>
      </c>
      <c r="D128" s="2" t="s">
        <v>31</v>
      </c>
      <c r="E128" s="13">
        <v>45874</v>
      </c>
      <c r="F128" s="14" t="s">
        <v>122</v>
      </c>
      <c r="G128" s="14" t="s">
        <v>22</v>
      </c>
      <c r="H128" s="14" t="s">
        <v>97</v>
      </c>
      <c r="I128" s="15">
        <v>3</v>
      </c>
      <c r="J128" s="15">
        <v>120</v>
      </c>
      <c r="K128" s="15">
        <v>67.040000000000006</v>
      </c>
      <c r="L128" s="15">
        <v>8044.8</v>
      </c>
      <c r="M128" s="15">
        <v>-618.65</v>
      </c>
      <c r="N128" s="15">
        <v>0</v>
      </c>
      <c r="O128" s="15">
        <v>965.39929600000005</v>
      </c>
      <c r="P128" s="15">
        <v>8391.5492959999992</v>
      </c>
    </row>
    <row r="129" spans="1:16" ht="15" x14ac:dyDescent="0.2">
      <c r="A129" s="4" t="s">
        <v>576</v>
      </c>
      <c r="B129" s="21" t="str">
        <f t="shared" si="2"/>
        <v>Aug-2025</v>
      </c>
      <c r="C129" s="2" t="str">
        <f t="shared" si="3"/>
        <v>Q2</v>
      </c>
      <c r="D129" s="2" t="s">
        <v>31</v>
      </c>
      <c r="E129" s="13">
        <v>45874</v>
      </c>
      <c r="F129" s="14" t="s">
        <v>122</v>
      </c>
      <c r="G129" s="14" t="s">
        <v>22</v>
      </c>
      <c r="H129" s="14" t="s">
        <v>123</v>
      </c>
      <c r="I129" s="15">
        <v>3</v>
      </c>
      <c r="J129" s="15">
        <v>60</v>
      </c>
      <c r="K129" s="15">
        <v>175.05</v>
      </c>
      <c r="L129" s="15">
        <v>10503</v>
      </c>
      <c r="M129" s="15">
        <v>-807.68</v>
      </c>
      <c r="N129" s="15">
        <v>0</v>
      </c>
      <c r="O129" s="15">
        <v>1260.3913339999999</v>
      </c>
      <c r="P129" s="15">
        <v>10955.711334</v>
      </c>
    </row>
    <row r="130" spans="1:16" ht="15" x14ac:dyDescent="0.2">
      <c r="A130" s="4" t="s">
        <v>589</v>
      </c>
      <c r="B130" s="21" t="str">
        <f t="shared" si="2"/>
        <v>Aug-2025</v>
      </c>
      <c r="C130" s="2" t="str">
        <f t="shared" si="3"/>
        <v>Q2</v>
      </c>
      <c r="D130" s="2" t="s">
        <v>31</v>
      </c>
      <c r="E130" s="13">
        <v>45874</v>
      </c>
      <c r="F130" s="14" t="s">
        <v>122</v>
      </c>
      <c r="G130" s="14" t="s">
        <v>22</v>
      </c>
      <c r="H130" s="14" t="s">
        <v>105</v>
      </c>
      <c r="I130" s="15">
        <v>1</v>
      </c>
      <c r="J130" s="15">
        <v>30</v>
      </c>
      <c r="K130" s="15">
        <v>316.58999999999997</v>
      </c>
      <c r="L130" s="15">
        <v>9497.6999999999989</v>
      </c>
      <c r="M130" s="15">
        <v>-730.36999999999989</v>
      </c>
      <c r="N130" s="15">
        <v>0</v>
      </c>
      <c r="O130" s="15">
        <v>1139.752659</v>
      </c>
      <c r="P130" s="15">
        <v>9907.0826589999997</v>
      </c>
    </row>
    <row r="131" spans="1:16" ht="15" x14ac:dyDescent="0.2">
      <c r="A131" s="4" t="s">
        <v>576</v>
      </c>
      <c r="B131" s="21" t="str">
        <f t="shared" ref="B131:B194" si="4">+TEXT(E131,"MMM-yyy")</f>
        <v>Aug-2025</v>
      </c>
      <c r="C131" s="2" t="str">
        <f t="shared" ref="C131:C194" si="5">"Q" &amp; CHOOSE(MONTH(E131),4,4,4,1,1,1,2,2,2,3,3,3)</f>
        <v>Q2</v>
      </c>
      <c r="D131" s="2" t="s">
        <v>31</v>
      </c>
      <c r="E131" s="13">
        <v>45874</v>
      </c>
      <c r="F131" s="14" t="s">
        <v>122</v>
      </c>
      <c r="G131" s="14" t="s">
        <v>22</v>
      </c>
      <c r="H131" s="14" t="s">
        <v>124</v>
      </c>
      <c r="I131" s="15">
        <v>5</v>
      </c>
      <c r="J131" s="15">
        <v>100</v>
      </c>
      <c r="K131" s="15">
        <v>175.05</v>
      </c>
      <c r="L131" s="15">
        <v>17505</v>
      </c>
      <c r="M131" s="15">
        <v>-1346.1299999999999</v>
      </c>
      <c r="N131" s="15">
        <v>0</v>
      </c>
      <c r="O131" s="15">
        <v>2100.6526560000002</v>
      </c>
      <c r="P131" s="15">
        <v>18259.522656000001</v>
      </c>
    </row>
    <row r="132" spans="1:16" ht="15" x14ac:dyDescent="0.2">
      <c r="A132" s="4" t="s">
        <v>573</v>
      </c>
      <c r="B132" s="21" t="str">
        <f t="shared" si="4"/>
        <v>Aug-2025</v>
      </c>
      <c r="C132" s="2" t="str">
        <f t="shared" si="5"/>
        <v>Q2</v>
      </c>
      <c r="D132" s="2" t="s">
        <v>31</v>
      </c>
      <c r="E132" s="13">
        <v>45874</v>
      </c>
      <c r="F132" s="14" t="s">
        <v>122</v>
      </c>
      <c r="G132" s="14" t="s">
        <v>22</v>
      </c>
      <c r="H132" s="14" t="s">
        <v>111</v>
      </c>
      <c r="I132" s="15">
        <v>5</v>
      </c>
      <c r="J132" s="15">
        <v>200</v>
      </c>
      <c r="K132" s="15">
        <v>111.74</v>
      </c>
      <c r="L132" s="15">
        <v>22348</v>
      </c>
      <c r="M132" s="15">
        <v>-1718.56</v>
      </c>
      <c r="N132" s="15">
        <v>0</v>
      </c>
      <c r="O132" s="15">
        <v>2681.8266329999997</v>
      </c>
      <c r="P132" s="15">
        <v>23311.266632999999</v>
      </c>
    </row>
    <row r="133" spans="1:16" ht="15" x14ac:dyDescent="0.2">
      <c r="A133" s="4" t="s">
        <v>577</v>
      </c>
      <c r="B133" s="21" t="str">
        <f t="shared" si="4"/>
        <v>Aug-2025</v>
      </c>
      <c r="C133" s="2" t="str">
        <f t="shared" si="5"/>
        <v>Q2</v>
      </c>
      <c r="D133" s="2" t="s">
        <v>31</v>
      </c>
      <c r="E133" s="13">
        <v>45874</v>
      </c>
      <c r="F133" s="14" t="s">
        <v>122</v>
      </c>
      <c r="G133" s="14" t="s">
        <v>22</v>
      </c>
      <c r="H133" s="14" t="s">
        <v>57</v>
      </c>
      <c r="I133" s="15">
        <v>5</v>
      </c>
      <c r="J133" s="15">
        <v>900</v>
      </c>
      <c r="K133" s="15">
        <v>18.62</v>
      </c>
      <c r="L133" s="15">
        <v>16758</v>
      </c>
      <c r="M133" s="15">
        <v>-1288.6899999999998</v>
      </c>
      <c r="N133" s="15">
        <v>0</v>
      </c>
      <c r="O133" s="15">
        <v>2011.009875</v>
      </c>
      <c r="P133" s="15">
        <v>17480.319875000001</v>
      </c>
    </row>
    <row r="134" spans="1:16" ht="15" x14ac:dyDescent="0.2">
      <c r="A134" s="4" t="s">
        <v>580</v>
      </c>
      <c r="B134" s="21" t="str">
        <f t="shared" si="4"/>
        <v>Aug-2025</v>
      </c>
      <c r="C134" s="2" t="str">
        <f t="shared" si="5"/>
        <v>Q2</v>
      </c>
      <c r="D134" s="2" t="s">
        <v>31</v>
      </c>
      <c r="E134" s="13">
        <v>45874</v>
      </c>
      <c r="F134" s="14" t="s">
        <v>122</v>
      </c>
      <c r="G134" s="14" t="s">
        <v>22</v>
      </c>
      <c r="H134" s="14" t="s">
        <v>65</v>
      </c>
      <c r="I134" s="15">
        <v>2</v>
      </c>
      <c r="J134" s="15">
        <v>260</v>
      </c>
      <c r="K134" s="15">
        <v>33.520000000000003</v>
      </c>
      <c r="L134" s="15">
        <v>8715.2000000000007</v>
      </c>
      <c r="M134" s="15">
        <v>-670.2</v>
      </c>
      <c r="N134" s="15">
        <v>0</v>
      </c>
      <c r="O134" s="15">
        <v>1045.8497789999999</v>
      </c>
      <c r="P134" s="15">
        <v>9090.8497790000001</v>
      </c>
    </row>
    <row r="135" spans="1:16" ht="15" x14ac:dyDescent="0.2">
      <c r="A135" s="4" t="s">
        <v>581</v>
      </c>
      <c r="B135" s="21" t="str">
        <f t="shared" si="4"/>
        <v>Aug-2025</v>
      </c>
      <c r="C135" s="2" t="str">
        <f t="shared" si="5"/>
        <v>Q2</v>
      </c>
      <c r="D135" s="2" t="s">
        <v>31</v>
      </c>
      <c r="E135" s="13">
        <v>45874</v>
      </c>
      <c r="F135" s="14" t="s">
        <v>122</v>
      </c>
      <c r="G135" s="14" t="s">
        <v>22</v>
      </c>
      <c r="H135" s="14" t="s">
        <v>96</v>
      </c>
      <c r="I135" s="15">
        <v>5</v>
      </c>
      <c r="J135" s="15">
        <v>200</v>
      </c>
      <c r="K135" s="15">
        <v>67.040000000000006</v>
      </c>
      <c r="L135" s="15">
        <v>13408</v>
      </c>
      <c r="M135" s="15">
        <v>-1031.08</v>
      </c>
      <c r="N135" s="15">
        <v>0</v>
      </c>
      <c r="O135" s="15">
        <v>1608.9992599999998</v>
      </c>
      <c r="P135" s="15">
        <v>13985.919260000001</v>
      </c>
    </row>
    <row r="136" spans="1:16" ht="15" x14ac:dyDescent="0.2">
      <c r="A136" s="4" t="s">
        <v>581</v>
      </c>
      <c r="B136" s="21" t="str">
        <f t="shared" si="4"/>
        <v>Aug-2025</v>
      </c>
      <c r="C136" s="2" t="str">
        <f t="shared" si="5"/>
        <v>Q2</v>
      </c>
      <c r="D136" s="2" t="s">
        <v>31</v>
      </c>
      <c r="E136" s="13">
        <v>45874</v>
      </c>
      <c r="F136" s="14" t="s">
        <v>122</v>
      </c>
      <c r="G136" s="14" t="s">
        <v>22</v>
      </c>
      <c r="H136" s="14" t="s">
        <v>104</v>
      </c>
      <c r="I136" s="15">
        <v>3</v>
      </c>
      <c r="J136" s="15">
        <v>120</v>
      </c>
      <c r="K136" s="15">
        <v>67.040000000000006</v>
      </c>
      <c r="L136" s="15">
        <v>8044.8</v>
      </c>
      <c r="M136" s="15">
        <v>-618.65</v>
      </c>
      <c r="N136" s="15">
        <v>0</v>
      </c>
      <c r="O136" s="15">
        <v>965.39929600000005</v>
      </c>
      <c r="P136" s="15">
        <v>8391.5492959999992</v>
      </c>
    </row>
    <row r="137" spans="1:16" ht="15" x14ac:dyDescent="0.2">
      <c r="A137" s="4" t="s">
        <v>583</v>
      </c>
      <c r="B137" s="21" t="str">
        <f t="shared" si="4"/>
        <v>Aug-2025</v>
      </c>
      <c r="C137" s="2" t="str">
        <f t="shared" si="5"/>
        <v>Q2</v>
      </c>
      <c r="D137" s="2" t="s">
        <v>31</v>
      </c>
      <c r="E137" s="13">
        <v>45874</v>
      </c>
      <c r="F137" s="14" t="s">
        <v>122</v>
      </c>
      <c r="G137" s="14" t="s">
        <v>22</v>
      </c>
      <c r="H137" s="14" t="s">
        <v>109</v>
      </c>
      <c r="I137" s="15">
        <v>3</v>
      </c>
      <c r="J137" s="15">
        <v>45</v>
      </c>
      <c r="K137" s="15">
        <v>260.72000000000003</v>
      </c>
      <c r="L137" s="15">
        <v>11732.4</v>
      </c>
      <c r="M137" s="15">
        <v>-902.22</v>
      </c>
      <c r="N137" s="15">
        <v>0</v>
      </c>
      <c r="O137" s="15">
        <v>1407.9231029999999</v>
      </c>
      <c r="P137" s="15">
        <v>12238.103102999999</v>
      </c>
    </row>
    <row r="138" spans="1:16" ht="15" x14ac:dyDescent="0.2">
      <c r="A138" s="4" t="s">
        <v>581</v>
      </c>
      <c r="B138" s="21" t="str">
        <f t="shared" si="4"/>
        <v>Aug-2025</v>
      </c>
      <c r="C138" s="2" t="str">
        <f t="shared" si="5"/>
        <v>Q2</v>
      </c>
      <c r="D138" s="2" t="s">
        <v>31</v>
      </c>
      <c r="E138" s="13">
        <v>45874</v>
      </c>
      <c r="F138" s="14" t="s">
        <v>122</v>
      </c>
      <c r="G138" s="14" t="s">
        <v>22</v>
      </c>
      <c r="H138" s="14" t="s">
        <v>125</v>
      </c>
      <c r="I138" s="15">
        <v>2</v>
      </c>
      <c r="J138" s="15">
        <v>1600</v>
      </c>
      <c r="K138" s="15">
        <v>7.45</v>
      </c>
      <c r="L138" s="15">
        <v>11920</v>
      </c>
      <c r="M138" s="15">
        <v>-916.65</v>
      </c>
      <c r="N138" s="15">
        <v>0</v>
      </c>
      <c r="O138" s="15">
        <v>1430.4351979999999</v>
      </c>
      <c r="P138" s="15">
        <v>12433.785198</v>
      </c>
    </row>
    <row r="139" spans="1:16" ht="15" x14ac:dyDescent="0.2">
      <c r="A139" s="4" t="s">
        <v>584</v>
      </c>
      <c r="B139" s="21" t="str">
        <f t="shared" si="4"/>
        <v>Aug-2025</v>
      </c>
      <c r="C139" s="2" t="str">
        <f t="shared" si="5"/>
        <v>Q2</v>
      </c>
      <c r="D139" s="2" t="s">
        <v>31</v>
      </c>
      <c r="E139" s="13">
        <v>45874</v>
      </c>
      <c r="F139" s="14" t="s">
        <v>122</v>
      </c>
      <c r="G139" s="14" t="s">
        <v>22</v>
      </c>
      <c r="H139" s="14" t="s">
        <v>100</v>
      </c>
      <c r="I139" s="15">
        <v>1</v>
      </c>
      <c r="J139" s="15">
        <v>40</v>
      </c>
      <c r="K139" s="15">
        <v>81.94</v>
      </c>
      <c r="L139" s="15">
        <v>3277.6</v>
      </c>
      <c r="M139" s="15">
        <v>-252.05</v>
      </c>
      <c r="N139" s="15">
        <v>0</v>
      </c>
      <c r="O139" s="15">
        <v>393.32141700000005</v>
      </c>
      <c r="P139" s="15">
        <v>3418.8714169999998</v>
      </c>
    </row>
    <row r="140" spans="1:16" ht="15" x14ac:dyDescent="0.2">
      <c r="A140" s="4" t="s">
        <v>575</v>
      </c>
      <c r="B140" s="21" t="str">
        <f t="shared" si="4"/>
        <v>Aug-2025</v>
      </c>
      <c r="C140" s="2" t="str">
        <f t="shared" si="5"/>
        <v>Q2</v>
      </c>
      <c r="D140" s="2" t="s">
        <v>31</v>
      </c>
      <c r="E140" s="13">
        <v>45874</v>
      </c>
      <c r="F140" s="14" t="s">
        <v>126</v>
      </c>
      <c r="G140" s="14" t="s">
        <v>22</v>
      </c>
      <c r="H140" s="14" t="s">
        <v>55</v>
      </c>
      <c r="I140" s="15">
        <v>5</v>
      </c>
      <c r="J140" s="15">
        <v>100</v>
      </c>
      <c r="K140" s="15">
        <v>186.23</v>
      </c>
      <c r="L140" s="15">
        <v>18623</v>
      </c>
      <c r="M140" s="15">
        <v>-1432.1100000000001</v>
      </c>
      <c r="N140" s="15">
        <v>0</v>
      </c>
      <c r="O140" s="15">
        <v>2234.815889</v>
      </c>
      <c r="P140" s="15">
        <v>19425.705889000001</v>
      </c>
    </row>
    <row r="141" spans="1:16" ht="15" x14ac:dyDescent="0.2">
      <c r="A141" s="4" t="s">
        <v>579</v>
      </c>
      <c r="B141" s="21" t="str">
        <f t="shared" si="4"/>
        <v>Aug-2025</v>
      </c>
      <c r="C141" s="2" t="str">
        <f t="shared" si="5"/>
        <v>Q2</v>
      </c>
      <c r="D141" s="2" t="s">
        <v>31</v>
      </c>
      <c r="E141" s="13">
        <v>45874</v>
      </c>
      <c r="F141" s="14" t="s">
        <v>126</v>
      </c>
      <c r="G141" s="14" t="s">
        <v>22</v>
      </c>
      <c r="H141" s="14" t="s">
        <v>90</v>
      </c>
      <c r="I141" s="15">
        <v>5</v>
      </c>
      <c r="J141" s="15">
        <v>100</v>
      </c>
      <c r="K141" s="15">
        <v>204.85</v>
      </c>
      <c r="L141" s="15">
        <v>20485</v>
      </c>
      <c r="M141" s="15">
        <v>-1575.3</v>
      </c>
      <c r="N141" s="15">
        <v>0</v>
      </c>
      <c r="O141" s="15">
        <v>2458.2612080000004</v>
      </c>
      <c r="P141" s="15">
        <v>21367.961208000001</v>
      </c>
    </row>
    <row r="142" spans="1:16" ht="15" x14ac:dyDescent="0.2">
      <c r="A142" s="4" t="s">
        <v>586</v>
      </c>
      <c r="B142" s="21" t="str">
        <f t="shared" si="4"/>
        <v>Aug-2025</v>
      </c>
      <c r="C142" s="2" t="str">
        <f t="shared" si="5"/>
        <v>Q2</v>
      </c>
      <c r="D142" s="2" t="s">
        <v>31</v>
      </c>
      <c r="E142" s="13">
        <v>45874</v>
      </c>
      <c r="F142" s="14" t="s">
        <v>126</v>
      </c>
      <c r="G142" s="14" t="s">
        <v>22</v>
      </c>
      <c r="H142" s="14" t="s">
        <v>78</v>
      </c>
      <c r="I142" s="15">
        <v>1</v>
      </c>
      <c r="J142" s="15">
        <v>600</v>
      </c>
      <c r="K142" s="15">
        <v>7.45</v>
      </c>
      <c r="L142" s="15">
        <v>4470</v>
      </c>
      <c r="M142" s="15">
        <v>-343.74</v>
      </c>
      <c r="N142" s="15">
        <v>0</v>
      </c>
      <c r="O142" s="15">
        <v>536.41384499999992</v>
      </c>
      <c r="P142" s="15">
        <v>4662.6738450000003</v>
      </c>
    </row>
    <row r="143" spans="1:16" ht="15" x14ac:dyDescent="0.2">
      <c r="A143" s="4" t="s">
        <v>582</v>
      </c>
      <c r="B143" s="21" t="str">
        <f t="shared" si="4"/>
        <v>Aug-2025</v>
      </c>
      <c r="C143" s="2" t="str">
        <f t="shared" si="5"/>
        <v>Q2</v>
      </c>
      <c r="D143" s="2" t="s">
        <v>31</v>
      </c>
      <c r="E143" s="13">
        <v>45874</v>
      </c>
      <c r="F143" s="14" t="s">
        <v>126</v>
      </c>
      <c r="G143" s="14" t="s">
        <v>22</v>
      </c>
      <c r="H143" s="14" t="s">
        <v>77</v>
      </c>
      <c r="I143" s="15">
        <v>2</v>
      </c>
      <c r="J143" s="15">
        <v>48</v>
      </c>
      <c r="K143" s="15">
        <v>204.85</v>
      </c>
      <c r="L143" s="15">
        <v>9832.8000000000011</v>
      </c>
      <c r="M143" s="15">
        <v>-756.14</v>
      </c>
      <c r="N143" s="15">
        <v>0</v>
      </c>
      <c r="O143" s="15">
        <v>1179.9658999999999</v>
      </c>
      <c r="P143" s="15">
        <v>10256.625899999999</v>
      </c>
    </row>
    <row r="144" spans="1:16" ht="15" x14ac:dyDescent="0.2">
      <c r="A144" s="4" t="s">
        <v>576</v>
      </c>
      <c r="B144" s="21" t="str">
        <f t="shared" si="4"/>
        <v>Aug-2025</v>
      </c>
      <c r="C144" s="2" t="str">
        <f t="shared" si="5"/>
        <v>Q2</v>
      </c>
      <c r="D144" s="2" t="s">
        <v>31</v>
      </c>
      <c r="E144" s="13">
        <v>45874</v>
      </c>
      <c r="F144" s="14" t="s">
        <v>126</v>
      </c>
      <c r="G144" s="14" t="s">
        <v>22</v>
      </c>
      <c r="H144" s="14" t="s">
        <v>110</v>
      </c>
      <c r="I144" s="15">
        <v>10</v>
      </c>
      <c r="J144" s="15">
        <v>200</v>
      </c>
      <c r="K144" s="15">
        <v>175.05</v>
      </c>
      <c r="L144" s="15">
        <v>35010</v>
      </c>
      <c r="M144" s="15">
        <v>-2692.27</v>
      </c>
      <c r="N144" s="15">
        <v>0</v>
      </c>
      <c r="O144" s="15">
        <v>4201.3052550000002</v>
      </c>
      <c r="P144" s="15">
        <v>36519.035255000003</v>
      </c>
    </row>
    <row r="145" spans="1:16" ht="15" x14ac:dyDescent="0.2">
      <c r="A145" s="4" t="s">
        <v>579</v>
      </c>
      <c r="B145" s="21" t="str">
        <f t="shared" si="4"/>
        <v>Aug-2025</v>
      </c>
      <c r="C145" s="2" t="str">
        <f t="shared" si="5"/>
        <v>Q2</v>
      </c>
      <c r="D145" s="2" t="s">
        <v>31</v>
      </c>
      <c r="E145" s="13">
        <v>45874</v>
      </c>
      <c r="F145" s="14" t="s">
        <v>126</v>
      </c>
      <c r="G145" s="14" t="s">
        <v>22</v>
      </c>
      <c r="H145" s="14" t="s">
        <v>112</v>
      </c>
      <c r="I145" s="15">
        <v>2</v>
      </c>
      <c r="J145" s="15">
        <v>40</v>
      </c>
      <c r="K145" s="15">
        <v>204.85</v>
      </c>
      <c r="L145" s="15">
        <v>8194</v>
      </c>
      <c r="M145" s="15">
        <v>-630.12</v>
      </c>
      <c r="N145" s="15">
        <v>0</v>
      </c>
      <c r="O145" s="15">
        <v>983.304483</v>
      </c>
      <c r="P145" s="15">
        <v>8547.1844829999991</v>
      </c>
    </row>
    <row r="146" spans="1:16" ht="15" x14ac:dyDescent="0.2">
      <c r="A146" s="4" t="s">
        <v>583</v>
      </c>
      <c r="B146" s="21" t="str">
        <f t="shared" si="4"/>
        <v>Aug-2025</v>
      </c>
      <c r="C146" s="2" t="str">
        <f t="shared" si="5"/>
        <v>Q2</v>
      </c>
      <c r="D146" s="2" t="s">
        <v>31</v>
      </c>
      <c r="E146" s="13">
        <v>45874</v>
      </c>
      <c r="F146" s="14" t="s">
        <v>126</v>
      </c>
      <c r="G146" s="14" t="s">
        <v>22</v>
      </c>
      <c r="H146" s="14" t="s">
        <v>113</v>
      </c>
      <c r="I146" s="15">
        <v>5</v>
      </c>
      <c r="J146" s="15">
        <v>75</v>
      </c>
      <c r="K146" s="15">
        <v>260.72000000000003</v>
      </c>
      <c r="L146" s="15">
        <v>19554</v>
      </c>
      <c r="M146" s="15">
        <v>-1503.6999999999998</v>
      </c>
      <c r="N146" s="15">
        <v>0</v>
      </c>
      <c r="O146" s="15">
        <v>2346.5391990000003</v>
      </c>
      <c r="P146" s="15">
        <v>20396.839198999998</v>
      </c>
    </row>
    <row r="147" spans="1:16" ht="15" x14ac:dyDescent="0.2">
      <c r="A147" s="4" t="s">
        <v>579</v>
      </c>
      <c r="B147" s="21" t="str">
        <f t="shared" si="4"/>
        <v>Aug-2025</v>
      </c>
      <c r="C147" s="2" t="str">
        <f t="shared" si="5"/>
        <v>Q2</v>
      </c>
      <c r="D147" s="2" t="s">
        <v>31</v>
      </c>
      <c r="E147" s="13">
        <v>45874</v>
      </c>
      <c r="F147" s="14" t="s">
        <v>126</v>
      </c>
      <c r="G147" s="14" t="s">
        <v>22</v>
      </c>
      <c r="H147" s="14" t="s">
        <v>91</v>
      </c>
      <c r="I147" s="15">
        <v>2</v>
      </c>
      <c r="J147" s="15">
        <v>40</v>
      </c>
      <c r="K147" s="15">
        <v>204.85</v>
      </c>
      <c r="L147" s="15">
        <v>8194</v>
      </c>
      <c r="M147" s="15">
        <v>-630.12</v>
      </c>
      <c r="N147" s="15">
        <v>0</v>
      </c>
      <c r="O147" s="15">
        <v>983.304483</v>
      </c>
      <c r="P147" s="15">
        <v>8547.1844829999991</v>
      </c>
    </row>
    <row r="148" spans="1:16" ht="15" x14ac:dyDescent="0.2">
      <c r="A148" s="4" t="s">
        <v>582</v>
      </c>
      <c r="B148" s="21" t="str">
        <f t="shared" si="4"/>
        <v>Aug-2025</v>
      </c>
      <c r="C148" s="2" t="str">
        <f t="shared" si="5"/>
        <v>Q2</v>
      </c>
      <c r="D148" s="2" t="s">
        <v>31</v>
      </c>
      <c r="E148" s="13">
        <v>45874</v>
      </c>
      <c r="F148" s="14" t="s">
        <v>126</v>
      </c>
      <c r="G148" s="14" t="s">
        <v>22</v>
      </c>
      <c r="H148" s="14" t="s">
        <v>108</v>
      </c>
      <c r="I148" s="15">
        <v>2</v>
      </c>
      <c r="J148" s="15">
        <v>48</v>
      </c>
      <c r="K148" s="15">
        <v>186.23</v>
      </c>
      <c r="L148" s="15">
        <v>8939.0400000000009</v>
      </c>
      <c r="M148" s="15">
        <v>-687.41</v>
      </c>
      <c r="N148" s="15">
        <v>0</v>
      </c>
      <c r="O148" s="15">
        <v>1072.7119909999999</v>
      </c>
      <c r="P148" s="15">
        <v>9324.3419909999993</v>
      </c>
    </row>
    <row r="149" spans="1:16" ht="15" x14ac:dyDescent="0.2">
      <c r="A149" s="4" t="s">
        <v>580</v>
      </c>
      <c r="B149" s="21" t="str">
        <f t="shared" si="4"/>
        <v>Aug-2025</v>
      </c>
      <c r="C149" s="2" t="str">
        <f t="shared" si="5"/>
        <v>Q2</v>
      </c>
      <c r="D149" s="2" t="s">
        <v>31</v>
      </c>
      <c r="E149" s="13">
        <v>45874</v>
      </c>
      <c r="F149" s="14" t="s">
        <v>126</v>
      </c>
      <c r="G149" s="14" t="s">
        <v>22</v>
      </c>
      <c r="H149" s="14" t="s">
        <v>89</v>
      </c>
      <c r="I149" s="15">
        <v>2</v>
      </c>
      <c r="J149" s="15">
        <v>140</v>
      </c>
      <c r="K149" s="15">
        <v>32.78</v>
      </c>
      <c r="L149" s="15">
        <v>4589.2</v>
      </c>
      <c r="M149" s="15">
        <v>-352.91</v>
      </c>
      <c r="N149" s="15">
        <v>0</v>
      </c>
      <c r="O149" s="15">
        <v>550.71774700000003</v>
      </c>
      <c r="P149" s="15">
        <v>4787.0077469999997</v>
      </c>
    </row>
    <row r="150" spans="1:16" ht="15" x14ac:dyDescent="0.2">
      <c r="A150" s="4" t="s">
        <v>593</v>
      </c>
      <c r="B150" s="21" t="str">
        <f t="shared" si="4"/>
        <v>Aug-2025</v>
      </c>
      <c r="C150" s="2" t="str">
        <f t="shared" si="5"/>
        <v>Q2</v>
      </c>
      <c r="D150" s="2" t="s">
        <v>31</v>
      </c>
      <c r="E150" s="13">
        <v>45874</v>
      </c>
      <c r="F150" s="14" t="s">
        <v>127</v>
      </c>
      <c r="G150" s="14" t="s">
        <v>21</v>
      </c>
      <c r="H150" s="14" t="s">
        <v>117</v>
      </c>
      <c r="I150" s="15">
        <v>60</v>
      </c>
      <c r="J150" s="15">
        <v>240</v>
      </c>
      <c r="K150" s="15">
        <v>595.92999999999995</v>
      </c>
      <c r="L150" s="15">
        <v>143023.19999999998</v>
      </c>
      <c r="M150" s="15">
        <v>-10998.48</v>
      </c>
      <c r="N150" s="15">
        <v>0</v>
      </c>
      <c r="O150" s="15">
        <v>17163.21</v>
      </c>
      <c r="P150" s="15">
        <v>149187.93</v>
      </c>
    </row>
    <row r="151" spans="1:16" ht="15" x14ac:dyDescent="0.2">
      <c r="A151" s="4" t="s">
        <v>590</v>
      </c>
      <c r="B151" s="21" t="str">
        <f t="shared" si="4"/>
        <v>Aug-2025</v>
      </c>
      <c r="C151" s="2" t="str">
        <f t="shared" si="5"/>
        <v>Q2</v>
      </c>
      <c r="D151" s="2" t="s">
        <v>31</v>
      </c>
      <c r="E151" s="13">
        <v>45874</v>
      </c>
      <c r="F151" s="14" t="s">
        <v>128</v>
      </c>
      <c r="G151" s="14" t="s">
        <v>21</v>
      </c>
      <c r="H151" s="14" t="s">
        <v>102</v>
      </c>
      <c r="I151" s="15">
        <v>5</v>
      </c>
      <c r="J151" s="15">
        <v>100</v>
      </c>
      <c r="K151" s="15">
        <v>249.55</v>
      </c>
      <c r="L151" s="15">
        <v>24955</v>
      </c>
      <c r="M151" s="15">
        <v>-1919.04</v>
      </c>
      <c r="N151" s="15">
        <v>0</v>
      </c>
      <c r="O151" s="15">
        <v>2994.6745019999998</v>
      </c>
      <c r="P151" s="15">
        <v>26030.634502000001</v>
      </c>
    </row>
    <row r="152" spans="1:16" ht="15" x14ac:dyDescent="0.2">
      <c r="A152" s="4" t="s">
        <v>581</v>
      </c>
      <c r="B152" s="21" t="str">
        <f t="shared" si="4"/>
        <v>Aug-2025</v>
      </c>
      <c r="C152" s="2" t="str">
        <f t="shared" si="5"/>
        <v>Q2</v>
      </c>
      <c r="D152" s="2" t="s">
        <v>31</v>
      </c>
      <c r="E152" s="13">
        <v>45874</v>
      </c>
      <c r="F152" s="14" t="s">
        <v>128</v>
      </c>
      <c r="G152" s="14" t="s">
        <v>21</v>
      </c>
      <c r="H152" s="14" t="s">
        <v>97</v>
      </c>
      <c r="I152" s="15">
        <v>5</v>
      </c>
      <c r="J152" s="15">
        <v>200</v>
      </c>
      <c r="K152" s="15">
        <v>67.040000000000006</v>
      </c>
      <c r="L152" s="15">
        <v>13408</v>
      </c>
      <c r="M152" s="15">
        <v>-1031.08</v>
      </c>
      <c r="N152" s="15">
        <v>0</v>
      </c>
      <c r="O152" s="15">
        <v>1608.9994399999998</v>
      </c>
      <c r="P152" s="15">
        <v>13985.91944</v>
      </c>
    </row>
    <row r="153" spans="1:16" ht="15" x14ac:dyDescent="0.2">
      <c r="A153" s="4" t="s">
        <v>589</v>
      </c>
      <c r="B153" s="21" t="str">
        <f t="shared" si="4"/>
        <v>Aug-2025</v>
      </c>
      <c r="C153" s="2" t="str">
        <f t="shared" si="5"/>
        <v>Q2</v>
      </c>
      <c r="D153" s="2" t="s">
        <v>31</v>
      </c>
      <c r="E153" s="13">
        <v>45874</v>
      </c>
      <c r="F153" s="14" t="s">
        <v>128</v>
      </c>
      <c r="G153" s="14" t="s">
        <v>21</v>
      </c>
      <c r="H153" s="14" t="s">
        <v>98</v>
      </c>
      <c r="I153" s="15">
        <v>10</v>
      </c>
      <c r="J153" s="15">
        <v>600</v>
      </c>
      <c r="K153" s="15">
        <v>145.26</v>
      </c>
      <c r="L153" s="15">
        <v>87156</v>
      </c>
      <c r="M153" s="15">
        <v>-6702.2999999999993</v>
      </c>
      <c r="N153" s="15">
        <v>0</v>
      </c>
      <c r="O153" s="15">
        <v>10458.979958</v>
      </c>
      <c r="P153" s="15">
        <v>90912.679957999993</v>
      </c>
    </row>
    <row r="154" spans="1:16" ht="15" x14ac:dyDescent="0.2">
      <c r="A154" s="4" t="s">
        <v>579</v>
      </c>
      <c r="B154" s="21" t="str">
        <f t="shared" si="4"/>
        <v>Aug-2025</v>
      </c>
      <c r="C154" s="2" t="str">
        <f t="shared" si="5"/>
        <v>Q2</v>
      </c>
      <c r="D154" s="2" t="s">
        <v>31</v>
      </c>
      <c r="E154" s="13">
        <v>45874</v>
      </c>
      <c r="F154" s="14" t="s">
        <v>128</v>
      </c>
      <c r="G154" s="14" t="s">
        <v>21</v>
      </c>
      <c r="H154" s="14" t="s">
        <v>92</v>
      </c>
      <c r="I154" s="15">
        <v>2</v>
      </c>
      <c r="J154" s="15">
        <v>40</v>
      </c>
      <c r="K154" s="15">
        <v>242.1</v>
      </c>
      <c r="L154" s="15">
        <v>9683.9999999999982</v>
      </c>
      <c r="M154" s="15">
        <v>-744.7</v>
      </c>
      <c r="N154" s="15">
        <v>0</v>
      </c>
      <c r="O154" s="15">
        <v>1162.108884</v>
      </c>
      <c r="P154" s="15">
        <v>10101.408884</v>
      </c>
    </row>
    <row r="155" spans="1:16" ht="15" x14ac:dyDescent="0.2">
      <c r="A155" s="4" t="s">
        <v>588</v>
      </c>
      <c r="B155" s="21" t="str">
        <f t="shared" si="4"/>
        <v>Aug-2025</v>
      </c>
      <c r="C155" s="2" t="str">
        <f t="shared" si="5"/>
        <v>Q2</v>
      </c>
      <c r="D155" s="2" t="s">
        <v>31</v>
      </c>
      <c r="E155" s="13">
        <v>45874</v>
      </c>
      <c r="F155" s="14" t="s">
        <v>128</v>
      </c>
      <c r="G155" s="14" t="s">
        <v>21</v>
      </c>
      <c r="H155" s="14" t="s">
        <v>95</v>
      </c>
      <c r="I155" s="15">
        <v>1</v>
      </c>
      <c r="J155" s="15">
        <v>60</v>
      </c>
      <c r="K155" s="15">
        <v>111.74</v>
      </c>
      <c r="L155" s="15">
        <v>6704.4</v>
      </c>
      <c r="M155" s="15">
        <v>-515.57000000000005</v>
      </c>
      <c r="N155" s="15">
        <v>0</v>
      </c>
      <c r="O155" s="15">
        <v>804.54782</v>
      </c>
      <c r="P155" s="15">
        <v>6993.3778199999997</v>
      </c>
    </row>
    <row r="156" spans="1:16" ht="15" x14ac:dyDescent="0.2">
      <c r="A156" s="4" t="s">
        <v>583</v>
      </c>
      <c r="B156" s="21" t="str">
        <f t="shared" si="4"/>
        <v>Aug-2025</v>
      </c>
      <c r="C156" s="2" t="str">
        <f t="shared" si="5"/>
        <v>Q2</v>
      </c>
      <c r="D156" s="2" t="s">
        <v>31</v>
      </c>
      <c r="E156" s="13">
        <v>45874</v>
      </c>
      <c r="F156" s="14" t="s">
        <v>128</v>
      </c>
      <c r="G156" s="14" t="s">
        <v>21</v>
      </c>
      <c r="H156" s="14" t="s">
        <v>113</v>
      </c>
      <c r="I156" s="15">
        <v>15</v>
      </c>
      <c r="J156" s="15">
        <v>225</v>
      </c>
      <c r="K156" s="15">
        <v>260.72000000000003</v>
      </c>
      <c r="L156" s="15">
        <v>58662</v>
      </c>
      <c r="M156" s="15">
        <v>-4511.1099999999997</v>
      </c>
      <c r="N156" s="15">
        <v>0</v>
      </c>
      <c r="O156" s="15">
        <v>7039.6149989999994</v>
      </c>
      <c r="P156" s="15">
        <v>61190.504998999997</v>
      </c>
    </row>
    <row r="157" spans="1:16" ht="15" x14ac:dyDescent="0.2">
      <c r="A157" s="4" t="s">
        <v>587</v>
      </c>
      <c r="B157" s="21" t="str">
        <f t="shared" si="4"/>
        <v>Aug-2025</v>
      </c>
      <c r="C157" s="2" t="str">
        <f t="shared" si="5"/>
        <v>Q2</v>
      </c>
      <c r="D157" s="2" t="s">
        <v>31</v>
      </c>
      <c r="E157" s="13">
        <v>45874</v>
      </c>
      <c r="F157" s="14" t="s">
        <v>128</v>
      </c>
      <c r="G157" s="14" t="s">
        <v>21</v>
      </c>
      <c r="H157" s="14" t="s">
        <v>94</v>
      </c>
      <c r="I157" s="15">
        <v>1</v>
      </c>
      <c r="J157" s="15">
        <v>60</v>
      </c>
      <c r="K157" s="15">
        <v>111.74</v>
      </c>
      <c r="L157" s="15">
        <v>6704.4</v>
      </c>
      <c r="M157" s="15">
        <v>-515.57000000000005</v>
      </c>
      <c r="N157" s="15">
        <v>0</v>
      </c>
      <c r="O157" s="15">
        <v>804.54782</v>
      </c>
      <c r="P157" s="15">
        <v>6993.3778199999997</v>
      </c>
    </row>
    <row r="158" spans="1:16" ht="15" x14ac:dyDescent="0.2">
      <c r="A158" s="4" t="s">
        <v>581</v>
      </c>
      <c r="B158" s="21" t="str">
        <f t="shared" si="4"/>
        <v>Aug-2025</v>
      </c>
      <c r="C158" s="2" t="str">
        <f t="shared" si="5"/>
        <v>Q2</v>
      </c>
      <c r="D158" s="2" t="s">
        <v>31</v>
      </c>
      <c r="E158" s="13">
        <v>45874</v>
      </c>
      <c r="F158" s="14" t="s">
        <v>128</v>
      </c>
      <c r="G158" s="14" t="s">
        <v>21</v>
      </c>
      <c r="H158" s="14" t="s">
        <v>96</v>
      </c>
      <c r="I158" s="15">
        <v>3</v>
      </c>
      <c r="J158" s="15">
        <v>120</v>
      </c>
      <c r="K158" s="15">
        <v>67.040000000000006</v>
      </c>
      <c r="L158" s="15">
        <v>8044.8</v>
      </c>
      <c r="M158" s="15">
        <v>-618.65</v>
      </c>
      <c r="N158" s="15">
        <v>0</v>
      </c>
      <c r="O158" s="15">
        <v>965.399404</v>
      </c>
      <c r="P158" s="15">
        <v>8391.5494039999994</v>
      </c>
    </row>
    <row r="159" spans="1:16" ht="15" x14ac:dyDescent="0.2">
      <c r="A159" s="4" t="s">
        <v>581</v>
      </c>
      <c r="B159" s="21" t="str">
        <f t="shared" si="4"/>
        <v>Aug-2025</v>
      </c>
      <c r="C159" s="2" t="str">
        <f t="shared" si="5"/>
        <v>Q2</v>
      </c>
      <c r="D159" s="2" t="s">
        <v>31</v>
      </c>
      <c r="E159" s="13">
        <v>45874</v>
      </c>
      <c r="F159" s="14" t="s">
        <v>128</v>
      </c>
      <c r="G159" s="14" t="s">
        <v>21</v>
      </c>
      <c r="H159" s="14" t="s">
        <v>104</v>
      </c>
      <c r="I159" s="15">
        <v>5</v>
      </c>
      <c r="J159" s="15">
        <v>200</v>
      </c>
      <c r="K159" s="15">
        <v>67.040000000000006</v>
      </c>
      <c r="L159" s="15">
        <v>13408</v>
      </c>
      <c r="M159" s="15">
        <v>-1031.08</v>
      </c>
      <c r="N159" s="15">
        <v>0</v>
      </c>
      <c r="O159" s="15">
        <v>1608.9994399999998</v>
      </c>
      <c r="P159" s="15">
        <v>13985.91944</v>
      </c>
    </row>
    <row r="160" spans="1:16" ht="15" x14ac:dyDescent="0.2">
      <c r="A160" s="4" t="s">
        <v>581</v>
      </c>
      <c r="B160" s="21" t="str">
        <f t="shared" si="4"/>
        <v>Aug-2025</v>
      </c>
      <c r="C160" s="2" t="str">
        <f t="shared" si="5"/>
        <v>Q2</v>
      </c>
      <c r="D160" s="2" t="s">
        <v>31</v>
      </c>
      <c r="E160" s="13">
        <v>45874</v>
      </c>
      <c r="F160" s="14" t="s">
        <v>128</v>
      </c>
      <c r="G160" s="14" t="s">
        <v>21</v>
      </c>
      <c r="H160" s="14" t="s">
        <v>125</v>
      </c>
      <c r="I160" s="15">
        <v>2</v>
      </c>
      <c r="J160" s="15">
        <v>1600</v>
      </c>
      <c r="K160" s="15">
        <v>7.45</v>
      </c>
      <c r="L160" s="15">
        <v>11920</v>
      </c>
      <c r="M160" s="15">
        <v>-916.65</v>
      </c>
      <c r="N160" s="15">
        <v>0</v>
      </c>
      <c r="O160" s="15">
        <v>1430.4353570000001</v>
      </c>
      <c r="P160" s="15">
        <v>12433.785357000001</v>
      </c>
    </row>
    <row r="161" spans="1:16" ht="15" x14ac:dyDescent="0.2">
      <c r="A161" s="4" t="s">
        <v>591</v>
      </c>
      <c r="B161" s="21" t="str">
        <f t="shared" si="4"/>
        <v>Aug-2025</v>
      </c>
      <c r="C161" s="2" t="str">
        <f t="shared" si="5"/>
        <v>Q2</v>
      </c>
      <c r="D161" s="2" t="s">
        <v>31</v>
      </c>
      <c r="E161" s="13">
        <v>45874</v>
      </c>
      <c r="F161" s="14" t="s">
        <v>128</v>
      </c>
      <c r="G161" s="14" t="s">
        <v>21</v>
      </c>
      <c r="H161" s="14" t="s">
        <v>106</v>
      </c>
      <c r="I161" s="15">
        <v>1</v>
      </c>
      <c r="J161" s="15">
        <v>60</v>
      </c>
      <c r="K161" s="15">
        <v>111.74</v>
      </c>
      <c r="L161" s="15">
        <v>6704.4</v>
      </c>
      <c r="M161" s="15">
        <v>-515.57000000000005</v>
      </c>
      <c r="N161" s="15">
        <v>0</v>
      </c>
      <c r="O161" s="15">
        <v>804.54782</v>
      </c>
      <c r="P161" s="15">
        <v>6993.3778199999997</v>
      </c>
    </row>
    <row r="162" spans="1:16" ht="15" x14ac:dyDescent="0.2">
      <c r="A162" s="4" t="s">
        <v>583</v>
      </c>
      <c r="B162" s="21" t="str">
        <f t="shared" si="4"/>
        <v>Aug-2025</v>
      </c>
      <c r="C162" s="2" t="str">
        <f t="shared" si="5"/>
        <v>Q2</v>
      </c>
      <c r="D162" s="2" t="s">
        <v>31</v>
      </c>
      <c r="E162" s="13">
        <v>45874</v>
      </c>
      <c r="F162" s="14" t="s">
        <v>128</v>
      </c>
      <c r="G162" s="14" t="s">
        <v>21</v>
      </c>
      <c r="H162" s="14" t="s">
        <v>109</v>
      </c>
      <c r="I162" s="15">
        <v>15</v>
      </c>
      <c r="J162" s="15">
        <v>225</v>
      </c>
      <c r="K162" s="15">
        <v>260.72000000000003</v>
      </c>
      <c r="L162" s="15">
        <v>58662</v>
      </c>
      <c r="M162" s="15">
        <v>-4511.1099999999997</v>
      </c>
      <c r="N162" s="15">
        <v>0</v>
      </c>
      <c r="O162" s="15">
        <v>7039.6149989999994</v>
      </c>
      <c r="P162" s="15">
        <v>61190.504998999997</v>
      </c>
    </row>
    <row r="163" spans="1:16" ht="15" x14ac:dyDescent="0.2">
      <c r="A163" s="4" t="s">
        <v>581</v>
      </c>
      <c r="B163" s="21" t="str">
        <f t="shared" si="4"/>
        <v>Aug-2025</v>
      </c>
      <c r="C163" s="2" t="str">
        <f t="shared" si="5"/>
        <v>Q2</v>
      </c>
      <c r="D163" s="2" t="s">
        <v>31</v>
      </c>
      <c r="E163" s="13">
        <v>45874</v>
      </c>
      <c r="F163" s="14" t="s">
        <v>128</v>
      </c>
      <c r="G163" s="14" t="s">
        <v>21</v>
      </c>
      <c r="H163" s="14" t="s">
        <v>66</v>
      </c>
      <c r="I163" s="15">
        <v>2</v>
      </c>
      <c r="J163" s="15">
        <v>48</v>
      </c>
      <c r="K163" s="15">
        <v>141.53</v>
      </c>
      <c r="L163" s="15">
        <v>6793.44</v>
      </c>
      <c r="M163" s="15">
        <v>-522.41999999999996</v>
      </c>
      <c r="N163" s="15">
        <v>0</v>
      </c>
      <c r="O163" s="15">
        <v>815.23251900000002</v>
      </c>
      <c r="P163" s="15">
        <v>7086.2525189999997</v>
      </c>
    </row>
    <row r="164" spans="1:16" ht="15" x14ac:dyDescent="0.2">
      <c r="A164" s="4" t="s">
        <v>582</v>
      </c>
      <c r="B164" s="21" t="str">
        <f t="shared" si="4"/>
        <v>Aug-2025</v>
      </c>
      <c r="C164" s="2" t="str">
        <f t="shared" si="5"/>
        <v>Q2</v>
      </c>
      <c r="D164" s="2" t="s">
        <v>31</v>
      </c>
      <c r="E164" s="13">
        <v>45874</v>
      </c>
      <c r="F164" s="14" t="s">
        <v>128</v>
      </c>
      <c r="G164" s="14" t="s">
        <v>21</v>
      </c>
      <c r="H164" s="14" t="s">
        <v>108</v>
      </c>
      <c r="I164" s="15">
        <v>3</v>
      </c>
      <c r="J164" s="15">
        <v>72</v>
      </c>
      <c r="K164" s="15">
        <v>186.23</v>
      </c>
      <c r="L164" s="15">
        <v>13408.560000000001</v>
      </c>
      <c r="M164" s="15">
        <v>-1031.1199999999999</v>
      </c>
      <c r="N164" s="15">
        <v>0</v>
      </c>
      <c r="O164" s="15">
        <v>1609.0670399999999</v>
      </c>
      <c r="P164" s="15">
        <v>13986.50704</v>
      </c>
    </row>
    <row r="165" spans="1:16" ht="15" x14ac:dyDescent="0.2">
      <c r="A165" s="4" t="s">
        <v>588</v>
      </c>
      <c r="B165" s="21" t="str">
        <f t="shared" si="4"/>
        <v>Aug-2025</v>
      </c>
      <c r="C165" s="2" t="str">
        <f t="shared" si="5"/>
        <v>Q2</v>
      </c>
      <c r="D165" s="2" t="s">
        <v>31</v>
      </c>
      <c r="E165" s="13">
        <v>45874</v>
      </c>
      <c r="F165" s="14" t="s">
        <v>129</v>
      </c>
      <c r="G165" s="14" t="s">
        <v>130</v>
      </c>
      <c r="H165" s="14" t="s">
        <v>95</v>
      </c>
      <c r="I165" s="15">
        <v>2</v>
      </c>
      <c r="J165" s="15">
        <v>120</v>
      </c>
      <c r="K165" s="15">
        <v>111.74</v>
      </c>
      <c r="L165" s="15">
        <v>13408.8</v>
      </c>
      <c r="M165" s="15">
        <v>-1031.1400000000001</v>
      </c>
      <c r="N165" s="15">
        <v>0</v>
      </c>
      <c r="O165" s="15">
        <v>1609.095734</v>
      </c>
      <c r="P165" s="15">
        <v>13986.755734</v>
      </c>
    </row>
    <row r="166" spans="1:16" ht="15" x14ac:dyDescent="0.2">
      <c r="A166" s="4" t="s">
        <v>576</v>
      </c>
      <c r="B166" s="21" t="str">
        <f t="shared" si="4"/>
        <v>Aug-2025</v>
      </c>
      <c r="C166" s="2" t="str">
        <f t="shared" si="5"/>
        <v>Q2</v>
      </c>
      <c r="D166" s="2" t="s">
        <v>31</v>
      </c>
      <c r="E166" s="13">
        <v>45874</v>
      </c>
      <c r="F166" s="14" t="s">
        <v>129</v>
      </c>
      <c r="G166" s="14" t="s">
        <v>130</v>
      </c>
      <c r="H166" s="14" t="s">
        <v>56</v>
      </c>
      <c r="I166" s="15">
        <v>3</v>
      </c>
      <c r="J166" s="15">
        <v>60</v>
      </c>
      <c r="K166" s="15">
        <v>175.05</v>
      </c>
      <c r="L166" s="15">
        <v>10503</v>
      </c>
      <c r="M166" s="15">
        <v>-807.68</v>
      </c>
      <c r="N166" s="15">
        <v>0</v>
      </c>
      <c r="O166" s="15">
        <v>1260.3915480000001</v>
      </c>
      <c r="P166" s="15">
        <v>10955.711547999999</v>
      </c>
    </row>
    <row r="167" spans="1:16" ht="15" x14ac:dyDescent="0.2">
      <c r="A167" s="4" t="s">
        <v>584</v>
      </c>
      <c r="B167" s="21" t="str">
        <f t="shared" si="4"/>
        <v>Aug-2025</v>
      </c>
      <c r="C167" s="2" t="str">
        <f t="shared" si="5"/>
        <v>Q2</v>
      </c>
      <c r="D167" s="2" t="s">
        <v>31</v>
      </c>
      <c r="E167" s="13">
        <v>45874</v>
      </c>
      <c r="F167" s="14" t="s">
        <v>129</v>
      </c>
      <c r="G167" s="14" t="s">
        <v>130</v>
      </c>
      <c r="H167" s="14" t="s">
        <v>100</v>
      </c>
      <c r="I167" s="15">
        <v>2</v>
      </c>
      <c r="J167" s="15">
        <v>80</v>
      </c>
      <c r="K167" s="15">
        <v>81.94</v>
      </c>
      <c r="L167" s="15">
        <v>6555.2</v>
      </c>
      <c r="M167" s="15">
        <v>-504.09</v>
      </c>
      <c r="N167" s="15">
        <v>0</v>
      </c>
      <c r="O167" s="15">
        <v>786.6442679999999</v>
      </c>
      <c r="P167" s="15">
        <v>6837.7542679999997</v>
      </c>
    </row>
    <row r="168" spans="1:16" ht="15" x14ac:dyDescent="0.2">
      <c r="A168" s="4" t="s">
        <v>584</v>
      </c>
      <c r="B168" s="21" t="str">
        <f t="shared" si="4"/>
        <v>Aug-2025</v>
      </c>
      <c r="C168" s="2" t="str">
        <f t="shared" si="5"/>
        <v>Q2</v>
      </c>
      <c r="D168" s="2" t="s">
        <v>31</v>
      </c>
      <c r="E168" s="13">
        <v>45874</v>
      </c>
      <c r="F168" s="14" t="s">
        <v>129</v>
      </c>
      <c r="G168" s="14" t="s">
        <v>130</v>
      </c>
      <c r="H168" s="14" t="s">
        <v>120</v>
      </c>
      <c r="I168" s="15">
        <v>3</v>
      </c>
      <c r="J168" s="15">
        <v>120</v>
      </c>
      <c r="K168" s="15">
        <v>81.94</v>
      </c>
      <c r="L168" s="15">
        <v>9832.8000000000011</v>
      </c>
      <c r="M168" s="15">
        <v>-756.14</v>
      </c>
      <c r="N168" s="15">
        <v>0</v>
      </c>
      <c r="O168" s="15">
        <v>1179.9657520000001</v>
      </c>
      <c r="P168" s="15">
        <v>10256.625752</v>
      </c>
    </row>
    <row r="169" spans="1:16" ht="15" x14ac:dyDescent="0.2">
      <c r="A169" s="4" t="s">
        <v>576</v>
      </c>
      <c r="B169" s="21" t="str">
        <f t="shared" si="4"/>
        <v>Aug-2025</v>
      </c>
      <c r="C169" s="2" t="str">
        <f t="shared" si="5"/>
        <v>Q2</v>
      </c>
      <c r="D169" s="2" t="s">
        <v>31</v>
      </c>
      <c r="E169" s="13">
        <v>45874</v>
      </c>
      <c r="F169" s="14" t="s">
        <v>129</v>
      </c>
      <c r="G169" s="14" t="s">
        <v>130</v>
      </c>
      <c r="H169" s="14" t="s">
        <v>68</v>
      </c>
      <c r="I169" s="15">
        <v>2</v>
      </c>
      <c r="J169" s="15">
        <v>40</v>
      </c>
      <c r="K169" s="15">
        <v>175.05</v>
      </c>
      <c r="L169" s="15">
        <v>7001.9999999999991</v>
      </c>
      <c r="M169" s="15">
        <v>-538.45000000000005</v>
      </c>
      <c r="N169" s="15">
        <v>0</v>
      </c>
      <c r="O169" s="15">
        <v>840.26146600000004</v>
      </c>
      <c r="P169" s="15">
        <v>7303.8114660000001</v>
      </c>
    </row>
    <row r="170" spans="1:16" ht="15" x14ac:dyDescent="0.2">
      <c r="A170" s="4" t="s">
        <v>584</v>
      </c>
      <c r="B170" s="21" t="str">
        <f t="shared" si="4"/>
        <v>Aug-2025</v>
      </c>
      <c r="C170" s="2" t="str">
        <f t="shared" si="5"/>
        <v>Q2</v>
      </c>
      <c r="D170" s="2" t="s">
        <v>31</v>
      </c>
      <c r="E170" s="13">
        <v>45874</v>
      </c>
      <c r="F170" s="14" t="s">
        <v>129</v>
      </c>
      <c r="G170" s="14" t="s">
        <v>130</v>
      </c>
      <c r="H170" s="14" t="s">
        <v>99</v>
      </c>
      <c r="I170" s="15">
        <v>3</v>
      </c>
      <c r="J170" s="15">
        <v>120</v>
      </c>
      <c r="K170" s="15">
        <v>81.94</v>
      </c>
      <c r="L170" s="15">
        <v>9832.8000000000011</v>
      </c>
      <c r="M170" s="15">
        <v>-756.14</v>
      </c>
      <c r="N170" s="15">
        <v>0</v>
      </c>
      <c r="O170" s="15">
        <v>1179.9657520000001</v>
      </c>
      <c r="P170" s="15">
        <v>10256.625752</v>
      </c>
    </row>
    <row r="171" spans="1:16" ht="15" x14ac:dyDescent="0.2">
      <c r="A171" s="4" t="s">
        <v>591</v>
      </c>
      <c r="B171" s="21" t="str">
        <f t="shared" si="4"/>
        <v>Aug-2025</v>
      </c>
      <c r="C171" s="2" t="str">
        <f t="shared" si="5"/>
        <v>Q2</v>
      </c>
      <c r="D171" s="2" t="s">
        <v>31</v>
      </c>
      <c r="E171" s="13">
        <v>45874</v>
      </c>
      <c r="F171" s="14" t="s">
        <v>129</v>
      </c>
      <c r="G171" s="14" t="s">
        <v>130</v>
      </c>
      <c r="H171" s="14" t="s">
        <v>106</v>
      </c>
      <c r="I171" s="15">
        <v>2</v>
      </c>
      <c r="J171" s="15">
        <v>120</v>
      </c>
      <c r="K171" s="15">
        <v>111.74</v>
      </c>
      <c r="L171" s="15">
        <v>13408.8</v>
      </c>
      <c r="M171" s="15">
        <v>-1031.1400000000001</v>
      </c>
      <c r="N171" s="15">
        <v>0</v>
      </c>
      <c r="O171" s="15">
        <v>1609.095734</v>
      </c>
      <c r="P171" s="15">
        <v>13986.755734</v>
      </c>
    </row>
    <row r="172" spans="1:16" ht="15" x14ac:dyDescent="0.2">
      <c r="A172" s="4" t="s">
        <v>576</v>
      </c>
      <c r="B172" s="21" t="str">
        <f t="shared" si="4"/>
        <v>Aug-2025</v>
      </c>
      <c r="C172" s="2" t="str">
        <f t="shared" si="5"/>
        <v>Q2</v>
      </c>
      <c r="D172" s="2" t="s">
        <v>31</v>
      </c>
      <c r="E172" s="13">
        <v>45874</v>
      </c>
      <c r="F172" s="14" t="s">
        <v>129</v>
      </c>
      <c r="G172" s="14" t="s">
        <v>130</v>
      </c>
      <c r="H172" s="14" t="s">
        <v>110</v>
      </c>
      <c r="I172" s="15">
        <v>5</v>
      </c>
      <c r="J172" s="15">
        <v>100</v>
      </c>
      <c r="K172" s="15">
        <v>175.05</v>
      </c>
      <c r="L172" s="15">
        <v>17505</v>
      </c>
      <c r="M172" s="15">
        <v>-1346.1299999999999</v>
      </c>
      <c r="N172" s="15">
        <v>0</v>
      </c>
      <c r="O172" s="15">
        <v>2100.653014</v>
      </c>
      <c r="P172" s="15">
        <v>18259.523013999999</v>
      </c>
    </row>
    <row r="173" spans="1:16" ht="15" x14ac:dyDescent="0.2">
      <c r="A173" s="4" t="s">
        <v>578</v>
      </c>
      <c r="B173" s="21" t="str">
        <f t="shared" si="4"/>
        <v>Aug-2025</v>
      </c>
      <c r="C173" s="2" t="str">
        <f t="shared" si="5"/>
        <v>Q2</v>
      </c>
      <c r="D173" s="2" t="s">
        <v>31</v>
      </c>
      <c r="E173" s="13">
        <v>45874</v>
      </c>
      <c r="F173" s="14" t="s">
        <v>129</v>
      </c>
      <c r="G173" s="14" t="s">
        <v>130</v>
      </c>
      <c r="H173" s="14" t="s">
        <v>60</v>
      </c>
      <c r="I173" s="15">
        <v>20</v>
      </c>
      <c r="J173" s="15">
        <v>840</v>
      </c>
      <c r="K173" s="15">
        <v>74.489999999999995</v>
      </c>
      <c r="L173" s="15">
        <v>62571.6</v>
      </c>
      <c r="M173" s="15">
        <v>-4811.76</v>
      </c>
      <c r="N173" s="15">
        <v>0</v>
      </c>
      <c r="O173" s="15">
        <v>7508.7788930000006</v>
      </c>
      <c r="P173" s="15">
        <v>65268.618892999999</v>
      </c>
    </row>
    <row r="174" spans="1:16" ht="15" x14ac:dyDescent="0.2">
      <c r="A174" s="4" t="s">
        <v>587</v>
      </c>
      <c r="B174" s="21" t="str">
        <f t="shared" si="4"/>
        <v>Aug-2025</v>
      </c>
      <c r="C174" s="2" t="str">
        <f t="shared" si="5"/>
        <v>Q2</v>
      </c>
      <c r="D174" s="2" t="s">
        <v>31</v>
      </c>
      <c r="E174" s="13">
        <v>45874</v>
      </c>
      <c r="F174" s="14" t="s">
        <v>129</v>
      </c>
      <c r="G174" s="14" t="s">
        <v>130</v>
      </c>
      <c r="H174" s="14" t="s">
        <v>94</v>
      </c>
      <c r="I174" s="15">
        <v>2</v>
      </c>
      <c r="J174" s="15">
        <v>120</v>
      </c>
      <c r="K174" s="15">
        <v>111.74</v>
      </c>
      <c r="L174" s="15">
        <v>13408.8</v>
      </c>
      <c r="M174" s="15">
        <v>-1031.1400000000001</v>
      </c>
      <c r="N174" s="15">
        <v>0</v>
      </c>
      <c r="O174" s="15">
        <v>1609.095734</v>
      </c>
      <c r="P174" s="15">
        <v>13986.755734</v>
      </c>
    </row>
    <row r="175" spans="1:16" ht="15" x14ac:dyDescent="0.2">
      <c r="A175" s="4" t="s">
        <v>577</v>
      </c>
      <c r="B175" s="21" t="str">
        <f t="shared" si="4"/>
        <v>Aug-2025</v>
      </c>
      <c r="C175" s="2" t="str">
        <f t="shared" si="5"/>
        <v>Q2</v>
      </c>
      <c r="D175" s="2" t="s">
        <v>31</v>
      </c>
      <c r="E175" s="13">
        <v>45874</v>
      </c>
      <c r="F175" s="14" t="s">
        <v>129</v>
      </c>
      <c r="G175" s="14" t="s">
        <v>130</v>
      </c>
      <c r="H175" s="14" t="s">
        <v>57</v>
      </c>
      <c r="I175" s="15">
        <v>5</v>
      </c>
      <c r="J175" s="15">
        <v>900</v>
      </c>
      <c r="K175" s="15">
        <v>18.62</v>
      </c>
      <c r="L175" s="15">
        <v>16758</v>
      </c>
      <c r="M175" s="15">
        <v>-1288.6899999999998</v>
      </c>
      <c r="N175" s="15">
        <v>0</v>
      </c>
      <c r="O175" s="15">
        <v>2011.0102179999999</v>
      </c>
      <c r="P175" s="15">
        <v>17480.320218000001</v>
      </c>
    </row>
    <row r="176" spans="1:16" ht="15" x14ac:dyDescent="0.2">
      <c r="A176" s="4" t="s">
        <v>579</v>
      </c>
      <c r="B176" s="21" t="str">
        <f t="shared" si="4"/>
        <v>Aug-2025</v>
      </c>
      <c r="C176" s="2" t="str">
        <f t="shared" si="5"/>
        <v>Q2</v>
      </c>
      <c r="D176" s="2" t="s">
        <v>31</v>
      </c>
      <c r="E176" s="13">
        <v>45874</v>
      </c>
      <c r="F176" s="14" t="s">
        <v>129</v>
      </c>
      <c r="G176" s="14" t="s">
        <v>130</v>
      </c>
      <c r="H176" s="14" t="s">
        <v>70</v>
      </c>
      <c r="I176" s="15">
        <v>2</v>
      </c>
      <c r="J176" s="15">
        <v>40</v>
      </c>
      <c r="K176" s="15">
        <v>201.13</v>
      </c>
      <c r="L176" s="15">
        <v>8045.2</v>
      </c>
      <c r="M176" s="15">
        <v>-618.67999999999995</v>
      </c>
      <c r="N176" s="15">
        <v>0</v>
      </c>
      <c r="O176" s="15">
        <v>965.44756100000006</v>
      </c>
      <c r="P176" s="15">
        <v>8391.9675609999995</v>
      </c>
    </row>
    <row r="177" spans="1:16" ht="15" x14ac:dyDescent="0.2">
      <c r="A177" s="4" t="s">
        <v>581</v>
      </c>
      <c r="B177" s="21" t="str">
        <f t="shared" si="4"/>
        <v>Aug-2025</v>
      </c>
      <c r="C177" s="2" t="str">
        <f t="shared" si="5"/>
        <v>Q2</v>
      </c>
      <c r="D177" s="2" t="s">
        <v>31</v>
      </c>
      <c r="E177" s="13">
        <v>45874</v>
      </c>
      <c r="F177" s="14" t="s">
        <v>129</v>
      </c>
      <c r="G177" s="14" t="s">
        <v>130</v>
      </c>
      <c r="H177" s="14" t="s">
        <v>125</v>
      </c>
      <c r="I177" s="15">
        <v>2</v>
      </c>
      <c r="J177" s="15">
        <v>1600</v>
      </c>
      <c r="K177" s="15">
        <v>7.45</v>
      </c>
      <c r="L177" s="15">
        <v>11920</v>
      </c>
      <c r="M177" s="15">
        <v>-916.65</v>
      </c>
      <c r="N177" s="15">
        <v>0</v>
      </c>
      <c r="O177" s="15">
        <v>1430.435442</v>
      </c>
      <c r="P177" s="15">
        <v>12433.785442</v>
      </c>
    </row>
    <row r="178" spans="1:16" ht="15" x14ac:dyDescent="0.2">
      <c r="A178" s="4" t="s">
        <v>581</v>
      </c>
      <c r="B178" s="21" t="str">
        <f t="shared" si="4"/>
        <v>Aug-2025</v>
      </c>
      <c r="C178" s="2" t="str">
        <f t="shared" si="5"/>
        <v>Q2</v>
      </c>
      <c r="D178" s="2" t="s">
        <v>31</v>
      </c>
      <c r="E178" s="13">
        <v>45874</v>
      </c>
      <c r="F178" s="14" t="s">
        <v>129</v>
      </c>
      <c r="G178" s="14" t="s">
        <v>130</v>
      </c>
      <c r="H178" s="14" t="s">
        <v>104</v>
      </c>
      <c r="I178" s="15">
        <v>5</v>
      </c>
      <c r="J178" s="15">
        <v>200</v>
      </c>
      <c r="K178" s="15">
        <v>67.040000000000006</v>
      </c>
      <c r="L178" s="15">
        <v>13408</v>
      </c>
      <c r="M178" s="15">
        <v>-1031.08</v>
      </c>
      <c r="N178" s="15">
        <v>0</v>
      </c>
      <c r="O178" s="15">
        <v>1608.999534</v>
      </c>
      <c r="P178" s="15">
        <v>13985.919534000001</v>
      </c>
    </row>
    <row r="179" spans="1:16" ht="15" x14ac:dyDescent="0.2">
      <c r="A179" s="4" t="s">
        <v>590</v>
      </c>
      <c r="B179" s="21" t="str">
        <f t="shared" si="4"/>
        <v>Aug-2025</v>
      </c>
      <c r="C179" s="2" t="str">
        <f t="shared" si="5"/>
        <v>Q2</v>
      </c>
      <c r="D179" s="2" t="s">
        <v>31</v>
      </c>
      <c r="E179" s="13">
        <v>45874</v>
      </c>
      <c r="F179" s="14" t="s">
        <v>129</v>
      </c>
      <c r="G179" s="14" t="s">
        <v>130</v>
      </c>
      <c r="H179" s="14" t="s">
        <v>102</v>
      </c>
      <c r="I179" s="15">
        <v>2</v>
      </c>
      <c r="J179" s="15">
        <v>40</v>
      </c>
      <c r="K179" s="15">
        <v>249.55</v>
      </c>
      <c r="L179" s="15">
        <v>9982</v>
      </c>
      <c r="M179" s="15">
        <v>-767.62</v>
      </c>
      <c r="N179" s="15">
        <v>0</v>
      </c>
      <c r="O179" s="15">
        <v>1197.8693509999998</v>
      </c>
      <c r="P179" s="15">
        <v>10412.249351</v>
      </c>
    </row>
    <row r="180" spans="1:16" ht="15" x14ac:dyDescent="0.2">
      <c r="A180" s="4" t="s">
        <v>586</v>
      </c>
      <c r="B180" s="21" t="str">
        <f t="shared" si="4"/>
        <v>Aug-2025</v>
      </c>
      <c r="C180" s="2" t="str">
        <f t="shared" si="5"/>
        <v>Q2</v>
      </c>
      <c r="D180" s="2" t="s">
        <v>31</v>
      </c>
      <c r="E180" s="13">
        <v>45874</v>
      </c>
      <c r="F180" s="14" t="s">
        <v>131</v>
      </c>
      <c r="G180" s="14" t="s">
        <v>130</v>
      </c>
      <c r="H180" s="14" t="s">
        <v>78</v>
      </c>
      <c r="I180" s="15">
        <v>1</v>
      </c>
      <c r="J180" s="15">
        <v>600</v>
      </c>
      <c r="K180" s="15">
        <v>7.45</v>
      </c>
      <c r="L180" s="15">
        <v>4470</v>
      </c>
      <c r="M180" s="15">
        <v>-343.74</v>
      </c>
      <c r="N180" s="15">
        <v>0</v>
      </c>
      <c r="O180" s="15">
        <v>536.41389400000003</v>
      </c>
      <c r="P180" s="15">
        <v>4662.6738939999996</v>
      </c>
    </row>
    <row r="181" spans="1:16" ht="15" x14ac:dyDescent="0.2">
      <c r="A181" s="4" t="s">
        <v>579</v>
      </c>
      <c r="B181" s="21" t="str">
        <f t="shared" si="4"/>
        <v>Aug-2025</v>
      </c>
      <c r="C181" s="2" t="str">
        <f t="shared" si="5"/>
        <v>Q2</v>
      </c>
      <c r="D181" s="2" t="s">
        <v>31</v>
      </c>
      <c r="E181" s="13">
        <v>45874</v>
      </c>
      <c r="F181" s="14" t="s">
        <v>131</v>
      </c>
      <c r="G181" s="14" t="s">
        <v>130</v>
      </c>
      <c r="H181" s="14" t="s">
        <v>90</v>
      </c>
      <c r="I181" s="15">
        <v>5</v>
      </c>
      <c r="J181" s="15">
        <v>100</v>
      </c>
      <c r="K181" s="15">
        <v>204.85</v>
      </c>
      <c r="L181" s="15">
        <v>20485</v>
      </c>
      <c r="M181" s="15">
        <v>-1575.3</v>
      </c>
      <c r="N181" s="15">
        <v>0</v>
      </c>
      <c r="O181" s="15">
        <v>2458.2614309999999</v>
      </c>
      <c r="P181" s="15">
        <v>21367.961431</v>
      </c>
    </row>
    <row r="182" spans="1:16" ht="15" x14ac:dyDescent="0.2">
      <c r="A182" s="4" t="s">
        <v>579</v>
      </c>
      <c r="B182" s="21" t="str">
        <f t="shared" si="4"/>
        <v>Aug-2025</v>
      </c>
      <c r="C182" s="2" t="str">
        <f t="shared" si="5"/>
        <v>Q2</v>
      </c>
      <c r="D182" s="2" t="s">
        <v>31</v>
      </c>
      <c r="E182" s="13">
        <v>45874</v>
      </c>
      <c r="F182" s="14" t="s">
        <v>131</v>
      </c>
      <c r="G182" s="14" t="s">
        <v>130</v>
      </c>
      <c r="H182" s="14" t="s">
        <v>91</v>
      </c>
      <c r="I182" s="15">
        <v>3</v>
      </c>
      <c r="J182" s="15">
        <v>60</v>
      </c>
      <c r="K182" s="15">
        <v>204.85</v>
      </c>
      <c r="L182" s="15">
        <v>12291</v>
      </c>
      <c r="M182" s="15">
        <v>-945.18</v>
      </c>
      <c r="N182" s="15">
        <v>0</v>
      </c>
      <c r="O182" s="15">
        <v>1474.9568579999998</v>
      </c>
      <c r="P182" s="15">
        <v>12820.776857999999</v>
      </c>
    </row>
    <row r="183" spans="1:16" ht="15" x14ac:dyDescent="0.2">
      <c r="A183" s="4" t="s">
        <v>578</v>
      </c>
      <c r="B183" s="21" t="str">
        <f t="shared" si="4"/>
        <v>Aug-2025</v>
      </c>
      <c r="C183" s="2" t="str">
        <f t="shared" si="5"/>
        <v>Q2</v>
      </c>
      <c r="D183" s="2" t="s">
        <v>31</v>
      </c>
      <c r="E183" s="13">
        <v>45874</v>
      </c>
      <c r="F183" s="14" t="s">
        <v>131</v>
      </c>
      <c r="G183" s="14" t="s">
        <v>130</v>
      </c>
      <c r="H183" s="14" t="s">
        <v>59</v>
      </c>
      <c r="I183" s="15">
        <v>15</v>
      </c>
      <c r="J183" s="15">
        <v>630</v>
      </c>
      <c r="K183" s="15">
        <v>74.489999999999995</v>
      </c>
      <c r="L183" s="15">
        <v>46928.7</v>
      </c>
      <c r="M183" s="15">
        <v>-3608.8199999999997</v>
      </c>
      <c r="N183" s="15">
        <v>0</v>
      </c>
      <c r="O183" s="15">
        <v>5631.5853870000001</v>
      </c>
      <c r="P183" s="15">
        <v>48951.465386999997</v>
      </c>
    </row>
    <row r="184" spans="1:16" ht="15" x14ac:dyDescent="0.2">
      <c r="A184" s="4" t="s">
        <v>582</v>
      </c>
      <c r="B184" s="21" t="str">
        <f t="shared" si="4"/>
        <v>Aug-2025</v>
      </c>
      <c r="C184" s="2" t="str">
        <f t="shared" si="5"/>
        <v>Q2</v>
      </c>
      <c r="D184" s="2" t="s">
        <v>31</v>
      </c>
      <c r="E184" s="13">
        <v>45874</v>
      </c>
      <c r="F184" s="14" t="s">
        <v>131</v>
      </c>
      <c r="G184" s="14" t="s">
        <v>130</v>
      </c>
      <c r="H184" s="14" t="s">
        <v>108</v>
      </c>
      <c r="I184" s="15">
        <v>5</v>
      </c>
      <c r="J184" s="15">
        <v>120</v>
      </c>
      <c r="K184" s="15">
        <v>186.23</v>
      </c>
      <c r="L184" s="15">
        <v>22347.599999999999</v>
      </c>
      <c r="M184" s="15">
        <v>-1718.53</v>
      </c>
      <c r="N184" s="15">
        <v>0</v>
      </c>
      <c r="O184" s="15">
        <v>2681.7795700000001</v>
      </c>
      <c r="P184" s="15">
        <v>23310.849569999998</v>
      </c>
    </row>
    <row r="185" spans="1:16" ht="15" x14ac:dyDescent="0.2">
      <c r="A185" s="4" t="s">
        <v>579</v>
      </c>
      <c r="B185" s="21" t="str">
        <f t="shared" si="4"/>
        <v>Aug-2025</v>
      </c>
      <c r="C185" s="2" t="str">
        <f t="shared" si="5"/>
        <v>Q2</v>
      </c>
      <c r="D185" s="2" t="s">
        <v>31</v>
      </c>
      <c r="E185" s="13">
        <v>45874</v>
      </c>
      <c r="F185" s="14" t="s">
        <v>131</v>
      </c>
      <c r="G185" s="14" t="s">
        <v>130</v>
      </c>
      <c r="H185" s="14" t="s">
        <v>92</v>
      </c>
      <c r="I185" s="15">
        <v>2</v>
      </c>
      <c r="J185" s="15">
        <v>40</v>
      </c>
      <c r="K185" s="15">
        <v>242.1</v>
      </c>
      <c r="L185" s="15">
        <v>9683.9999999999982</v>
      </c>
      <c r="M185" s="15">
        <v>-744.7</v>
      </c>
      <c r="N185" s="15">
        <v>0</v>
      </c>
      <c r="O185" s="15">
        <v>1162.1092040000001</v>
      </c>
      <c r="P185" s="15">
        <v>10101.409204</v>
      </c>
    </row>
    <row r="186" spans="1:16" ht="15" x14ac:dyDescent="0.2">
      <c r="A186" s="4" t="s">
        <v>592</v>
      </c>
      <c r="B186" s="21" t="str">
        <f t="shared" si="4"/>
        <v>Aug-2025</v>
      </c>
      <c r="C186" s="2" t="str">
        <f t="shared" si="5"/>
        <v>Q2</v>
      </c>
      <c r="D186" s="2" t="s">
        <v>31</v>
      </c>
      <c r="E186" s="13">
        <v>45874</v>
      </c>
      <c r="F186" s="14" t="s">
        <v>131</v>
      </c>
      <c r="G186" s="14" t="s">
        <v>130</v>
      </c>
      <c r="H186" s="14" t="s">
        <v>115</v>
      </c>
      <c r="I186" s="15">
        <v>2</v>
      </c>
      <c r="J186" s="15">
        <v>100</v>
      </c>
      <c r="K186" s="15">
        <v>89.39</v>
      </c>
      <c r="L186" s="15">
        <v>8939</v>
      </c>
      <c r="M186" s="15">
        <v>-687.41</v>
      </c>
      <c r="N186" s="15">
        <v>0</v>
      </c>
      <c r="O186" s="15">
        <v>1072.7068879999999</v>
      </c>
      <c r="P186" s="15">
        <v>9324.2968880000008</v>
      </c>
    </row>
    <row r="187" spans="1:16" ht="15" x14ac:dyDescent="0.2">
      <c r="A187" s="4" t="s">
        <v>579</v>
      </c>
      <c r="B187" s="21" t="str">
        <f t="shared" si="4"/>
        <v>Aug-2025</v>
      </c>
      <c r="C187" s="2" t="str">
        <f t="shared" si="5"/>
        <v>Q2</v>
      </c>
      <c r="D187" s="2" t="s">
        <v>31</v>
      </c>
      <c r="E187" s="13">
        <v>45874</v>
      </c>
      <c r="F187" s="14" t="s">
        <v>131</v>
      </c>
      <c r="G187" s="14" t="s">
        <v>130</v>
      </c>
      <c r="H187" s="14" t="s">
        <v>112</v>
      </c>
      <c r="I187" s="15">
        <v>1</v>
      </c>
      <c r="J187" s="15">
        <v>20</v>
      </c>
      <c r="K187" s="15">
        <v>204.85</v>
      </c>
      <c r="L187" s="15">
        <v>4097</v>
      </c>
      <c r="M187" s="15">
        <v>-315.06</v>
      </c>
      <c r="N187" s="15">
        <v>0</v>
      </c>
      <c r="O187" s="15">
        <v>491.652286</v>
      </c>
      <c r="P187" s="15">
        <v>4273.5922860000001</v>
      </c>
    </row>
    <row r="188" spans="1:16" ht="15" x14ac:dyDescent="0.2">
      <c r="A188" s="4" t="s">
        <v>575</v>
      </c>
      <c r="B188" s="21" t="str">
        <f t="shared" si="4"/>
        <v>Aug-2025</v>
      </c>
      <c r="C188" s="2" t="str">
        <f t="shared" si="5"/>
        <v>Q2</v>
      </c>
      <c r="D188" s="2" t="s">
        <v>31</v>
      </c>
      <c r="E188" s="13">
        <v>45874</v>
      </c>
      <c r="F188" s="14" t="s">
        <v>131</v>
      </c>
      <c r="G188" s="14" t="s">
        <v>130</v>
      </c>
      <c r="H188" s="14" t="s">
        <v>55</v>
      </c>
      <c r="I188" s="15">
        <v>5</v>
      </c>
      <c r="J188" s="15">
        <v>100</v>
      </c>
      <c r="K188" s="15">
        <v>186.23</v>
      </c>
      <c r="L188" s="15">
        <v>18623</v>
      </c>
      <c r="M188" s="15">
        <v>-1432.1100000000001</v>
      </c>
      <c r="N188" s="15">
        <v>0</v>
      </c>
      <c r="O188" s="15">
        <v>2234.816092</v>
      </c>
      <c r="P188" s="15">
        <v>19425.706092</v>
      </c>
    </row>
    <row r="189" spans="1:16" ht="15" x14ac:dyDescent="0.2">
      <c r="A189" s="4" t="s">
        <v>582</v>
      </c>
      <c r="B189" s="21" t="str">
        <f t="shared" si="4"/>
        <v>Aug-2025</v>
      </c>
      <c r="C189" s="2" t="str">
        <f t="shared" si="5"/>
        <v>Q2</v>
      </c>
      <c r="D189" s="2" t="s">
        <v>31</v>
      </c>
      <c r="E189" s="13">
        <v>45874</v>
      </c>
      <c r="F189" s="14" t="s">
        <v>131</v>
      </c>
      <c r="G189" s="14" t="s">
        <v>130</v>
      </c>
      <c r="H189" s="14" t="s">
        <v>77</v>
      </c>
      <c r="I189" s="15">
        <v>1</v>
      </c>
      <c r="J189" s="15">
        <v>24</v>
      </c>
      <c r="K189" s="15">
        <v>204.85</v>
      </c>
      <c r="L189" s="15">
        <v>4916.4000000000005</v>
      </c>
      <c r="M189" s="15">
        <v>-378.07</v>
      </c>
      <c r="N189" s="15">
        <v>0</v>
      </c>
      <c r="O189" s="15">
        <v>589.98300300000005</v>
      </c>
      <c r="P189" s="15">
        <v>5128.3130030000002</v>
      </c>
    </row>
    <row r="190" spans="1:16" ht="15" x14ac:dyDescent="0.2">
      <c r="A190" s="4" t="s">
        <v>578</v>
      </c>
      <c r="B190" s="21" t="str">
        <f t="shared" si="4"/>
        <v>Aug-2025</v>
      </c>
      <c r="C190" s="2" t="str">
        <f t="shared" si="5"/>
        <v>Q2</v>
      </c>
      <c r="D190" s="2" t="s">
        <v>31</v>
      </c>
      <c r="E190" s="13">
        <v>45874</v>
      </c>
      <c r="F190" s="14" t="s">
        <v>131</v>
      </c>
      <c r="G190" s="14" t="s">
        <v>130</v>
      </c>
      <c r="H190" s="14" t="s">
        <v>62</v>
      </c>
      <c r="I190" s="15">
        <v>15</v>
      </c>
      <c r="J190" s="15">
        <v>630</v>
      </c>
      <c r="K190" s="15">
        <v>74.489999999999995</v>
      </c>
      <c r="L190" s="15">
        <v>46928.7</v>
      </c>
      <c r="M190" s="15">
        <v>-3608.8199999999997</v>
      </c>
      <c r="N190" s="15">
        <v>0</v>
      </c>
      <c r="O190" s="15">
        <v>5631.5853870000001</v>
      </c>
      <c r="P190" s="15">
        <v>48951.465386999997</v>
      </c>
    </row>
    <row r="191" spans="1:16" ht="15" x14ac:dyDescent="0.2">
      <c r="A191" s="4" t="s">
        <v>589</v>
      </c>
      <c r="B191" s="21" t="str">
        <f t="shared" si="4"/>
        <v>Aug-2025</v>
      </c>
      <c r="C191" s="2" t="str">
        <f t="shared" si="5"/>
        <v>Q2</v>
      </c>
      <c r="D191" s="2" t="s">
        <v>31</v>
      </c>
      <c r="E191" s="13">
        <v>45874</v>
      </c>
      <c r="F191" s="14" t="s">
        <v>132</v>
      </c>
      <c r="G191" s="14" t="s">
        <v>130</v>
      </c>
      <c r="H191" s="14" t="s">
        <v>98</v>
      </c>
      <c r="I191" s="15">
        <v>5</v>
      </c>
      <c r="J191" s="15">
        <v>300</v>
      </c>
      <c r="K191" s="15">
        <v>145.26</v>
      </c>
      <c r="L191" s="15">
        <v>43578</v>
      </c>
      <c r="M191" s="15">
        <v>-3351.1499999999996</v>
      </c>
      <c r="N191" s="15">
        <v>0</v>
      </c>
      <c r="O191" s="15">
        <v>5229.4905000000008</v>
      </c>
      <c r="P191" s="15">
        <v>45456.340499999998</v>
      </c>
    </row>
    <row r="192" spans="1:16" ht="15" x14ac:dyDescent="0.2">
      <c r="A192" s="4" t="s">
        <v>583</v>
      </c>
      <c r="B192" s="21" t="str">
        <f t="shared" si="4"/>
        <v>Aug-2025</v>
      </c>
      <c r="C192" s="2" t="str">
        <f t="shared" si="5"/>
        <v>Q2</v>
      </c>
      <c r="D192" s="2" t="s">
        <v>31</v>
      </c>
      <c r="E192" s="13">
        <v>45874</v>
      </c>
      <c r="F192" s="14" t="s">
        <v>132</v>
      </c>
      <c r="G192" s="14" t="s">
        <v>130</v>
      </c>
      <c r="H192" s="14" t="s">
        <v>109</v>
      </c>
      <c r="I192" s="15">
        <v>5</v>
      </c>
      <c r="J192" s="15">
        <v>75</v>
      </c>
      <c r="K192" s="15">
        <v>260.72000000000003</v>
      </c>
      <c r="L192" s="15">
        <v>19554</v>
      </c>
      <c r="M192" s="15">
        <v>-1503.6999999999998</v>
      </c>
      <c r="N192" s="15">
        <v>0</v>
      </c>
      <c r="O192" s="15">
        <v>2346.5390000000002</v>
      </c>
      <c r="P192" s="15">
        <v>20396.839</v>
      </c>
    </row>
    <row r="193" spans="1:16" ht="15" x14ac:dyDescent="0.2">
      <c r="A193" s="4" t="s">
        <v>573</v>
      </c>
      <c r="B193" s="21" t="str">
        <f t="shared" si="4"/>
        <v>Aug-2025</v>
      </c>
      <c r="C193" s="2" t="str">
        <f t="shared" si="5"/>
        <v>Q2</v>
      </c>
      <c r="D193" s="2" t="s">
        <v>31</v>
      </c>
      <c r="E193" s="13">
        <v>45874</v>
      </c>
      <c r="F193" s="14" t="s">
        <v>132</v>
      </c>
      <c r="G193" s="14" t="s">
        <v>130</v>
      </c>
      <c r="H193" s="14" t="s">
        <v>111</v>
      </c>
      <c r="I193" s="15">
        <v>10</v>
      </c>
      <c r="J193" s="15">
        <v>400</v>
      </c>
      <c r="K193" s="15">
        <v>111.74</v>
      </c>
      <c r="L193" s="15">
        <v>44696</v>
      </c>
      <c r="M193" s="15">
        <v>-3437.12</v>
      </c>
      <c r="N193" s="15">
        <v>0</v>
      </c>
      <c r="O193" s="15">
        <v>5363.6544000000004</v>
      </c>
      <c r="P193" s="15">
        <v>46622.534399999997</v>
      </c>
    </row>
    <row r="194" spans="1:16" ht="15" x14ac:dyDescent="0.2">
      <c r="A194" s="4" t="s">
        <v>573</v>
      </c>
      <c r="B194" s="21" t="str">
        <f t="shared" si="4"/>
        <v>Aug-2025</v>
      </c>
      <c r="C194" s="2" t="str">
        <f t="shared" si="5"/>
        <v>Q2</v>
      </c>
      <c r="D194" s="2" t="s">
        <v>31</v>
      </c>
      <c r="E194" s="13">
        <v>45874</v>
      </c>
      <c r="F194" s="14" t="s">
        <v>132</v>
      </c>
      <c r="G194" s="14" t="s">
        <v>130</v>
      </c>
      <c r="H194" s="14" t="s">
        <v>49</v>
      </c>
      <c r="I194" s="15">
        <v>5</v>
      </c>
      <c r="J194" s="15">
        <v>200</v>
      </c>
      <c r="K194" s="15">
        <v>111.74</v>
      </c>
      <c r="L194" s="15">
        <v>22348</v>
      </c>
      <c r="M194" s="15">
        <v>-1718.56</v>
      </c>
      <c r="N194" s="15">
        <v>0</v>
      </c>
      <c r="O194" s="15">
        <v>2681.8272000000002</v>
      </c>
      <c r="P194" s="15">
        <v>23311.267199999998</v>
      </c>
    </row>
    <row r="195" spans="1:16" ht="15" x14ac:dyDescent="0.2">
      <c r="A195" s="4" t="s">
        <v>583</v>
      </c>
      <c r="B195" s="21" t="str">
        <f t="shared" ref="B195:B258" si="6">+TEXT(E195,"MMM-yyy")</f>
        <v>Aug-2025</v>
      </c>
      <c r="C195" s="2" t="str">
        <f t="shared" ref="C195:C258" si="7">"Q" &amp; CHOOSE(MONTH(E195),4,4,4,1,1,1,2,2,2,3,3,3)</f>
        <v>Q2</v>
      </c>
      <c r="D195" s="2" t="s">
        <v>31</v>
      </c>
      <c r="E195" s="13">
        <v>45874</v>
      </c>
      <c r="F195" s="14" t="s">
        <v>132</v>
      </c>
      <c r="G195" s="14" t="s">
        <v>130</v>
      </c>
      <c r="H195" s="14" t="s">
        <v>113</v>
      </c>
      <c r="I195" s="15">
        <v>5</v>
      </c>
      <c r="J195" s="15">
        <v>75</v>
      </c>
      <c r="K195" s="15">
        <v>260.72000000000003</v>
      </c>
      <c r="L195" s="15">
        <v>19554</v>
      </c>
      <c r="M195" s="15">
        <v>-1503.6999999999998</v>
      </c>
      <c r="N195" s="15">
        <v>0</v>
      </c>
      <c r="O195" s="15">
        <v>2346.5390000000002</v>
      </c>
      <c r="P195" s="15">
        <v>20396.839</v>
      </c>
    </row>
    <row r="196" spans="1:16" ht="15" x14ac:dyDescent="0.2">
      <c r="A196" s="4" t="s">
        <v>573</v>
      </c>
      <c r="B196" s="21" t="str">
        <f t="shared" si="6"/>
        <v>Aug-2025</v>
      </c>
      <c r="C196" s="2" t="str">
        <f t="shared" si="7"/>
        <v>Q2</v>
      </c>
      <c r="D196" s="2" t="s">
        <v>31</v>
      </c>
      <c r="E196" s="13">
        <v>45874</v>
      </c>
      <c r="F196" s="14" t="s">
        <v>132</v>
      </c>
      <c r="G196" s="14" t="s">
        <v>130</v>
      </c>
      <c r="H196" s="14" t="s">
        <v>47</v>
      </c>
      <c r="I196" s="15">
        <v>5</v>
      </c>
      <c r="J196" s="15">
        <v>200</v>
      </c>
      <c r="K196" s="15">
        <v>111.74</v>
      </c>
      <c r="L196" s="15">
        <v>22348</v>
      </c>
      <c r="M196" s="15">
        <v>-1718.56</v>
      </c>
      <c r="N196" s="15">
        <v>0</v>
      </c>
      <c r="O196" s="15">
        <v>2681.8272000000002</v>
      </c>
      <c r="P196" s="15">
        <v>23311.267199999998</v>
      </c>
    </row>
    <row r="197" spans="1:16" ht="15" x14ac:dyDescent="0.2">
      <c r="A197" s="4" t="s">
        <v>580</v>
      </c>
      <c r="B197" s="21" t="str">
        <f t="shared" si="6"/>
        <v>Aug-2025</v>
      </c>
      <c r="C197" s="2" t="str">
        <f t="shared" si="7"/>
        <v>Q2</v>
      </c>
      <c r="D197" s="2" t="s">
        <v>31</v>
      </c>
      <c r="E197" s="13">
        <v>45874</v>
      </c>
      <c r="F197" s="14" t="s">
        <v>132</v>
      </c>
      <c r="G197" s="14" t="s">
        <v>130</v>
      </c>
      <c r="H197" s="14" t="s">
        <v>65</v>
      </c>
      <c r="I197" s="15">
        <v>25</v>
      </c>
      <c r="J197" s="15">
        <v>3250</v>
      </c>
      <c r="K197" s="15">
        <v>37.25</v>
      </c>
      <c r="L197" s="15">
        <v>121062.50000000001</v>
      </c>
      <c r="M197" s="15">
        <v>-9309.7100000000009</v>
      </c>
      <c r="N197" s="15">
        <v>0</v>
      </c>
      <c r="O197" s="15">
        <v>14527.862700000001</v>
      </c>
      <c r="P197" s="15">
        <v>126280.65270000001</v>
      </c>
    </row>
    <row r="198" spans="1:16" ht="15" x14ac:dyDescent="0.2">
      <c r="A198" s="4" t="s">
        <v>593</v>
      </c>
      <c r="B198" s="21" t="str">
        <f t="shared" si="6"/>
        <v>Aug-2025</v>
      </c>
      <c r="C198" s="2" t="str">
        <f t="shared" si="7"/>
        <v>Q2</v>
      </c>
      <c r="D198" s="2" t="s">
        <v>31</v>
      </c>
      <c r="E198" s="13">
        <v>45874</v>
      </c>
      <c r="F198" s="14" t="s">
        <v>133</v>
      </c>
      <c r="G198" s="14" t="s">
        <v>130</v>
      </c>
      <c r="H198" s="14" t="s">
        <v>117</v>
      </c>
      <c r="I198" s="15">
        <v>60</v>
      </c>
      <c r="J198" s="15">
        <v>240</v>
      </c>
      <c r="K198" s="15">
        <v>595.92999999999995</v>
      </c>
      <c r="L198" s="15">
        <v>143023.19999999998</v>
      </c>
      <c r="M198" s="15">
        <v>-10998.48</v>
      </c>
      <c r="N198" s="15">
        <v>0</v>
      </c>
      <c r="O198" s="15">
        <v>17163.21</v>
      </c>
      <c r="P198" s="15">
        <v>149187.93</v>
      </c>
    </row>
    <row r="199" spans="1:16" ht="15" x14ac:dyDescent="0.2">
      <c r="A199" s="4" t="s">
        <v>590</v>
      </c>
      <c r="B199" s="21" t="str">
        <f t="shared" si="6"/>
        <v>Aug-2025</v>
      </c>
      <c r="C199" s="2" t="str">
        <f t="shared" si="7"/>
        <v>Q2</v>
      </c>
      <c r="D199" s="2" t="s">
        <v>31</v>
      </c>
      <c r="E199" s="13">
        <v>45874</v>
      </c>
      <c r="F199" s="14" t="s">
        <v>134</v>
      </c>
      <c r="G199" s="14" t="s">
        <v>88</v>
      </c>
      <c r="H199" s="14" t="s">
        <v>102</v>
      </c>
      <c r="I199" s="15">
        <v>1</v>
      </c>
      <c r="J199" s="15">
        <v>20</v>
      </c>
      <c r="K199" s="15">
        <v>249.55</v>
      </c>
      <c r="L199" s="15">
        <v>4991</v>
      </c>
      <c r="M199" s="15">
        <v>-383.81</v>
      </c>
      <c r="N199" s="15">
        <v>0</v>
      </c>
      <c r="O199" s="15">
        <v>598.92999999999995</v>
      </c>
      <c r="P199" s="15">
        <v>5206.12</v>
      </c>
    </row>
    <row r="200" spans="1:16" ht="15" x14ac:dyDescent="0.2">
      <c r="A200" s="4" t="s">
        <v>573</v>
      </c>
      <c r="B200" s="21" t="str">
        <f t="shared" si="6"/>
        <v>Aug-2025</v>
      </c>
      <c r="C200" s="2" t="str">
        <f t="shared" si="7"/>
        <v>Q2</v>
      </c>
      <c r="D200" s="2" t="s">
        <v>31</v>
      </c>
      <c r="E200" s="13">
        <v>45874</v>
      </c>
      <c r="F200" s="14" t="s">
        <v>135</v>
      </c>
      <c r="G200" s="14" t="s">
        <v>54</v>
      </c>
      <c r="H200" s="14" t="s">
        <v>111</v>
      </c>
      <c r="I200" s="15">
        <v>3</v>
      </c>
      <c r="J200" s="15">
        <v>120</v>
      </c>
      <c r="K200" s="15">
        <v>111.74</v>
      </c>
      <c r="L200" s="15">
        <v>13408.8</v>
      </c>
      <c r="M200" s="15">
        <v>-1031.1400000000001</v>
      </c>
      <c r="N200" s="15">
        <v>0</v>
      </c>
      <c r="O200" s="15">
        <v>1609.0962789999999</v>
      </c>
      <c r="P200" s="15">
        <v>13986.756278999999</v>
      </c>
    </row>
    <row r="201" spans="1:16" ht="15" x14ac:dyDescent="0.2">
      <c r="A201" s="4" t="s">
        <v>586</v>
      </c>
      <c r="B201" s="21" t="str">
        <f t="shared" si="6"/>
        <v>Aug-2025</v>
      </c>
      <c r="C201" s="2" t="str">
        <f t="shared" si="7"/>
        <v>Q2</v>
      </c>
      <c r="D201" s="2" t="s">
        <v>31</v>
      </c>
      <c r="E201" s="13">
        <v>45874</v>
      </c>
      <c r="F201" s="14" t="s">
        <v>135</v>
      </c>
      <c r="G201" s="14" t="s">
        <v>54</v>
      </c>
      <c r="H201" s="14" t="s">
        <v>78</v>
      </c>
      <c r="I201" s="15">
        <v>1</v>
      </c>
      <c r="J201" s="15">
        <v>600</v>
      </c>
      <c r="K201" s="15">
        <v>7.45</v>
      </c>
      <c r="L201" s="15">
        <v>4470</v>
      </c>
      <c r="M201" s="15">
        <v>-343.74</v>
      </c>
      <c r="N201" s="15">
        <v>0</v>
      </c>
      <c r="O201" s="15">
        <v>536.41395999999997</v>
      </c>
      <c r="P201" s="15">
        <v>4662.6739600000001</v>
      </c>
    </row>
    <row r="202" spans="1:16" ht="15" x14ac:dyDescent="0.2">
      <c r="A202" s="4" t="s">
        <v>586</v>
      </c>
      <c r="B202" s="21" t="str">
        <f t="shared" si="6"/>
        <v>Aug-2025</v>
      </c>
      <c r="C202" s="2" t="str">
        <f t="shared" si="7"/>
        <v>Q2</v>
      </c>
      <c r="D202" s="2" t="s">
        <v>31</v>
      </c>
      <c r="E202" s="13">
        <v>45874</v>
      </c>
      <c r="F202" s="14" t="s">
        <v>135</v>
      </c>
      <c r="G202" s="14" t="s">
        <v>54</v>
      </c>
      <c r="H202" s="14" t="s">
        <v>103</v>
      </c>
      <c r="I202" s="15">
        <v>1</v>
      </c>
      <c r="J202" s="15">
        <v>600</v>
      </c>
      <c r="K202" s="15">
        <v>7.45</v>
      </c>
      <c r="L202" s="15">
        <v>4470</v>
      </c>
      <c r="M202" s="15">
        <v>-343.74</v>
      </c>
      <c r="N202" s="15">
        <v>0</v>
      </c>
      <c r="O202" s="15">
        <v>536.41395999999997</v>
      </c>
      <c r="P202" s="15">
        <v>4662.6739600000001</v>
      </c>
    </row>
    <row r="203" spans="1:16" ht="15" x14ac:dyDescent="0.2">
      <c r="A203" s="4" t="s">
        <v>573</v>
      </c>
      <c r="B203" s="21" t="str">
        <f t="shared" si="6"/>
        <v>Aug-2025</v>
      </c>
      <c r="C203" s="2" t="str">
        <f t="shared" si="7"/>
        <v>Q2</v>
      </c>
      <c r="D203" s="2" t="s">
        <v>31</v>
      </c>
      <c r="E203" s="13">
        <v>45874</v>
      </c>
      <c r="F203" s="14" t="s">
        <v>135</v>
      </c>
      <c r="G203" s="14" t="s">
        <v>54</v>
      </c>
      <c r="H203" s="14" t="s">
        <v>136</v>
      </c>
      <c r="I203" s="15">
        <v>3</v>
      </c>
      <c r="J203" s="15">
        <v>120</v>
      </c>
      <c r="K203" s="15">
        <v>111.74</v>
      </c>
      <c r="L203" s="15">
        <v>13408.8</v>
      </c>
      <c r="M203" s="15">
        <v>-1031.1400000000001</v>
      </c>
      <c r="N203" s="15">
        <v>0</v>
      </c>
      <c r="O203" s="15">
        <v>1609.0962789999999</v>
      </c>
      <c r="P203" s="15">
        <v>13986.756278999999</v>
      </c>
    </row>
    <row r="204" spans="1:16" ht="15" x14ac:dyDescent="0.2">
      <c r="A204" s="4" t="s">
        <v>584</v>
      </c>
      <c r="B204" s="21" t="str">
        <f t="shared" si="6"/>
        <v>Aug-2025</v>
      </c>
      <c r="C204" s="2" t="str">
        <f t="shared" si="7"/>
        <v>Q2</v>
      </c>
      <c r="D204" s="2" t="s">
        <v>31</v>
      </c>
      <c r="E204" s="13">
        <v>45874</v>
      </c>
      <c r="F204" s="14" t="s">
        <v>135</v>
      </c>
      <c r="G204" s="14" t="s">
        <v>54</v>
      </c>
      <c r="H204" s="14" t="s">
        <v>120</v>
      </c>
      <c r="I204" s="15">
        <v>1</v>
      </c>
      <c r="J204" s="15">
        <v>40</v>
      </c>
      <c r="K204" s="15">
        <v>81.94</v>
      </c>
      <c r="L204" s="15">
        <v>3277.6</v>
      </c>
      <c r="M204" s="15">
        <v>-252.05</v>
      </c>
      <c r="N204" s="15">
        <v>0</v>
      </c>
      <c r="O204" s="15">
        <v>393.321617</v>
      </c>
      <c r="P204" s="15">
        <v>3418.8716169999998</v>
      </c>
    </row>
    <row r="205" spans="1:16" ht="15" x14ac:dyDescent="0.2">
      <c r="A205" s="4" t="s">
        <v>581</v>
      </c>
      <c r="B205" s="21" t="str">
        <f t="shared" si="6"/>
        <v>Aug-2025</v>
      </c>
      <c r="C205" s="2" t="str">
        <f t="shared" si="7"/>
        <v>Q2</v>
      </c>
      <c r="D205" s="2" t="s">
        <v>31</v>
      </c>
      <c r="E205" s="13">
        <v>45874</v>
      </c>
      <c r="F205" s="14" t="s">
        <v>135</v>
      </c>
      <c r="G205" s="14" t="s">
        <v>54</v>
      </c>
      <c r="H205" s="14" t="s">
        <v>125</v>
      </c>
      <c r="I205" s="15">
        <v>3</v>
      </c>
      <c r="J205" s="15">
        <v>2400</v>
      </c>
      <c r="K205" s="15">
        <v>7.45</v>
      </c>
      <c r="L205" s="15">
        <v>17880</v>
      </c>
      <c r="M205" s="15">
        <v>-1374.97</v>
      </c>
      <c r="N205" s="15">
        <v>0</v>
      </c>
      <c r="O205" s="15">
        <v>2145.6545390000001</v>
      </c>
      <c r="P205" s="15">
        <v>18650.684539000002</v>
      </c>
    </row>
    <row r="206" spans="1:16" ht="15" x14ac:dyDescent="0.2">
      <c r="A206" s="4" t="s">
        <v>576</v>
      </c>
      <c r="B206" s="21" t="str">
        <f t="shared" si="6"/>
        <v>Aug-2025</v>
      </c>
      <c r="C206" s="2" t="str">
        <f t="shared" si="7"/>
        <v>Q2</v>
      </c>
      <c r="D206" s="2" t="s">
        <v>31</v>
      </c>
      <c r="E206" s="13">
        <v>45874</v>
      </c>
      <c r="F206" s="14" t="s">
        <v>135</v>
      </c>
      <c r="G206" s="14" t="s">
        <v>54</v>
      </c>
      <c r="H206" s="14" t="s">
        <v>56</v>
      </c>
      <c r="I206" s="15">
        <v>2</v>
      </c>
      <c r="J206" s="15">
        <v>40</v>
      </c>
      <c r="K206" s="15">
        <v>175.05</v>
      </c>
      <c r="L206" s="15">
        <v>7001.9999999999991</v>
      </c>
      <c r="M206" s="15">
        <v>-538.45000000000005</v>
      </c>
      <c r="N206" s="15">
        <v>0</v>
      </c>
      <c r="O206" s="15">
        <v>840.26175000000001</v>
      </c>
      <c r="P206" s="15">
        <v>7303.8117499999998</v>
      </c>
    </row>
    <row r="207" spans="1:16" ht="15" x14ac:dyDescent="0.2">
      <c r="A207" s="4" t="s">
        <v>584</v>
      </c>
      <c r="B207" s="21" t="str">
        <f t="shared" si="6"/>
        <v>Aug-2025</v>
      </c>
      <c r="C207" s="2" t="str">
        <f t="shared" si="7"/>
        <v>Q2</v>
      </c>
      <c r="D207" s="2" t="s">
        <v>31</v>
      </c>
      <c r="E207" s="13">
        <v>45874</v>
      </c>
      <c r="F207" s="14" t="s">
        <v>135</v>
      </c>
      <c r="G207" s="14" t="s">
        <v>54</v>
      </c>
      <c r="H207" s="14" t="s">
        <v>99</v>
      </c>
      <c r="I207" s="15">
        <v>1</v>
      </c>
      <c r="J207" s="15">
        <v>40</v>
      </c>
      <c r="K207" s="15">
        <v>81.94</v>
      </c>
      <c r="L207" s="15">
        <v>3277.6</v>
      </c>
      <c r="M207" s="15">
        <v>-252.05</v>
      </c>
      <c r="N207" s="15">
        <v>0</v>
      </c>
      <c r="O207" s="15">
        <v>393.321617</v>
      </c>
      <c r="P207" s="15">
        <v>3418.8716169999998</v>
      </c>
    </row>
    <row r="208" spans="1:16" ht="15" x14ac:dyDescent="0.2">
      <c r="A208" s="4" t="s">
        <v>573</v>
      </c>
      <c r="B208" s="21" t="str">
        <f t="shared" si="6"/>
        <v>Aug-2025</v>
      </c>
      <c r="C208" s="2" t="str">
        <f t="shared" si="7"/>
        <v>Q2</v>
      </c>
      <c r="D208" s="2" t="s">
        <v>31</v>
      </c>
      <c r="E208" s="13">
        <v>45874</v>
      </c>
      <c r="F208" s="14" t="s">
        <v>137</v>
      </c>
      <c r="G208" s="14" t="s">
        <v>14</v>
      </c>
      <c r="H208" s="14" t="s">
        <v>138</v>
      </c>
      <c r="I208" s="15">
        <v>1</v>
      </c>
      <c r="J208" s="15">
        <v>40</v>
      </c>
      <c r="K208" s="15">
        <v>111.74</v>
      </c>
      <c r="L208" s="15">
        <v>4469.6000000000004</v>
      </c>
      <c r="M208" s="15">
        <v>-343.71</v>
      </c>
      <c r="N208" s="15">
        <v>0</v>
      </c>
      <c r="O208" s="15">
        <v>536.365726</v>
      </c>
      <c r="P208" s="15">
        <v>4662.2557260000003</v>
      </c>
    </row>
    <row r="209" spans="1:16" ht="15" x14ac:dyDescent="0.2">
      <c r="A209" s="4" t="s">
        <v>575</v>
      </c>
      <c r="B209" s="21" t="str">
        <f t="shared" si="6"/>
        <v>Aug-2025</v>
      </c>
      <c r="C209" s="2" t="str">
        <f t="shared" si="7"/>
        <v>Q2</v>
      </c>
      <c r="D209" s="2" t="s">
        <v>31</v>
      </c>
      <c r="E209" s="13">
        <v>45874</v>
      </c>
      <c r="F209" s="14" t="s">
        <v>137</v>
      </c>
      <c r="G209" s="14" t="s">
        <v>14</v>
      </c>
      <c r="H209" s="14" t="s">
        <v>55</v>
      </c>
      <c r="I209" s="15">
        <v>5</v>
      </c>
      <c r="J209" s="15">
        <v>100</v>
      </c>
      <c r="K209" s="15">
        <v>186.23</v>
      </c>
      <c r="L209" s="15">
        <v>18623</v>
      </c>
      <c r="M209" s="15">
        <v>-1432.1100000000001</v>
      </c>
      <c r="N209" s="15">
        <v>0</v>
      </c>
      <c r="O209" s="15">
        <v>2234.8158089999997</v>
      </c>
      <c r="P209" s="15">
        <v>19425.705808999999</v>
      </c>
    </row>
    <row r="210" spans="1:16" ht="15" x14ac:dyDescent="0.2">
      <c r="A210" s="4" t="s">
        <v>583</v>
      </c>
      <c r="B210" s="21" t="str">
        <f t="shared" si="6"/>
        <v>Aug-2025</v>
      </c>
      <c r="C210" s="2" t="str">
        <f t="shared" si="7"/>
        <v>Q2</v>
      </c>
      <c r="D210" s="2" t="s">
        <v>31</v>
      </c>
      <c r="E210" s="13">
        <v>45874</v>
      </c>
      <c r="F210" s="14" t="s">
        <v>137</v>
      </c>
      <c r="G210" s="14" t="s">
        <v>14</v>
      </c>
      <c r="H210" s="14" t="s">
        <v>113</v>
      </c>
      <c r="I210" s="15">
        <v>2</v>
      </c>
      <c r="J210" s="15">
        <v>30</v>
      </c>
      <c r="K210" s="15">
        <v>260.72000000000003</v>
      </c>
      <c r="L210" s="15">
        <v>7821.6</v>
      </c>
      <c r="M210" s="15">
        <v>-601.48</v>
      </c>
      <c r="N210" s="15">
        <v>0</v>
      </c>
      <c r="O210" s="15">
        <v>938.61564599999997</v>
      </c>
      <c r="P210" s="15">
        <v>8158.7356460000001</v>
      </c>
    </row>
    <row r="211" spans="1:16" ht="15" x14ac:dyDescent="0.2">
      <c r="A211" s="4" t="s">
        <v>578</v>
      </c>
      <c r="B211" s="21" t="str">
        <f t="shared" si="6"/>
        <v>Aug-2025</v>
      </c>
      <c r="C211" s="2" t="str">
        <f t="shared" si="7"/>
        <v>Q2</v>
      </c>
      <c r="D211" s="2" t="s">
        <v>31</v>
      </c>
      <c r="E211" s="13">
        <v>45874</v>
      </c>
      <c r="F211" s="14" t="s">
        <v>137</v>
      </c>
      <c r="G211" s="14" t="s">
        <v>14</v>
      </c>
      <c r="H211" s="14" t="s">
        <v>59</v>
      </c>
      <c r="I211" s="15">
        <v>5</v>
      </c>
      <c r="J211" s="15">
        <v>210</v>
      </c>
      <c r="K211" s="15">
        <v>74.489999999999995</v>
      </c>
      <c r="L211" s="15">
        <v>15642.9</v>
      </c>
      <c r="M211" s="15">
        <v>-1202.94</v>
      </c>
      <c r="N211" s="15">
        <v>0</v>
      </c>
      <c r="O211" s="15">
        <v>1877.194892</v>
      </c>
      <c r="P211" s="15">
        <v>16317.154892</v>
      </c>
    </row>
    <row r="212" spans="1:16" ht="15" x14ac:dyDescent="0.2">
      <c r="A212" s="4" t="s">
        <v>584</v>
      </c>
      <c r="B212" s="21" t="str">
        <f t="shared" si="6"/>
        <v>Aug-2025</v>
      </c>
      <c r="C212" s="2" t="str">
        <f t="shared" si="7"/>
        <v>Q2</v>
      </c>
      <c r="D212" s="2" t="s">
        <v>31</v>
      </c>
      <c r="E212" s="13">
        <v>45874</v>
      </c>
      <c r="F212" s="14" t="s">
        <v>137</v>
      </c>
      <c r="G212" s="14" t="s">
        <v>14</v>
      </c>
      <c r="H212" s="14" t="s">
        <v>99</v>
      </c>
      <c r="I212" s="15">
        <v>1</v>
      </c>
      <c r="J212" s="15">
        <v>40</v>
      </c>
      <c r="K212" s="15">
        <v>81.94</v>
      </c>
      <c r="L212" s="15">
        <v>3277.6</v>
      </c>
      <c r="M212" s="15">
        <v>-252.05</v>
      </c>
      <c r="N212" s="15">
        <v>0</v>
      </c>
      <c r="O212" s="15">
        <v>393.32151900000002</v>
      </c>
      <c r="P212" s="15">
        <v>3418.8715189999998</v>
      </c>
    </row>
    <row r="213" spans="1:16" ht="15" x14ac:dyDescent="0.2">
      <c r="A213" s="4" t="s">
        <v>578</v>
      </c>
      <c r="B213" s="21" t="str">
        <f t="shared" si="6"/>
        <v>Aug-2025</v>
      </c>
      <c r="C213" s="2" t="str">
        <f t="shared" si="7"/>
        <v>Q2</v>
      </c>
      <c r="D213" s="2" t="s">
        <v>31</v>
      </c>
      <c r="E213" s="13">
        <v>45874</v>
      </c>
      <c r="F213" s="14" t="s">
        <v>137</v>
      </c>
      <c r="G213" s="14" t="s">
        <v>14</v>
      </c>
      <c r="H213" s="14" t="s">
        <v>60</v>
      </c>
      <c r="I213" s="15">
        <v>5</v>
      </c>
      <c r="J213" s="15">
        <v>210</v>
      </c>
      <c r="K213" s="15">
        <v>74.489999999999995</v>
      </c>
      <c r="L213" s="15">
        <v>15642.9</v>
      </c>
      <c r="M213" s="15">
        <v>-1202.94</v>
      </c>
      <c r="N213" s="15">
        <v>0</v>
      </c>
      <c r="O213" s="15">
        <v>1877.194892</v>
      </c>
      <c r="P213" s="15">
        <v>16317.154892</v>
      </c>
    </row>
    <row r="214" spans="1:16" ht="15" x14ac:dyDescent="0.2">
      <c r="A214" s="4" t="s">
        <v>590</v>
      </c>
      <c r="B214" s="21" t="str">
        <f t="shared" si="6"/>
        <v>Aug-2025</v>
      </c>
      <c r="C214" s="2" t="str">
        <f t="shared" si="7"/>
        <v>Q2</v>
      </c>
      <c r="D214" s="2" t="s">
        <v>31</v>
      </c>
      <c r="E214" s="13">
        <v>45874</v>
      </c>
      <c r="F214" s="14" t="s">
        <v>137</v>
      </c>
      <c r="G214" s="14" t="s">
        <v>14</v>
      </c>
      <c r="H214" s="14" t="s">
        <v>102</v>
      </c>
      <c r="I214" s="15">
        <v>1</v>
      </c>
      <c r="J214" s="15">
        <v>20</v>
      </c>
      <c r="K214" s="15">
        <v>249.55</v>
      </c>
      <c r="L214" s="15">
        <v>4991</v>
      </c>
      <c r="M214" s="15">
        <v>-383.81</v>
      </c>
      <c r="N214" s="15">
        <v>0</v>
      </c>
      <c r="O214" s="15">
        <v>598.93472900000006</v>
      </c>
      <c r="P214" s="15">
        <v>5206.1247290000001</v>
      </c>
    </row>
    <row r="215" spans="1:16" ht="15" x14ac:dyDescent="0.2">
      <c r="A215" s="4" t="s">
        <v>576</v>
      </c>
      <c r="B215" s="21" t="str">
        <f t="shared" si="6"/>
        <v>Aug-2025</v>
      </c>
      <c r="C215" s="2" t="str">
        <f t="shared" si="7"/>
        <v>Q2</v>
      </c>
      <c r="D215" s="2" t="s">
        <v>31</v>
      </c>
      <c r="E215" s="13">
        <v>45874</v>
      </c>
      <c r="F215" s="14" t="s">
        <v>137</v>
      </c>
      <c r="G215" s="14" t="s">
        <v>14</v>
      </c>
      <c r="H215" s="14" t="s">
        <v>110</v>
      </c>
      <c r="I215" s="15">
        <v>5</v>
      </c>
      <c r="J215" s="15">
        <v>100</v>
      </c>
      <c r="K215" s="15">
        <v>175.05</v>
      </c>
      <c r="L215" s="15">
        <v>17505</v>
      </c>
      <c r="M215" s="15">
        <v>-1346.1299999999999</v>
      </c>
      <c r="N215" s="15">
        <v>0</v>
      </c>
      <c r="O215" s="15">
        <v>2100.6532029999998</v>
      </c>
      <c r="P215" s="15">
        <v>18259.523203000001</v>
      </c>
    </row>
    <row r="216" spans="1:16" ht="15" x14ac:dyDescent="0.2">
      <c r="A216" s="4" t="s">
        <v>584</v>
      </c>
      <c r="B216" s="21" t="str">
        <f t="shared" si="6"/>
        <v>Aug-2025</v>
      </c>
      <c r="C216" s="2" t="str">
        <f t="shared" si="7"/>
        <v>Q2</v>
      </c>
      <c r="D216" s="2" t="s">
        <v>31</v>
      </c>
      <c r="E216" s="13">
        <v>45874</v>
      </c>
      <c r="F216" s="14" t="s">
        <v>137</v>
      </c>
      <c r="G216" s="14" t="s">
        <v>14</v>
      </c>
      <c r="H216" s="14" t="s">
        <v>100</v>
      </c>
      <c r="I216" s="15">
        <v>1</v>
      </c>
      <c r="J216" s="15">
        <v>40</v>
      </c>
      <c r="K216" s="15">
        <v>81.94</v>
      </c>
      <c r="L216" s="15">
        <v>3277.6</v>
      </c>
      <c r="M216" s="15">
        <v>-252.05</v>
      </c>
      <c r="N216" s="15">
        <v>0</v>
      </c>
      <c r="O216" s="15">
        <v>393.32151900000002</v>
      </c>
      <c r="P216" s="15">
        <v>3418.8715189999998</v>
      </c>
    </row>
    <row r="217" spans="1:16" ht="15" x14ac:dyDescent="0.2">
      <c r="A217" s="4" t="s">
        <v>581</v>
      </c>
      <c r="B217" s="21" t="str">
        <f t="shared" si="6"/>
        <v>Aug-2025</v>
      </c>
      <c r="C217" s="2" t="str">
        <f t="shared" si="7"/>
        <v>Q2</v>
      </c>
      <c r="D217" s="2" t="s">
        <v>31</v>
      </c>
      <c r="E217" s="13">
        <v>45874</v>
      </c>
      <c r="F217" s="14" t="s">
        <v>137</v>
      </c>
      <c r="G217" s="14" t="s">
        <v>14</v>
      </c>
      <c r="H217" s="14" t="s">
        <v>104</v>
      </c>
      <c r="I217" s="15">
        <v>2</v>
      </c>
      <c r="J217" s="15">
        <v>80</v>
      </c>
      <c r="K217" s="15">
        <v>67.040000000000006</v>
      </c>
      <c r="L217" s="15">
        <v>5363.2</v>
      </c>
      <c r="M217" s="15">
        <v>-412.43</v>
      </c>
      <c r="N217" s="15">
        <v>0</v>
      </c>
      <c r="O217" s="15">
        <v>643.60013100000003</v>
      </c>
      <c r="P217" s="15">
        <v>5594.3701309999997</v>
      </c>
    </row>
    <row r="218" spans="1:16" ht="15" x14ac:dyDescent="0.2">
      <c r="A218" s="4" t="s">
        <v>582</v>
      </c>
      <c r="B218" s="21" t="str">
        <f t="shared" si="6"/>
        <v>Aug-2025</v>
      </c>
      <c r="C218" s="2" t="str">
        <f t="shared" si="7"/>
        <v>Q2</v>
      </c>
      <c r="D218" s="2" t="s">
        <v>31</v>
      </c>
      <c r="E218" s="13">
        <v>45874</v>
      </c>
      <c r="F218" s="14" t="s">
        <v>137</v>
      </c>
      <c r="G218" s="14" t="s">
        <v>14</v>
      </c>
      <c r="H218" s="14" t="s">
        <v>77</v>
      </c>
      <c r="I218" s="15">
        <v>1</v>
      </c>
      <c r="J218" s="15">
        <v>24</v>
      </c>
      <c r="K218" s="15">
        <v>204.85</v>
      </c>
      <c r="L218" s="15">
        <v>4916.4000000000005</v>
      </c>
      <c r="M218" s="15">
        <v>-378.07</v>
      </c>
      <c r="N218" s="15">
        <v>0</v>
      </c>
      <c r="O218" s="15">
        <v>589.98292900000001</v>
      </c>
      <c r="P218" s="15">
        <v>5128.3129289999997</v>
      </c>
    </row>
    <row r="219" spans="1:16" ht="15" x14ac:dyDescent="0.2">
      <c r="A219" s="4" t="s">
        <v>580</v>
      </c>
      <c r="B219" s="21" t="str">
        <f t="shared" si="6"/>
        <v>Aug-2025</v>
      </c>
      <c r="C219" s="2" t="str">
        <f t="shared" si="7"/>
        <v>Q2</v>
      </c>
      <c r="D219" s="2" t="s">
        <v>31</v>
      </c>
      <c r="E219" s="13">
        <v>45874</v>
      </c>
      <c r="F219" s="14" t="s">
        <v>137</v>
      </c>
      <c r="G219" s="14" t="s">
        <v>14</v>
      </c>
      <c r="H219" s="14" t="s">
        <v>65</v>
      </c>
      <c r="I219" s="15">
        <v>5</v>
      </c>
      <c r="J219" s="15">
        <v>650</v>
      </c>
      <c r="K219" s="15">
        <v>33.520000000000003</v>
      </c>
      <c r="L219" s="15">
        <v>21788</v>
      </c>
      <c r="M219" s="15">
        <v>-1675.5000000000002</v>
      </c>
      <c r="N219" s="15">
        <v>0</v>
      </c>
      <c r="O219" s="15">
        <v>2614.6251280000001</v>
      </c>
      <c r="P219" s="15">
        <v>22727.125128</v>
      </c>
    </row>
    <row r="220" spans="1:16" ht="15" x14ac:dyDescent="0.2">
      <c r="A220" s="4" t="s">
        <v>578</v>
      </c>
      <c r="B220" s="21" t="str">
        <f t="shared" si="6"/>
        <v>Aug-2025</v>
      </c>
      <c r="C220" s="2" t="str">
        <f t="shared" si="7"/>
        <v>Q2</v>
      </c>
      <c r="D220" s="2" t="s">
        <v>31</v>
      </c>
      <c r="E220" s="13">
        <v>45874</v>
      </c>
      <c r="F220" s="14" t="s">
        <v>137</v>
      </c>
      <c r="G220" s="14" t="s">
        <v>14</v>
      </c>
      <c r="H220" s="14" t="s">
        <v>62</v>
      </c>
      <c r="I220" s="15">
        <v>5</v>
      </c>
      <c r="J220" s="15">
        <v>210</v>
      </c>
      <c r="K220" s="15">
        <v>74.489999999999995</v>
      </c>
      <c r="L220" s="15">
        <v>15642.9</v>
      </c>
      <c r="M220" s="15">
        <v>-1202.94</v>
      </c>
      <c r="N220" s="15">
        <v>0</v>
      </c>
      <c r="O220" s="15">
        <v>1877.194892</v>
      </c>
      <c r="P220" s="15">
        <v>16317.154892</v>
      </c>
    </row>
    <row r="221" spans="1:16" ht="15" x14ac:dyDescent="0.2">
      <c r="A221" s="4" t="s">
        <v>576</v>
      </c>
      <c r="B221" s="21" t="str">
        <f t="shared" si="6"/>
        <v>Aug-2025</v>
      </c>
      <c r="C221" s="2" t="str">
        <f t="shared" si="7"/>
        <v>Q2</v>
      </c>
      <c r="D221" s="2" t="s">
        <v>31</v>
      </c>
      <c r="E221" s="13">
        <v>45874</v>
      </c>
      <c r="F221" s="14" t="s">
        <v>137</v>
      </c>
      <c r="G221" s="14" t="s">
        <v>14</v>
      </c>
      <c r="H221" s="14" t="s">
        <v>123</v>
      </c>
      <c r="I221" s="15">
        <v>1</v>
      </c>
      <c r="J221" s="15">
        <v>20</v>
      </c>
      <c r="K221" s="15">
        <v>175.05</v>
      </c>
      <c r="L221" s="15">
        <v>3500.9999999999995</v>
      </c>
      <c r="M221" s="15">
        <v>-269.23</v>
      </c>
      <c r="N221" s="15">
        <v>0</v>
      </c>
      <c r="O221" s="15">
        <v>420.13012100000003</v>
      </c>
      <c r="P221" s="15">
        <v>3651.9001210000001</v>
      </c>
    </row>
    <row r="222" spans="1:16" ht="15" x14ac:dyDescent="0.2">
      <c r="A222" s="4" t="s">
        <v>576</v>
      </c>
      <c r="B222" s="21" t="str">
        <f t="shared" si="6"/>
        <v>Aug-2025</v>
      </c>
      <c r="C222" s="2" t="str">
        <f t="shared" si="7"/>
        <v>Q2</v>
      </c>
      <c r="D222" s="2" t="s">
        <v>31</v>
      </c>
      <c r="E222" s="13">
        <v>45874</v>
      </c>
      <c r="F222" s="14" t="s">
        <v>137</v>
      </c>
      <c r="G222" s="14" t="s">
        <v>14</v>
      </c>
      <c r="H222" s="14" t="s">
        <v>124</v>
      </c>
      <c r="I222" s="15">
        <v>2</v>
      </c>
      <c r="J222" s="15">
        <v>40</v>
      </c>
      <c r="K222" s="15">
        <v>175.05</v>
      </c>
      <c r="L222" s="15">
        <v>7001.9999999999991</v>
      </c>
      <c r="M222" s="15">
        <v>-538.45000000000005</v>
      </c>
      <c r="N222" s="15">
        <v>0</v>
      </c>
      <c r="O222" s="15">
        <v>840.26154100000008</v>
      </c>
      <c r="P222" s="15">
        <v>7303.811541</v>
      </c>
    </row>
    <row r="223" spans="1:16" ht="15" x14ac:dyDescent="0.2">
      <c r="A223" s="4" t="s">
        <v>573</v>
      </c>
      <c r="B223" s="21" t="str">
        <f t="shared" si="6"/>
        <v>Aug-2025</v>
      </c>
      <c r="C223" s="2" t="str">
        <f t="shared" si="7"/>
        <v>Q2</v>
      </c>
      <c r="D223" s="2" t="s">
        <v>31</v>
      </c>
      <c r="E223" s="13">
        <v>45874</v>
      </c>
      <c r="F223" s="14" t="s">
        <v>137</v>
      </c>
      <c r="G223" s="14" t="s">
        <v>14</v>
      </c>
      <c r="H223" s="14" t="s">
        <v>136</v>
      </c>
      <c r="I223" s="15">
        <v>2</v>
      </c>
      <c r="J223" s="15">
        <v>80</v>
      </c>
      <c r="K223" s="15">
        <v>111.74</v>
      </c>
      <c r="L223" s="15">
        <v>8939.2000000000007</v>
      </c>
      <c r="M223" s="15">
        <v>-687.42</v>
      </c>
      <c r="N223" s="15">
        <v>0</v>
      </c>
      <c r="O223" s="15">
        <v>1072.731452</v>
      </c>
      <c r="P223" s="15">
        <v>9324.5114520000006</v>
      </c>
    </row>
    <row r="224" spans="1:16" ht="15" x14ac:dyDescent="0.2">
      <c r="A224" s="4" t="s">
        <v>583</v>
      </c>
      <c r="B224" s="21" t="str">
        <f t="shared" si="6"/>
        <v>Aug-2025</v>
      </c>
      <c r="C224" s="2" t="str">
        <f t="shared" si="7"/>
        <v>Q2</v>
      </c>
      <c r="D224" s="2" t="s">
        <v>31</v>
      </c>
      <c r="E224" s="13">
        <v>45874</v>
      </c>
      <c r="F224" s="14" t="s">
        <v>137</v>
      </c>
      <c r="G224" s="14" t="s">
        <v>14</v>
      </c>
      <c r="H224" s="14" t="s">
        <v>109</v>
      </c>
      <c r="I224" s="15">
        <v>2</v>
      </c>
      <c r="J224" s="15">
        <v>30</v>
      </c>
      <c r="K224" s="15">
        <v>260.72000000000003</v>
      </c>
      <c r="L224" s="15">
        <v>7821.6</v>
      </c>
      <c r="M224" s="15">
        <v>-601.48</v>
      </c>
      <c r="N224" s="15">
        <v>0</v>
      </c>
      <c r="O224" s="15">
        <v>938.61564599999997</v>
      </c>
      <c r="P224" s="15">
        <v>8158.7356460000001</v>
      </c>
    </row>
    <row r="225" spans="1:16" ht="15" x14ac:dyDescent="0.2">
      <c r="A225" s="4" t="s">
        <v>577</v>
      </c>
      <c r="B225" s="21" t="str">
        <f t="shared" si="6"/>
        <v>Aug-2025</v>
      </c>
      <c r="C225" s="2" t="str">
        <f t="shared" si="7"/>
        <v>Q2</v>
      </c>
      <c r="D225" s="2" t="s">
        <v>31</v>
      </c>
      <c r="E225" s="13">
        <v>45874</v>
      </c>
      <c r="F225" s="14" t="s">
        <v>137</v>
      </c>
      <c r="G225" s="14" t="s">
        <v>14</v>
      </c>
      <c r="H225" s="14" t="s">
        <v>57</v>
      </c>
      <c r="I225" s="15">
        <v>2</v>
      </c>
      <c r="J225" s="15">
        <v>360</v>
      </c>
      <c r="K225" s="15">
        <v>18.62</v>
      </c>
      <c r="L225" s="15">
        <v>6703.2</v>
      </c>
      <c r="M225" s="15">
        <v>-515.48</v>
      </c>
      <c r="N225" s="15">
        <v>0</v>
      </c>
      <c r="O225" s="15">
        <v>804.403639</v>
      </c>
      <c r="P225" s="15">
        <v>6992.1236390000004</v>
      </c>
    </row>
    <row r="226" spans="1:16" ht="15" x14ac:dyDescent="0.2">
      <c r="A226" s="4" t="s">
        <v>581</v>
      </c>
      <c r="B226" s="21" t="str">
        <f t="shared" si="6"/>
        <v>Aug-2025</v>
      </c>
      <c r="C226" s="2" t="str">
        <f t="shared" si="7"/>
        <v>Q2</v>
      </c>
      <c r="D226" s="2" t="s">
        <v>31</v>
      </c>
      <c r="E226" s="13">
        <v>45874</v>
      </c>
      <c r="F226" s="14" t="s">
        <v>137</v>
      </c>
      <c r="G226" s="14" t="s">
        <v>14</v>
      </c>
      <c r="H226" s="14" t="s">
        <v>125</v>
      </c>
      <c r="I226" s="15">
        <v>1</v>
      </c>
      <c r="J226" s="15">
        <v>800</v>
      </c>
      <c r="K226" s="15">
        <v>7.45</v>
      </c>
      <c r="L226" s="15">
        <v>5960</v>
      </c>
      <c r="M226" s="15">
        <v>-458.32</v>
      </c>
      <c r="N226" s="15">
        <v>0</v>
      </c>
      <c r="O226" s="15">
        <v>715.218435</v>
      </c>
      <c r="P226" s="15">
        <v>6216.8984350000001</v>
      </c>
    </row>
    <row r="227" spans="1:16" ht="15" x14ac:dyDescent="0.2">
      <c r="A227" s="4" t="s">
        <v>589</v>
      </c>
      <c r="B227" s="21" t="str">
        <f t="shared" si="6"/>
        <v>Aug-2025</v>
      </c>
      <c r="C227" s="2" t="str">
        <f t="shared" si="7"/>
        <v>Q2</v>
      </c>
      <c r="D227" s="2" t="s">
        <v>31</v>
      </c>
      <c r="E227" s="13">
        <v>45874</v>
      </c>
      <c r="F227" s="14" t="s">
        <v>137</v>
      </c>
      <c r="G227" s="14" t="s">
        <v>14</v>
      </c>
      <c r="H227" s="14" t="s">
        <v>98</v>
      </c>
      <c r="I227" s="15">
        <v>1</v>
      </c>
      <c r="J227" s="15">
        <v>60</v>
      </c>
      <c r="K227" s="15">
        <v>145.26</v>
      </c>
      <c r="L227" s="15">
        <v>8715.6</v>
      </c>
      <c r="M227" s="15">
        <v>-670.23</v>
      </c>
      <c r="N227" s="15">
        <v>0</v>
      </c>
      <c r="O227" s="15">
        <v>1045.8981510000001</v>
      </c>
      <c r="P227" s="15">
        <v>9091.2681510000002</v>
      </c>
    </row>
    <row r="228" spans="1:16" ht="15" x14ac:dyDescent="0.2">
      <c r="A228" s="4" t="s">
        <v>584</v>
      </c>
      <c r="B228" s="21" t="str">
        <f t="shared" si="6"/>
        <v>Aug-2025</v>
      </c>
      <c r="C228" s="2" t="str">
        <f t="shared" si="7"/>
        <v>Q2</v>
      </c>
      <c r="D228" s="2" t="s">
        <v>31</v>
      </c>
      <c r="E228" s="13">
        <v>45874</v>
      </c>
      <c r="F228" s="14" t="s">
        <v>139</v>
      </c>
      <c r="G228" s="14" t="s">
        <v>14</v>
      </c>
      <c r="H228" s="14" t="s">
        <v>72</v>
      </c>
      <c r="I228" s="15">
        <v>1</v>
      </c>
      <c r="J228" s="15">
        <v>40</v>
      </c>
      <c r="K228" s="15">
        <v>81.94</v>
      </c>
      <c r="L228" s="15">
        <v>3277.6</v>
      </c>
      <c r="M228" s="15">
        <v>-252.05</v>
      </c>
      <c r="N228" s="15">
        <v>0</v>
      </c>
      <c r="O228" s="15">
        <v>393.32147399999997</v>
      </c>
      <c r="P228" s="15">
        <v>3418.871474</v>
      </c>
    </row>
    <row r="229" spans="1:16" ht="15" x14ac:dyDescent="0.2">
      <c r="A229" s="4" t="s">
        <v>579</v>
      </c>
      <c r="B229" s="21" t="str">
        <f t="shared" si="6"/>
        <v>Aug-2025</v>
      </c>
      <c r="C229" s="2" t="str">
        <f t="shared" si="7"/>
        <v>Q2</v>
      </c>
      <c r="D229" s="2" t="s">
        <v>31</v>
      </c>
      <c r="E229" s="13">
        <v>45874</v>
      </c>
      <c r="F229" s="14" t="s">
        <v>139</v>
      </c>
      <c r="G229" s="14" t="s">
        <v>14</v>
      </c>
      <c r="H229" s="14" t="s">
        <v>112</v>
      </c>
      <c r="I229" s="15">
        <v>1</v>
      </c>
      <c r="J229" s="15">
        <v>20</v>
      </c>
      <c r="K229" s="15">
        <v>204.85</v>
      </c>
      <c r="L229" s="15">
        <v>4097</v>
      </c>
      <c r="M229" s="15">
        <v>-315.06</v>
      </c>
      <c r="N229" s="15">
        <v>0</v>
      </c>
      <c r="O229" s="15">
        <v>491.65216799999996</v>
      </c>
      <c r="P229" s="15">
        <v>4273.5921680000001</v>
      </c>
    </row>
    <row r="230" spans="1:16" ht="15" x14ac:dyDescent="0.2">
      <c r="A230" s="4" t="s">
        <v>579</v>
      </c>
      <c r="B230" s="21" t="str">
        <f t="shared" si="6"/>
        <v>Aug-2025</v>
      </c>
      <c r="C230" s="2" t="str">
        <f t="shared" si="7"/>
        <v>Q2</v>
      </c>
      <c r="D230" s="2" t="s">
        <v>31</v>
      </c>
      <c r="E230" s="13">
        <v>45874</v>
      </c>
      <c r="F230" s="14" t="s">
        <v>139</v>
      </c>
      <c r="G230" s="14" t="s">
        <v>14</v>
      </c>
      <c r="H230" s="14" t="s">
        <v>90</v>
      </c>
      <c r="I230" s="15">
        <v>5</v>
      </c>
      <c r="J230" s="15">
        <v>100</v>
      </c>
      <c r="K230" s="15">
        <v>204.85</v>
      </c>
      <c r="L230" s="15">
        <v>20485</v>
      </c>
      <c r="M230" s="15">
        <v>-1575.3</v>
      </c>
      <c r="N230" s="15">
        <v>0</v>
      </c>
      <c r="O230" s="15">
        <v>2458.260839</v>
      </c>
      <c r="P230" s="15">
        <v>21367.960838999999</v>
      </c>
    </row>
    <row r="231" spans="1:16" ht="15" x14ac:dyDescent="0.2">
      <c r="A231" s="4" t="s">
        <v>579</v>
      </c>
      <c r="B231" s="21" t="str">
        <f t="shared" si="6"/>
        <v>Aug-2025</v>
      </c>
      <c r="C231" s="2" t="str">
        <f t="shared" si="7"/>
        <v>Q2</v>
      </c>
      <c r="D231" s="2" t="s">
        <v>31</v>
      </c>
      <c r="E231" s="13">
        <v>45874</v>
      </c>
      <c r="F231" s="14" t="s">
        <v>139</v>
      </c>
      <c r="G231" s="14" t="s">
        <v>14</v>
      </c>
      <c r="H231" s="14" t="s">
        <v>140</v>
      </c>
      <c r="I231" s="15">
        <v>1</v>
      </c>
      <c r="J231" s="15">
        <v>20</v>
      </c>
      <c r="K231" s="15">
        <v>204.85</v>
      </c>
      <c r="L231" s="15">
        <v>4097</v>
      </c>
      <c r="M231" s="15">
        <v>-315.06</v>
      </c>
      <c r="N231" s="15">
        <v>0</v>
      </c>
      <c r="O231" s="15">
        <v>491.65216799999996</v>
      </c>
      <c r="P231" s="15">
        <v>4273.5921680000001</v>
      </c>
    </row>
    <row r="232" spans="1:16" ht="15" x14ac:dyDescent="0.2">
      <c r="A232" s="4" t="s">
        <v>585</v>
      </c>
      <c r="B232" s="21" t="str">
        <f t="shared" si="6"/>
        <v>Aug-2025</v>
      </c>
      <c r="C232" s="2" t="str">
        <f t="shared" si="7"/>
        <v>Q2</v>
      </c>
      <c r="D232" s="2" t="s">
        <v>31</v>
      </c>
      <c r="E232" s="13">
        <v>45874</v>
      </c>
      <c r="F232" s="14" t="s">
        <v>139</v>
      </c>
      <c r="G232" s="14" t="s">
        <v>14</v>
      </c>
      <c r="H232" s="14" t="s">
        <v>73</v>
      </c>
      <c r="I232" s="15">
        <v>1</v>
      </c>
      <c r="J232" s="15">
        <v>1600</v>
      </c>
      <c r="K232" s="15">
        <v>1.79</v>
      </c>
      <c r="L232" s="15">
        <v>2864</v>
      </c>
      <c r="M232" s="15">
        <v>-220.24</v>
      </c>
      <c r="N232" s="15">
        <v>0</v>
      </c>
      <c r="O232" s="15">
        <v>343.68877700000002</v>
      </c>
      <c r="P232" s="15">
        <v>2987.4487770000001</v>
      </c>
    </row>
    <row r="233" spans="1:16" ht="15" x14ac:dyDescent="0.2">
      <c r="A233" s="4" t="s">
        <v>592</v>
      </c>
      <c r="B233" s="21" t="str">
        <f t="shared" si="6"/>
        <v>Aug-2025</v>
      </c>
      <c r="C233" s="2" t="str">
        <f t="shared" si="7"/>
        <v>Q2</v>
      </c>
      <c r="D233" s="2" t="s">
        <v>31</v>
      </c>
      <c r="E233" s="13">
        <v>45874</v>
      </c>
      <c r="F233" s="14" t="s">
        <v>139</v>
      </c>
      <c r="G233" s="14" t="s">
        <v>14</v>
      </c>
      <c r="H233" s="14" t="s">
        <v>115</v>
      </c>
      <c r="I233" s="15">
        <v>1</v>
      </c>
      <c r="J233" s="15">
        <v>50</v>
      </c>
      <c r="K233" s="15">
        <v>89.39</v>
      </c>
      <c r="L233" s="15">
        <v>4469.5</v>
      </c>
      <c r="M233" s="15">
        <v>-343.7</v>
      </c>
      <c r="N233" s="15">
        <v>0</v>
      </c>
      <c r="O233" s="15">
        <v>536.35396500000002</v>
      </c>
      <c r="P233" s="15">
        <v>4662.1539650000004</v>
      </c>
    </row>
    <row r="234" spans="1:16" ht="15" x14ac:dyDescent="0.2">
      <c r="A234" s="4" t="s">
        <v>579</v>
      </c>
      <c r="B234" s="21" t="str">
        <f t="shared" si="6"/>
        <v>Aug-2025</v>
      </c>
      <c r="C234" s="2" t="str">
        <f t="shared" si="7"/>
        <v>Q2</v>
      </c>
      <c r="D234" s="2" t="s">
        <v>31</v>
      </c>
      <c r="E234" s="13">
        <v>45874</v>
      </c>
      <c r="F234" s="14" t="s">
        <v>139</v>
      </c>
      <c r="G234" s="14" t="s">
        <v>14</v>
      </c>
      <c r="H234" s="14" t="s">
        <v>91</v>
      </c>
      <c r="I234" s="15">
        <v>2</v>
      </c>
      <c r="J234" s="15">
        <v>40</v>
      </c>
      <c r="K234" s="15">
        <v>204.85</v>
      </c>
      <c r="L234" s="15">
        <v>8194</v>
      </c>
      <c r="M234" s="15">
        <v>-630.12</v>
      </c>
      <c r="N234" s="15">
        <v>0</v>
      </c>
      <c r="O234" s="15">
        <v>983.30433599999992</v>
      </c>
      <c r="P234" s="15">
        <v>8547.1843360000003</v>
      </c>
    </row>
    <row r="235" spans="1:16" ht="15" x14ac:dyDescent="0.2">
      <c r="A235" s="4" t="s">
        <v>581</v>
      </c>
      <c r="B235" s="21" t="str">
        <f t="shared" si="6"/>
        <v>Aug-2025</v>
      </c>
      <c r="C235" s="2" t="str">
        <f t="shared" si="7"/>
        <v>Q2</v>
      </c>
      <c r="D235" s="2" t="s">
        <v>31</v>
      </c>
      <c r="E235" s="13">
        <v>45874</v>
      </c>
      <c r="F235" s="14" t="s">
        <v>139</v>
      </c>
      <c r="G235" s="14" t="s">
        <v>14</v>
      </c>
      <c r="H235" s="14" t="s">
        <v>66</v>
      </c>
      <c r="I235" s="15">
        <v>1</v>
      </c>
      <c r="J235" s="15">
        <v>24</v>
      </c>
      <c r="K235" s="15">
        <v>141.53</v>
      </c>
      <c r="L235" s="15">
        <v>3396.72</v>
      </c>
      <c r="M235" s="15">
        <v>-261.20999999999998</v>
      </c>
      <c r="N235" s="15">
        <v>0</v>
      </c>
      <c r="O235" s="15">
        <v>407.61627299999998</v>
      </c>
      <c r="P235" s="15">
        <v>3543.1262729999999</v>
      </c>
    </row>
    <row r="236" spans="1:16" ht="15" x14ac:dyDescent="0.2">
      <c r="A236" s="4" t="s">
        <v>576</v>
      </c>
      <c r="B236" s="21" t="str">
        <f t="shared" si="6"/>
        <v>Aug-2025</v>
      </c>
      <c r="C236" s="2" t="str">
        <f t="shared" si="7"/>
        <v>Q2</v>
      </c>
      <c r="D236" s="2" t="s">
        <v>31</v>
      </c>
      <c r="E236" s="13">
        <v>45874</v>
      </c>
      <c r="F236" s="14" t="s">
        <v>141</v>
      </c>
      <c r="G236" s="14" t="s">
        <v>142</v>
      </c>
      <c r="H236" s="14" t="s">
        <v>110</v>
      </c>
      <c r="I236" s="15">
        <v>10</v>
      </c>
      <c r="J236" s="15">
        <v>200</v>
      </c>
      <c r="K236" s="15">
        <v>175.05</v>
      </c>
      <c r="L236" s="15">
        <v>35010</v>
      </c>
      <c r="M236" s="15">
        <v>-2692.27</v>
      </c>
      <c r="N236" s="15">
        <v>0</v>
      </c>
      <c r="O236" s="15">
        <v>4201.3051270000005</v>
      </c>
      <c r="P236" s="15">
        <v>36519.035127000003</v>
      </c>
    </row>
    <row r="237" spans="1:16" ht="15" x14ac:dyDescent="0.2">
      <c r="A237" s="4" t="s">
        <v>575</v>
      </c>
      <c r="B237" s="21" t="str">
        <f t="shared" si="6"/>
        <v>Aug-2025</v>
      </c>
      <c r="C237" s="2" t="str">
        <f t="shared" si="7"/>
        <v>Q2</v>
      </c>
      <c r="D237" s="2" t="s">
        <v>31</v>
      </c>
      <c r="E237" s="13">
        <v>45874</v>
      </c>
      <c r="F237" s="14" t="s">
        <v>141</v>
      </c>
      <c r="G237" s="14" t="s">
        <v>142</v>
      </c>
      <c r="H237" s="14" t="s">
        <v>55</v>
      </c>
      <c r="I237" s="15">
        <v>1</v>
      </c>
      <c r="J237" s="15">
        <v>20</v>
      </c>
      <c r="K237" s="15">
        <v>186.23</v>
      </c>
      <c r="L237" s="15">
        <v>3724.6000000000004</v>
      </c>
      <c r="M237" s="15">
        <v>-286.42</v>
      </c>
      <c r="N237" s="15">
        <v>0</v>
      </c>
      <c r="O237" s="15">
        <v>446.96342399999997</v>
      </c>
      <c r="P237" s="15">
        <v>3885.1434239999999</v>
      </c>
    </row>
    <row r="238" spans="1:16" ht="15" x14ac:dyDescent="0.2">
      <c r="A238" s="4" t="s">
        <v>593</v>
      </c>
      <c r="B238" s="21" t="str">
        <f t="shared" si="6"/>
        <v>Aug-2025</v>
      </c>
      <c r="C238" s="2" t="str">
        <f t="shared" si="7"/>
        <v>Q2</v>
      </c>
      <c r="D238" s="2" t="s">
        <v>31</v>
      </c>
      <c r="E238" s="13">
        <v>45874</v>
      </c>
      <c r="F238" s="14" t="s">
        <v>141</v>
      </c>
      <c r="G238" s="14" t="s">
        <v>142</v>
      </c>
      <c r="H238" s="14" t="s">
        <v>117</v>
      </c>
      <c r="I238" s="15">
        <v>5</v>
      </c>
      <c r="J238" s="15">
        <v>20</v>
      </c>
      <c r="K238" s="15">
        <v>595.92999999999995</v>
      </c>
      <c r="L238" s="15">
        <v>11918.6</v>
      </c>
      <c r="M238" s="15">
        <v>-916.54</v>
      </c>
      <c r="N238" s="15">
        <v>0</v>
      </c>
      <c r="O238" s="15">
        <v>1430.267877</v>
      </c>
      <c r="P238" s="15">
        <v>12432.327877</v>
      </c>
    </row>
    <row r="239" spans="1:16" ht="15" x14ac:dyDescent="0.2">
      <c r="A239" s="4" t="s">
        <v>581</v>
      </c>
      <c r="B239" s="21" t="str">
        <f t="shared" si="6"/>
        <v>Aug-2025</v>
      </c>
      <c r="C239" s="2" t="str">
        <f t="shared" si="7"/>
        <v>Q2</v>
      </c>
      <c r="D239" s="2" t="s">
        <v>31</v>
      </c>
      <c r="E239" s="13">
        <v>45874</v>
      </c>
      <c r="F239" s="14" t="s">
        <v>141</v>
      </c>
      <c r="G239" s="14" t="s">
        <v>142</v>
      </c>
      <c r="H239" s="14" t="s">
        <v>104</v>
      </c>
      <c r="I239" s="15">
        <v>1</v>
      </c>
      <c r="J239" s="15">
        <v>40</v>
      </c>
      <c r="K239" s="15">
        <v>67.040000000000006</v>
      </c>
      <c r="L239" s="15">
        <v>2681.6</v>
      </c>
      <c r="M239" s="15">
        <v>-206.22</v>
      </c>
      <c r="N239" s="15">
        <v>0</v>
      </c>
      <c r="O239" s="15">
        <v>321.79941700000001</v>
      </c>
      <c r="P239" s="15">
        <v>2797.1794169999998</v>
      </c>
    </row>
    <row r="240" spans="1:16" ht="15" x14ac:dyDescent="0.2">
      <c r="A240" s="4" t="s">
        <v>583</v>
      </c>
      <c r="B240" s="21" t="str">
        <f t="shared" si="6"/>
        <v>Aug-2025</v>
      </c>
      <c r="C240" s="2" t="str">
        <f t="shared" si="7"/>
        <v>Q2</v>
      </c>
      <c r="D240" s="2" t="s">
        <v>31</v>
      </c>
      <c r="E240" s="13">
        <v>45874</v>
      </c>
      <c r="F240" s="14" t="s">
        <v>141</v>
      </c>
      <c r="G240" s="14" t="s">
        <v>142</v>
      </c>
      <c r="H240" s="14" t="s">
        <v>113</v>
      </c>
      <c r="I240" s="15">
        <v>5</v>
      </c>
      <c r="J240" s="15">
        <v>75</v>
      </c>
      <c r="K240" s="15">
        <v>260.72000000000003</v>
      </c>
      <c r="L240" s="15">
        <v>19554</v>
      </c>
      <c r="M240" s="15">
        <v>-1503.6999999999998</v>
      </c>
      <c r="N240" s="15">
        <v>0</v>
      </c>
      <c r="O240" s="15">
        <v>2346.539127</v>
      </c>
      <c r="P240" s="15">
        <v>20396.839126999999</v>
      </c>
    </row>
    <row r="241" spans="1:16" ht="15" x14ac:dyDescent="0.2">
      <c r="A241" s="4" t="s">
        <v>580</v>
      </c>
      <c r="B241" s="21" t="str">
        <f t="shared" si="6"/>
        <v>Aug-2025</v>
      </c>
      <c r="C241" s="2" t="str">
        <f t="shared" si="7"/>
        <v>Q2</v>
      </c>
      <c r="D241" s="2" t="s">
        <v>31</v>
      </c>
      <c r="E241" s="13">
        <v>45874</v>
      </c>
      <c r="F241" s="14" t="s">
        <v>141</v>
      </c>
      <c r="G241" s="14" t="s">
        <v>142</v>
      </c>
      <c r="H241" s="14" t="s">
        <v>65</v>
      </c>
      <c r="I241" s="15">
        <v>1</v>
      </c>
      <c r="J241" s="15">
        <v>130</v>
      </c>
      <c r="K241" s="15">
        <v>33.520000000000003</v>
      </c>
      <c r="L241" s="15">
        <v>4357.6000000000004</v>
      </c>
      <c r="M241" s="15">
        <v>-335.1</v>
      </c>
      <c r="N241" s="15">
        <v>0</v>
      </c>
      <c r="O241" s="15">
        <v>522.925028</v>
      </c>
      <c r="P241" s="15">
        <v>4545.4250279999997</v>
      </c>
    </row>
    <row r="242" spans="1:16" ht="15" x14ac:dyDescent="0.2">
      <c r="A242" s="4" t="s">
        <v>580</v>
      </c>
      <c r="B242" s="21" t="str">
        <f t="shared" si="6"/>
        <v>Aug-2025</v>
      </c>
      <c r="C242" s="2" t="str">
        <f t="shared" si="7"/>
        <v>Q2</v>
      </c>
      <c r="D242" s="2" t="s">
        <v>31</v>
      </c>
      <c r="E242" s="13">
        <v>45874</v>
      </c>
      <c r="F242" s="14" t="s">
        <v>143</v>
      </c>
      <c r="G242" s="14" t="s">
        <v>17</v>
      </c>
      <c r="H242" s="14" t="s">
        <v>65</v>
      </c>
      <c r="I242" s="15">
        <v>3</v>
      </c>
      <c r="J242" s="15">
        <v>390</v>
      </c>
      <c r="K242" s="15">
        <v>33.520000000000003</v>
      </c>
      <c r="L242" s="15">
        <v>13072.8</v>
      </c>
      <c r="M242" s="15">
        <v>-1005.3</v>
      </c>
      <c r="N242" s="15">
        <v>0</v>
      </c>
      <c r="O242" s="15">
        <v>1568.775122</v>
      </c>
      <c r="P242" s="15">
        <v>13636.275121999999</v>
      </c>
    </row>
    <row r="243" spans="1:16" ht="15" x14ac:dyDescent="0.2">
      <c r="A243" s="4" t="s">
        <v>581</v>
      </c>
      <c r="B243" s="21" t="str">
        <f t="shared" si="6"/>
        <v>Aug-2025</v>
      </c>
      <c r="C243" s="2" t="str">
        <f t="shared" si="7"/>
        <v>Q2</v>
      </c>
      <c r="D243" s="2" t="s">
        <v>31</v>
      </c>
      <c r="E243" s="13">
        <v>45874</v>
      </c>
      <c r="F243" s="14" t="s">
        <v>143</v>
      </c>
      <c r="G243" s="14" t="s">
        <v>17</v>
      </c>
      <c r="H243" s="14" t="s">
        <v>104</v>
      </c>
      <c r="I243" s="15">
        <v>1</v>
      </c>
      <c r="J243" s="15">
        <v>40</v>
      </c>
      <c r="K243" s="15">
        <v>67.040000000000006</v>
      </c>
      <c r="L243" s="15">
        <v>2681.6</v>
      </c>
      <c r="M243" s="15">
        <v>-206.22</v>
      </c>
      <c r="N243" s="15">
        <v>0</v>
      </c>
      <c r="O243" s="15">
        <v>321.79942499999999</v>
      </c>
      <c r="P243" s="15">
        <v>2797.1794249999998</v>
      </c>
    </row>
    <row r="244" spans="1:16" ht="15" x14ac:dyDescent="0.2">
      <c r="A244" s="4" t="s">
        <v>579</v>
      </c>
      <c r="B244" s="21" t="str">
        <f t="shared" si="6"/>
        <v>Aug-2025</v>
      </c>
      <c r="C244" s="2" t="str">
        <f t="shared" si="7"/>
        <v>Q2</v>
      </c>
      <c r="D244" s="2" t="s">
        <v>31</v>
      </c>
      <c r="E244" s="13">
        <v>45874</v>
      </c>
      <c r="F244" s="14" t="s">
        <v>143</v>
      </c>
      <c r="G244" s="14" t="s">
        <v>17</v>
      </c>
      <c r="H244" s="14" t="s">
        <v>70</v>
      </c>
      <c r="I244" s="15">
        <v>2</v>
      </c>
      <c r="J244" s="15">
        <v>40</v>
      </c>
      <c r="K244" s="15">
        <v>201.13</v>
      </c>
      <c r="L244" s="15">
        <v>8045.2</v>
      </c>
      <c r="M244" s="15">
        <v>-618.67999999999995</v>
      </c>
      <c r="N244" s="15">
        <v>0</v>
      </c>
      <c r="O244" s="15">
        <v>965.447675</v>
      </c>
      <c r="P244" s="15">
        <v>8391.9676749999999</v>
      </c>
    </row>
    <row r="245" spans="1:16" ht="15" x14ac:dyDescent="0.2">
      <c r="A245" s="4" t="s">
        <v>593</v>
      </c>
      <c r="B245" s="21" t="str">
        <f t="shared" si="6"/>
        <v>Aug-2025</v>
      </c>
      <c r="C245" s="2" t="str">
        <f t="shared" si="7"/>
        <v>Q2</v>
      </c>
      <c r="D245" s="2" t="s">
        <v>31</v>
      </c>
      <c r="E245" s="13">
        <v>45874</v>
      </c>
      <c r="F245" s="14" t="s">
        <v>143</v>
      </c>
      <c r="G245" s="14" t="s">
        <v>17</v>
      </c>
      <c r="H245" s="14" t="s">
        <v>117</v>
      </c>
      <c r="I245" s="15">
        <v>2</v>
      </c>
      <c r="J245" s="15">
        <v>8</v>
      </c>
      <c r="K245" s="15">
        <v>595.92999999999995</v>
      </c>
      <c r="L245" s="15">
        <v>4767.4399999999996</v>
      </c>
      <c r="M245" s="15">
        <v>-366.62</v>
      </c>
      <c r="N245" s="15">
        <v>0</v>
      </c>
      <c r="O245" s="15">
        <v>572.10664499999996</v>
      </c>
      <c r="P245" s="15">
        <v>4972.9266449999996</v>
      </c>
    </row>
    <row r="246" spans="1:16" ht="15" x14ac:dyDescent="0.2">
      <c r="A246" s="4" t="s">
        <v>587</v>
      </c>
      <c r="B246" s="21" t="str">
        <f t="shared" si="6"/>
        <v>Aug-2025</v>
      </c>
      <c r="C246" s="2" t="str">
        <f t="shared" si="7"/>
        <v>Q2</v>
      </c>
      <c r="D246" s="2" t="s">
        <v>31</v>
      </c>
      <c r="E246" s="13">
        <v>45874</v>
      </c>
      <c r="F246" s="14" t="s">
        <v>143</v>
      </c>
      <c r="G246" s="14" t="s">
        <v>17</v>
      </c>
      <c r="H246" s="14" t="s">
        <v>94</v>
      </c>
      <c r="I246" s="15">
        <v>1</v>
      </c>
      <c r="J246" s="15">
        <v>60</v>
      </c>
      <c r="K246" s="15">
        <v>111.74</v>
      </c>
      <c r="L246" s="15">
        <v>6704.4</v>
      </c>
      <c r="M246" s="15">
        <v>-515.57000000000005</v>
      </c>
      <c r="N246" s="15">
        <v>0</v>
      </c>
      <c r="O246" s="15">
        <v>804.54796299999998</v>
      </c>
      <c r="P246" s="15">
        <v>6993.3779629999999</v>
      </c>
    </row>
    <row r="247" spans="1:16" ht="15" x14ac:dyDescent="0.2">
      <c r="A247" s="4" t="s">
        <v>578</v>
      </c>
      <c r="B247" s="21" t="str">
        <f t="shared" si="6"/>
        <v>Aug-2025</v>
      </c>
      <c r="C247" s="2" t="str">
        <f t="shared" si="7"/>
        <v>Q2</v>
      </c>
      <c r="D247" s="2" t="s">
        <v>31</v>
      </c>
      <c r="E247" s="13">
        <v>45874</v>
      </c>
      <c r="F247" s="14" t="s">
        <v>143</v>
      </c>
      <c r="G247" s="14" t="s">
        <v>17</v>
      </c>
      <c r="H247" s="14" t="s">
        <v>62</v>
      </c>
      <c r="I247" s="15">
        <v>3</v>
      </c>
      <c r="J247" s="15">
        <v>126</v>
      </c>
      <c r="K247" s="15">
        <v>74.489999999999995</v>
      </c>
      <c r="L247" s="15">
        <v>9385.74</v>
      </c>
      <c r="M247" s="15">
        <v>-721.76</v>
      </c>
      <c r="N247" s="15">
        <v>0</v>
      </c>
      <c r="O247" s="15">
        <v>1126.3174880000001</v>
      </c>
      <c r="P247" s="15">
        <v>9790.2974880000002</v>
      </c>
    </row>
    <row r="248" spans="1:16" ht="15" x14ac:dyDescent="0.2">
      <c r="A248" s="4" t="s">
        <v>581</v>
      </c>
      <c r="B248" s="21" t="str">
        <f t="shared" si="6"/>
        <v>Aug-2025</v>
      </c>
      <c r="C248" s="2" t="str">
        <f t="shared" si="7"/>
        <v>Q2</v>
      </c>
      <c r="D248" s="2" t="s">
        <v>31</v>
      </c>
      <c r="E248" s="13">
        <v>45874</v>
      </c>
      <c r="F248" s="14" t="s">
        <v>143</v>
      </c>
      <c r="G248" s="14" t="s">
        <v>17</v>
      </c>
      <c r="H248" s="14" t="s">
        <v>66</v>
      </c>
      <c r="I248" s="15">
        <v>1</v>
      </c>
      <c r="J248" s="15">
        <v>24</v>
      </c>
      <c r="K248" s="15">
        <v>141.53</v>
      </c>
      <c r="L248" s="15">
        <v>3396.72</v>
      </c>
      <c r="M248" s="15">
        <v>-261.20999999999998</v>
      </c>
      <c r="N248" s="15">
        <v>0</v>
      </c>
      <c r="O248" s="15">
        <v>407.616332</v>
      </c>
      <c r="P248" s="15">
        <v>3543.1263319999998</v>
      </c>
    </row>
    <row r="249" spans="1:16" ht="15" x14ac:dyDescent="0.2">
      <c r="A249" s="4" t="s">
        <v>578</v>
      </c>
      <c r="B249" s="21" t="str">
        <f t="shared" si="6"/>
        <v>Aug-2025</v>
      </c>
      <c r="C249" s="2" t="str">
        <f t="shared" si="7"/>
        <v>Q2</v>
      </c>
      <c r="D249" s="2" t="s">
        <v>31</v>
      </c>
      <c r="E249" s="13">
        <v>45874</v>
      </c>
      <c r="F249" s="14" t="s">
        <v>143</v>
      </c>
      <c r="G249" s="14" t="s">
        <v>17</v>
      </c>
      <c r="H249" s="14" t="s">
        <v>59</v>
      </c>
      <c r="I249" s="15">
        <v>5</v>
      </c>
      <c r="J249" s="15">
        <v>210</v>
      </c>
      <c r="K249" s="15">
        <v>74.489999999999995</v>
      </c>
      <c r="L249" s="15">
        <v>15642.9</v>
      </c>
      <c r="M249" s="15">
        <v>-1202.94</v>
      </c>
      <c r="N249" s="15">
        <v>0</v>
      </c>
      <c r="O249" s="15">
        <v>1877.1949460000001</v>
      </c>
      <c r="P249" s="15">
        <v>16317.154946000001</v>
      </c>
    </row>
    <row r="250" spans="1:16" ht="15" x14ac:dyDescent="0.2">
      <c r="A250" s="4" t="s">
        <v>586</v>
      </c>
      <c r="B250" s="21" t="str">
        <f t="shared" si="6"/>
        <v>Aug-2025</v>
      </c>
      <c r="C250" s="2" t="str">
        <f t="shared" si="7"/>
        <v>Q2</v>
      </c>
      <c r="D250" s="2" t="s">
        <v>31</v>
      </c>
      <c r="E250" s="13">
        <v>45874</v>
      </c>
      <c r="F250" s="14" t="s">
        <v>143</v>
      </c>
      <c r="G250" s="14" t="s">
        <v>17</v>
      </c>
      <c r="H250" s="14" t="s">
        <v>78</v>
      </c>
      <c r="I250" s="15">
        <v>1</v>
      </c>
      <c r="J250" s="15">
        <v>600</v>
      </c>
      <c r="K250" s="15">
        <v>7.45</v>
      </c>
      <c r="L250" s="15">
        <v>4470</v>
      </c>
      <c r="M250" s="15">
        <v>-343.74</v>
      </c>
      <c r="N250" s="15">
        <v>0</v>
      </c>
      <c r="O250" s="15">
        <v>536.41384200000005</v>
      </c>
      <c r="P250" s="15">
        <v>4662.6738420000001</v>
      </c>
    </row>
    <row r="251" spans="1:16" ht="15" x14ac:dyDescent="0.2">
      <c r="A251" s="4" t="s">
        <v>578</v>
      </c>
      <c r="B251" s="21" t="str">
        <f t="shared" si="6"/>
        <v>Aug-2025</v>
      </c>
      <c r="C251" s="2" t="str">
        <f t="shared" si="7"/>
        <v>Q2</v>
      </c>
      <c r="D251" s="2" t="s">
        <v>31</v>
      </c>
      <c r="E251" s="13">
        <v>45874</v>
      </c>
      <c r="F251" s="14" t="s">
        <v>143</v>
      </c>
      <c r="G251" s="14" t="s">
        <v>17</v>
      </c>
      <c r="H251" s="14" t="s">
        <v>60</v>
      </c>
      <c r="I251" s="15">
        <v>3</v>
      </c>
      <c r="J251" s="15">
        <v>126</v>
      </c>
      <c r="K251" s="15">
        <v>74.489999999999995</v>
      </c>
      <c r="L251" s="15">
        <v>9385.74</v>
      </c>
      <c r="M251" s="15">
        <v>-721.76</v>
      </c>
      <c r="N251" s="15">
        <v>0</v>
      </c>
      <c r="O251" s="15">
        <v>1126.3174880000001</v>
      </c>
      <c r="P251" s="15">
        <v>9790.2974880000002</v>
      </c>
    </row>
    <row r="252" spans="1:16" ht="15" x14ac:dyDescent="0.2">
      <c r="A252" s="4" t="s">
        <v>588</v>
      </c>
      <c r="B252" s="21" t="str">
        <f t="shared" si="6"/>
        <v>Aug-2025</v>
      </c>
      <c r="C252" s="2" t="str">
        <f t="shared" si="7"/>
        <v>Q2</v>
      </c>
      <c r="D252" s="2" t="s">
        <v>31</v>
      </c>
      <c r="E252" s="13">
        <v>45874</v>
      </c>
      <c r="F252" s="14" t="s">
        <v>143</v>
      </c>
      <c r="G252" s="14" t="s">
        <v>17</v>
      </c>
      <c r="H252" s="14" t="s">
        <v>95</v>
      </c>
      <c r="I252" s="15">
        <v>1</v>
      </c>
      <c r="J252" s="15">
        <v>60</v>
      </c>
      <c r="K252" s="15">
        <v>111.74</v>
      </c>
      <c r="L252" s="15">
        <v>6704.4</v>
      </c>
      <c r="M252" s="15">
        <v>-515.57000000000005</v>
      </c>
      <c r="N252" s="15">
        <v>0</v>
      </c>
      <c r="O252" s="15">
        <v>804.54796299999998</v>
      </c>
      <c r="P252" s="15">
        <v>6993.3779629999999</v>
      </c>
    </row>
    <row r="253" spans="1:16" ht="15" x14ac:dyDescent="0.2">
      <c r="A253" s="4" t="s">
        <v>579</v>
      </c>
      <c r="B253" s="21" t="str">
        <f t="shared" si="6"/>
        <v>Aug-2025</v>
      </c>
      <c r="C253" s="2" t="str">
        <f t="shared" si="7"/>
        <v>Q2</v>
      </c>
      <c r="D253" s="2" t="s">
        <v>31</v>
      </c>
      <c r="E253" s="13">
        <v>45874</v>
      </c>
      <c r="F253" s="14" t="s">
        <v>143</v>
      </c>
      <c r="G253" s="14" t="s">
        <v>17</v>
      </c>
      <c r="H253" s="14" t="s">
        <v>91</v>
      </c>
      <c r="I253" s="15">
        <v>2</v>
      </c>
      <c r="J253" s="15">
        <v>40</v>
      </c>
      <c r="K253" s="15">
        <v>204.85</v>
      </c>
      <c r="L253" s="15">
        <v>8194</v>
      </c>
      <c r="M253" s="15">
        <v>-630.12</v>
      </c>
      <c r="N253" s="15">
        <v>0</v>
      </c>
      <c r="O253" s="15">
        <v>983.30447699999991</v>
      </c>
      <c r="P253" s="15">
        <v>8547.1844770000007</v>
      </c>
    </row>
    <row r="254" spans="1:16" ht="15" x14ac:dyDescent="0.2">
      <c r="A254" s="4" t="s">
        <v>589</v>
      </c>
      <c r="B254" s="21" t="str">
        <f t="shared" si="6"/>
        <v>Aug-2025</v>
      </c>
      <c r="C254" s="2" t="str">
        <f t="shared" si="7"/>
        <v>Q2</v>
      </c>
      <c r="D254" s="2" t="s">
        <v>31</v>
      </c>
      <c r="E254" s="13">
        <v>45874</v>
      </c>
      <c r="F254" s="14" t="s">
        <v>143</v>
      </c>
      <c r="G254" s="14" t="s">
        <v>17</v>
      </c>
      <c r="H254" s="14" t="s">
        <v>98</v>
      </c>
      <c r="I254" s="15">
        <v>3</v>
      </c>
      <c r="J254" s="15">
        <v>180</v>
      </c>
      <c r="K254" s="15">
        <v>145.26</v>
      </c>
      <c r="L254" s="15">
        <v>26146.799999999999</v>
      </c>
      <c r="M254" s="15">
        <v>-2010.6899999999998</v>
      </c>
      <c r="N254" s="15">
        <v>0</v>
      </c>
      <c r="O254" s="15">
        <v>3137.6945440000004</v>
      </c>
      <c r="P254" s="15">
        <v>27273.804543999999</v>
      </c>
    </row>
    <row r="255" spans="1:16" ht="15" x14ac:dyDescent="0.2">
      <c r="A255" s="4" t="s">
        <v>579</v>
      </c>
      <c r="B255" s="21" t="str">
        <f t="shared" si="6"/>
        <v>Aug-2025</v>
      </c>
      <c r="C255" s="2" t="str">
        <f t="shared" si="7"/>
        <v>Q2</v>
      </c>
      <c r="D255" s="2" t="s">
        <v>31</v>
      </c>
      <c r="E255" s="13">
        <v>45874</v>
      </c>
      <c r="F255" s="14" t="s">
        <v>143</v>
      </c>
      <c r="G255" s="14" t="s">
        <v>17</v>
      </c>
      <c r="H255" s="14" t="s">
        <v>90</v>
      </c>
      <c r="I255" s="15">
        <v>2</v>
      </c>
      <c r="J255" s="15">
        <v>40</v>
      </c>
      <c r="K255" s="15">
        <v>204.85</v>
      </c>
      <c r="L255" s="15">
        <v>8194</v>
      </c>
      <c r="M255" s="15">
        <v>-630.12</v>
      </c>
      <c r="N255" s="15">
        <v>0</v>
      </c>
      <c r="O255" s="15">
        <v>983.30447699999991</v>
      </c>
      <c r="P255" s="15">
        <v>8547.1844770000007</v>
      </c>
    </row>
    <row r="256" spans="1:16" ht="15" x14ac:dyDescent="0.2">
      <c r="A256" s="4" t="s">
        <v>590</v>
      </c>
      <c r="B256" s="21" t="str">
        <f t="shared" si="6"/>
        <v>Aug-2025</v>
      </c>
      <c r="C256" s="2" t="str">
        <f t="shared" si="7"/>
        <v>Q2</v>
      </c>
      <c r="D256" s="2" t="s">
        <v>31</v>
      </c>
      <c r="E256" s="13">
        <v>45874</v>
      </c>
      <c r="F256" s="14" t="s">
        <v>143</v>
      </c>
      <c r="G256" s="14" t="s">
        <v>17</v>
      </c>
      <c r="H256" s="14" t="s">
        <v>102</v>
      </c>
      <c r="I256" s="15">
        <v>1</v>
      </c>
      <c r="J256" s="15">
        <v>20</v>
      </c>
      <c r="K256" s="15">
        <v>249.55</v>
      </c>
      <c r="L256" s="15">
        <v>4991</v>
      </c>
      <c r="M256" s="15">
        <v>-383.81</v>
      </c>
      <c r="N256" s="15">
        <v>0</v>
      </c>
      <c r="O256" s="15">
        <v>598.9347469999999</v>
      </c>
      <c r="P256" s="15">
        <v>5206.1247469999998</v>
      </c>
    </row>
    <row r="257" spans="1:16" ht="15" x14ac:dyDescent="0.2">
      <c r="A257" s="4" t="s">
        <v>575</v>
      </c>
      <c r="B257" s="21" t="str">
        <f t="shared" si="6"/>
        <v>Aug-2025</v>
      </c>
      <c r="C257" s="2" t="str">
        <f t="shared" si="7"/>
        <v>Q2</v>
      </c>
      <c r="D257" s="2" t="s">
        <v>31</v>
      </c>
      <c r="E257" s="13">
        <v>45874</v>
      </c>
      <c r="F257" s="14" t="s">
        <v>143</v>
      </c>
      <c r="G257" s="14" t="s">
        <v>17</v>
      </c>
      <c r="H257" s="14" t="s">
        <v>55</v>
      </c>
      <c r="I257" s="15">
        <v>2</v>
      </c>
      <c r="J257" s="15">
        <v>40</v>
      </c>
      <c r="K257" s="15">
        <v>186.23</v>
      </c>
      <c r="L257" s="15">
        <v>7449.2000000000007</v>
      </c>
      <c r="M257" s="15">
        <v>-572.84</v>
      </c>
      <c r="N257" s="15">
        <v>0</v>
      </c>
      <c r="O257" s="15">
        <v>893.92687000000001</v>
      </c>
      <c r="P257" s="15">
        <v>7770.2868699999999</v>
      </c>
    </row>
    <row r="258" spans="1:16" ht="15" x14ac:dyDescent="0.2">
      <c r="A258" s="4" t="s">
        <v>591</v>
      </c>
      <c r="B258" s="21" t="str">
        <f t="shared" si="6"/>
        <v>Aug-2025</v>
      </c>
      <c r="C258" s="2" t="str">
        <f t="shared" si="7"/>
        <v>Q2</v>
      </c>
      <c r="D258" s="2" t="s">
        <v>31</v>
      </c>
      <c r="E258" s="13">
        <v>45874</v>
      </c>
      <c r="F258" s="14" t="s">
        <v>144</v>
      </c>
      <c r="G258" s="14" t="s">
        <v>19</v>
      </c>
      <c r="H258" s="14" t="s">
        <v>106</v>
      </c>
      <c r="I258" s="15">
        <v>1</v>
      </c>
      <c r="J258" s="15">
        <v>60</v>
      </c>
      <c r="K258" s="15">
        <v>111.74</v>
      </c>
      <c r="L258" s="15">
        <v>6704.4</v>
      </c>
      <c r="M258" s="15">
        <v>-515.57000000000005</v>
      </c>
      <c r="N258" s="15">
        <v>0</v>
      </c>
      <c r="O258" s="15">
        <v>804.54805600000009</v>
      </c>
      <c r="P258" s="15">
        <v>6993.3780559999996</v>
      </c>
    </row>
    <row r="259" spans="1:16" ht="15" x14ac:dyDescent="0.2">
      <c r="A259" s="4" t="s">
        <v>578</v>
      </c>
      <c r="B259" s="21" t="str">
        <f t="shared" ref="B259:B322" si="8">+TEXT(E259,"MMM-yyy")</f>
        <v>Aug-2025</v>
      </c>
      <c r="C259" s="2" t="str">
        <f t="shared" ref="C259:C322" si="9">"Q" &amp; CHOOSE(MONTH(E259),4,4,4,1,1,1,2,2,2,3,3,3)</f>
        <v>Q2</v>
      </c>
      <c r="D259" s="2" t="s">
        <v>31</v>
      </c>
      <c r="E259" s="13">
        <v>45874</v>
      </c>
      <c r="F259" s="14" t="s">
        <v>144</v>
      </c>
      <c r="G259" s="14" t="s">
        <v>19</v>
      </c>
      <c r="H259" s="14" t="s">
        <v>60</v>
      </c>
      <c r="I259" s="15">
        <v>5</v>
      </c>
      <c r="J259" s="15">
        <v>210</v>
      </c>
      <c r="K259" s="15">
        <v>74.489999999999995</v>
      </c>
      <c r="L259" s="15">
        <v>15642.9</v>
      </c>
      <c r="M259" s="15">
        <v>-1202.94</v>
      </c>
      <c r="N259" s="15">
        <v>0</v>
      </c>
      <c r="O259" s="15">
        <v>1877.1951650000001</v>
      </c>
      <c r="P259" s="15">
        <v>16317.155165</v>
      </c>
    </row>
    <row r="260" spans="1:16" ht="15" x14ac:dyDescent="0.2">
      <c r="A260" s="4" t="s">
        <v>581</v>
      </c>
      <c r="B260" s="21" t="str">
        <f t="shared" si="8"/>
        <v>Aug-2025</v>
      </c>
      <c r="C260" s="2" t="str">
        <f t="shared" si="9"/>
        <v>Q2</v>
      </c>
      <c r="D260" s="2" t="s">
        <v>31</v>
      </c>
      <c r="E260" s="13">
        <v>45874</v>
      </c>
      <c r="F260" s="14" t="s">
        <v>144</v>
      </c>
      <c r="G260" s="14" t="s">
        <v>19</v>
      </c>
      <c r="H260" s="14" t="s">
        <v>104</v>
      </c>
      <c r="I260" s="15">
        <v>1</v>
      </c>
      <c r="J260" s="15">
        <v>40</v>
      </c>
      <c r="K260" s="15">
        <v>67.040000000000006</v>
      </c>
      <c r="L260" s="15">
        <v>2681.6</v>
      </c>
      <c r="M260" s="15">
        <v>-206.22</v>
      </c>
      <c r="N260" s="15">
        <v>0</v>
      </c>
      <c r="O260" s="15">
        <v>321.79946299999995</v>
      </c>
      <c r="P260" s="15">
        <v>2797.1794629999999</v>
      </c>
    </row>
    <row r="261" spans="1:16" ht="15" x14ac:dyDescent="0.2">
      <c r="A261" s="4" t="s">
        <v>578</v>
      </c>
      <c r="B261" s="21" t="str">
        <f t="shared" si="8"/>
        <v>Aug-2025</v>
      </c>
      <c r="C261" s="2" t="str">
        <f t="shared" si="9"/>
        <v>Q2</v>
      </c>
      <c r="D261" s="2" t="s">
        <v>31</v>
      </c>
      <c r="E261" s="13">
        <v>45874</v>
      </c>
      <c r="F261" s="14" t="s">
        <v>144</v>
      </c>
      <c r="G261" s="14" t="s">
        <v>19</v>
      </c>
      <c r="H261" s="14" t="s">
        <v>62</v>
      </c>
      <c r="I261" s="15">
        <v>5</v>
      </c>
      <c r="J261" s="15">
        <v>210</v>
      </c>
      <c r="K261" s="15">
        <v>74.489999999999995</v>
      </c>
      <c r="L261" s="15">
        <v>15642.9</v>
      </c>
      <c r="M261" s="15">
        <v>-1202.94</v>
      </c>
      <c r="N261" s="15">
        <v>0</v>
      </c>
      <c r="O261" s="15">
        <v>1877.1951650000001</v>
      </c>
      <c r="P261" s="15">
        <v>16317.155165</v>
      </c>
    </row>
    <row r="262" spans="1:16" ht="15" x14ac:dyDescent="0.2">
      <c r="A262" s="4" t="s">
        <v>584</v>
      </c>
      <c r="B262" s="21" t="str">
        <f t="shared" si="8"/>
        <v>Aug-2025</v>
      </c>
      <c r="C262" s="2" t="str">
        <f t="shared" si="9"/>
        <v>Q2</v>
      </c>
      <c r="D262" s="2" t="s">
        <v>31</v>
      </c>
      <c r="E262" s="13">
        <v>45874</v>
      </c>
      <c r="F262" s="14" t="s">
        <v>144</v>
      </c>
      <c r="G262" s="14" t="s">
        <v>19</v>
      </c>
      <c r="H262" s="14" t="s">
        <v>99</v>
      </c>
      <c r="I262" s="15">
        <v>2</v>
      </c>
      <c r="J262" s="15">
        <v>80</v>
      </c>
      <c r="K262" s="15">
        <v>81.94</v>
      </c>
      <c r="L262" s="15">
        <v>6555.2</v>
      </c>
      <c r="M262" s="15">
        <v>-504.09</v>
      </c>
      <c r="N262" s="15">
        <v>0</v>
      </c>
      <c r="O262" s="15">
        <v>786.644453</v>
      </c>
      <c r="P262" s="15">
        <v>6837.7544529999996</v>
      </c>
    </row>
    <row r="263" spans="1:16" ht="15" x14ac:dyDescent="0.2">
      <c r="A263" s="4" t="s">
        <v>580</v>
      </c>
      <c r="B263" s="21" t="str">
        <f t="shared" si="8"/>
        <v>Aug-2025</v>
      </c>
      <c r="C263" s="2" t="str">
        <f t="shared" si="9"/>
        <v>Q2</v>
      </c>
      <c r="D263" s="2" t="s">
        <v>31</v>
      </c>
      <c r="E263" s="13">
        <v>45874</v>
      </c>
      <c r="F263" s="14" t="s">
        <v>144</v>
      </c>
      <c r="G263" s="14" t="s">
        <v>19</v>
      </c>
      <c r="H263" s="14" t="s">
        <v>65</v>
      </c>
      <c r="I263" s="15">
        <v>5</v>
      </c>
      <c r="J263" s="15">
        <v>650</v>
      </c>
      <c r="K263" s="15">
        <v>37.25</v>
      </c>
      <c r="L263" s="15">
        <v>24212.5</v>
      </c>
      <c r="M263" s="15">
        <v>-1861.9399999999998</v>
      </c>
      <c r="N263" s="15">
        <v>0</v>
      </c>
      <c r="O263" s="15">
        <v>2905.5733650000002</v>
      </c>
      <c r="P263" s="15">
        <v>25256.133365000002</v>
      </c>
    </row>
    <row r="264" spans="1:16" ht="15" x14ac:dyDescent="0.2">
      <c r="A264" s="4" t="s">
        <v>588</v>
      </c>
      <c r="B264" s="21" t="str">
        <f t="shared" si="8"/>
        <v>Aug-2025</v>
      </c>
      <c r="C264" s="2" t="str">
        <f t="shared" si="9"/>
        <v>Q2</v>
      </c>
      <c r="D264" s="2" t="s">
        <v>31</v>
      </c>
      <c r="E264" s="13">
        <v>45874</v>
      </c>
      <c r="F264" s="14" t="s">
        <v>144</v>
      </c>
      <c r="G264" s="14" t="s">
        <v>19</v>
      </c>
      <c r="H264" s="14" t="s">
        <v>95</v>
      </c>
      <c r="I264" s="15">
        <v>1</v>
      </c>
      <c r="J264" s="15">
        <v>60</v>
      </c>
      <c r="K264" s="15">
        <v>111.74</v>
      </c>
      <c r="L264" s="15">
        <v>6704.4</v>
      </c>
      <c r="M264" s="15">
        <v>-515.57000000000005</v>
      </c>
      <c r="N264" s="15">
        <v>0</v>
      </c>
      <c r="O264" s="15">
        <v>804.54805600000009</v>
      </c>
      <c r="P264" s="15">
        <v>6993.3780559999996</v>
      </c>
    </row>
    <row r="265" spans="1:16" ht="15" x14ac:dyDescent="0.2">
      <c r="A265" s="4" t="s">
        <v>573</v>
      </c>
      <c r="B265" s="21" t="str">
        <f t="shared" si="8"/>
        <v>Aug-2025</v>
      </c>
      <c r="C265" s="2" t="str">
        <f t="shared" si="9"/>
        <v>Q2</v>
      </c>
      <c r="D265" s="2" t="s">
        <v>31</v>
      </c>
      <c r="E265" s="13">
        <v>45874</v>
      </c>
      <c r="F265" s="14" t="s">
        <v>144</v>
      </c>
      <c r="G265" s="14" t="s">
        <v>19</v>
      </c>
      <c r="H265" s="14" t="s">
        <v>138</v>
      </c>
      <c r="I265" s="15">
        <v>3</v>
      </c>
      <c r="J265" s="15">
        <v>120</v>
      </c>
      <c r="K265" s="15">
        <v>111.74</v>
      </c>
      <c r="L265" s="15">
        <v>13408.8</v>
      </c>
      <c r="M265" s="15">
        <v>-1031.1400000000001</v>
      </c>
      <c r="N265" s="15">
        <v>0</v>
      </c>
      <c r="O265" s="15">
        <v>1609.0961130000001</v>
      </c>
      <c r="P265" s="15">
        <v>13986.756112999999</v>
      </c>
    </row>
    <row r="266" spans="1:16" ht="15" x14ac:dyDescent="0.2">
      <c r="A266" s="4" t="s">
        <v>578</v>
      </c>
      <c r="B266" s="21" t="str">
        <f t="shared" si="8"/>
        <v>Aug-2025</v>
      </c>
      <c r="C266" s="2" t="str">
        <f t="shared" si="9"/>
        <v>Q2</v>
      </c>
      <c r="D266" s="2" t="s">
        <v>31</v>
      </c>
      <c r="E266" s="13">
        <v>45874</v>
      </c>
      <c r="F266" s="14" t="s">
        <v>144</v>
      </c>
      <c r="G266" s="14" t="s">
        <v>19</v>
      </c>
      <c r="H266" s="14" t="s">
        <v>59</v>
      </c>
      <c r="I266" s="15">
        <v>10</v>
      </c>
      <c r="J266" s="15">
        <v>420</v>
      </c>
      <c r="K266" s="15">
        <v>74.489999999999995</v>
      </c>
      <c r="L266" s="15">
        <v>31285.8</v>
      </c>
      <c r="M266" s="15">
        <v>-2405.88</v>
      </c>
      <c r="N266" s="15">
        <v>0</v>
      </c>
      <c r="O266" s="15">
        <v>3754.3903300000002</v>
      </c>
      <c r="P266" s="15">
        <v>32634.31033</v>
      </c>
    </row>
    <row r="267" spans="1:16" ht="15" x14ac:dyDescent="0.2">
      <c r="A267" s="4" t="s">
        <v>586</v>
      </c>
      <c r="B267" s="21" t="str">
        <f t="shared" si="8"/>
        <v>Aug-2025</v>
      </c>
      <c r="C267" s="2" t="str">
        <f t="shared" si="9"/>
        <v>Q2</v>
      </c>
      <c r="D267" s="2" t="s">
        <v>31</v>
      </c>
      <c r="E267" s="13">
        <v>45874</v>
      </c>
      <c r="F267" s="14" t="s">
        <v>144</v>
      </c>
      <c r="G267" s="14" t="s">
        <v>19</v>
      </c>
      <c r="H267" s="14" t="s">
        <v>78</v>
      </c>
      <c r="I267" s="15">
        <v>1</v>
      </c>
      <c r="J267" s="15">
        <v>600</v>
      </c>
      <c r="K267" s="15">
        <v>7.45</v>
      </c>
      <c r="L267" s="15">
        <v>4470</v>
      </c>
      <c r="M267" s="15">
        <v>-343.74</v>
      </c>
      <c r="N267" s="15">
        <v>0</v>
      </c>
      <c r="O267" s="15">
        <v>536.413904</v>
      </c>
      <c r="P267" s="15">
        <v>4662.6739040000002</v>
      </c>
    </row>
    <row r="268" spans="1:16" ht="15" x14ac:dyDescent="0.2">
      <c r="A268" s="4" t="s">
        <v>589</v>
      </c>
      <c r="B268" s="21" t="str">
        <f t="shared" si="8"/>
        <v>Aug-2025</v>
      </c>
      <c r="C268" s="2" t="str">
        <f t="shared" si="9"/>
        <v>Q2</v>
      </c>
      <c r="D268" s="2" t="s">
        <v>31</v>
      </c>
      <c r="E268" s="13">
        <v>45874</v>
      </c>
      <c r="F268" s="14" t="s">
        <v>144</v>
      </c>
      <c r="G268" s="14" t="s">
        <v>19</v>
      </c>
      <c r="H268" s="14" t="s">
        <v>98</v>
      </c>
      <c r="I268" s="15">
        <v>3</v>
      </c>
      <c r="J268" s="15">
        <v>180</v>
      </c>
      <c r="K268" s="15">
        <v>145.26</v>
      </c>
      <c r="L268" s="15">
        <v>26146.799999999999</v>
      </c>
      <c r="M268" s="15">
        <v>-2010.6899999999998</v>
      </c>
      <c r="N268" s="15">
        <v>0</v>
      </c>
      <c r="O268" s="15">
        <v>3137.6949099999997</v>
      </c>
      <c r="P268" s="15">
        <v>27273.804909999999</v>
      </c>
    </row>
    <row r="269" spans="1:16" ht="15" x14ac:dyDescent="0.2">
      <c r="A269" s="4" t="s">
        <v>584</v>
      </c>
      <c r="B269" s="21" t="str">
        <f t="shared" si="8"/>
        <v>Aug-2025</v>
      </c>
      <c r="C269" s="2" t="str">
        <f t="shared" si="9"/>
        <v>Q2</v>
      </c>
      <c r="D269" s="2" t="s">
        <v>31</v>
      </c>
      <c r="E269" s="13">
        <v>45874</v>
      </c>
      <c r="F269" s="14" t="s">
        <v>144</v>
      </c>
      <c r="G269" s="14" t="s">
        <v>19</v>
      </c>
      <c r="H269" s="14" t="s">
        <v>100</v>
      </c>
      <c r="I269" s="15">
        <v>2</v>
      </c>
      <c r="J269" s="15">
        <v>80</v>
      </c>
      <c r="K269" s="15">
        <v>81.94</v>
      </c>
      <c r="L269" s="15">
        <v>6555.2</v>
      </c>
      <c r="M269" s="15">
        <v>-504.09</v>
      </c>
      <c r="N269" s="15">
        <v>0</v>
      </c>
      <c r="O269" s="15">
        <v>786.644453</v>
      </c>
      <c r="P269" s="15">
        <v>6837.7544529999996</v>
      </c>
    </row>
    <row r="270" spans="1:16" ht="15" x14ac:dyDescent="0.2">
      <c r="A270" s="4" t="s">
        <v>587</v>
      </c>
      <c r="B270" s="21" t="str">
        <f t="shared" si="8"/>
        <v>Aug-2025</v>
      </c>
      <c r="C270" s="2" t="str">
        <f t="shared" si="9"/>
        <v>Q2</v>
      </c>
      <c r="D270" s="2" t="s">
        <v>31</v>
      </c>
      <c r="E270" s="13">
        <v>45874</v>
      </c>
      <c r="F270" s="14" t="s">
        <v>144</v>
      </c>
      <c r="G270" s="14" t="s">
        <v>19</v>
      </c>
      <c r="H270" s="14" t="s">
        <v>94</v>
      </c>
      <c r="I270" s="15">
        <v>1</v>
      </c>
      <c r="J270" s="15">
        <v>60</v>
      </c>
      <c r="K270" s="15">
        <v>111.74</v>
      </c>
      <c r="L270" s="15">
        <v>6704.4</v>
      </c>
      <c r="M270" s="15">
        <v>-515.57000000000005</v>
      </c>
      <c r="N270" s="15">
        <v>0</v>
      </c>
      <c r="O270" s="15">
        <v>804.54805600000009</v>
      </c>
      <c r="P270" s="15">
        <v>6993.3780559999996</v>
      </c>
    </row>
    <row r="271" spans="1:16" ht="15" x14ac:dyDescent="0.2">
      <c r="A271" s="4" t="s">
        <v>590</v>
      </c>
      <c r="B271" s="21" t="str">
        <f t="shared" si="8"/>
        <v>Aug-2025</v>
      </c>
      <c r="C271" s="2" t="str">
        <f t="shared" si="9"/>
        <v>Q2</v>
      </c>
      <c r="D271" s="2" t="s">
        <v>31</v>
      </c>
      <c r="E271" s="13">
        <v>45874</v>
      </c>
      <c r="F271" s="14" t="s">
        <v>144</v>
      </c>
      <c r="G271" s="14" t="s">
        <v>19</v>
      </c>
      <c r="H271" s="14" t="s">
        <v>102</v>
      </c>
      <c r="I271" s="15">
        <v>2</v>
      </c>
      <c r="J271" s="15">
        <v>40</v>
      </c>
      <c r="K271" s="15">
        <v>249.55</v>
      </c>
      <c r="L271" s="15">
        <v>9982</v>
      </c>
      <c r="M271" s="15">
        <v>-767.62</v>
      </c>
      <c r="N271" s="15">
        <v>0</v>
      </c>
      <c r="O271" s="15">
        <v>1197.869633</v>
      </c>
      <c r="P271" s="15">
        <v>10412.249632999999</v>
      </c>
    </row>
    <row r="272" spans="1:16" ht="15" x14ac:dyDescent="0.2">
      <c r="A272" s="4" t="s">
        <v>582</v>
      </c>
      <c r="B272" s="21" t="str">
        <f t="shared" si="8"/>
        <v>Aug-2025</v>
      </c>
      <c r="C272" s="2" t="str">
        <f t="shared" si="9"/>
        <v>Q2</v>
      </c>
      <c r="D272" s="2" t="s">
        <v>31</v>
      </c>
      <c r="E272" s="13">
        <v>45874</v>
      </c>
      <c r="F272" s="14" t="s">
        <v>144</v>
      </c>
      <c r="G272" s="14" t="s">
        <v>19</v>
      </c>
      <c r="H272" s="14" t="s">
        <v>77</v>
      </c>
      <c r="I272" s="15">
        <v>1</v>
      </c>
      <c r="J272" s="15">
        <v>24</v>
      </c>
      <c r="K272" s="15">
        <v>204.85</v>
      </c>
      <c r="L272" s="15">
        <v>4916.4000000000005</v>
      </c>
      <c r="M272" s="15">
        <v>-378.07</v>
      </c>
      <c r="N272" s="15">
        <v>0</v>
      </c>
      <c r="O272" s="15">
        <v>589.98301500000002</v>
      </c>
      <c r="P272" s="15">
        <v>5128.3130149999997</v>
      </c>
    </row>
    <row r="273" spans="1:16" ht="15" x14ac:dyDescent="0.2">
      <c r="A273" s="4" t="s">
        <v>586</v>
      </c>
      <c r="B273" s="21" t="str">
        <f t="shared" si="8"/>
        <v>Aug-2025</v>
      </c>
      <c r="C273" s="2" t="str">
        <f t="shared" si="9"/>
        <v>Q2</v>
      </c>
      <c r="D273" s="2" t="s">
        <v>31</v>
      </c>
      <c r="E273" s="13">
        <v>45874</v>
      </c>
      <c r="F273" s="14" t="s">
        <v>144</v>
      </c>
      <c r="G273" s="14" t="s">
        <v>19</v>
      </c>
      <c r="H273" s="14" t="s">
        <v>103</v>
      </c>
      <c r="I273" s="15">
        <v>1</v>
      </c>
      <c r="J273" s="15">
        <v>600</v>
      </c>
      <c r="K273" s="15">
        <v>7.45</v>
      </c>
      <c r="L273" s="15">
        <v>4470</v>
      </c>
      <c r="M273" s="15">
        <v>-343.74</v>
      </c>
      <c r="N273" s="15">
        <v>0</v>
      </c>
      <c r="O273" s="15">
        <v>536.413904</v>
      </c>
      <c r="P273" s="15">
        <v>4662.6739040000002</v>
      </c>
    </row>
    <row r="274" spans="1:16" ht="15" x14ac:dyDescent="0.2">
      <c r="A274" s="4" t="s">
        <v>593</v>
      </c>
      <c r="B274" s="21" t="str">
        <f t="shared" si="8"/>
        <v>Aug-2025</v>
      </c>
      <c r="C274" s="2" t="str">
        <f t="shared" si="9"/>
        <v>Q2</v>
      </c>
      <c r="D274" s="2" t="s">
        <v>31</v>
      </c>
      <c r="E274" s="13">
        <v>45874</v>
      </c>
      <c r="F274" s="14" t="s">
        <v>144</v>
      </c>
      <c r="G274" s="14" t="s">
        <v>19</v>
      </c>
      <c r="H274" s="14" t="s">
        <v>117</v>
      </c>
      <c r="I274" s="15">
        <v>2</v>
      </c>
      <c r="J274" s="15">
        <v>8</v>
      </c>
      <c r="K274" s="15">
        <v>595.92999999999995</v>
      </c>
      <c r="L274" s="15">
        <v>4767.4399999999996</v>
      </c>
      <c r="M274" s="15">
        <v>-366.62</v>
      </c>
      <c r="N274" s="15">
        <v>0</v>
      </c>
      <c r="O274" s="15">
        <v>572.10671100000002</v>
      </c>
      <c r="P274" s="15">
        <v>4972.9267110000001</v>
      </c>
    </row>
    <row r="275" spans="1:16" ht="15" x14ac:dyDescent="0.2">
      <c r="A275" s="4" t="s">
        <v>585</v>
      </c>
      <c r="B275" s="21" t="str">
        <f t="shared" si="8"/>
        <v>Aug-2025</v>
      </c>
      <c r="C275" s="2" t="str">
        <f t="shared" si="9"/>
        <v>Q2</v>
      </c>
      <c r="D275" s="2" t="s">
        <v>31</v>
      </c>
      <c r="E275" s="13">
        <v>45874</v>
      </c>
      <c r="F275" s="14" t="s">
        <v>144</v>
      </c>
      <c r="G275" s="14" t="s">
        <v>19</v>
      </c>
      <c r="H275" s="14" t="s">
        <v>73</v>
      </c>
      <c r="I275" s="15">
        <v>1</v>
      </c>
      <c r="J275" s="15">
        <v>1600</v>
      </c>
      <c r="K275" s="15">
        <v>1.79</v>
      </c>
      <c r="L275" s="15">
        <v>2864</v>
      </c>
      <c r="M275" s="15">
        <v>-220.24</v>
      </c>
      <c r="N275" s="15">
        <v>0</v>
      </c>
      <c r="O275" s="15">
        <v>343.68886700000002</v>
      </c>
      <c r="P275" s="15">
        <v>2987.4488670000001</v>
      </c>
    </row>
    <row r="276" spans="1:16" ht="15" x14ac:dyDescent="0.2">
      <c r="A276" s="4" t="s">
        <v>581</v>
      </c>
      <c r="B276" s="21" t="str">
        <f t="shared" si="8"/>
        <v>Aug-2025</v>
      </c>
      <c r="C276" s="2" t="str">
        <f t="shared" si="9"/>
        <v>Q2</v>
      </c>
      <c r="D276" s="2" t="s">
        <v>31</v>
      </c>
      <c r="E276" s="13">
        <v>45874</v>
      </c>
      <c r="F276" s="14" t="s">
        <v>144</v>
      </c>
      <c r="G276" s="14" t="s">
        <v>19</v>
      </c>
      <c r="H276" s="14" t="s">
        <v>66</v>
      </c>
      <c r="I276" s="15">
        <v>1</v>
      </c>
      <c r="J276" s="15">
        <v>24</v>
      </c>
      <c r="K276" s="15">
        <v>141.53</v>
      </c>
      <c r="L276" s="15">
        <v>3396.72</v>
      </c>
      <c r="M276" s="15">
        <v>-261.20999999999998</v>
      </c>
      <c r="N276" s="15">
        <v>0</v>
      </c>
      <c r="O276" s="15">
        <v>407.61637899999999</v>
      </c>
      <c r="P276" s="15">
        <v>3543.1263789999998</v>
      </c>
    </row>
    <row r="277" spans="1:16" ht="15" x14ac:dyDescent="0.2">
      <c r="A277" s="4" t="s">
        <v>579</v>
      </c>
      <c r="B277" s="21" t="str">
        <f t="shared" si="8"/>
        <v>Aug-2025</v>
      </c>
      <c r="C277" s="2" t="str">
        <f t="shared" si="9"/>
        <v>Q2</v>
      </c>
      <c r="D277" s="2" t="s">
        <v>31</v>
      </c>
      <c r="E277" s="13">
        <v>45879</v>
      </c>
      <c r="F277" s="14" t="s">
        <v>145</v>
      </c>
      <c r="G277" s="14" t="s">
        <v>80</v>
      </c>
      <c r="H277" s="14" t="s">
        <v>69</v>
      </c>
      <c r="I277" s="15">
        <v>0.05</v>
      </c>
      <c r="J277" s="15">
        <v>1</v>
      </c>
      <c r="K277" s="15">
        <v>204.85</v>
      </c>
      <c r="L277" s="15">
        <v>204.85</v>
      </c>
      <c r="M277" s="15">
        <v>-15.75</v>
      </c>
      <c r="N277" s="15">
        <v>0</v>
      </c>
      <c r="O277" s="15">
        <v>24.582803999999999</v>
      </c>
      <c r="P277" s="15">
        <v>213.682804</v>
      </c>
    </row>
    <row r="278" spans="1:16" ht="15" x14ac:dyDescent="0.2">
      <c r="A278" s="4" t="s">
        <v>586</v>
      </c>
      <c r="B278" s="21" t="str">
        <f t="shared" si="8"/>
        <v>Aug-2025</v>
      </c>
      <c r="C278" s="2" t="str">
        <f t="shared" si="9"/>
        <v>Q2</v>
      </c>
      <c r="D278" s="2" t="s">
        <v>31</v>
      </c>
      <c r="E278" s="13">
        <v>45879</v>
      </c>
      <c r="F278" s="14" t="s">
        <v>145</v>
      </c>
      <c r="G278" s="14" t="s">
        <v>80</v>
      </c>
      <c r="H278" s="14" t="s">
        <v>78</v>
      </c>
      <c r="I278" s="15">
        <v>0</v>
      </c>
      <c r="J278" s="15">
        <v>1</v>
      </c>
      <c r="K278" s="15">
        <v>7.45</v>
      </c>
      <c r="L278" s="15">
        <v>7.45</v>
      </c>
      <c r="M278" s="15">
        <v>-0.56999999999999995</v>
      </c>
      <c r="N278" s="15">
        <v>0</v>
      </c>
      <c r="O278" s="15">
        <v>0.89439299999999999</v>
      </c>
      <c r="P278" s="15">
        <v>7.7743929999999999</v>
      </c>
    </row>
    <row r="279" spans="1:16" ht="15" x14ac:dyDescent="0.2">
      <c r="A279" s="4" t="s">
        <v>575</v>
      </c>
      <c r="B279" s="21" t="str">
        <f t="shared" si="8"/>
        <v>Aug-2025</v>
      </c>
      <c r="C279" s="2" t="str">
        <f t="shared" si="9"/>
        <v>Q2</v>
      </c>
      <c r="D279" s="2" t="s">
        <v>31</v>
      </c>
      <c r="E279" s="13">
        <v>45879</v>
      </c>
      <c r="F279" s="14" t="s">
        <v>145</v>
      </c>
      <c r="G279" s="14" t="s">
        <v>80</v>
      </c>
      <c r="H279" s="14" t="s">
        <v>55</v>
      </c>
      <c r="I279" s="15">
        <v>0.05</v>
      </c>
      <c r="J279" s="15">
        <v>1</v>
      </c>
      <c r="K279" s="15">
        <v>186.23</v>
      </c>
      <c r="L279" s="15">
        <v>186.23</v>
      </c>
      <c r="M279" s="15">
        <v>-14.32</v>
      </c>
      <c r="N279" s="15">
        <v>0</v>
      </c>
      <c r="O279" s="15">
        <v>22.348120999999999</v>
      </c>
      <c r="P279" s="15">
        <v>194.25812099999999</v>
      </c>
    </row>
    <row r="280" spans="1:16" ht="15" x14ac:dyDescent="0.2">
      <c r="A280" s="4" t="s">
        <v>586</v>
      </c>
      <c r="B280" s="21" t="str">
        <f t="shared" si="8"/>
        <v>Aug-2025</v>
      </c>
      <c r="C280" s="2" t="str">
        <f t="shared" si="9"/>
        <v>Q2</v>
      </c>
      <c r="D280" s="2" t="s">
        <v>31</v>
      </c>
      <c r="E280" s="13">
        <v>45879</v>
      </c>
      <c r="F280" s="14" t="s">
        <v>145</v>
      </c>
      <c r="G280" s="14" t="s">
        <v>80</v>
      </c>
      <c r="H280" s="14" t="s">
        <v>76</v>
      </c>
      <c r="I280" s="15">
        <v>0</v>
      </c>
      <c r="J280" s="15">
        <v>1</v>
      </c>
      <c r="K280" s="15">
        <v>18.62</v>
      </c>
      <c r="L280" s="15">
        <v>18.62</v>
      </c>
      <c r="M280" s="15">
        <v>-1.43</v>
      </c>
      <c r="N280" s="15">
        <v>0</v>
      </c>
      <c r="O280" s="15">
        <v>2.2346819999999998</v>
      </c>
      <c r="P280" s="15">
        <v>19.424682000000001</v>
      </c>
    </row>
    <row r="281" spans="1:16" ht="15" x14ac:dyDescent="0.2">
      <c r="A281" s="4" t="s">
        <v>584</v>
      </c>
      <c r="B281" s="21" t="str">
        <f t="shared" si="8"/>
        <v>Aug-2025</v>
      </c>
      <c r="C281" s="2" t="str">
        <f t="shared" si="9"/>
        <v>Q2</v>
      </c>
      <c r="D281" s="2" t="s">
        <v>31</v>
      </c>
      <c r="E281" s="13">
        <v>45879</v>
      </c>
      <c r="F281" s="14" t="s">
        <v>146</v>
      </c>
      <c r="G281" s="14" t="s">
        <v>147</v>
      </c>
      <c r="H281" s="14" t="s">
        <v>120</v>
      </c>
      <c r="I281" s="15">
        <v>1</v>
      </c>
      <c r="J281" s="15">
        <v>40</v>
      </c>
      <c r="K281" s="15">
        <v>81.94</v>
      </c>
      <c r="L281" s="15">
        <v>3277.6</v>
      </c>
      <c r="M281" s="15">
        <v>-252.05</v>
      </c>
      <c r="N281" s="15">
        <v>0</v>
      </c>
      <c r="O281" s="15">
        <v>393.321572</v>
      </c>
      <c r="P281" s="15">
        <v>3418.871572</v>
      </c>
    </row>
    <row r="282" spans="1:16" ht="15" x14ac:dyDescent="0.2">
      <c r="A282" s="4" t="s">
        <v>581</v>
      </c>
      <c r="B282" s="21" t="str">
        <f t="shared" si="8"/>
        <v>Aug-2025</v>
      </c>
      <c r="C282" s="2" t="str">
        <f t="shared" si="9"/>
        <v>Q2</v>
      </c>
      <c r="D282" s="2" t="s">
        <v>31</v>
      </c>
      <c r="E282" s="13">
        <v>45879</v>
      </c>
      <c r="F282" s="14" t="s">
        <v>146</v>
      </c>
      <c r="G282" s="14" t="s">
        <v>147</v>
      </c>
      <c r="H282" s="14" t="s">
        <v>97</v>
      </c>
      <c r="I282" s="15">
        <v>1</v>
      </c>
      <c r="J282" s="15">
        <v>40</v>
      </c>
      <c r="K282" s="15">
        <v>67.040000000000006</v>
      </c>
      <c r="L282" s="15">
        <v>2681.6</v>
      </c>
      <c r="M282" s="15">
        <v>-206.22</v>
      </c>
      <c r="N282" s="15">
        <v>0</v>
      </c>
      <c r="O282" s="15">
        <v>321.79945900000001</v>
      </c>
      <c r="P282" s="15">
        <v>2797.179459</v>
      </c>
    </row>
    <row r="283" spans="1:16" ht="15" x14ac:dyDescent="0.2">
      <c r="A283" s="4" t="s">
        <v>584</v>
      </c>
      <c r="B283" s="21" t="str">
        <f t="shared" si="8"/>
        <v>Aug-2025</v>
      </c>
      <c r="C283" s="2" t="str">
        <f t="shared" si="9"/>
        <v>Q2</v>
      </c>
      <c r="D283" s="2" t="s">
        <v>31</v>
      </c>
      <c r="E283" s="13">
        <v>45879</v>
      </c>
      <c r="F283" s="14" t="s">
        <v>146</v>
      </c>
      <c r="G283" s="14" t="s">
        <v>147</v>
      </c>
      <c r="H283" s="14" t="s">
        <v>100</v>
      </c>
      <c r="I283" s="15">
        <v>1</v>
      </c>
      <c r="J283" s="15">
        <v>40</v>
      </c>
      <c r="K283" s="15">
        <v>81.94</v>
      </c>
      <c r="L283" s="15">
        <v>3277.6</v>
      </c>
      <c r="M283" s="15">
        <v>-252.05</v>
      </c>
      <c r="N283" s="15">
        <v>0</v>
      </c>
      <c r="O283" s="15">
        <v>393.321572</v>
      </c>
      <c r="P283" s="15">
        <v>3418.871572</v>
      </c>
    </row>
    <row r="284" spans="1:16" ht="15" x14ac:dyDescent="0.2">
      <c r="A284" s="4" t="s">
        <v>589</v>
      </c>
      <c r="B284" s="21" t="str">
        <f t="shared" si="8"/>
        <v>Aug-2025</v>
      </c>
      <c r="C284" s="2" t="str">
        <f t="shared" si="9"/>
        <v>Q2</v>
      </c>
      <c r="D284" s="2" t="s">
        <v>31</v>
      </c>
      <c r="E284" s="13">
        <v>45879</v>
      </c>
      <c r="F284" s="14" t="s">
        <v>146</v>
      </c>
      <c r="G284" s="14" t="s">
        <v>147</v>
      </c>
      <c r="H284" s="14" t="s">
        <v>98</v>
      </c>
      <c r="I284" s="15">
        <v>1</v>
      </c>
      <c r="J284" s="15">
        <v>60</v>
      </c>
      <c r="K284" s="15">
        <v>145.26</v>
      </c>
      <c r="L284" s="15">
        <v>8715.6</v>
      </c>
      <c r="M284" s="15">
        <v>-670.23</v>
      </c>
      <c r="N284" s="15">
        <v>0</v>
      </c>
      <c r="O284" s="15">
        <v>1045.898293</v>
      </c>
      <c r="P284" s="15">
        <v>9091.2682929999992</v>
      </c>
    </row>
    <row r="285" spans="1:16" ht="15" x14ac:dyDescent="0.2">
      <c r="A285" s="4" t="s">
        <v>581</v>
      </c>
      <c r="B285" s="21" t="str">
        <f t="shared" si="8"/>
        <v>Aug-2025</v>
      </c>
      <c r="C285" s="2" t="str">
        <f t="shared" si="9"/>
        <v>Q2</v>
      </c>
      <c r="D285" s="2" t="s">
        <v>31</v>
      </c>
      <c r="E285" s="13">
        <v>45879</v>
      </c>
      <c r="F285" s="14" t="s">
        <v>146</v>
      </c>
      <c r="G285" s="14" t="s">
        <v>147</v>
      </c>
      <c r="H285" s="14" t="s">
        <v>125</v>
      </c>
      <c r="I285" s="15">
        <v>1</v>
      </c>
      <c r="J285" s="15">
        <v>800</v>
      </c>
      <c r="K285" s="15">
        <v>7.46</v>
      </c>
      <c r="L285" s="15">
        <v>5968</v>
      </c>
      <c r="M285" s="15">
        <v>-458.94</v>
      </c>
      <c r="N285" s="15">
        <v>0</v>
      </c>
      <c r="O285" s="15">
        <v>716.17793199999994</v>
      </c>
      <c r="P285" s="15">
        <v>6225.237932</v>
      </c>
    </row>
    <row r="286" spans="1:16" ht="15" x14ac:dyDescent="0.2">
      <c r="A286" s="4" t="s">
        <v>590</v>
      </c>
      <c r="B286" s="21" t="str">
        <f t="shared" si="8"/>
        <v>Aug-2025</v>
      </c>
      <c r="C286" s="2" t="str">
        <f t="shared" si="9"/>
        <v>Q2</v>
      </c>
      <c r="D286" s="2" t="s">
        <v>31</v>
      </c>
      <c r="E286" s="13">
        <v>45879</v>
      </c>
      <c r="F286" s="14" t="s">
        <v>146</v>
      </c>
      <c r="G286" s="14" t="s">
        <v>147</v>
      </c>
      <c r="H286" s="14" t="s">
        <v>102</v>
      </c>
      <c r="I286" s="15">
        <v>2</v>
      </c>
      <c r="J286" s="15">
        <v>40</v>
      </c>
      <c r="K286" s="15">
        <v>249.55</v>
      </c>
      <c r="L286" s="15">
        <v>9982</v>
      </c>
      <c r="M286" s="15">
        <v>-767.62</v>
      </c>
      <c r="N286" s="15">
        <v>0</v>
      </c>
      <c r="O286" s="15">
        <v>1197.8696210000001</v>
      </c>
      <c r="P286" s="15">
        <v>10412.249621000001</v>
      </c>
    </row>
    <row r="287" spans="1:16" ht="15" x14ac:dyDescent="0.2">
      <c r="A287" s="4" t="s">
        <v>573</v>
      </c>
      <c r="B287" s="21" t="str">
        <f t="shared" si="8"/>
        <v>Aug-2025</v>
      </c>
      <c r="C287" s="2" t="str">
        <f t="shared" si="9"/>
        <v>Q2</v>
      </c>
      <c r="D287" s="2" t="s">
        <v>31</v>
      </c>
      <c r="E287" s="13">
        <v>45879</v>
      </c>
      <c r="F287" s="14" t="s">
        <v>146</v>
      </c>
      <c r="G287" s="14" t="s">
        <v>147</v>
      </c>
      <c r="H287" s="14" t="s">
        <v>47</v>
      </c>
      <c r="I287" s="15">
        <v>2</v>
      </c>
      <c r="J287" s="15">
        <v>80</v>
      </c>
      <c r="K287" s="15">
        <v>111.74</v>
      </c>
      <c r="L287" s="15">
        <v>8939.2000000000007</v>
      </c>
      <c r="M287" s="15">
        <v>-687.42</v>
      </c>
      <c r="N287" s="15">
        <v>0</v>
      </c>
      <c r="O287" s="15">
        <v>1072.7315979999998</v>
      </c>
      <c r="P287" s="15">
        <v>9324.5115979999991</v>
      </c>
    </row>
    <row r="288" spans="1:16" ht="15" x14ac:dyDescent="0.2">
      <c r="A288" s="4" t="s">
        <v>576</v>
      </c>
      <c r="B288" s="21" t="str">
        <f t="shared" si="8"/>
        <v>Aug-2025</v>
      </c>
      <c r="C288" s="2" t="str">
        <f t="shared" si="9"/>
        <v>Q2</v>
      </c>
      <c r="D288" s="2" t="s">
        <v>31</v>
      </c>
      <c r="E288" s="13">
        <v>45879</v>
      </c>
      <c r="F288" s="14" t="s">
        <v>146</v>
      </c>
      <c r="G288" s="14" t="s">
        <v>147</v>
      </c>
      <c r="H288" s="14" t="s">
        <v>68</v>
      </c>
      <c r="I288" s="15">
        <v>1</v>
      </c>
      <c r="J288" s="15">
        <v>20</v>
      </c>
      <c r="K288" s="15">
        <v>175.05</v>
      </c>
      <c r="L288" s="15">
        <v>3500.9999999999995</v>
      </c>
      <c r="M288" s="15">
        <v>-269.23</v>
      </c>
      <c r="N288" s="15">
        <v>0</v>
      </c>
      <c r="O288" s="15">
        <v>420.130177</v>
      </c>
      <c r="P288" s="15">
        <v>3651.900177</v>
      </c>
    </row>
    <row r="289" spans="1:16" ht="15" x14ac:dyDescent="0.2">
      <c r="A289" s="4" t="s">
        <v>578</v>
      </c>
      <c r="B289" s="21" t="str">
        <f t="shared" si="8"/>
        <v>Aug-2025</v>
      </c>
      <c r="C289" s="2" t="str">
        <f t="shared" si="9"/>
        <v>Q2</v>
      </c>
      <c r="D289" s="2" t="s">
        <v>31</v>
      </c>
      <c r="E289" s="13">
        <v>45879</v>
      </c>
      <c r="F289" s="14" t="s">
        <v>146</v>
      </c>
      <c r="G289" s="14" t="s">
        <v>147</v>
      </c>
      <c r="H289" s="14" t="s">
        <v>60</v>
      </c>
      <c r="I289" s="15">
        <v>3</v>
      </c>
      <c r="J289" s="15">
        <v>126</v>
      </c>
      <c r="K289" s="15">
        <v>74.489999999999995</v>
      </c>
      <c r="L289" s="15">
        <v>9385.74</v>
      </c>
      <c r="M289" s="15">
        <v>-721.76</v>
      </c>
      <c r="N289" s="15">
        <v>0</v>
      </c>
      <c r="O289" s="15">
        <v>1126.317607</v>
      </c>
      <c r="P289" s="15">
        <v>9790.2976070000004</v>
      </c>
    </row>
    <row r="290" spans="1:16" ht="15" x14ac:dyDescent="0.2">
      <c r="A290" s="4" t="s">
        <v>580</v>
      </c>
      <c r="B290" s="21" t="str">
        <f t="shared" si="8"/>
        <v>Aug-2025</v>
      </c>
      <c r="C290" s="2" t="str">
        <f t="shared" si="9"/>
        <v>Q2</v>
      </c>
      <c r="D290" s="2" t="s">
        <v>31</v>
      </c>
      <c r="E290" s="13">
        <v>45879</v>
      </c>
      <c r="F290" s="14" t="s">
        <v>146</v>
      </c>
      <c r="G290" s="14" t="s">
        <v>147</v>
      </c>
      <c r="H290" s="14" t="s">
        <v>65</v>
      </c>
      <c r="I290" s="15">
        <v>2</v>
      </c>
      <c r="J290" s="15">
        <v>260</v>
      </c>
      <c r="K290" s="15">
        <v>37.25</v>
      </c>
      <c r="L290" s="15">
        <v>9685</v>
      </c>
      <c r="M290" s="15">
        <v>-744.78</v>
      </c>
      <c r="N290" s="15">
        <v>0</v>
      </c>
      <c r="O290" s="15">
        <v>1162.2288139999998</v>
      </c>
      <c r="P290" s="15">
        <v>10102.448813999999</v>
      </c>
    </row>
    <row r="291" spans="1:16" ht="15" x14ac:dyDescent="0.2">
      <c r="A291" s="4" t="s">
        <v>581</v>
      </c>
      <c r="B291" s="21" t="str">
        <f t="shared" si="8"/>
        <v>Aug-2025</v>
      </c>
      <c r="C291" s="2" t="str">
        <f t="shared" si="9"/>
        <v>Q2</v>
      </c>
      <c r="D291" s="2" t="s">
        <v>31</v>
      </c>
      <c r="E291" s="13">
        <v>45879</v>
      </c>
      <c r="F291" s="14" t="s">
        <v>146</v>
      </c>
      <c r="G291" s="14" t="s">
        <v>147</v>
      </c>
      <c r="H291" s="14" t="s">
        <v>96</v>
      </c>
      <c r="I291" s="15">
        <v>2</v>
      </c>
      <c r="J291" s="15">
        <v>80</v>
      </c>
      <c r="K291" s="15">
        <v>67.040000000000006</v>
      </c>
      <c r="L291" s="15">
        <v>5363.2</v>
      </c>
      <c r="M291" s="15">
        <v>-412.43</v>
      </c>
      <c r="N291" s="15">
        <v>0</v>
      </c>
      <c r="O291" s="15">
        <v>643.60021899999992</v>
      </c>
      <c r="P291" s="15">
        <v>5594.3702190000004</v>
      </c>
    </row>
    <row r="292" spans="1:16" ht="15" x14ac:dyDescent="0.2">
      <c r="A292" s="4" t="s">
        <v>593</v>
      </c>
      <c r="B292" s="21" t="str">
        <f t="shared" si="8"/>
        <v>Aug-2025</v>
      </c>
      <c r="C292" s="2" t="str">
        <f t="shared" si="9"/>
        <v>Q2</v>
      </c>
      <c r="D292" s="2" t="s">
        <v>31</v>
      </c>
      <c r="E292" s="13">
        <v>45879</v>
      </c>
      <c r="F292" s="14" t="s">
        <v>146</v>
      </c>
      <c r="G292" s="14" t="s">
        <v>147</v>
      </c>
      <c r="H292" s="14" t="s">
        <v>117</v>
      </c>
      <c r="I292" s="15">
        <v>2</v>
      </c>
      <c r="J292" s="15">
        <v>8</v>
      </c>
      <c r="K292" s="15">
        <v>595.92999999999995</v>
      </c>
      <c r="L292" s="15">
        <v>4767.4399999999996</v>
      </c>
      <c r="M292" s="15">
        <v>-366.62</v>
      </c>
      <c r="N292" s="15">
        <v>0</v>
      </c>
      <c r="O292" s="15">
        <v>572.10670500000003</v>
      </c>
      <c r="P292" s="15">
        <v>4972.9267049999999</v>
      </c>
    </row>
    <row r="293" spans="1:16" ht="15" x14ac:dyDescent="0.2">
      <c r="A293" s="4" t="s">
        <v>581</v>
      </c>
      <c r="B293" s="21" t="str">
        <f t="shared" si="8"/>
        <v>Aug-2025</v>
      </c>
      <c r="C293" s="2" t="str">
        <f t="shared" si="9"/>
        <v>Q2</v>
      </c>
      <c r="D293" s="2" t="s">
        <v>31</v>
      </c>
      <c r="E293" s="13">
        <v>45879</v>
      </c>
      <c r="F293" s="14" t="s">
        <v>146</v>
      </c>
      <c r="G293" s="14" t="s">
        <v>147</v>
      </c>
      <c r="H293" s="14" t="s">
        <v>104</v>
      </c>
      <c r="I293" s="15">
        <v>1</v>
      </c>
      <c r="J293" s="15">
        <v>40</v>
      </c>
      <c r="K293" s="15">
        <v>67.040000000000006</v>
      </c>
      <c r="L293" s="15">
        <v>2681.6</v>
      </c>
      <c r="M293" s="15">
        <v>-206.22</v>
      </c>
      <c r="N293" s="15">
        <v>0</v>
      </c>
      <c r="O293" s="15">
        <v>321.79945900000001</v>
      </c>
      <c r="P293" s="15">
        <v>2797.179459</v>
      </c>
    </row>
    <row r="294" spans="1:16" ht="15" x14ac:dyDescent="0.2">
      <c r="A294" s="4" t="s">
        <v>584</v>
      </c>
      <c r="B294" s="21" t="str">
        <f t="shared" si="8"/>
        <v>Aug-2025</v>
      </c>
      <c r="C294" s="2" t="str">
        <f t="shared" si="9"/>
        <v>Q2</v>
      </c>
      <c r="D294" s="2" t="s">
        <v>31</v>
      </c>
      <c r="E294" s="13">
        <v>45879</v>
      </c>
      <c r="F294" s="14" t="s">
        <v>146</v>
      </c>
      <c r="G294" s="14" t="s">
        <v>147</v>
      </c>
      <c r="H294" s="14" t="s">
        <v>99</v>
      </c>
      <c r="I294" s="15">
        <v>1</v>
      </c>
      <c r="J294" s="15">
        <v>40</v>
      </c>
      <c r="K294" s="15">
        <v>81.94</v>
      </c>
      <c r="L294" s="15">
        <v>3277.6</v>
      </c>
      <c r="M294" s="15">
        <v>-252.05</v>
      </c>
      <c r="N294" s="15">
        <v>0</v>
      </c>
      <c r="O294" s="15">
        <v>393.321572</v>
      </c>
      <c r="P294" s="15">
        <v>3418.871572</v>
      </c>
    </row>
    <row r="295" spans="1:16" ht="15" x14ac:dyDescent="0.2">
      <c r="A295" s="4" t="s">
        <v>582</v>
      </c>
      <c r="B295" s="21" t="str">
        <f t="shared" si="8"/>
        <v>Aug-2025</v>
      </c>
      <c r="C295" s="2" t="str">
        <f t="shared" si="9"/>
        <v>Q2</v>
      </c>
      <c r="D295" s="2" t="s">
        <v>31</v>
      </c>
      <c r="E295" s="13">
        <v>45879</v>
      </c>
      <c r="F295" s="14" t="s">
        <v>146</v>
      </c>
      <c r="G295" s="14" t="s">
        <v>147</v>
      </c>
      <c r="H295" s="14" t="s">
        <v>101</v>
      </c>
      <c r="I295" s="15">
        <v>1</v>
      </c>
      <c r="J295" s="15">
        <v>24</v>
      </c>
      <c r="K295" s="15">
        <v>186.23</v>
      </c>
      <c r="L295" s="15">
        <v>4469.5200000000004</v>
      </c>
      <c r="M295" s="15">
        <v>-343.71</v>
      </c>
      <c r="N295" s="15">
        <v>0</v>
      </c>
      <c r="O295" s="15">
        <v>536.35539899999992</v>
      </c>
      <c r="P295" s="15">
        <v>4662.1653990000004</v>
      </c>
    </row>
    <row r="296" spans="1:16" ht="15" x14ac:dyDescent="0.2">
      <c r="A296" s="4" t="s">
        <v>579</v>
      </c>
      <c r="B296" s="21" t="str">
        <f t="shared" si="8"/>
        <v>Aug-2025</v>
      </c>
      <c r="C296" s="2" t="str">
        <f t="shared" si="9"/>
        <v>Q2</v>
      </c>
      <c r="D296" s="2" t="s">
        <v>31</v>
      </c>
      <c r="E296" s="13">
        <v>45879</v>
      </c>
      <c r="F296" s="14" t="s">
        <v>148</v>
      </c>
      <c r="G296" s="14" t="s">
        <v>147</v>
      </c>
      <c r="H296" s="14" t="s">
        <v>92</v>
      </c>
      <c r="I296" s="15">
        <v>1</v>
      </c>
      <c r="J296" s="15">
        <v>20</v>
      </c>
      <c r="K296" s="15">
        <v>242.1</v>
      </c>
      <c r="L296" s="15">
        <v>4841.9999999999991</v>
      </c>
      <c r="M296" s="15">
        <v>-372.35</v>
      </c>
      <c r="N296" s="15">
        <v>0</v>
      </c>
      <c r="O296" s="15">
        <v>581.05470500000001</v>
      </c>
      <c r="P296" s="15">
        <v>5050.7047050000001</v>
      </c>
    </row>
    <row r="297" spans="1:16" ht="15" x14ac:dyDescent="0.2">
      <c r="A297" s="4" t="s">
        <v>582</v>
      </c>
      <c r="B297" s="21" t="str">
        <f t="shared" si="8"/>
        <v>Aug-2025</v>
      </c>
      <c r="C297" s="2" t="str">
        <f t="shared" si="9"/>
        <v>Q2</v>
      </c>
      <c r="D297" s="2" t="s">
        <v>31</v>
      </c>
      <c r="E297" s="13">
        <v>45879</v>
      </c>
      <c r="F297" s="14" t="s">
        <v>148</v>
      </c>
      <c r="G297" s="14" t="s">
        <v>147</v>
      </c>
      <c r="H297" s="14" t="s">
        <v>77</v>
      </c>
      <c r="I297" s="15">
        <v>1</v>
      </c>
      <c r="J297" s="15">
        <v>24</v>
      </c>
      <c r="K297" s="15">
        <v>204.85</v>
      </c>
      <c r="L297" s="15">
        <v>4916.4000000000005</v>
      </c>
      <c r="M297" s="15">
        <v>-378.07</v>
      </c>
      <c r="N297" s="15">
        <v>0</v>
      </c>
      <c r="O297" s="15">
        <v>589.98310800000002</v>
      </c>
      <c r="P297" s="15">
        <v>5128.3131080000003</v>
      </c>
    </row>
    <row r="298" spans="1:16" ht="15" x14ac:dyDescent="0.2">
      <c r="A298" s="4" t="s">
        <v>578</v>
      </c>
      <c r="B298" s="21" t="str">
        <f t="shared" si="8"/>
        <v>Aug-2025</v>
      </c>
      <c r="C298" s="2" t="str">
        <f t="shared" si="9"/>
        <v>Q2</v>
      </c>
      <c r="D298" s="2" t="s">
        <v>31</v>
      </c>
      <c r="E298" s="13">
        <v>45879</v>
      </c>
      <c r="F298" s="14" t="s">
        <v>148</v>
      </c>
      <c r="G298" s="14" t="s">
        <v>147</v>
      </c>
      <c r="H298" s="14" t="s">
        <v>59</v>
      </c>
      <c r="I298" s="15">
        <v>2.5</v>
      </c>
      <c r="J298" s="15">
        <v>105</v>
      </c>
      <c r="K298" s="15">
        <v>74.489999999999995</v>
      </c>
      <c r="L298" s="15">
        <v>7821.45</v>
      </c>
      <c r="M298" s="15">
        <v>-601.47</v>
      </c>
      <c r="N298" s="15">
        <v>0</v>
      </c>
      <c r="O298" s="15">
        <v>938.59773199999995</v>
      </c>
      <c r="P298" s="15">
        <v>8158.5777319999997</v>
      </c>
    </row>
    <row r="299" spans="1:16" ht="15" x14ac:dyDescent="0.2">
      <c r="A299" s="4" t="s">
        <v>585</v>
      </c>
      <c r="B299" s="21" t="str">
        <f t="shared" si="8"/>
        <v>Aug-2025</v>
      </c>
      <c r="C299" s="2" t="str">
        <f t="shared" si="9"/>
        <v>Q2</v>
      </c>
      <c r="D299" s="2" t="s">
        <v>31</v>
      </c>
      <c r="E299" s="13">
        <v>45879</v>
      </c>
      <c r="F299" s="14" t="s">
        <v>148</v>
      </c>
      <c r="G299" s="14" t="s">
        <v>147</v>
      </c>
      <c r="H299" s="14" t="s">
        <v>73</v>
      </c>
      <c r="I299" s="15">
        <v>1</v>
      </c>
      <c r="J299" s="15">
        <v>1600</v>
      </c>
      <c r="K299" s="15">
        <v>1.79</v>
      </c>
      <c r="L299" s="15">
        <v>2864</v>
      </c>
      <c r="M299" s="15">
        <v>-220.24</v>
      </c>
      <c r="N299" s="15">
        <v>0</v>
      </c>
      <c r="O299" s="15">
        <v>343.68892100000005</v>
      </c>
      <c r="P299" s="15">
        <v>2987.4489210000002</v>
      </c>
    </row>
    <row r="300" spans="1:16" ht="15" x14ac:dyDescent="0.2">
      <c r="A300" s="4" t="s">
        <v>573</v>
      </c>
      <c r="B300" s="21" t="str">
        <f t="shared" si="8"/>
        <v>Aug-2025</v>
      </c>
      <c r="C300" s="2" t="str">
        <f t="shared" si="9"/>
        <v>Q2</v>
      </c>
      <c r="D300" s="2" t="s">
        <v>31</v>
      </c>
      <c r="E300" s="13">
        <v>45879</v>
      </c>
      <c r="F300" s="14" t="s">
        <v>148</v>
      </c>
      <c r="G300" s="14" t="s">
        <v>147</v>
      </c>
      <c r="H300" s="14" t="s">
        <v>49</v>
      </c>
      <c r="I300" s="15">
        <v>1</v>
      </c>
      <c r="J300" s="15">
        <v>40</v>
      </c>
      <c r="K300" s="15">
        <v>111.74</v>
      </c>
      <c r="L300" s="15">
        <v>4469.6000000000004</v>
      </c>
      <c r="M300" s="15">
        <v>-343.71</v>
      </c>
      <c r="N300" s="15">
        <v>0</v>
      </c>
      <c r="O300" s="15">
        <v>536.36589000000004</v>
      </c>
      <c r="P300" s="15">
        <v>4662.2558900000004</v>
      </c>
    </row>
    <row r="301" spans="1:16" ht="15" x14ac:dyDescent="0.2">
      <c r="A301" s="4" t="s">
        <v>592</v>
      </c>
      <c r="B301" s="21" t="str">
        <f t="shared" si="8"/>
        <v>Aug-2025</v>
      </c>
      <c r="C301" s="2" t="str">
        <f t="shared" si="9"/>
        <v>Q2</v>
      </c>
      <c r="D301" s="2" t="s">
        <v>31</v>
      </c>
      <c r="E301" s="13">
        <v>45879</v>
      </c>
      <c r="F301" s="14" t="s">
        <v>148</v>
      </c>
      <c r="G301" s="14" t="s">
        <v>147</v>
      </c>
      <c r="H301" s="14" t="s">
        <v>115</v>
      </c>
      <c r="I301" s="15">
        <v>1</v>
      </c>
      <c r="J301" s="15">
        <v>50</v>
      </c>
      <c r="K301" s="15">
        <v>89.39</v>
      </c>
      <c r="L301" s="15">
        <v>4469.5</v>
      </c>
      <c r="M301" s="15">
        <v>-343.7</v>
      </c>
      <c r="N301" s="15">
        <v>0</v>
      </c>
      <c r="O301" s="15">
        <v>536.35419000000002</v>
      </c>
      <c r="P301" s="15">
        <v>4662.1541900000002</v>
      </c>
    </row>
    <row r="302" spans="1:16" ht="15" x14ac:dyDescent="0.2">
      <c r="A302" s="4" t="s">
        <v>573</v>
      </c>
      <c r="B302" s="21" t="str">
        <f t="shared" si="8"/>
        <v>Aug-2025</v>
      </c>
      <c r="C302" s="2" t="str">
        <f t="shared" si="9"/>
        <v>Q2</v>
      </c>
      <c r="D302" s="2" t="s">
        <v>31</v>
      </c>
      <c r="E302" s="13">
        <v>45879</v>
      </c>
      <c r="F302" s="14" t="s">
        <v>148</v>
      </c>
      <c r="G302" s="14" t="s">
        <v>147</v>
      </c>
      <c r="H302" s="14" t="s">
        <v>136</v>
      </c>
      <c r="I302" s="15">
        <v>1</v>
      </c>
      <c r="J302" s="15">
        <v>40</v>
      </c>
      <c r="K302" s="15">
        <v>111.74</v>
      </c>
      <c r="L302" s="15">
        <v>4469.6000000000004</v>
      </c>
      <c r="M302" s="15">
        <v>-343.71</v>
      </c>
      <c r="N302" s="15">
        <v>0</v>
      </c>
      <c r="O302" s="15">
        <v>536.36589000000004</v>
      </c>
      <c r="P302" s="15">
        <v>4662.2558900000004</v>
      </c>
    </row>
    <row r="303" spans="1:16" ht="15" x14ac:dyDescent="0.2">
      <c r="A303" s="4" t="s">
        <v>586</v>
      </c>
      <c r="B303" s="21" t="str">
        <f t="shared" si="8"/>
        <v>Aug-2025</v>
      </c>
      <c r="C303" s="2" t="str">
        <f t="shared" si="9"/>
        <v>Q2</v>
      </c>
      <c r="D303" s="2" t="s">
        <v>31</v>
      </c>
      <c r="E303" s="13">
        <v>45879</v>
      </c>
      <c r="F303" s="14" t="s">
        <v>148</v>
      </c>
      <c r="G303" s="14" t="s">
        <v>147</v>
      </c>
      <c r="H303" s="14" t="s">
        <v>114</v>
      </c>
      <c r="I303" s="15">
        <v>1</v>
      </c>
      <c r="J303" s="15">
        <v>240</v>
      </c>
      <c r="K303" s="15">
        <v>14.9</v>
      </c>
      <c r="L303" s="15">
        <v>3576</v>
      </c>
      <c r="M303" s="15">
        <v>-274.99</v>
      </c>
      <c r="N303" s="15">
        <v>0</v>
      </c>
      <c r="O303" s="15">
        <v>429.13145200000002</v>
      </c>
      <c r="P303" s="15">
        <v>3730.1414519999998</v>
      </c>
    </row>
    <row r="304" spans="1:16" ht="15" x14ac:dyDescent="0.2">
      <c r="A304" s="4" t="s">
        <v>576</v>
      </c>
      <c r="B304" s="21" t="str">
        <f t="shared" si="8"/>
        <v>Aug-2025</v>
      </c>
      <c r="C304" s="2" t="str">
        <f t="shared" si="9"/>
        <v>Q2</v>
      </c>
      <c r="D304" s="2" t="s">
        <v>31</v>
      </c>
      <c r="E304" s="13">
        <v>45879</v>
      </c>
      <c r="F304" s="14" t="s">
        <v>148</v>
      </c>
      <c r="G304" s="14" t="s">
        <v>147</v>
      </c>
      <c r="H304" s="14" t="s">
        <v>56</v>
      </c>
      <c r="I304" s="15">
        <v>2</v>
      </c>
      <c r="J304" s="15">
        <v>40</v>
      </c>
      <c r="K304" s="15">
        <v>175.05</v>
      </c>
      <c r="L304" s="15">
        <v>7001.9999999999991</v>
      </c>
      <c r="M304" s="15">
        <v>-538.45000000000005</v>
      </c>
      <c r="N304" s="15">
        <v>0</v>
      </c>
      <c r="O304" s="15">
        <v>840.261797</v>
      </c>
      <c r="P304" s="15">
        <v>7303.8117970000003</v>
      </c>
    </row>
    <row r="305" spans="1:16" ht="15" x14ac:dyDescent="0.2">
      <c r="A305" s="4" t="s">
        <v>573</v>
      </c>
      <c r="B305" s="21" t="str">
        <f t="shared" si="8"/>
        <v>Aug-2025</v>
      </c>
      <c r="C305" s="2" t="str">
        <f t="shared" si="9"/>
        <v>Q2</v>
      </c>
      <c r="D305" s="2" t="s">
        <v>31</v>
      </c>
      <c r="E305" s="13">
        <v>45879</v>
      </c>
      <c r="F305" s="14" t="s">
        <v>148</v>
      </c>
      <c r="G305" s="14" t="s">
        <v>147</v>
      </c>
      <c r="H305" s="14" t="s">
        <v>111</v>
      </c>
      <c r="I305" s="15">
        <v>3</v>
      </c>
      <c r="J305" s="15">
        <v>120</v>
      </c>
      <c r="K305" s="15">
        <v>111.74</v>
      </c>
      <c r="L305" s="15">
        <v>13408.8</v>
      </c>
      <c r="M305" s="15">
        <v>-1031.1400000000001</v>
      </c>
      <c r="N305" s="15">
        <v>0</v>
      </c>
      <c r="O305" s="15">
        <v>1609.0963690000001</v>
      </c>
      <c r="P305" s="15">
        <v>13986.756369000001</v>
      </c>
    </row>
    <row r="306" spans="1:16" ht="15" x14ac:dyDescent="0.2">
      <c r="A306" s="4" t="s">
        <v>576</v>
      </c>
      <c r="B306" s="21" t="str">
        <f t="shared" si="8"/>
        <v>Aug-2025</v>
      </c>
      <c r="C306" s="2" t="str">
        <f t="shared" si="9"/>
        <v>Q2</v>
      </c>
      <c r="D306" s="2" t="s">
        <v>31</v>
      </c>
      <c r="E306" s="13">
        <v>45879</v>
      </c>
      <c r="F306" s="14" t="s">
        <v>148</v>
      </c>
      <c r="G306" s="14" t="s">
        <v>147</v>
      </c>
      <c r="H306" s="14" t="s">
        <v>110</v>
      </c>
      <c r="I306" s="15">
        <v>3</v>
      </c>
      <c r="J306" s="15">
        <v>60</v>
      </c>
      <c r="K306" s="15">
        <v>175.05</v>
      </c>
      <c r="L306" s="15">
        <v>10503</v>
      </c>
      <c r="M306" s="15">
        <v>-807.68</v>
      </c>
      <c r="N306" s="15">
        <v>0</v>
      </c>
      <c r="O306" s="15">
        <v>1260.3920450000001</v>
      </c>
      <c r="P306" s="15">
        <v>10955.712045</v>
      </c>
    </row>
    <row r="307" spans="1:16" ht="15" x14ac:dyDescent="0.2">
      <c r="A307" s="4" t="s">
        <v>578</v>
      </c>
      <c r="B307" s="21" t="str">
        <f t="shared" si="8"/>
        <v>Aug-2025</v>
      </c>
      <c r="C307" s="2" t="str">
        <f t="shared" si="9"/>
        <v>Q2</v>
      </c>
      <c r="D307" s="2" t="s">
        <v>31</v>
      </c>
      <c r="E307" s="13">
        <v>45879</v>
      </c>
      <c r="F307" s="14" t="s">
        <v>148</v>
      </c>
      <c r="G307" s="14" t="s">
        <v>147</v>
      </c>
      <c r="H307" s="14" t="s">
        <v>62</v>
      </c>
      <c r="I307" s="15">
        <v>4</v>
      </c>
      <c r="J307" s="15">
        <v>168</v>
      </c>
      <c r="K307" s="15">
        <v>74.489999999999995</v>
      </c>
      <c r="L307" s="15">
        <v>12514.32</v>
      </c>
      <c r="M307" s="15">
        <v>-962.35</v>
      </c>
      <c r="N307" s="15">
        <v>0</v>
      </c>
      <c r="O307" s="15">
        <v>1501.756631</v>
      </c>
      <c r="P307" s="15">
        <v>13053.726631</v>
      </c>
    </row>
    <row r="308" spans="1:16" ht="15" x14ac:dyDescent="0.2">
      <c r="A308" s="4" t="s">
        <v>582</v>
      </c>
      <c r="B308" s="21" t="str">
        <f t="shared" si="8"/>
        <v>Aug-2025</v>
      </c>
      <c r="C308" s="2" t="str">
        <f t="shared" si="9"/>
        <v>Q2</v>
      </c>
      <c r="D308" s="2" t="s">
        <v>31</v>
      </c>
      <c r="E308" s="13">
        <v>45879</v>
      </c>
      <c r="F308" s="14" t="s">
        <v>148</v>
      </c>
      <c r="G308" s="14" t="s">
        <v>147</v>
      </c>
      <c r="H308" s="14" t="s">
        <v>108</v>
      </c>
      <c r="I308" s="15">
        <v>1</v>
      </c>
      <c r="J308" s="15">
        <v>24</v>
      </c>
      <c r="K308" s="15">
        <v>186.23</v>
      </c>
      <c r="L308" s="15">
        <v>4469.5200000000004</v>
      </c>
      <c r="M308" s="15">
        <v>-343.71</v>
      </c>
      <c r="N308" s="15">
        <v>0</v>
      </c>
      <c r="O308" s="15">
        <v>536.35549000000003</v>
      </c>
      <c r="P308" s="15">
        <v>4662.1654900000003</v>
      </c>
    </row>
    <row r="309" spans="1:16" ht="15" x14ac:dyDescent="0.2">
      <c r="A309" s="4" t="s">
        <v>583</v>
      </c>
      <c r="B309" s="21" t="str">
        <f t="shared" si="8"/>
        <v>Aug-2025</v>
      </c>
      <c r="C309" s="2" t="str">
        <f t="shared" si="9"/>
        <v>Q2</v>
      </c>
      <c r="D309" s="2" t="s">
        <v>31</v>
      </c>
      <c r="E309" s="13">
        <v>45879</v>
      </c>
      <c r="F309" s="14" t="s">
        <v>148</v>
      </c>
      <c r="G309" s="14" t="s">
        <v>147</v>
      </c>
      <c r="H309" s="14" t="s">
        <v>109</v>
      </c>
      <c r="I309" s="15">
        <v>1</v>
      </c>
      <c r="J309" s="15">
        <v>15</v>
      </c>
      <c r="K309" s="15">
        <v>260.72000000000003</v>
      </c>
      <c r="L309" s="15">
        <v>3910.8</v>
      </c>
      <c r="M309" s="15">
        <v>-300.74</v>
      </c>
      <c r="N309" s="15">
        <v>0</v>
      </c>
      <c r="O309" s="15">
        <v>469.30796600000002</v>
      </c>
      <c r="P309" s="15">
        <v>4079.3679659999998</v>
      </c>
    </row>
    <row r="310" spans="1:16" ht="15" x14ac:dyDescent="0.2">
      <c r="A310" s="4" t="s">
        <v>583</v>
      </c>
      <c r="B310" s="21" t="str">
        <f t="shared" si="8"/>
        <v>Aug-2025</v>
      </c>
      <c r="C310" s="2" t="str">
        <f t="shared" si="9"/>
        <v>Q2</v>
      </c>
      <c r="D310" s="2" t="s">
        <v>31</v>
      </c>
      <c r="E310" s="13">
        <v>45879</v>
      </c>
      <c r="F310" s="14" t="s">
        <v>148</v>
      </c>
      <c r="G310" s="14" t="s">
        <v>147</v>
      </c>
      <c r="H310" s="14" t="s">
        <v>113</v>
      </c>
      <c r="I310" s="15">
        <v>2</v>
      </c>
      <c r="J310" s="15">
        <v>30</v>
      </c>
      <c r="K310" s="15">
        <v>260.72000000000003</v>
      </c>
      <c r="L310" s="15">
        <v>7821.6</v>
      </c>
      <c r="M310" s="15">
        <v>-601.48</v>
      </c>
      <c r="N310" s="15">
        <v>0</v>
      </c>
      <c r="O310" s="15">
        <v>938.61593200000004</v>
      </c>
      <c r="P310" s="15">
        <v>8158.7359319999996</v>
      </c>
    </row>
    <row r="311" spans="1:16" ht="15" x14ac:dyDescent="0.2">
      <c r="A311" s="4" t="s">
        <v>586</v>
      </c>
      <c r="B311" s="21" t="str">
        <f t="shared" si="8"/>
        <v>Aug-2025</v>
      </c>
      <c r="C311" s="2" t="str">
        <f t="shared" si="9"/>
        <v>Q2</v>
      </c>
      <c r="D311" s="2" t="s">
        <v>31</v>
      </c>
      <c r="E311" s="13">
        <v>45879</v>
      </c>
      <c r="F311" s="14" t="s">
        <v>148</v>
      </c>
      <c r="G311" s="14" t="s">
        <v>147</v>
      </c>
      <c r="H311" s="14" t="s">
        <v>78</v>
      </c>
      <c r="I311" s="15">
        <v>1</v>
      </c>
      <c r="J311" s="15">
        <v>600</v>
      </c>
      <c r="K311" s="15">
        <v>7.45</v>
      </c>
      <c r="L311" s="15">
        <v>4470</v>
      </c>
      <c r="M311" s="15">
        <v>-343.74</v>
      </c>
      <c r="N311" s="15">
        <v>0</v>
      </c>
      <c r="O311" s="15">
        <v>536.41399000000001</v>
      </c>
      <c r="P311" s="15">
        <v>4662.6739900000002</v>
      </c>
    </row>
    <row r="312" spans="1:16" ht="15" x14ac:dyDescent="0.2">
      <c r="A312" s="4" t="s">
        <v>580</v>
      </c>
      <c r="B312" s="21" t="str">
        <f t="shared" si="8"/>
        <v>Aug-2025</v>
      </c>
      <c r="C312" s="2" t="str">
        <f t="shared" si="9"/>
        <v>Q2</v>
      </c>
      <c r="D312" s="2" t="s">
        <v>31</v>
      </c>
      <c r="E312" s="13">
        <v>45879</v>
      </c>
      <c r="F312" s="14" t="s">
        <v>148</v>
      </c>
      <c r="G312" s="14" t="s">
        <v>147</v>
      </c>
      <c r="H312" s="14" t="s">
        <v>89</v>
      </c>
      <c r="I312" s="15">
        <v>2</v>
      </c>
      <c r="J312" s="15">
        <v>140</v>
      </c>
      <c r="K312" s="15">
        <v>32.78</v>
      </c>
      <c r="L312" s="15">
        <v>4589.2</v>
      </c>
      <c r="M312" s="15">
        <v>-352.91</v>
      </c>
      <c r="N312" s="15">
        <v>0</v>
      </c>
      <c r="O312" s="15">
        <v>550.717895</v>
      </c>
      <c r="P312" s="15">
        <v>4787.0078949999997</v>
      </c>
    </row>
    <row r="313" spans="1:16" ht="15" x14ac:dyDescent="0.2">
      <c r="A313" s="4" t="s">
        <v>580</v>
      </c>
      <c r="B313" s="21" t="str">
        <f t="shared" si="8"/>
        <v>Aug-2025</v>
      </c>
      <c r="C313" s="2" t="str">
        <f t="shared" si="9"/>
        <v>Q2</v>
      </c>
      <c r="D313" s="2" t="s">
        <v>31</v>
      </c>
      <c r="E313" s="13">
        <v>45879</v>
      </c>
      <c r="F313" s="14" t="s">
        <v>149</v>
      </c>
      <c r="G313" s="14" t="s">
        <v>51</v>
      </c>
      <c r="H313" s="14" t="s">
        <v>89</v>
      </c>
      <c r="I313" s="15">
        <v>2</v>
      </c>
      <c r="J313" s="15">
        <v>140</v>
      </c>
      <c r="K313" s="15">
        <v>32.78</v>
      </c>
      <c r="L313" s="15">
        <v>4589.2</v>
      </c>
      <c r="M313" s="15">
        <v>-352.91</v>
      </c>
      <c r="N313" s="15">
        <v>0</v>
      </c>
      <c r="O313" s="15">
        <v>550.71756900000003</v>
      </c>
      <c r="P313" s="15">
        <v>4787.0075690000003</v>
      </c>
    </row>
    <row r="314" spans="1:16" ht="15" x14ac:dyDescent="0.2">
      <c r="A314" s="4" t="s">
        <v>584</v>
      </c>
      <c r="B314" s="21" t="str">
        <f t="shared" si="8"/>
        <v>Aug-2025</v>
      </c>
      <c r="C314" s="2" t="str">
        <f t="shared" si="9"/>
        <v>Q2</v>
      </c>
      <c r="D314" s="2" t="s">
        <v>31</v>
      </c>
      <c r="E314" s="13">
        <v>45879</v>
      </c>
      <c r="F314" s="14" t="s">
        <v>149</v>
      </c>
      <c r="G314" s="14" t="s">
        <v>51</v>
      </c>
      <c r="H314" s="14" t="s">
        <v>100</v>
      </c>
      <c r="I314" s="15">
        <v>2</v>
      </c>
      <c r="J314" s="15">
        <v>80</v>
      </c>
      <c r="K314" s="15">
        <v>81.94</v>
      </c>
      <c r="L314" s="15">
        <v>6555.2</v>
      </c>
      <c r="M314" s="15">
        <v>-504.09</v>
      </c>
      <c r="N314" s="15">
        <v>0</v>
      </c>
      <c r="O314" s="15">
        <v>786.64411299999995</v>
      </c>
      <c r="P314" s="15">
        <v>6837.754113</v>
      </c>
    </row>
    <row r="315" spans="1:16" ht="15" x14ac:dyDescent="0.2">
      <c r="A315" s="4" t="s">
        <v>584</v>
      </c>
      <c r="B315" s="21" t="str">
        <f t="shared" si="8"/>
        <v>Aug-2025</v>
      </c>
      <c r="C315" s="2" t="str">
        <f t="shared" si="9"/>
        <v>Q2</v>
      </c>
      <c r="D315" s="2" t="s">
        <v>31</v>
      </c>
      <c r="E315" s="13">
        <v>45879</v>
      </c>
      <c r="F315" s="14" t="s">
        <v>149</v>
      </c>
      <c r="G315" s="14" t="s">
        <v>51</v>
      </c>
      <c r="H315" s="14" t="s">
        <v>99</v>
      </c>
      <c r="I315" s="15">
        <v>2</v>
      </c>
      <c r="J315" s="15">
        <v>80</v>
      </c>
      <c r="K315" s="15">
        <v>81.94</v>
      </c>
      <c r="L315" s="15">
        <v>6555.2</v>
      </c>
      <c r="M315" s="15">
        <v>-504.09</v>
      </c>
      <c r="N315" s="15">
        <v>0</v>
      </c>
      <c r="O315" s="15">
        <v>786.64411299999995</v>
      </c>
      <c r="P315" s="15">
        <v>6837.754113</v>
      </c>
    </row>
    <row r="316" spans="1:16" ht="15" x14ac:dyDescent="0.2">
      <c r="A316" s="4" t="s">
        <v>579</v>
      </c>
      <c r="B316" s="21" t="str">
        <f t="shared" si="8"/>
        <v>Aug-2025</v>
      </c>
      <c r="C316" s="2" t="str">
        <f t="shared" si="9"/>
        <v>Q2</v>
      </c>
      <c r="D316" s="2" t="s">
        <v>31</v>
      </c>
      <c r="E316" s="13">
        <v>45879</v>
      </c>
      <c r="F316" s="14" t="s">
        <v>149</v>
      </c>
      <c r="G316" s="14" t="s">
        <v>51</v>
      </c>
      <c r="H316" s="14" t="s">
        <v>70</v>
      </c>
      <c r="I316" s="15">
        <v>1</v>
      </c>
      <c r="J316" s="15">
        <v>20</v>
      </c>
      <c r="K316" s="15">
        <v>201.13</v>
      </c>
      <c r="L316" s="15">
        <v>4022.6</v>
      </c>
      <c r="M316" s="15">
        <v>-309.33999999999997</v>
      </c>
      <c r="N316" s="15">
        <v>0</v>
      </c>
      <c r="O316" s="15">
        <v>482.72368499999999</v>
      </c>
      <c r="P316" s="15">
        <v>4195.9836850000002</v>
      </c>
    </row>
    <row r="317" spans="1:16" ht="15" x14ac:dyDescent="0.2">
      <c r="A317" s="4" t="s">
        <v>576</v>
      </c>
      <c r="B317" s="21" t="str">
        <f t="shared" si="8"/>
        <v>Aug-2025</v>
      </c>
      <c r="C317" s="2" t="str">
        <f t="shared" si="9"/>
        <v>Q2</v>
      </c>
      <c r="D317" s="2" t="s">
        <v>31</v>
      </c>
      <c r="E317" s="13">
        <v>45879</v>
      </c>
      <c r="F317" s="14" t="s">
        <v>149</v>
      </c>
      <c r="G317" s="14" t="s">
        <v>51</v>
      </c>
      <c r="H317" s="14" t="s">
        <v>68</v>
      </c>
      <c r="I317" s="15">
        <v>1</v>
      </c>
      <c r="J317" s="15">
        <v>20</v>
      </c>
      <c r="K317" s="15">
        <v>175.05</v>
      </c>
      <c r="L317" s="15">
        <v>3500.9999999999995</v>
      </c>
      <c r="M317" s="15">
        <v>-269.23</v>
      </c>
      <c r="N317" s="15">
        <v>0</v>
      </c>
      <c r="O317" s="15">
        <v>420.13</v>
      </c>
      <c r="P317" s="15">
        <v>3651.9</v>
      </c>
    </row>
    <row r="318" spans="1:16" ht="15" x14ac:dyDescent="0.2">
      <c r="A318" s="4" t="s">
        <v>587</v>
      </c>
      <c r="B318" s="21" t="str">
        <f t="shared" si="8"/>
        <v>Aug-2025</v>
      </c>
      <c r="C318" s="2" t="str">
        <f t="shared" si="9"/>
        <v>Q2</v>
      </c>
      <c r="D318" s="2" t="s">
        <v>31</v>
      </c>
      <c r="E318" s="13">
        <v>45879</v>
      </c>
      <c r="F318" s="14" t="s">
        <v>149</v>
      </c>
      <c r="G318" s="14" t="s">
        <v>51</v>
      </c>
      <c r="H318" s="14" t="s">
        <v>94</v>
      </c>
      <c r="I318" s="15">
        <v>1</v>
      </c>
      <c r="J318" s="15">
        <v>60</v>
      </c>
      <c r="K318" s="15">
        <v>111.74</v>
      </c>
      <c r="L318" s="15">
        <v>6704.4</v>
      </c>
      <c r="M318" s="15">
        <v>-515.57000000000005</v>
      </c>
      <c r="N318" s="15">
        <v>0</v>
      </c>
      <c r="O318" s="15">
        <v>804.54770800000006</v>
      </c>
      <c r="P318" s="15">
        <v>6993.377708</v>
      </c>
    </row>
    <row r="319" spans="1:16" ht="15" x14ac:dyDescent="0.2">
      <c r="A319" s="4" t="s">
        <v>581</v>
      </c>
      <c r="B319" s="21" t="str">
        <f t="shared" si="8"/>
        <v>Aug-2025</v>
      </c>
      <c r="C319" s="2" t="str">
        <f t="shared" si="9"/>
        <v>Q2</v>
      </c>
      <c r="D319" s="2" t="s">
        <v>31</v>
      </c>
      <c r="E319" s="13">
        <v>45879</v>
      </c>
      <c r="F319" s="14" t="s">
        <v>149</v>
      </c>
      <c r="G319" s="14" t="s">
        <v>51</v>
      </c>
      <c r="H319" s="14" t="s">
        <v>104</v>
      </c>
      <c r="I319" s="15">
        <v>2</v>
      </c>
      <c r="J319" s="15">
        <v>80</v>
      </c>
      <c r="K319" s="15">
        <v>67.040000000000006</v>
      </c>
      <c r="L319" s="15">
        <v>5363.2</v>
      </c>
      <c r="M319" s="15">
        <v>-412.43</v>
      </c>
      <c r="N319" s="15">
        <v>0</v>
      </c>
      <c r="O319" s="15">
        <v>643.59994700000004</v>
      </c>
      <c r="P319" s="15">
        <v>5594.3699470000001</v>
      </c>
    </row>
    <row r="320" spans="1:16" ht="15" x14ac:dyDescent="0.2">
      <c r="A320" s="4" t="s">
        <v>573</v>
      </c>
      <c r="B320" s="21" t="str">
        <f t="shared" si="8"/>
        <v>Aug-2025</v>
      </c>
      <c r="C320" s="2" t="str">
        <f t="shared" si="9"/>
        <v>Q2</v>
      </c>
      <c r="D320" s="2" t="s">
        <v>31</v>
      </c>
      <c r="E320" s="13">
        <v>45879</v>
      </c>
      <c r="F320" s="14" t="s">
        <v>149</v>
      </c>
      <c r="G320" s="14" t="s">
        <v>51</v>
      </c>
      <c r="H320" s="14" t="s">
        <v>47</v>
      </c>
      <c r="I320" s="15">
        <v>1</v>
      </c>
      <c r="J320" s="15">
        <v>40</v>
      </c>
      <c r="K320" s="15">
        <v>111.74</v>
      </c>
      <c r="L320" s="15">
        <v>4469.6000000000004</v>
      </c>
      <c r="M320" s="15">
        <v>-343.71</v>
      </c>
      <c r="N320" s="15">
        <v>0</v>
      </c>
      <c r="O320" s="15">
        <v>536.36557199999993</v>
      </c>
      <c r="P320" s="15">
        <v>4662.255572</v>
      </c>
    </row>
    <row r="321" spans="1:16" ht="15" x14ac:dyDescent="0.2">
      <c r="A321" s="4" t="s">
        <v>581</v>
      </c>
      <c r="B321" s="21" t="str">
        <f t="shared" si="8"/>
        <v>Aug-2025</v>
      </c>
      <c r="C321" s="2" t="str">
        <f t="shared" si="9"/>
        <v>Q2</v>
      </c>
      <c r="D321" s="2" t="s">
        <v>31</v>
      </c>
      <c r="E321" s="13">
        <v>45879</v>
      </c>
      <c r="F321" s="14" t="s">
        <v>149</v>
      </c>
      <c r="G321" s="14" t="s">
        <v>51</v>
      </c>
      <c r="H321" s="14" t="s">
        <v>125</v>
      </c>
      <c r="I321" s="15">
        <v>2</v>
      </c>
      <c r="J321" s="15">
        <v>1600</v>
      </c>
      <c r="K321" s="15">
        <v>7.46</v>
      </c>
      <c r="L321" s="15">
        <v>11936</v>
      </c>
      <c r="M321" s="15">
        <v>-917.88</v>
      </c>
      <c r="N321" s="15">
        <v>0</v>
      </c>
      <c r="O321" s="15">
        <v>1432.3552590000002</v>
      </c>
      <c r="P321" s="15">
        <v>12450.475259000001</v>
      </c>
    </row>
    <row r="322" spans="1:16" ht="15" x14ac:dyDescent="0.2">
      <c r="A322" s="4" t="s">
        <v>590</v>
      </c>
      <c r="B322" s="21" t="str">
        <f t="shared" si="8"/>
        <v>Aug-2025</v>
      </c>
      <c r="C322" s="2" t="str">
        <f t="shared" si="9"/>
        <v>Q2</v>
      </c>
      <c r="D322" s="2" t="s">
        <v>31</v>
      </c>
      <c r="E322" s="13">
        <v>45879</v>
      </c>
      <c r="F322" s="14" t="s">
        <v>149</v>
      </c>
      <c r="G322" s="14" t="s">
        <v>51</v>
      </c>
      <c r="H322" s="14" t="s">
        <v>102</v>
      </c>
      <c r="I322" s="15">
        <v>3</v>
      </c>
      <c r="J322" s="15">
        <v>60</v>
      </c>
      <c r="K322" s="15">
        <v>249.55</v>
      </c>
      <c r="L322" s="15">
        <v>14973</v>
      </c>
      <c r="M322" s="15">
        <v>-1151.42</v>
      </c>
      <c r="N322" s="15">
        <v>0</v>
      </c>
      <c r="O322" s="15">
        <v>1796.8049720000001</v>
      </c>
      <c r="P322" s="15">
        <v>15618.384972</v>
      </c>
    </row>
    <row r="323" spans="1:16" ht="15" x14ac:dyDescent="0.2">
      <c r="A323" s="4" t="s">
        <v>593</v>
      </c>
      <c r="B323" s="21" t="str">
        <f t="shared" ref="B323:B386" si="10">+TEXT(E323,"MMM-yyy")</f>
        <v>Aug-2025</v>
      </c>
      <c r="C323" s="2" t="str">
        <f t="shared" ref="C323:C386" si="11">"Q" &amp; CHOOSE(MONTH(E323),4,4,4,1,1,1,2,2,2,3,3,3)</f>
        <v>Q2</v>
      </c>
      <c r="D323" s="2" t="s">
        <v>31</v>
      </c>
      <c r="E323" s="13">
        <v>45879</v>
      </c>
      <c r="F323" s="14" t="s">
        <v>149</v>
      </c>
      <c r="G323" s="14" t="s">
        <v>51</v>
      </c>
      <c r="H323" s="14" t="s">
        <v>117</v>
      </c>
      <c r="I323" s="15">
        <v>5</v>
      </c>
      <c r="J323" s="15">
        <v>20</v>
      </c>
      <c r="K323" s="15">
        <v>595.94000000000005</v>
      </c>
      <c r="L323" s="15">
        <v>11918.8</v>
      </c>
      <c r="M323" s="15">
        <v>-916.56</v>
      </c>
      <c r="N323" s="15">
        <v>0</v>
      </c>
      <c r="O323" s="15">
        <v>1430.2908600000001</v>
      </c>
      <c r="P323" s="15">
        <v>12432.530860000001</v>
      </c>
    </row>
    <row r="324" spans="1:16" ht="15" x14ac:dyDescent="0.2">
      <c r="A324" s="4" t="s">
        <v>581</v>
      </c>
      <c r="B324" s="21" t="str">
        <f t="shared" si="10"/>
        <v>Aug-2025</v>
      </c>
      <c r="C324" s="2" t="str">
        <f t="shared" si="11"/>
        <v>Q2</v>
      </c>
      <c r="D324" s="2" t="s">
        <v>31</v>
      </c>
      <c r="E324" s="13">
        <v>45879</v>
      </c>
      <c r="F324" s="14" t="s">
        <v>149</v>
      </c>
      <c r="G324" s="14" t="s">
        <v>51</v>
      </c>
      <c r="H324" s="14" t="s">
        <v>97</v>
      </c>
      <c r="I324" s="15">
        <v>2</v>
      </c>
      <c r="J324" s="15">
        <v>80</v>
      </c>
      <c r="K324" s="15">
        <v>67.040000000000006</v>
      </c>
      <c r="L324" s="15">
        <v>5363.2</v>
      </c>
      <c r="M324" s="15">
        <v>-412.43</v>
      </c>
      <c r="N324" s="15">
        <v>0</v>
      </c>
      <c r="O324" s="15">
        <v>643.59994700000004</v>
      </c>
      <c r="P324" s="15">
        <v>5594.3699470000001</v>
      </c>
    </row>
    <row r="325" spans="1:16" ht="15" x14ac:dyDescent="0.2">
      <c r="A325" s="4" t="s">
        <v>584</v>
      </c>
      <c r="B325" s="21" t="str">
        <f t="shared" si="10"/>
        <v>Aug-2025</v>
      </c>
      <c r="C325" s="2" t="str">
        <f t="shared" si="11"/>
        <v>Q2</v>
      </c>
      <c r="D325" s="2" t="s">
        <v>31</v>
      </c>
      <c r="E325" s="13">
        <v>45879</v>
      </c>
      <c r="F325" s="14" t="s">
        <v>149</v>
      </c>
      <c r="G325" s="14" t="s">
        <v>51</v>
      </c>
      <c r="H325" s="14" t="s">
        <v>120</v>
      </c>
      <c r="I325" s="15">
        <v>2</v>
      </c>
      <c r="J325" s="15">
        <v>80</v>
      </c>
      <c r="K325" s="15">
        <v>81.94</v>
      </c>
      <c r="L325" s="15">
        <v>6555.2</v>
      </c>
      <c r="M325" s="15">
        <v>-504.09</v>
      </c>
      <c r="N325" s="15">
        <v>0</v>
      </c>
      <c r="O325" s="15">
        <v>786.64411299999995</v>
      </c>
      <c r="P325" s="15">
        <v>6837.754113</v>
      </c>
    </row>
    <row r="326" spans="1:16" ht="15" x14ac:dyDescent="0.2">
      <c r="A326" s="4" t="s">
        <v>581</v>
      </c>
      <c r="B326" s="21" t="str">
        <f t="shared" si="10"/>
        <v>Aug-2025</v>
      </c>
      <c r="C326" s="2" t="str">
        <f t="shared" si="11"/>
        <v>Q2</v>
      </c>
      <c r="D326" s="2" t="s">
        <v>31</v>
      </c>
      <c r="E326" s="13">
        <v>45879</v>
      </c>
      <c r="F326" s="14" t="s">
        <v>149</v>
      </c>
      <c r="G326" s="14" t="s">
        <v>51</v>
      </c>
      <c r="H326" s="14" t="s">
        <v>96</v>
      </c>
      <c r="I326" s="15">
        <v>2</v>
      </c>
      <c r="J326" s="15">
        <v>80</v>
      </c>
      <c r="K326" s="15">
        <v>67.040000000000006</v>
      </c>
      <c r="L326" s="15">
        <v>5363.2</v>
      </c>
      <c r="M326" s="15">
        <v>-412.43</v>
      </c>
      <c r="N326" s="15">
        <v>0</v>
      </c>
      <c r="O326" s="15">
        <v>643.59994700000004</v>
      </c>
      <c r="P326" s="15">
        <v>5594.3699470000001</v>
      </c>
    </row>
    <row r="327" spans="1:16" ht="15" x14ac:dyDescent="0.2">
      <c r="A327" s="4" t="s">
        <v>586</v>
      </c>
      <c r="B327" s="21" t="str">
        <f t="shared" si="10"/>
        <v>Aug-2025</v>
      </c>
      <c r="C327" s="2" t="str">
        <f t="shared" si="11"/>
        <v>Q2</v>
      </c>
      <c r="D327" s="2" t="s">
        <v>31</v>
      </c>
      <c r="E327" s="13">
        <v>45879</v>
      </c>
      <c r="F327" s="14" t="s">
        <v>149</v>
      </c>
      <c r="G327" s="14" t="s">
        <v>51</v>
      </c>
      <c r="H327" s="14" t="s">
        <v>103</v>
      </c>
      <c r="I327" s="15">
        <v>1</v>
      </c>
      <c r="J327" s="15">
        <v>600</v>
      </c>
      <c r="K327" s="15">
        <v>7.46</v>
      </c>
      <c r="L327" s="15">
        <v>4476</v>
      </c>
      <c r="M327" s="15">
        <v>-344.2</v>
      </c>
      <c r="N327" s="15">
        <v>0</v>
      </c>
      <c r="O327" s="15">
        <v>537.133872</v>
      </c>
      <c r="P327" s="15">
        <v>4668.9338719999996</v>
      </c>
    </row>
    <row r="328" spans="1:16" ht="15" x14ac:dyDescent="0.2">
      <c r="A328" s="4" t="s">
        <v>580</v>
      </c>
      <c r="B328" s="21" t="str">
        <f t="shared" si="10"/>
        <v>Aug-2025</v>
      </c>
      <c r="C328" s="2" t="str">
        <f t="shared" si="11"/>
        <v>Q2</v>
      </c>
      <c r="D328" s="2" t="s">
        <v>31</v>
      </c>
      <c r="E328" s="13">
        <v>45879</v>
      </c>
      <c r="F328" s="14" t="s">
        <v>149</v>
      </c>
      <c r="G328" s="14" t="s">
        <v>51</v>
      </c>
      <c r="H328" s="14" t="s">
        <v>65</v>
      </c>
      <c r="I328" s="15">
        <v>2</v>
      </c>
      <c r="J328" s="15">
        <v>260</v>
      </c>
      <c r="K328" s="15">
        <v>37.25</v>
      </c>
      <c r="L328" s="15">
        <v>9685</v>
      </c>
      <c r="M328" s="15">
        <v>-744.78</v>
      </c>
      <c r="N328" s="15">
        <v>0</v>
      </c>
      <c r="O328" s="15">
        <v>1162.228323</v>
      </c>
      <c r="P328" s="15">
        <v>10102.448323000001</v>
      </c>
    </row>
    <row r="329" spans="1:16" ht="15" x14ac:dyDescent="0.2">
      <c r="A329" s="4" t="s">
        <v>586</v>
      </c>
      <c r="B329" s="21" t="str">
        <f t="shared" si="10"/>
        <v>Aug-2025</v>
      </c>
      <c r="C329" s="2" t="str">
        <f t="shared" si="11"/>
        <v>Q2</v>
      </c>
      <c r="D329" s="2" t="s">
        <v>31</v>
      </c>
      <c r="E329" s="13">
        <v>45879</v>
      </c>
      <c r="F329" s="14" t="s">
        <v>150</v>
      </c>
      <c r="G329" s="14" t="s">
        <v>51</v>
      </c>
      <c r="H329" s="14" t="s">
        <v>76</v>
      </c>
      <c r="I329" s="15">
        <v>1</v>
      </c>
      <c r="J329" s="15">
        <v>240</v>
      </c>
      <c r="K329" s="15">
        <v>18.62</v>
      </c>
      <c r="L329" s="15">
        <v>4468.8</v>
      </c>
      <c r="M329" s="15">
        <v>-343.65</v>
      </c>
      <c r="N329" s="15">
        <v>0</v>
      </c>
      <c r="O329" s="15">
        <v>536.26957399999992</v>
      </c>
      <c r="P329" s="15">
        <v>4661.4195739999996</v>
      </c>
    </row>
    <row r="330" spans="1:16" ht="15" x14ac:dyDescent="0.2">
      <c r="A330" s="4" t="s">
        <v>579</v>
      </c>
      <c r="B330" s="21" t="str">
        <f t="shared" si="10"/>
        <v>Aug-2025</v>
      </c>
      <c r="C330" s="2" t="str">
        <f t="shared" si="11"/>
        <v>Q2</v>
      </c>
      <c r="D330" s="2" t="s">
        <v>31</v>
      </c>
      <c r="E330" s="13">
        <v>45879</v>
      </c>
      <c r="F330" s="14" t="s">
        <v>150</v>
      </c>
      <c r="G330" s="14" t="s">
        <v>51</v>
      </c>
      <c r="H330" s="14" t="s">
        <v>92</v>
      </c>
      <c r="I330" s="15">
        <v>1</v>
      </c>
      <c r="J330" s="15">
        <v>20</v>
      </c>
      <c r="K330" s="15">
        <v>242.1</v>
      </c>
      <c r="L330" s="15">
        <v>4841.9999999999991</v>
      </c>
      <c r="M330" s="15">
        <v>-372.35</v>
      </c>
      <c r="N330" s="15">
        <v>0</v>
      </c>
      <c r="O330" s="15">
        <v>581.05457999999999</v>
      </c>
      <c r="P330" s="15">
        <v>5050.7045799999996</v>
      </c>
    </row>
    <row r="331" spans="1:16" ht="15" x14ac:dyDescent="0.2">
      <c r="A331" s="4" t="s">
        <v>576</v>
      </c>
      <c r="B331" s="21" t="str">
        <f t="shared" si="10"/>
        <v>Aug-2025</v>
      </c>
      <c r="C331" s="2" t="str">
        <f t="shared" si="11"/>
        <v>Q2</v>
      </c>
      <c r="D331" s="2" t="s">
        <v>31</v>
      </c>
      <c r="E331" s="13">
        <v>45879</v>
      </c>
      <c r="F331" s="14" t="s">
        <v>150</v>
      </c>
      <c r="G331" s="14" t="s">
        <v>51</v>
      </c>
      <c r="H331" s="14" t="s">
        <v>110</v>
      </c>
      <c r="I331" s="15">
        <v>5</v>
      </c>
      <c r="J331" s="15">
        <v>100</v>
      </c>
      <c r="K331" s="15">
        <v>175.05</v>
      </c>
      <c r="L331" s="15">
        <v>17505</v>
      </c>
      <c r="M331" s="15">
        <v>-1346.1299999999999</v>
      </c>
      <c r="N331" s="15">
        <v>0</v>
      </c>
      <c r="O331" s="15">
        <v>2100.6533909999998</v>
      </c>
      <c r="P331" s="15">
        <v>18259.523390999999</v>
      </c>
    </row>
    <row r="332" spans="1:16" ht="15" x14ac:dyDescent="0.2">
      <c r="A332" s="4" t="s">
        <v>592</v>
      </c>
      <c r="B332" s="21" t="str">
        <f t="shared" si="10"/>
        <v>Aug-2025</v>
      </c>
      <c r="C332" s="2" t="str">
        <f t="shared" si="11"/>
        <v>Q2</v>
      </c>
      <c r="D332" s="2" t="s">
        <v>31</v>
      </c>
      <c r="E332" s="13">
        <v>45879</v>
      </c>
      <c r="F332" s="14" t="s">
        <v>150</v>
      </c>
      <c r="G332" s="14" t="s">
        <v>51</v>
      </c>
      <c r="H332" s="14" t="s">
        <v>115</v>
      </c>
      <c r="I332" s="15">
        <v>2</v>
      </c>
      <c r="J332" s="15">
        <v>100</v>
      </c>
      <c r="K332" s="15">
        <v>89.39</v>
      </c>
      <c r="L332" s="15">
        <v>8939</v>
      </c>
      <c r="M332" s="15">
        <v>-687.41</v>
      </c>
      <c r="N332" s="15">
        <v>0</v>
      </c>
      <c r="O332" s="15">
        <v>1072.706848</v>
      </c>
      <c r="P332" s="15">
        <v>9324.296848</v>
      </c>
    </row>
    <row r="333" spans="1:16" ht="15" x14ac:dyDescent="0.2">
      <c r="A333" s="4" t="s">
        <v>583</v>
      </c>
      <c r="B333" s="21" t="str">
        <f t="shared" si="10"/>
        <v>Aug-2025</v>
      </c>
      <c r="C333" s="2" t="str">
        <f t="shared" si="11"/>
        <v>Q2</v>
      </c>
      <c r="D333" s="2" t="s">
        <v>31</v>
      </c>
      <c r="E333" s="13">
        <v>45879</v>
      </c>
      <c r="F333" s="14" t="s">
        <v>150</v>
      </c>
      <c r="G333" s="14" t="s">
        <v>51</v>
      </c>
      <c r="H333" s="14" t="s">
        <v>113</v>
      </c>
      <c r="I333" s="15">
        <v>5</v>
      </c>
      <c r="J333" s="15">
        <v>75</v>
      </c>
      <c r="K333" s="15">
        <v>260.72000000000003</v>
      </c>
      <c r="L333" s="15">
        <v>19554</v>
      </c>
      <c r="M333" s="15">
        <v>-1503.6999999999998</v>
      </c>
      <c r="N333" s="15">
        <v>0</v>
      </c>
      <c r="O333" s="15">
        <v>2346.5393249999997</v>
      </c>
      <c r="P333" s="15">
        <v>20396.839325000001</v>
      </c>
    </row>
    <row r="334" spans="1:16" ht="15" x14ac:dyDescent="0.2">
      <c r="A334" s="4" t="s">
        <v>576</v>
      </c>
      <c r="B334" s="21" t="str">
        <f t="shared" si="10"/>
        <v>Aug-2025</v>
      </c>
      <c r="C334" s="2" t="str">
        <f t="shared" si="11"/>
        <v>Q2</v>
      </c>
      <c r="D334" s="2" t="s">
        <v>31</v>
      </c>
      <c r="E334" s="13">
        <v>45879</v>
      </c>
      <c r="F334" s="14" t="s">
        <v>150</v>
      </c>
      <c r="G334" s="14" t="s">
        <v>51</v>
      </c>
      <c r="H334" s="14" t="s">
        <v>56</v>
      </c>
      <c r="I334" s="15">
        <v>2</v>
      </c>
      <c r="J334" s="15">
        <v>40</v>
      </c>
      <c r="K334" s="15">
        <v>175.05</v>
      </c>
      <c r="L334" s="15">
        <v>7001.9999999999991</v>
      </c>
      <c r="M334" s="15">
        <v>-538.45000000000005</v>
      </c>
      <c r="N334" s="15">
        <v>0</v>
      </c>
      <c r="O334" s="15">
        <v>840.26161600000012</v>
      </c>
      <c r="P334" s="15">
        <v>7303.811616</v>
      </c>
    </row>
    <row r="335" spans="1:16" ht="15" x14ac:dyDescent="0.2">
      <c r="A335" s="4" t="s">
        <v>589</v>
      </c>
      <c r="B335" s="21" t="str">
        <f t="shared" si="10"/>
        <v>Aug-2025</v>
      </c>
      <c r="C335" s="2" t="str">
        <f t="shared" si="11"/>
        <v>Q2</v>
      </c>
      <c r="D335" s="2" t="s">
        <v>31</v>
      </c>
      <c r="E335" s="13">
        <v>45879</v>
      </c>
      <c r="F335" s="14" t="s">
        <v>150</v>
      </c>
      <c r="G335" s="14" t="s">
        <v>51</v>
      </c>
      <c r="H335" s="14" t="s">
        <v>98</v>
      </c>
      <c r="I335" s="15">
        <v>2</v>
      </c>
      <c r="J335" s="15">
        <v>120</v>
      </c>
      <c r="K335" s="15">
        <v>145.26</v>
      </c>
      <c r="L335" s="15">
        <v>17431.2</v>
      </c>
      <c r="M335" s="15">
        <v>-1340.46</v>
      </c>
      <c r="N335" s="15">
        <v>0</v>
      </c>
      <c r="O335" s="15">
        <v>2091.7964889999998</v>
      </c>
      <c r="P335" s="15">
        <v>18182.536488999998</v>
      </c>
    </row>
    <row r="336" spans="1:16" ht="15" x14ac:dyDescent="0.2">
      <c r="A336" s="4" t="s">
        <v>586</v>
      </c>
      <c r="B336" s="21" t="str">
        <f t="shared" si="10"/>
        <v>Aug-2025</v>
      </c>
      <c r="C336" s="2" t="str">
        <f t="shared" si="11"/>
        <v>Q2</v>
      </c>
      <c r="D336" s="2" t="s">
        <v>31</v>
      </c>
      <c r="E336" s="13">
        <v>45879</v>
      </c>
      <c r="F336" s="14" t="s">
        <v>150</v>
      </c>
      <c r="G336" s="14" t="s">
        <v>51</v>
      </c>
      <c r="H336" s="14" t="s">
        <v>114</v>
      </c>
      <c r="I336" s="15">
        <v>1</v>
      </c>
      <c r="J336" s="15">
        <v>240</v>
      </c>
      <c r="K336" s="15">
        <v>14.9</v>
      </c>
      <c r="L336" s="15">
        <v>3576</v>
      </c>
      <c r="M336" s="15">
        <v>-274.99</v>
      </c>
      <c r="N336" s="15">
        <v>0</v>
      </c>
      <c r="O336" s="15">
        <v>429.13135900000003</v>
      </c>
      <c r="P336" s="15">
        <v>3730.1413590000002</v>
      </c>
    </row>
    <row r="337" spans="1:16" ht="15" x14ac:dyDescent="0.2">
      <c r="A337" s="4" t="s">
        <v>581</v>
      </c>
      <c r="B337" s="21" t="str">
        <f t="shared" si="10"/>
        <v>Aug-2025</v>
      </c>
      <c r="C337" s="2" t="str">
        <f t="shared" si="11"/>
        <v>Q2</v>
      </c>
      <c r="D337" s="2" t="s">
        <v>31</v>
      </c>
      <c r="E337" s="13">
        <v>45879</v>
      </c>
      <c r="F337" s="14" t="s">
        <v>150</v>
      </c>
      <c r="G337" s="14" t="s">
        <v>51</v>
      </c>
      <c r="H337" s="14" t="s">
        <v>66</v>
      </c>
      <c r="I337" s="15">
        <v>2</v>
      </c>
      <c r="J337" s="15">
        <v>48</v>
      </c>
      <c r="K337" s="15">
        <v>141.53</v>
      </c>
      <c r="L337" s="15">
        <v>6793.44</v>
      </c>
      <c r="M337" s="15">
        <v>-522.41999999999996</v>
      </c>
      <c r="N337" s="15">
        <v>0</v>
      </c>
      <c r="O337" s="15">
        <v>815.23271299999999</v>
      </c>
      <c r="P337" s="15">
        <v>7086.2527129999999</v>
      </c>
    </row>
    <row r="338" spans="1:16" ht="15" x14ac:dyDescent="0.2">
      <c r="A338" s="4" t="s">
        <v>579</v>
      </c>
      <c r="B338" s="21" t="str">
        <f t="shared" si="10"/>
        <v>Aug-2025</v>
      </c>
      <c r="C338" s="2" t="str">
        <f t="shared" si="11"/>
        <v>Q2</v>
      </c>
      <c r="D338" s="2" t="s">
        <v>31</v>
      </c>
      <c r="E338" s="13">
        <v>45879</v>
      </c>
      <c r="F338" s="14" t="s">
        <v>150</v>
      </c>
      <c r="G338" s="14" t="s">
        <v>51</v>
      </c>
      <c r="H338" s="14" t="s">
        <v>91</v>
      </c>
      <c r="I338" s="15">
        <v>1</v>
      </c>
      <c r="J338" s="15">
        <v>20</v>
      </c>
      <c r="K338" s="15">
        <v>204.85</v>
      </c>
      <c r="L338" s="15">
        <v>4097</v>
      </c>
      <c r="M338" s="15">
        <v>-315.06</v>
      </c>
      <c r="N338" s="15">
        <v>0</v>
      </c>
      <c r="O338" s="15">
        <v>491.65226799999999</v>
      </c>
      <c r="P338" s="15">
        <v>4273.5922680000003</v>
      </c>
    </row>
    <row r="339" spans="1:16" ht="15" x14ac:dyDescent="0.2">
      <c r="A339" s="4" t="s">
        <v>579</v>
      </c>
      <c r="B339" s="21" t="str">
        <f t="shared" si="10"/>
        <v>Aug-2025</v>
      </c>
      <c r="C339" s="2" t="str">
        <f t="shared" si="11"/>
        <v>Q2</v>
      </c>
      <c r="D339" s="2" t="s">
        <v>31</v>
      </c>
      <c r="E339" s="13">
        <v>45879</v>
      </c>
      <c r="F339" s="14" t="s">
        <v>150</v>
      </c>
      <c r="G339" s="14" t="s">
        <v>51</v>
      </c>
      <c r="H339" s="14" t="s">
        <v>90</v>
      </c>
      <c r="I339" s="15">
        <v>5</v>
      </c>
      <c r="J339" s="15">
        <v>100</v>
      </c>
      <c r="K339" s="15">
        <v>204.85</v>
      </c>
      <c r="L339" s="15">
        <v>20485</v>
      </c>
      <c r="M339" s="15">
        <v>-1575.3</v>
      </c>
      <c r="N339" s="15">
        <v>0</v>
      </c>
      <c r="O339" s="15">
        <v>2458.26134</v>
      </c>
      <c r="P339" s="15">
        <v>21367.961340000002</v>
      </c>
    </row>
    <row r="340" spans="1:16" ht="15" x14ac:dyDescent="0.2">
      <c r="A340" s="4" t="s">
        <v>575</v>
      </c>
      <c r="B340" s="21" t="str">
        <f t="shared" si="10"/>
        <v>Aug-2025</v>
      </c>
      <c r="C340" s="2" t="str">
        <f t="shared" si="11"/>
        <v>Q2</v>
      </c>
      <c r="D340" s="2" t="s">
        <v>31</v>
      </c>
      <c r="E340" s="13">
        <v>45879</v>
      </c>
      <c r="F340" s="14" t="s">
        <v>150</v>
      </c>
      <c r="G340" s="14" t="s">
        <v>51</v>
      </c>
      <c r="H340" s="14" t="s">
        <v>55</v>
      </c>
      <c r="I340" s="15">
        <v>5</v>
      </c>
      <c r="J340" s="15">
        <v>100</v>
      </c>
      <c r="K340" s="15">
        <v>186.23</v>
      </c>
      <c r="L340" s="15">
        <v>18623</v>
      </c>
      <c r="M340" s="15">
        <v>-1432.1100000000001</v>
      </c>
      <c r="N340" s="15">
        <v>0</v>
      </c>
      <c r="O340" s="15">
        <v>2234.8160090000001</v>
      </c>
      <c r="P340" s="15">
        <v>19425.706009000001</v>
      </c>
    </row>
    <row r="341" spans="1:16" ht="15" x14ac:dyDescent="0.2">
      <c r="A341" s="4" t="s">
        <v>583</v>
      </c>
      <c r="B341" s="21" t="str">
        <f t="shared" si="10"/>
        <v>Aug-2025</v>
      </c>
      <c r="C341" s="2" t="str">
        <f t="shared" si="11"/>
        <v>Q2</v>
      </c>
      <c r="D341" s="2" t="s">
        <v>31</v>
      </c>
      <c r="E341" s="13">
        <v>45879</v>
      </c>
      <c r="F341" s="14" t="s">
        <v>150</v>
      </c>
      <c r="G341" s="14" t="s">
        <v>51</v>
      </c>
      <c r="H341" s="14" t="s">
        <v>71</v>
      </c>
      <c r="I341" s="15">
        <v>5</v>
      </c>
      <c r="J341" s="15">
        <v>75</v>
      </c>
      <c r="K341" s="15">
        <v>260.72000000000003</v>
      </c>
      <c r="L341" s="15">
        <v>19554</v>
      </c>
      <c r="M341" s="15">
        <v>-1503.6999999999998</v>
      </c>
      <c r="N341" s="15">
        <v>0</v>
      </c>
      <c r="O341" s="15">
        <v>2346.5393249999997</v>
      </c>
      <c r="P341" s="15">
        <v>20396.839325000001</v>
      </c>
    </row>
    <row r="342" spans="1:16" ht="15" x14ac:dyDescent="0.2">
      <c r="A342" s="4" t="s">
        <v>586</v>
      </c>
      <c r="B342" s="21" t="str">
        <f t="shared" si="10"/>
        <v>Aug-2025</v>
      </c>
      <c r="C342" s="2" t="str">
        <f t="shared" si="11"/>
        <v>Q2</v>
      </c>
      <c r="D342" s="2" t="s">
        <v>31</v>
      </c>
      <c r="E342" s="13">
        <v>45879</v>
      </c>
      <c r="F342" s="14" t="s">
        <v>150</v>
      </c>
      <c r="G342" s="14" t="s">
        <v>51</v>
      </c>
      <c r="H342" s="14" t="s">
        <v>78</v>
      </c>
      <c r="I342" s="15">
        <v>1</v>
      </c>
      <c r="J342" s="15">
        <v>600</v>
      </c>
      <c r="K342" s="15">
        <v>7.45</v>
      </c>
      <c r="L342" s="15">
        <v>4470</v>
      </c>
      <c r="M342" s="15">
        <v>-343.74</v>
      </c>
      <c r="N342" s="15">
        <v>0</v>
      </c>
      <c r="O342" s="15">
        <v>536.41387399999996</v>
      </c>
      <c r="P342" s="15">
        <v>4662.6738740000001</v>
      </c>
    </row>
    <row r="343" spans="1:16" ht="15" x14ac:dyDescent="0.2">
      <c r="A343" s="4" t="s">
        <v>582</v>
      </c>
      <c r="B343" s="21" t="str">
        <f t="shared" si="10"/>
        <v>Aug-2025</v>
      </c>
      <c r="C343" s="2" t="str">
        <f t="shared" si="11"/>
        <v>Q2</v>
      </c>
      <c r="D343" s="2" t="s">
        <v>31</v>
      </c>
      <c r="E343" s="13">
        <v>45879</v>
      </c>
      <c r="F343" s="14" t="s">
        <v>150</v>
      </c>
      <c r="G343" s="14" t="s">
        <v>51</v>
      </c>
      <c r="H343" s="14" t="s">
        <v>108</v>
      </c>
      <c r="I343" s="15">
        <v>2</v>
      </c>
      <c r="J343" s="15">
        <v>48</v>
      </c>
      <c r="K343" s="15">
        <v>186.23</v>
      </c>
      <c r="L343" s="15">
        <v>8939.0400000000009</v>
      </c>
      <c r="M343" s="15">
        <v>-687.41</v>
      </c>
      <c r="N343" s="15">
        <v>0</v>
      </c>
      <c r="O343" s="15">
        <v>1072.7120480000001</v>
      </c>
      <c r="P343" s="15">
        <v>9324.3420480000004</v>
      </c>
    </row>
    <row r="344" spans="1:16" ht="15" x14ac:dyDescent="0.2">
      <c r="A344" s="4" t="s">
        <v>588</v>
      </c>
      <c r="B344" s="21" t="str">
        <f t="shared" si="10"/>
        <v>Aug-2025</v>
      </c>
      <c r="C344" s="2" t="str">
        <f t="shared" si="11"/>
        <v>Q2</v>
      </c>
      <c r="D344" s="2" t="s">
        <v>31</v>
      </c>
      <c r="E344" s="13">
        <v>45879</v>
      </c>
      <c r="F344" s="14" t="s">
        <v>150</v>
      </c>
      <c r="G344" s="14" t="s">
        <v>51</v>
      </c>
      <c r="H344" s="14" t="s">
        <v>95</v>
      </c>
      <c r="I344" s="15">
        <v>1</v>
      </c>
      <c r="J344" s="15">
        <v>60</v>
      </c>
      <c r="K344" s="15">
        <v>111.74</v>
      </c>
      <c r="L344" s="15">
        <v>6704.4</v>
      </c>
      <c r="M344" s="15">
        <v>-515.57000000000005</v>
      </c>
      <c r="N344" s="15">
        <v>0</v>
      </c>
      <c r="O344" s="15">
        <v>804.54801099999997</v>
      </c>
      <c r="P344" s="15">
        <v>6993.3780109999998</v>
      </c>
    </row>
    <row r="345" spans="1:16" ht="15" x14ac:dyDescent="0.2">
      <c r="A345" s="4" t="s">
        <v>591</v>
      </c>
      <c r="B345" s="21" t="str">
        <f t="shared" si="10"/>
        <v>Aug-2025</v>
      </c>
      <c r="C345" s="2" t="str">
        <f t="shared" si="11"/>
        <v>Q2</v>
      </c>
      <c r="D345" s="2" t="s">
        <v>31</v>
      </c>
      <c r="E345" s="13">
        <v>45879</v>
      </c>
      <c r="F345" s="14" t="s">
        <v>150</v>
      </c>
      <c r="G345" s="14" t="s">
        <v>51</v>
      </c>
      <c r="H345" s="14" t="s">
        <v>106</v>
      </c>
      <c r="I345" s="15">
        <v>1</v>
      </c>
      <c r="J345" s="15">
        <v>60</v>
      </c>
      <c r="K345" s="15">
        <v>111.74</v>
      </c>
      <c r="L345" s="15">
        <v>6704.4</v>
      </c>
      <c r="M345" s="15">
        <v>-515.57000000000005</v>
      </c>
      <c r="N345" s="15">
        <v>0</v>
      </c>
      <c r="O345" s="15">
        <v>804.54801099999997</v>
      </c>
      <c r="P345" s="15">
        <v>6993.3780109999998</v>
      </c>
    </row>
    <row r="346" spans="1:16" ht="15" x14ac:dyDescent="0.2">
      <c r="A346" s="4" t="s">
        <v>573</v>
      </c>
      <c r="B346" s="21" t="str">
        <f t="shared" si="10"/>
        <v>Aug-2025</v>
      </c>
      <c r="C346" s="2" t="str">
        <f t="shared" si="11"/>
        <v>Q2</v>
      </c>
      <c r="D346" s="2" t="s">
        <v>31</v>
      </c>
      <c r="E346" s="13">
        <v>45879</v>
      </c>
      <c r="F346" s="14" t="s">
        <v>150</v>
      </c>
      <c r="G346" s="14" t="s">
        <v>51</v>
      </c>
      <c r="H346" s="14" t="s">
        <v>136</v>
      </c>
      <c r="I346" s="15">
        <v>2</v>
      </c>
      <c r="J346" s="15">
        <v>80</v>
      </c>
      <c r="K346" s="15">
        <v>111.74</v>
      </c>
      <c r="L346" s="15">
        <v>8939.2000000000007</v>
      </c>
      <c r="M346" s="15">
        <v>-687.42</v>
      </c>
      <c r="N346" s="15">
        <v>0</v>
      </c>
      <c r="O346" s="15">
        <v>1072.731548</v>
      </c>
      <c r="P346" s="15">
        <v>9324.5115480000004</v>
      </c>
    </row>
    <row r="347" spans="1:16" ht="15" x14ac:dyDescent="0.2">
      <c r="A347" s="4" t="s">
        <v>573</v>
      </c>
      <c r="B347" s="21" t="str">
        <f t="shared" si="10"/>
        <v>Aug-2025</v>
      </c>
      <c r="C347" s="2" t="str">
        <f t="shared" si="11"/>
        <v>Q2</v>
      </c>
      <c r="D347" s="2" t="s">
        <v>31</v>
      </c>
      <c r="E347" s="13">
        <v>45879</v>
      </c>
      <c r="F347" s="14" t="s">
        <v>150</v>
      </c>
      <c r="G347" s="14" t="s">
        <v>51</v>
      </c>
      <c r="H347" s="14" t="s">
        <v>111</v>
      </c>
      <c r="I347" s="15">
        <v>5</v>
      </c>
      <c r="J347" s="15">
        <v>200</v>
      </c>
      <c r="K347" s="15">
        <v>111.74</v>
      </c>
      <c r="L347" s="15">
        <v>22348</v>
      </c>
      <c r="M347" s="15">
        <v>-1718.56</v>
      </c>
      <c r="N347" s="15">
        <v>0</v>
      </c>
      <c r="O347" s="15">
        <v>2681.8275710000003</v>
      </c>
      <c r="P347" s="15">
        <v>23311.267571</v>
      </c>
    </row>
    <row r="348" spans="1:16" ht="15" x14ac:dyDescent="0.2">
      <c r="A348" s="4" t="s">
        <v>579</v>
      </c>
      <c r="B348" s="21" t="str">
        <f t="shared" si="10"/>
        <v>Aug-2025</v>
      </c>
      <c r="C348" s="2" t="str">
        <f t="shared" si="11"/>
        <v>Q2</v>
      </c>
      <c r="D348" s="2" t="s">
        <v>31</v>
      </c>
      <c r="E348" s="13">
        <v>45879</v>
      </c>
      <c r="F348" s="14" t="s">
        <v>150</v>
      </c>
      <c r="G348" s="14" t="s">
        <v>51</v>
      </c>
      <c r="H348" s="14" t="s">
        <v>112</v>
      </c>
      <c r="I348" s="15">
        <v>1</v>
      </c>
      <c r="J348" s="15">
        <v>20</v>
      </c>
      <c r="K348" s="15">
        <v>204.85</v>
      </c>
      <c r="L348" s="15">
        <v>4097</v>
      </c>
      <c r="M348" s="15">
        <v>-315.06</v>
      </c>
      <c r="N348" s="15">
        <v>0</v>
      </c>
      <c r="O348" s="15">
        <v>491.65226799999999</v>
      </c>
      <c r="P348" s="15">
        <v>4273.5922680000003</v>
      </c>
    </row>
    <row r="349" spans="1:16" ht="15" x14ac:dyDescent="0.2">
      <c r="A349" s="4" t="s">
        <v>585</v>
      </c>
      <c r="B349" s="21" t="str">
        <f t="shared" si="10"/>
        <v>Aug-2025</v>
      </c>
      <c r="C349" s="2" t="str">
        <f t="shared" si="11"/>
        <v>Q2</v>
      </c>
      <c r="D349" s="2" t="s">
        <v>31</v>
      </c>
      <c r="E349" s="13">
        <v>45879</v>
      </c>
      <c r="F349" s="14" t="s">
        <v>150</v>
      </c>
      <c r="G349" s="14" t="s">
        <v>51</v>
      </c>
      <c r="H349" s="14" t="s">
        <v>73</v>
      </c>
      <c r="I349" s="15">
        <v>1</v>
      </c>
      <c r="J349" s="15">
        <v>1600</v>
      </c>
      <c r="K349" s="15">
        <v>1.79</v>
      </c>
      <c r="L349" s="15">
        <v>2864</v>
      </c>
      <c r="M349" s="15">
        <v>-220.24</v>
      </c>
      <c r="N349" s="15">
        <v>0</v>
      </c>
      <c r="O349" s="15">
        <v>343.68884800000001</v>
      </c>
      <c r="P349" s="15">
        <v>2987.448848</v>
      </c>
    </row>
    <row r="350" spans="1:16" ht="15" x14ac:dyDescent="0.2">
      <c r="A350" s="4" t="s">
        <v>582</v>
      </c>
      <c r="B350" s="21" t="str">
        <f t="shared" si="10"/>
        <v>Aug-2025</v>
      </c>
      <c r="C350" s="2" t="str">
        <f t="shared" si="11"/>
        <v>Q2</v>
      </c>
      <c r="D350" s="2" t="s">
        <v>31</v>
      </c>
      <c r="E350" s="13">
        <v>45879</v>
      </c>
      <c r="F350" s="14" t="s">
        <v>150</v>
      </c>
      <c r="G350" s="14" t="s">
        <v>51</v>
      </c>
      <c r="H350" s="14" t="s">
        <v>77</v>
      </c>
      <c r="I350" s="15">
        <v>1</v>
      </c>
      <c r="J350" s="15">
        <v>24</v>
      </c>
      <c r="K350" s="15">
        <v>204.85</v>
      </c>
      <c r="L350" s="15">
        <v>4916.4000000000005</v>
      </c>
      <c r="M350" s="15">
        <v>-378.07</v>
      </c>
      <c r="N350" s="15">
        <v>0</v>
      </c>
      <c r="O350" s="15">
        <v>589.98298199999999</v>
      </c>
      <c r="P350" s="15">
        <v>5128.3129820000004</v>
      </c>
    </row>
    <row r="351" spans="1:16" ht="15" x14ac:dyDescent="0.2">
      <c r="A351" s="4" t="s">
        <v>574</v>
      </c>
      <c r="B351" s="21" t="str">
        <f t="shared" si="10"/>
        <v>Aug-2025</v>
      </c>
      <c r="C351" s="2" t="str">
        <f t="shared" si="11"/>
        <v>Q2</v>
      </c>
      <c r="D351" s="2" t="s">
        <v>31</v>
      </c>
      <c r="E351" s="13">
        <v>45879</v>
      </c>
      <c r="F351" s="14" t="s">
        <v>151</v>
      </c>
      <c r="G351" s="14" t="s">
        <v>12</v>
      </c>
      <c r="H351" s="14" t="s">
        <v>84</v>
      </c>
      <c r="I351" s="15">
        <v>20</v>
      </c>
      <c r="J351" s="15">
        <v>360</v>
      </c>
      <c r="K351" s="15">
        <v>178.78</v>
      </c>
      <c r="L351" s="15">
        <v>64360.800000000003</v>
      </c>
      <c r="M351" s="15">
        <v>-4949.3499999999995</v>
      </c>
      <c r="N351" s="15">
        <v>0</v>
      </c>
      <c r="O351" s="15">
        <v>7723.4885490000006</v>
      </c>
      <c r="P351" s="15">
        <v>67134.938548999999</v>
      </c>
    </row>
    <row r="352" spans="1:16" ht="15" x14ac:dyDescent="0.2">
      <c r="A352" s="4" t="s">
        <v>590</v>
      </c>
      <c r="B352" s="21" t="str">
        <f t="shared" si="10"/>
        <v>Aug-2025</v>
      </c>
      <c r="C352" s="2" t="str">
        <f t="shared" si="11"/>
        <v>Q2</v>
      </c>
      <c r="D352" s="2" t="s">
        <v>31</v>
      </c>
      <c r="E352" s="13">
        <v>45879</v>
      </c>
      <c r="F352" s="14" t="s">
        <v>151</v>
      </c>
      <c r="G352" s="14" t="s">
        <v>12</v>
      </c>
      <c r="H352" s="14" t="s">
        <v>102</v>
      </c>
      <c r="I352" s="15">
        <v>10</v>
      </c>
      <c r="J352" s="15">
        <v>200</v>
      </c>
      <c r="K352" s="15">
        <v>249.55</v>
      </c>
      <c r="L352" s="15">
        <v>49910</v>
      </c>
      <c r="M352" s="15">
        <v>-3838.08</v>
      </c>
      <c r="N352" s="15">
        <v>0</v>
      </c>
      <c r="O352" s="15">
        <v>5989.3496379999997</v>
      </c>
      <c r="P352" s="15">
        <v>52061.269637999998</v>
      </c>
    </row>
    <row r="353" spans="1:16" ht="15" x14ac:dyDescent="0.2">
      <c r="A353" s="4" t="s">
        <v>574</v>
      </c>
      <c r="B353" s="21" t="str">
        <f t="shared" si="10"/>
        <v>Aug-2025</v>
      </c>
      <c r="C353" s="2" t="str">
        <f t="shared" si="11"/>
        <v>Q2</v>
      </c>
      <c r="D353" s="2" t="s">
        <v>31</v>
      </c>
      <c r="E353" s="13">
        <v>45879</v>
      </c>
      <c r="F353" s="14" t="s">
        <v>151</v>
      </c>
      <c r="G353" s="14" t="s">
        <v>12</v>
      </c>
      <c r="H353" s="14" t="s">
        <v>52</v>
      </c>
      <c r="I353" s="15">
        <v>5</v>
      </c>
      <c r="J353" s="15">
        <v>90</v>
      </c>
      <c r="K353" s="15">
        <v>178.78</v>
      </c>
      <c r="L353" s="15">
        <v>16090.2</v>
      </c>
      <c r="M353" s="15">
        <v>-1237.3400000000001</v>
      </c>
      <c r="N353" s="15">
        <v>0</v>
      </c>
      <c r="O353" s="15">
        <v>1930.8718120000001</v>
      </c>
      <c r="P353" s="15">
        <v>16783.731812000002</v>
      </c>
    </row>
    <row r="354" spans="1:16" ht="15" x14ac:dyDescent="0.2">
      <c r="A354" s="4" t="s">
        <v>593</v>
      </c>
      <c r="B354" s="21" t="str">
        <f t="shared" si="10"/>
        <v>Aug-2025</v>
      </c>
      <c r="C354" s="2" t="str">
        <f t="shared" si="11"/>
        <v>Q2</v>
      </c>
      <c r="D354" s="2" t="s">
        <v>31</v>
      </c>
      <c r="E354" s="13">
        <v>45879</v>
      </c>
      <c r="F354" s="14" t="s">
        <v>152</v>
      </c>
      <c r="G354" s="14" t="s">
        <v>21</v>
      </c>
      <c r="H354" s="14" t="s">
        <v>117</v>
      </c>
      <c r="I354" s="15">
        <v>50</v>
      </c>
      <c r="J354" s="15">
        <v>200</v>
      </c>
      <c r="K354" s="15">
        <v>595.94000000000005</v>
      </c>
      <c r="L354" s="15">
        <v>119188</v>
      </c>
      <c r="M354" s="15">
        <v>-9165.56</v>
      </c>
      <c r="N354" s="15">
        <v>0</v>
      </c>
      <c r="O354" s="15">
        <v>14302.915284000001</v>
      </c>
      <c r="P354" s="15">
        <v>124325.355284</v>
      </c>
    </row>
    <row r="355" spans="1:16" ht="15" x14ac:dyDescent="0.2">
      <c r="A355" s="4" t="s">
        <v>580</v>
      </c>
      <c r="B355" s="21" t="str">
        <f t="shared" si="10"/>
        <v>Aug-2025</v>
      </c>
      <c r="C355" s="2" t="str">
        <f t="shared" si="11"/>
        <v>Q2</v>
      </c>
      <c r="D355" s="2" t="s">
        <v>31</v>
      </c>
      <c r="E355" s="13">
        <v>45879</v>
      </c>
      <c r="F355" s="14" t="s">
        <v>152</v>
      </c>
      <c r="G355" s="14" t="s">
        <v>21</v>
      </c>
      <c r="H355" s="14" t="s">
        <v>89</v>
      </c>
      <c r="I355" s="15">
        <v>5</v>
      </c>
      <c r="J355" s="15">
        <v>350</v>
      </c>
      <c r="K355" s="15">
        <v>32.78</v>
      </c>
      <c r="L355" s="15">
        <v>11473</v>
      </c>
      <c r="M355" s="15">
        <v>-882.2700000000001</v>
      </c>
      <c r="N355" s="15">
        <v>0</v>
      </c>
      <c r="O355" s="15">
        <v>1376.7947159999999</v>
      </c>
      <c r="P355" s="15">
        <v>11967.524716</v>
      </c>
    </row>
    <row r="356" spans="1:16" ht="15" x14ac:dyDescent="0.2">
      <c r="A356" s="4" t="s">
        <v>574</v>
      </c>
      <c r="B356" s="21" t="str">
        <f t="shared" si="10"/>
        <v>Aug-2025</v>
      </c>
      <c r="C356" s="2" t="str">
        <f t="shared" si="11"/>
        <v>Q2</v>
      </c>
      <c r="D356" s="2" t="s">
        <v>31</v>
      </c>
      <c r="E356" s="13">
        <v>45879</v>
      </c>
      <c r="F356" s="14" t="s">
        <v>153</v>
      </c>
      <c r="G356" s="14" t="s">
        <v>51</v>
      </c>
      <c r="H356" s="14" t="s">
        <v>84</v>
      </c>
      <c r="I356" s="15">
        <v>105</v>
      </c>
      <c r="J356" s="15">
        <v>1890</v>
      </c>
      <c r="K356" s="15">
        <v>178.78</v>
      </c>
      <c r="L356" s="15">
        <v>337894.2</v>
      </c>
      <c r="M356" s="15">
        <v>-25984.06</v>
      </c>
      <c r="N356" s="15">
        <v>0</v>
      </c>
      <c r="O356" s="15">
        <v>40548.313912000005</v>
      </c>
      <c r="P356" s="15">
        <v>352458.453912</v>
      </c>
    </row>
    <row r="357" spans="1:16" ht="15" x14ac:dyDescent="0.2">
      <c r="A357" s="4" t="s">
        <v>574</v>
      </c>
      <c r="B357" s="21" t="str">
        <f t="shared" si="10"/>
        <v>Aug-2025</v>
      </c>
      <c r="C357" s="2" t="str">
        <f t="shared" si="11"/>
        <v>Q2</v>
      </c>
      <c r="D357" s="2" t="s">
        <v>31</v>
      </c>
      <c r="E357" s="13">
        <v>45879</v>
      </c>
      <c r="F357" s="14" t="s">
        <v>153</v>
      </c>
      <c r="G357" s="14" t="s">
        <v>51</v>
      </c>
      <c r="H357" s="14" t="s">
        <v>86</v>
      </c>
      <c r="I357" s="15">
        <v>10</v>
      </c>
      <c r="J357" s="15">
        <v>180</v>
      </c>
      <c r="K357" s="15">
        <v>178.78</v>
      </c>
      <c r="L357" s="15">
        <v>32180.400000000001</v>
      </c>
      <c r="M357" s="15">
        <v>-2474.6699999999996</v>
      </c>
      <c r="N357" s="15">
        <v>0</v>
      </c>
      <c r="O357" s="15">
        <v>3861.7444919999998</v>
      </c>
      <c r="P357" s="15">
        <v>33567.474492000001</v>
      </c>
    </row>
    <row r="358" spans="1:16" ht="15" x14ac:dyDescent="0.2">
      <c r="A358" s="4" t="s">
        <v>574</v>
      </c>
      <c r="B358" s="21" t="str">
        <f t="shared" si="10"/>
        <v>Aug-2025</v>
      </c>
      <c r="C358" s="2" t="str">
        <f t="shared" si="11"/>
        <v>Q2</v>
      </c>
      <c r="D358" s="2" t="s">
        <v>31</v>
      </c>
      <c r="E358" s="13">
        <v>45879</v>
      </c>
      <c r="F358" s="14" t="s">
        <v>153</v>
      </c>
      <c r="G358" s="14" t="s">
        <v>51</v>
      </c>
      <c r="H358" s="14" t="s">
        <v>85</v>
      </c>
      <c r="I358" s="15">
        <v>5</v>
      </c>
      <c r="J358" s="15">
        <v>90</v>
      </c>
      <c r="K358" s="15">
        <v>178.78</v>
      </c>
      <c r="L358" s="15">
        <v>16090.2</v>
      </c>
      <c r="M358" s="15">
        <v>-1237.3400000000001</v>
      </c>
      <c r="N358" s="15">
        <v>0</v>
      </c>
      <c r="O358" s="15">
        <v>1930.8715960000002</v>
      </c>
      <c r="P358" s="15">
        <v>16783.731596000001</v>
      </c>
    </row>
    <row r="359" spans="1:16" ht="15" x14ac:dyDescent="0.2">
      <c r="A359" s="4" t="s">
        <v>583</v>
      </c>
      <c r="B359" s="21" t="str">
        <f t="shared" si="10"/>
        <v>Aug-2025</v>
      </c>
      <c r="C359" s="2" t="str">
        <f t="shared" si="11"/>
        <v>Q2</v>
      </c>
      <c r="D359" s="2" t="s">
        <v>31</v>
      </c>
      <c r="E359" s="13">
        <v>45880</v>
      </c>
      <c r="F359" s="14" t="s">
        <v>154</v>
      </c>
      <c r="G359" s="14" t="s">
        <v>12</v>
      </c>
      <c r="H359" s="14" t="s">
        <v>109</v>
      </c>
      <c r="I359" s="15">
        <v>1</v>
      </c>
      <c r="J359" s="15">
        <v>15</v>
      </c>
      <c r="K359" s="15">
        <v>260.72000000000003</v>
      </c>
      <c r="L359" s="15">
        <v>3910.8</v>
      </c>
      <c r="M359" s="15">
        <v>-300.74</v>
      </c>
      <c r="N359" s="15">
        <v>0</v>
      </c>
      <c r="O359" s="15">
        <v>469.308333</v>
      </c>
      <c r="P359" s="15">
        <v>4079.3683329999999</v>
      </c>
    </row>
    <row r="360" spans="1:16" ht="15" x14ac:dyDescent="0.2">
      <c r="A360" s="4" t="s">
        <v>583</v>
      </c>
      <c r="B360" s="21" t="str">
        <f t="shared" si="10"/>
        <v>Aug-2025</v>
      </c>
      <c r="C360" s="2" t="str">
        <f t="shared" si="11"/>
        <v>Q2</v>
      </c>
      <c r="D360" s="2" t="s">
        <v>31</v>
      </c>
      <c r="E360" s="13">
        <v>45880</v>
      </c>
      <c r="F360" s="14" t="s">
        <v>154</v>
      </c>
      <c r="G360" s="14" t="s">
        <v>12</v>
      </c>
      <c r="H360" s="14" t="s">
        <v>113</v>
      </c>
      <c r="I360" s="15">
        <v>5</v>
      </c>
      <c r="J360" s="15">
        <v>75</v>
      </c>
      <c r="K360" s="15">
        <v>260.72000000000003</v>
      </c>
      <c r="L360" s="15">
        <v>19554</v>
      </c>
      <c r="M360" s="15">
        <v>-1503.6999999999998</v>
      </c>
      <c r="N360" s="15">
        <v>0</v>
      </c>
      <c r="O360" s="15">
        <v>2346.541667</v>
      </c>
      <c r="P360" s="15">
        <v>20396.841667000001</v>
      </c>
    </row>
    <row r="361" spans="1:16" ht="15" x14ac:dyDescent="0.2">
      <c r="A361" s="4" t="s">
        <v>574</v>
      </c>
      <c r="B361" s="21" t="str">
        <f t="shared" si="10"/>
        <v>Aug-2025</v>
      </c>
      <c r="C361" s="2" t="str">
        <f t="shared" si="11"/>
        <v>Q2</v>
      </c>
      <c r="D361" s="2" t="s">
        <v>31</v>
      </c>
      <c r="E361" s="13">
        <v>45881</v>
      </c>
      <c r="F361" s="14" t="s">
        <v>155</v>
      </c>
      <c r="G361" s="14" t="s">
        <v>130</v>
      </c>
      <c r="H361" s="14" t="s">
        <v>85</v>
      </c>
      <c r="I361" s="15">
        <v>5</v>
      </c>
      <c r="J361" s="15">
        <v>90</v>
      </c>
      <c r="K361" s="15">
        <v>178.78</v>
      </c>
      <c r="L361" s="15">
        <v>16090.2</v>
      </c>
      <c r="M361" s="15">
        <v>-1237.3400000000001</v>
      </c>
      <c r="N361" s="15">
        <v>0</v>
      </c>
      <c r="O361" s="15">
        <v>1930.8719189999999</v>
      </c>
      <c r="P361" s="15">
        <v>16783.731919000002</v>
      </c>
    </row>
    <row r="362" spans="1:16" ht="15" x14ac:dyDescent="0.2">
      <c r="A362" s="4" t="s">
        <v>575</v>
      </c>
      <c r="B362" s="21" t="str">
        <f t="shared" si="10"/>
        <v>Aug-2025</v>
      </c>
      <c r="C362" s="2" t="str">
        <f t="shared" si="11"/>
        <v>Q2</v>
      </c>
      <c r="D362" s="2" t="s">
        <v>31</v>
      </c>
      <c r="E362" s="13">
        <v>45881</v>
      </c>
      <c r="F362" s="14" t="s">
        <v>155</v>
      </c>
      <c r="G362" s="14" t="s">
        <v>130</v>
      </c>
      <c r="H362" s="14" t="s">
        <v>55</v>
      </c>
      <c r="I362" s="15">
        <v>10</v>
      </c>
      <c r="J362" s="15">
        <v>200</v>
      </c>
      <c r="K362" s="15">
        <v>186.23</v>
      </c>
      <c r="L362" s="15">
        <v>37246</v>
      </c>
      <c r="M362" s="15">
        <v>-2864.2200000000003</v>
      </c>
      <c r="N362" s="15">
        <v>0</v>
      </c>
      <c r="O362" s="15">
        <v>4469.631676</v>
      </c>
      <c r="P362" s="15">
        <v>38851.411676000003</v>
      </c>
    </row>
    <row r="363" spans="1:16" ht="15" x14ac:dyDescent="0.2">
      <c r="A363" s="4" t="s">
        <v>574</v>
      </c>
      <c r="B363" s="21" t="str">
        <f t="shared" si="10"/>
        <v>Aug-2025</v>
      </c>
      <c r="C363" s="2" t="str">
        <f t="shared" si="11"/>
        <v>Q2</v>
      </c>
      <c r="D363" s="2" t="s">
        <v>31</v>
      </c>
      <c r="E363" s="13">
        <v>45881</v>
      </c>
      <c r="F363" s="14" t="s">
        <v>155</v>
      </c>
      <c r="G363" s="14" t="s">
        <v>130</v>
      </c>
      <c r="H363" s="14" t="s">
        <v>86</v>
      </c>
      <c r="I363" s="15">
        <v>5</v>
      </c>
      <c r="J363" s="15">
        <v>90</v>
      </c>
      <c r="K363" s="15">
        <v>178.78</v>
      </c>
      <c r="L363" s="15">
        <v>16090.2</v>
      </c>
      <c r="M363" s="15">
        <v>-1237.3400000000001</v>
      </c>
      <c r="N363" s="15">
        <v>0</v>
      </c>
      <c r="O363" s="15">
        <v>1930.8719189999999</v>
      </c>
      <c r="P363" s="15">
        <v>16783.731919000002</v>
      </c>
    </row>
    <row r="364" spans="1:16" ht="15" x14ac:dyDescent="0.2">
      <c r="A364" s="4" t="s">
        <v>574</v>
      </c>
      <c r="B364" s="21" t="str">
        <f t="shared" si="10"/>
        <v>Aug-2025</v>
      </c>
      <c r="C364" s="2" t="str">
        <f t="shared" si="11"/>
        <v>Q2</v>
      </c>
      <c r="D364" s="2" t="s">
        <v>31</v>
      </c>
      <c r="E364" s="13">
        <v>45881</v>
      </c>
      <c r="F364" s="14" t="s">
        <v>155</v>
      </c>
      <c r="G364" s="14" t="s">
        <v>130</v>
      </c>
      <c r="H364" s="14" t="s">
        <v>52</v>
      </c>
      <c r="I364" s="15">
        <v>5</v>
      </c>
      <c r="J364" s="15">
        <v>90</v>
      </c>
      <c r="K364" s="15">
        <v>178.78</v>
      </c>
      <c r="L364" s="15">
        <v>16090.2</v>
      </c>
      <c r="M364" s="15">
        <v>-1237.3400000000001</v>
      </c>
      <c r="N364" s="15">
        <v>0</v>
      </c>
      <c r="O364" s="15">
        <v>1930.8719189999999</v>
      </c>
      <c r="P364" s="15">
        <v>16783.731919000002</v>
      </c>
    </row>
    <row r="365" spans="1:16" ht="15" x14ac:dyDescent="0.2">
      <c r="A365" s="4" t="s">
        <v>574</v>
      </c>
      <c r="B365" s="21" t="str">
        <f t="shared" si="10"/>
        <v>Aug-2025</v>
      </c>
      <c r="C365" s="2" t="str">
        <f t="shared" si="11"/>
        <v>Q2</v>
      </c>
      <c r="D365" s="2" t="s">
        <v>31</v>
      </c>
      <c r="E365" s="13">
        <v>45881</v>
      </c>
      <c r="F365" s="14" t="s">
        <v>155</v>
      </c>
      <c r="G365" s="14" t="s">
        <v>130</v>
      </c>
      <c r="H365" s="14" t="s">
        <v>84</v>
      </c>
      <c r="I365" s="15">
        <v>10</v>
      </c>
      <c r="J365" s="15">
        <v>180</v>
      </c>
      <c r="K365" s="15">
        <v>178.78</v>
      </c>
      <c r="L365" s="15">
        <v>32180.400000000001</v>
      </c>
      <c r="M365" s="15">
        <v>-2474.6699999999996</v>
      </c>
      <c r="N365" s="15">
        <v>0</v>
      </c>
      <c r="O365" s="15">
        <v>3861.7451390000001</v>
      </c>
      <c r="P365" s="15">
        <v>33567.475139000002</v>
      </c>
    </row>
    <row r="366" spans="1:16" ht="15" x14ac:dyDescent="0.2">
      <c r="A366" s="4" t="s">
        <v>581</v>
      </c>
      <c r="B366" s="21" t="str">
        <f t="shared" si="10"/>
        <v>Aug-2025</v>
      </c>
      <c r="C366" s="2" t="str">
        <f t="shared" si="11"/>
        <v>Q2</v>
      </c>
      <c r="D366" s="2" t="s">
        <v>31</v>
      </c>
      <c r="E366" s="13">
        <v>45881</v>
      </c>
      <c r="F366" s="14" t="s">
        <v>155</v>
      </c>
      <c r="G366" s="14" t="s">
        <v>130</v>
      </c>
      <c r="H366" s="14" t="s">
        <v>104</v>
      </c>
      <c r="I366" s="15">
        <v>5</v>
      </c>
      <c r="J366" s="15">
        <v>200</v>
      </c>
      <c r="K366" s="15">
        <v>67.040000000000006</v>
      </c>
      <c r="L366" s="15">
        <v>13408</v>
      </c>
      <c r="M366" s="15">
        <v>-1031.08</v>
      </c>
      <c r="N366" s="15">
        <v>0</v>
      </c>
      <c r="O366" s="15">
        <v>1608.999699</v>
      </c>
      <c r="P366" s="15">
        <v>13985.919699</v>
      </c>
    </row>
    <row r="367" spans="1:16" ht="15" x14ac:dyDescent="0.2">
      <c r="A367" s="4" t="s">
        <v>581</v>
      </c>
      <c r="B367" s="21" t="str">
        <f t="shared" si="10"/>
        <v>Aug-2025</v>
      </c>
      <c r="C367" s="2" t="str">
        <f t="shared" si="11"/>
        <v>Q2</v>
      </c>
      <c r="D367" s="2" t="s">
        <v>31</v>
      </c>
      <c r="E367" s="13">
        <v>45881</v>
      </c>
      <c r="F367" s="14" t="s">
        <v>155</v>
      </c>
      <c r="G367" s="14" t="s">
        <v>130</v>
      </c>
      <c r="H367" s="14" t="s">
        <v>97</v>
      </c>
      <c r="I367" s="15">
        <v>5</v>
      </c>
      <c r="J367" s="15">
        <v>200</v>
      </c>
      <c r="K367" s="15">
        <v>67.040000000000006</v>
      </c>
      <c r="L367" s="15">
        <v>13408</v>
      </c>
      <c r="M367" s="15">
        <v>-1031.08</v>
      </c>
      <c r="N367" s="15">
        <v>0</v>
      </c>
      <c r="O367" s="15">
        <v>1608.999699</v>
      </c>
      <c r="P367" s="15">
        <v>13985.919699</v>
      </c>
    </row>
    <row r="368" spans="1:16" ht="15" x14ac:dyDescent="0.2">
      <c r="A368" s="4" t="s">
        <v>593</v>
      </c>
      <c r="B368" s="21" t="str">
        <f t="shared" si="10"/>
        <v>Aug-2025</v>
      </c>
      <c r="C368" s="2" t="str">
        <f t="shared" si="11"/>
        <v>Q2</v>
      </c>
      <c r="D368" s="2" t="s">
        <v>31</v>
      </c>
      <c r="E368" s="13">
        <v>45881</v>
      </c>
      <c r="F368" s="14" t="s">
        <v>155</v>
      </c>
      <c r="G368" s="14" t="s">
        <v>130</v>
      </c>
      <c r="H368" s="14" t="s">
        <v>117</v>
      </c>
      <c r="I368" s="15">
        <v>30</v>
      </c>
      <c r="J368" s="15">
        <v>120</v>
      </c>
      <c r="K368" s="15">
        <v>595.92999999999995</v>
      </c>
      <c r="L368" s="15">
        <v>71511.599999999991</v>
      </c>
      <c r="M368" s="15">
        <v>-5499.24</v>
      </c>
      <c r="N368" s="15">
        <v>0</v>
      </c>
      <c r="O368" s="15">
        <v>8581.6073299999989</v>
      </c>
      <c r="P368" s="15">
        <v>74593.967329999999</v>
      </c>
    </row>
    <row r="369" spans="1:16" ht="15" x14ac:dyDescent="0.2">
      <c r="A369" s="4" t="s">
        <v>581</v>
      </c>
      <c r="B369" s="21" t="str">
        <f t="shared" si="10"/>
        <v>Aug-2025</v>
      </c>
      <c r="C369" s="2" t="str">
        <f t="shared" si="11"/>
        <v>Q2</v>
      </c>
      <c r="D369" s="2" t="s">
        <v>31</v>
      </c>
      <c r="E369" s="13">
        <v>45881</v>
      </c>
      <c r="F369" s="14" t="s">
        <v>155</v>
      </c>
      <c r="G369" s="14" t="s">
        <v>130</v>
      </c>
      <c r="H369" s="14" t="s">
        <v>96</v>
      </c>
      <c r="I369" s="15">
        <v>10</v>
      </c>
      <c r="J369" s="15">
        <v>400</v>
      </c>
      <c r="K369" s="15">
        <v>67.040000000000006</v>
      </c>
      <c r="L369" s="15">
        <v>26816</v>
      </c>
      <c r="M369" s="15">
        <v>-2062.15</v>
      </c>
      <c r="N369" s="15">
        <v>0</v>
      </c>
      <c r="O369" s="15">
        <v>3218.0006989999997</v>
      </c>
      <c r="P369" s="15">
        <v>27971.850698999999</v>
      </c>
    </row>
    <row r="370" spans="1:16" ht="15" x14ac:dyDescent="0.2">
      <c r="A370" s="4" t="s">
        <v>592</v>
      </c>
      <c r="B370" s="21" t="str">
        <f t="shared" si="10"/>
        <v>Aug-2025</v>
      </c>
      <c r="C370" s="2" t="str">
        <f t="shared" si="11"/>
        <v>Q2</v>
      </c>
      <c r="D370" s="2" t="s">
        <v>31</v>
      </c>
      <c r="E370" s="13">
        <v>45881</v>
      </c>
      <c r="F370" s="14" t="s">
        <v>156</v>
      </c>
      <c r="G370" s="14" t="s">
        <v>19</v>
      </c>
      <c r="H370" s="14" t="s">
        <v>115</v>
      </c>
      <c r="I370" s="15">
        <v>5</v>
      </c>
      <c r="J370" s="15">
        <v>250</v>
      </c>
      <c r="K370" s="15">
        <v>89.39</v>
      </c>
      <c r="L370" s="15">
        <v>22347.5</v>
      </c>
      <c r="M370" s="15">
        <v>-1718.52</v>
      </c>
      <c r="N370" s="15">
        <v>0</v>
      </c>
      <c r="O370" s="15">
        <v>2681.7675079999999</v>
      </c>
      <c r="P370" s="15">
        <v>23310.747508</v>
      </c>
    </row>
    <row r="371" spans="1:16" ht="15" x14ac:dyDescent="0.2">
      <c r="A371" s="4" t="s">
        <v>579</v>
      </c>
      <c r="B371" s="21" t="str">
        <f t="shared" si="10"/>
        <v>Aug-2025</v>
      </c>
      <c r="C371" s="2" t="str">
        <f t="shared" si="11"/>
        <v>Q2</v>
      </c>
      <c r="D371" s="2" t="s">
        <v>31</v>
      </c>
      <c r="E371" s="13">
        <v>45881</v>
      </c>
      <c r="F371" s="14" t="s">
        <v>156</v>
      </c>
      <c r="G371" s="14" t="s">
        <v>19</v>
      </c>
      <c r="H371" s="14" t="s">
        <v>112</v>
      </c>
      <c r="I371" s="15">
        <v>2</v>
      </c>
      <c r="J371" s="15">
        <v>40</v>
      </c>
      <c r="K371" s="15">
        <v>204.85</v>
      </c>
      <c r="L371" s="15">
        <v>8194</v>
      </c>
      <c r="M371" s="15">
        <v>-630.12</v>
      </c>
      <c r="N371" s="15">
        <v>0</v>
      </c>
      <c r="O371" s="15">
        <v>983.30444</v>
      </c>
      <c r="P371" s="15">
        <v>8547.1844400000009</v>
      </c>
    </row>
    <row r="372" spans="1:16" ht="15" x14ac:dyDescent="0.2">
      <c r="A372" s="4" t="s">
        <v>573</v>
      </c>
      <c r="B372" s="21" t="str">
        <f t="shared" si="10"/>
        <v>Aug-2025</v>
      </c>
      <c r="C372" s="2" t="str">
        <f t="shared" si="11"/>
        <v>Q2</v>
      </c>
      <c r="D372" s="2" t="s">
        <v>31</v>
      </c>
      <c r="E372" s="13">
        <v>45881</v>
      </c>
      <c r="F372" s="14" t="s">
        <v>156</v>
      </c>
      <c r="G372" s="14" t="s">
        <v>19</v>
      </c>
      <c r="H372" s="14" t="s">
        <v>111</v>
      </c>
      <c r="I372" s="15">
        <v>3</v>
      </c>
      <c r="J372" s="15">
        <v>120</v>
      </c>
      <c r="K372" s="15">
        <v>111.74</v>
      </c>
      <c r="L372" s="15">
        <v>13408.8</v>
      </c>
      <c r="M372" s="15">
        <v>-1031.1400000000001</v>
      </c>
      <c r="N372" s="15">
        <v>0</v>
      </c>
      <c r="O372" s="15">
        <v>1609.095865</v>
      </c>
      <c r="P372" s="15">
        <v>13986.755864999999</v>
      </c>
    </row>
    <row r="373" spans="1:16" ht="15" x14ac:dyDescent="0.2">
      <c r="A373" s="4" t="s">
        <v>583</v>
      </c>
      <c r="B373" s="21" t="str">
        <f t="shared" si="10"/>
        <v>Aug-2025</v>
      </c>
      <c r="C373" s="2" t="str">
        <f t="shared" si="11"/>
        <v>Q2</v>
      </c>
      <c r="D373" s="2" t="s">
        <v>31</v>
      </c>
      <c r="E373" s="13">
        <v>45881</v>
      </c>
      <c r="F373" s="14" t="s">
        <v>156</v>
      </c>
      <c r="G373" s="14" t="s">
        <v>19</v>
      </c>
      <c r="H373" s="14" t="s">
        <v>71</v>
      </c>
      <c r="I373" s="15">
        <v>2</v>
      </c>
      <c r="J373" s="15">
        <v>30</v>
      </c>
      <c r="K373" s="15">
        <v>260.72000000000003</v>
      </c>
      <c r="L373" s="15">
        <v>7821.6</v>
      </c>
      <c r="M373" s="15">
        <v>-601.48</v>
      </c>
      <c r="N373" s="15">
        <v>0</v>
      </c>
      <c r="O373" s="15">
        <v>938.61563799999999</v>
      </c>
      <c r="P373" s="15">
        <v>8158.7356380000001</v>
      </c>
    </row>
    <row r="374" spans="1:16" ht="15" x14ac:dyDescent="0.2">
      <c r="A374" s="4" t="s">
        <v>579</v>
      </c>
      <c r="B374" s="21" t="str">
        <f t="shared" si="10"/>
        <v>Aug-2025</v>
      </c>
      <c r="C374" s="2" t="str">
        <f t="shared" si="11"/>
        <v>Q2</v>
      </c>
      <c r="D374" s="2" t="s">
        <v>31</v>
      </c>
      <c r="E374" s="13">
        <v>45881</v>
      </c>
      <c r="F374" s="14" t="s">
        <v>156</v>
      </c>
      <c r="G374" s="14" t="s">
        <v>19</v>
      </c>
      <c r="H374" s="14" t="s">
        <v>92</v>
      </c>
      <c r="I374" s="15">
        <v>2</v>
      </c>
      <c r="J374" s="15">
        <v>40</v>
      </c>
      <c r="K374" s="15">
        <v>242.1</v>
      </c>
      <c r="L374" s="15">
        <v>9683.9999999999982</v>
      </c>
      <c r="M374" s="15">
        <v>-744.7</v>
      </c>
      <c r="N374" s="15">
        <v>0</v>
      </c>
      <c r="O374" s="15">
        <v>1162.1090469999999</v>
      </c>
      <c r="P374" s="15">
        <v>10101.409046999999</v>
      </c>
    </row>
    <row r="375" spans="1:16" ht="15" x14ac:dyDescent="0.2">
      <c r="A375" s="4" t="s">
        <v>581</v>
      </c>
      <c r="B375" s="21" t="str">
        <f t="shared" si="10"/>
        <v>Aug-2025</v>
      </c>
      <c r="C375" s="2" t="str">
        <f t="shared" si="11"/>
        <v>Q2</v>
      </c>
      <c r="D375" s="2" t="s">
        <v>31</v>
      </c>
      <c r="E375" s="13">
        <v>45881</v>
      </c>
      <c r="F375" s="14" t="s">
        <v>156</v>
      </c>
      <c r="G375" s="14" t="s">
        <v>19</v>
      </c>
      <c r="H375" s="14" t="s">
        <v>125</v>
      </c>
      <c r="I375" s="15">
        <v>1</v>
      </c>
      <c r="J375" s="15">
        <v>800</v>
      </c>
      <c r="K375" s="15">
        <v>7.46</v>
      </c>
      <c r="L375" s="15">
        <v>5968</v>
      </c>
      <c r="M375" s="15">
        <v>-458.94</v>
      </c>
      <c r="N375" s="15">
        <v>0</v>
      </c>
      <c r="O375" s="15">
        <v>716.17782900000009</v>
      </c>
      <c r="P375" s="15">
        <v>6225.2378289999997</v>
      </c>
    </row>
    <row r="376" spans="1:16" ht="15" x14ac:dyDescent="0.2">
      <c r="A376" s="4" t="s">
        <v>574</v>
      </c>
      <c r="B376" s="21" t="str">
        <f t="shared" si="10"/>
        <v>Aug-2025</v>
      </c>
      <c r="C376" s="2" t="str">
        <f t="shared" si="11"/>
        <v>Q2</v>
      </c>
      <c r="D376" s="2" t="s">
        <v>31</v>
      </c>
      <c r="E376" s="13">
        <v>45881</v>
      </c>
      <c r="F376" s="14" t="s">
        <v>156</v>
      </c>
      <c r="G376" s="14" t="s">
        <v>19</v>
      </c>
      <c r="H376" s="14" t="s">
        <v>86</v>
      </c>
      <c r="I376" s="15">
        <v>1</v>
      </c>
      <c r="J376" s="15">
        <v>18</v>
      </c>
      <c r="K376" s="15">
        <v>178.78</v>
      </c>
      <c r="L376" s="15">
        <v>3218.0400000000004</v>
      </c>
      <c r="M376" s="15">
        <v>-247.47</v>
      </c>
      <c r="N376" s="15">
        <v>0</v>
      </c>
      <c r="O376" s="15">
        <v>386.17411599999997</v>
      </c>
      <c r="P376" s="15">
        <v>3356.7441159999998</v>
      </c>
    </row>
    <row r="377" spans="1:16" ht="15" x14ac:dyDescent="0.2">
      <c r="A377" s="4" t="s">
        <v>582</v>
      </c>
      <c r="B377" s="21" t="str">
        <f t="shared" si="10"/>
        <v>Aug-2025</v>
      </c>
      <c r="C377" s="2" t="str">
        <f t="shared" si="11"/>
        <v>Q2</v>
      </c>
      <c r="D377" s="2" t="s">
        <v>31</v>
      </c>
      <c r="E377" s="13">
        <v>45881</v>
      </c>
      <c r="F377" s="14" t="s">
        <v>156</v>
      </c>
      <c r="G377" s="14" t="s">
        <v>19</v>
      </c>
      <c r="H377" s="14" t="s">
        <v>77</v>
      </c>
      <c r="I377" s="15">
        <v>2</v>
      </c>
      <c r="J377" s="15">
        <v>48</v>
      </c>
      <c r="K377" s="15">
        <v>204.85</v>
      </c>
      <c r="L377" s="15">
        <v>9832.8000000000011</v>
      </c>
      <c r="M377" s="15">
        <v>-756.14</v>
      </c>
      <c r="N377" s="15">
        <v>0</v>
      </c>
      <c r="O377" s="15">
        <v>1179.9658480000001</v>
      </c>
      <c r="P377" s="15">
        <v>10256.625848</v>
      </c>
    </row>
    <row r="378" spans="1:16" ht="15" x14ac:dyDescent="0.2">
      <c r="A378" s="4" t="s">
        <v>589</v>
      </c>
      <c r="B378" s="21" t="str">
        <f t="shared" si="10"/>
        <v>Aug-2025</v>
      </c>
      <c r="C378" s="2" t="str">
        <f t="shared" si="11"/>
        <v>Q2</v>
      </c>
      <c r="D378" s="2" t="s">
        <v>31</v>
      </c>
      <c r="E378" s="13">
        <v>45881</v>
      </c>
      <c r="F378" s="14" t="s">
        <v>156</v>
      </c>
      <c r="G378" s="14" t="s">
        <v>19</v>
      </c>
      <c r="H378" s="14" t="s">
        <v>105</v>
      </c>
      <c r="I378" s="15">
        <v>2</v>
      </c>
      <c r="J378" s="15">
        <v>60</v>
      </c>
      <c r="K378" s="15">
        <v>316.58999999999997</v>
      </c>
      <c r="L378" s="15">
        <v>18995.399999999998</v>
      </c>
      <c r="M378" s="15">
        <v>-1460.75</v>
      </c>
      <c r="N378" s="15">
        <v>0</v>
      </c>
      <c r="O378" s="15">
        <v>2279.5045919999998</v>
      </c>
      <c r="P378" s="15">
        <v>19814.154591999999</v>
      </c>
    </row>
    <row r="379" spans="1:16" ht="15" x14ac:dyDescent="0.2">
      <c r="A379" s="4" t="s">
        <v>575</v>
      </c>
      <c r="B379" s="21" t="str">
        <f t="shared" si="10"/>
        <v>Aug-2025</v>
      </c>
      <c r="C379" s="2" t="str">
        <f t="shared" si="11"/>
        <v>Q2</v>
      </c>
      <c r="D379" s="2" t="s">
        <v>31</v>
      </c>
      <c r="E379" s="13">
        <v>45881</v>
      </c>
      <c r="F379" s="14" t="s">
        <v>156</v>
      </c>
      <c r="G379" s="14" t="s">
        <v>19</v>
      </c>
      <c r="H379" s="14" t="s">
        <v>55</v>
      </c>
      <c r="I379" s="15">
        <v>3</v>
      </c>
      <c r="J379" s="15">
        <v>60</v>
      </c>
      <c r="K379" s="15">
        <v>186.23</v>
      </c>
      <c r="L379" s="15">
        <v>11173.8</v>
      </c>
      <c r="M379" s="15">
        <v>-859.2700000000001</v>
      </c>
      <c r="N379" s="15">
        <v>0</v>
      </c>
      <c r="O379" s="15">
        <v>1340.8889539999998</v>
      </c>
      <c r="P379" s="15">
        <v>11655.418954000001</v>
      </c>
    </row>
    <row r="380" spans="1:16" ht="15" x14ac:dyDescent="0.2">
      <c r="A380" s="4" t="s">
        <v>574</v>
      </c>
      <c r="B380" s="21" t="str">
        <f t="shared" si="10"/>
        <v>Aug-2025</v>
      </c>
      <c r="C380" s="2" t="str">
        <f t="shared" si="11"/>
        <v>Q2</v>
      </c>
      <c r="D380" s="2" t="s">
        <v>31</v>
      </c>
      <c r="E380" s="13">
        <v>45881</v>
      </c>
      <c r="F380" s="14" t="s">
        <v>156</v>
      </c>
      <c r="G380" s="14" t="s">
        <v>19</v>
      </c>
      <c r="H380" s="14" t="s">
        <v>84</v>
      </c>
      <c r="I380" s="15">
        <v>1</v>
      </c>
      <c r="J380" s="15">
        <v>18</v>
      </c>
      <c r="K380" s="15">
        <v>178.78</v>
      </c>
      <c r="L380" s="15">
        <v>3218.0400000000004</v>
      </c>
      <c r="M380" s="15">
        <v>-247.47</v>
      </c>
      <c r="N380" s="15">
        <v>0</v>
      </c>
      <c r="O380" s="15">
        <v>386.17411599999997</v>
      </c>
      <c r="P380" s="15">
        <v>3356.7441159999998</v>
      </c>
    </row>
    <row r="381" spans="1:16" ht="15" x14ac:dyDescent="0.2">
      <c r="A381" s="4" t="s">
        <v>573</v>
      </c>
      <c r="B381" s="21" t="str">
        <f t="shared" si="10"/>
        <v>Aug-2025</v>
      </c>
      <c r="C381" s="2" t="str">
        <f t="shared" si="11"/>
        <v>Q2</v>
      </c>
      <c r="D381" s="2" t="s">
        <v>31</v>
      </c>
      <c r="E381" s="13">
        <v>45881</v>
      </c>
      <c r="F381" s="14" t="s">
        <v>156</v>
      </c>
      <c r="G381" s="14" t="s">
        <v>19</v>
      </c>
      <c r="H381" s="14" t="s">
        <v>136</v>
      </c>
      <c r="I381" s="15">
        <v>3</v>
      </c>
      <c r="J381" s="15">
        <v>120</v>
      </c>
      <c r="K381" s="15">
        <v>111.74</v>
      </c>
      <c r="L381" s="15">
        <v>13408.8</v>
      </c>
      <c r="M381" s="15">
        <v>-1031.1400000000001</v>
      </c>
      <c r="N381" s="15">
        <v>0</v>
      </c>
      <c r="O381" s="15">
        <v>1609.095865</v>
      </c>
      <c r="P381" s="15">
        <v>13986.755864999999</v>
      </c>
    </row>
    <row r="382" spans="1:16" ht="15" x14ac:dyDescent="0.2">
      <c r="A382" s="4" t="s">
        <v>583</v>
      </c>
      <c r="B382" s="21" t="str">
        <f t="shared" si="10"/>
        <v>Aug-2025</v>
      </c>
      <c r="C382" s="2" t="str">
        <f t="shared" si="11"/>
        <v>Q2</v>
      </c>
      <c r="D382" s="2" t="s">
        <v>31</v>
      </c>
      <c r="E382" s="13">
        <v>45881</v>
      </c>
      <c r="F382" s="14" t="s">
        <v>156</v>
      </c>
      <c r="G382" s="14" t="s">
        <v>19</v>
      </c>
      <c r="H382" s="14" t="s">
        <v>113</v>
      </c>
      <c r="I382" s="15">
        <v>2</v>
      </c>
      <c r="J382" s="15">
        <v>30</v>
      </c>
      <c r="K382" s="15">
        <v>260.72000000000003</v>
      </c>
      <c r="L382" s="15">
        <v>7821.6</v>
      </c>
      <c r="M382" s="15">
        <v>-601.48</v>
      </c>
      <c r="N382" s="15">
        <v>0</v>
      </c>
      <c r="O382" s="15">
        <v>938.61563799999999</v>
      </c>
      <c r="P382" s="15">
        <v>8158.7356380000001</v>
      </c>
    </row>
    <row r="383" spans="1:16" ht="15" x14ac:dyDescent="0.2">
      <c r="A383" s="4" t="s">
        <v>581</v>
      </c>
      <c r="B383" s="21" t="str">
        <f t="shared" si="10"/>
        <v>Aug-2025</v>
      </c>
      <c r="C383" s="2" t="str">
        <f t="shared" si="11"/>
        <v>Q2</v>
      </c>
      <c r="D383" s="2" t="s">
        <v>31</v>
      </c>
      <c r="E383" s="13">
        <v>45881</v>
      </c>
      <c r="F383" s="14" t="s">
        <v>156</v>
      </c>
      <c r="G383" s="14" t="s">
        <v>19</v>
      </c>
      <c r="H383" s="14" t="s">
        <v>66</v>
      </c>
      <c r="I383" s="15">
        <v>2</v>
      </c>
      <c r="J383" s="15">
        <v>48</v>
      </c>
      <c r="K383" s="15">
        <v>141.54</v>
      </c>
      <c r="L383" s="15">
        <v>6793.92</v>
      </c>
      <c r="M383" s="15">
        <v>-522.45000000000005</v>
      </c>
      <c r="N383" s="15">
        <v>0</v>
      </c>
      <c r="O383" s="15">
        <v>815.29113299999995</v>
      </c>
      <c r="P383" s="15">
        <v>7086.761133</v>
      </c>
    </row>
    <row r="384" spans="1:16" ht="15" x14ac:dyDescent="0.2">
      <c r="A384" s="4" t="s">
        <v>581</v>
      </c>
      <c r="B384" s="21" t="str">
        <f t="shared" si="10"/>
        <v>Aug-2025</v>
      </c>
      <c r="C384" s="2" t="str">
        <f t="shared" si="11"/>
        <v>Q2</v>
      </c>
      <c r="D384" s="2" t="s">
        <v>31</v>
      </c>
      <c r="E384" s="13">
        <v>45881</v>
      </c>
      <c r="F384" s="14" t="s">
        <v>156</v>
      </c>
      <c r="G384" s="14" t="s">
        <v>19</v>
      </c>
      <c r="H384" s="14" t="s">
        <v>97</v>
      </c>
      <c r="I384" s="15">
        <v>1</v>
      </c>
      <c r="J384" s="15">
        <v>40</v>
      </c>
      <c r="K384" s="15">
        <v>67.040000000000006</v>
      </c>
      <c r="L384" s="15">
        <v>2681.6</v>
      </c>
      <c r="M384" s="15">
        <v>-206.22</v>
      </c>
      <c r="N384" s="15">
        <v>0</v>
      </c>
      <c r="O384" s="15">
        <v>321.79941299999996</v>
      </c>
      <c r="P384" s="15">
        <v>2797.1794129999998</v>
      </c>
    </row>
    <row r="385" spans="1:16" ht="15" x14ac:dyDescent="0.2">
      <c r="A385" s="4" t="s">
        <v>574</v>
      </c>
      <c r="B385" s="21" t="str">
        <f t="shared" si="10"/>
        <v>Aug-2025</v>
      </c>
      <c r="C385" s="2" t="str">
        <f t="shared" si="11"/>
        <v>Q2</v>
      </c>
      <c r="D385" s="2" t="s">
        <v>31</v>
      </c>
      <c r="E385" s="13">
        <v>45882</v>
      </c>
      <c r="F385" s="14" t="s">
        <v>157</v>
      </c>
      <c r="G385" s="14" t="s">
        <v>130</v>
      </c>
      <c r="H385" s="14" t="s">
        <v>86</v>
      </c>
      <c r="I385" s="15">
        <v>4</v>
      </c>
      <c r="J385" s="15">
        <v>72</v>
      </c>
      <c r="K385" s="15">
        <v>178.78</v>
      </c>
      <c r="L385" s="15">
        <v>12872.160000000002</v>
      </c>
      <c r="M385" s="15">
        <v>-989.87000000000012</v>
      </c>
      <c r="N385" s="15">
        <v>0</v>
      </c>
      <c r="O385" s="15">
        <v>1544.6969569999999</v>
      </c>
      <c r="P385" s="15">
        <v>13426.986956999999</v>
      </c>
    </row>
    <row r="386" spans="1:16" ht="15" x14ac:dyDescent="0.2">
      <c r="A386" s="4" t="s">
        <v>574</v>
      </c>
      <c r="B386" s="21" t="str">
        <f t="shared" si="10"/>
        <v>Aug-2025</v>
      </c>
      <c r="C386" s="2" t="str">
        <f t="shared" si="11"/>
        <v>Q2</v>
      </c>
      <c r="D386" s="2" t="s">
        <v>31</v>
      </c>
      <c r="E386" s="13">
        <v>45882</v>
      </c>
      <c r="F386" s="14" t="s">
        <v>157</v>
      </c>
      <c r="G386" s="14" t="s">
        <v>130</v>
      </c>
      <c r="H386" s="14" t="s">
        <v>84</v>
      </c>
      <c r="I386" s="15">
        <v>10</v>
      </c>
      <c r="J386" s="15">
        <v>180</v>
      </c>
      <c r="K386" s="15">
        <v>178.78</v>
      </c>
      <c r="L386" s="15">
        <v>32180.400000000001</v>
      </c>
      <c r="M386" s="15">
        <v>-2474.6699999999996</v>
      </c>
      <c r="N386" s="15">
        <v>0</v>
      </c>
      <c r="O386" s="15">
        <v>3861.7430429999999</v>
      </c>
      <c r="P386" s="15">
        <v>33567.473042999998</v>
      </c>
    </row>
    <row r="387" spans="1:16" ht="15" x14ac:dyDescent="0.2">
      <c r="A387" s="4" t="s">
        <v>580</v>
      </c>
      <c r="B387" s="21" t="str">
        <f t="shared" ref="B387:B450" si="12">+TEXT(E387,"MMM-yyy")</f>
        <v>Aug-2025</v>
      </c>
      <c r="C387" s="2" t="str">
        <f t="shared" ref="C387:C450" si="13">"Q" &amp; CHOOSE(MONTH(E387),4,4,4,1,1,1,2,2,2,3,3,3)</f>
        <v>Q2</v>
      </c>
      <c r="D387" s="2" t="s">
        <v>31</v>
      </c>
      <c r="E387" s="13">
        <v>45882</v>
      </c>
      <c r="F387" s="14" t="s">
        <v>158</v>
      </c>
      <c r="G387" s="14" t="s">
        <v>159</v>
      </c>
      <c r="H387" s="14" t="s">
        <v>89</v>
      </c>
      <c r="I387" s="15">
        <v>11</v>
      </c>
      <c r="J387" s="15">
        <v>770</v>
      </c>
      <c r="K387" s="15">
        <v>32.78</v>
      </c>
      <c r="L387" s="15">
        <v>25240.6</v>
      </c>
      <c r="M387" s="15">
        <v>-1941</v>
      </c>
      <c r="N387" s="15">
        <v>0</v>
      </c>
      <c r="O387" s="15">
        <v>3028.9500000000003</v>
      </c>
      <c r="P387" s="15">
        <v>26328.55</v>
      </c>
    </row>
    <row r="388" spans="1:16" ht="15" x14ac:dyDescent="0.2">
      <c r="A388" s="4" t="s">
        <v>592</v>
      </c>
      <c r="B388" s="21" t="str">
        <f t="shared" si="12"/>
        <v>Aug-2025</v>
      </c>
      <c r="C388" s="2" t="str">
        <f t="shared" si="13"/>
        <v>Q2</v>
      </c>
      <c r="D388" s="2" t="s">
        <v>31</v>
      </c>
      <c r="E388" s="13">
        <v>45883</v>
      </c>
      <c r="F388" s="14" t="s">
        <v>160</v>
      </c>
      <c r="G388" s="14" t="s">
        <v>80</v>
      </c>
      <c r="H388" s="14" t="s">
        <v>115</v>
      </c>
      <c r="I388" s="15">
        <v>0.12</v>
      </c>
      <c r="J388" s="15">
        <v>6</v>
      </c>
      <c r="K388" s="15">
        <v>89.39</v>
      </c>
      <c r="L388" s="15">
        <v>536.34</v>
      </c>
      <c r="M388" s="15">
        <v>-41.24</v>
      </c>
      <c r="N388" s="15">
        <v>0</v>
      </c>
      <c r="O388" s="15">
        <v>64.36</v>
      </c>
      <c r="P388" s="15">
        <v>559.46</v>
      </c>
    </row>
    <row r="389" spans="1:16" ht="15" x14ac:dyDescent="0.2">
      <c r="A389" s="4" t="s">
        <v>581</v>
      </c>
      <c r="B389" s="21" t="str">
        <f t="shared" si="12"/>
        <v>Aug-2025</v>
      </c>
      <c r="C389" s="2" t="str">
        <f t="shared" si="13"/>
        <v>Q2</v>
      </c>
      <c r="D389" s="2" t="s">
        <v>31</v>
      </c>
      <c r="E389" s="13">
        <v>45883</v>
      </c>
      <c r="F389" s="14" t="s">
        <v>161</v>
      </c>
      <c r="G389" s="14" t="s">
        <v>25</v>
      </c>
      <c r="H389" s="14" t="s">
        <v>96</v>
      </c>
      <c r="I389" s="15">
        <v>6</v>
      </c>
      <c r="J389" s="15">
        <v>240</v>
      </c>
      <c r="K389" s="15">
        <v>59.73</v>
      </c>
      <c r="L389" s="15">
        <v>14335.2</v>
      </c>
      <c r="M389" s="15">
        <v>0</v>
      </c>
      <c r="N389" s="15">
        <v>0</v>
      </c>
      <c r="O389" s="15">
        <v>1863.5800000000002</v>
      </c>
      <c r="P389" s="15">
        <v>16198.78</v>
      </c>
    </row>
    <row r="390" spans="1:16" ht="15" x14ac:dyDescent="0.2">
      <c r="A390" s="4" t="s">
        <v>593</v>
      </c>
      <c r="B390" s="21" t="str">
        <f t="shared" si="12"/>
        <v>Aug-2025</v>
      </c>
      <c r="C390" s="2" t="str">
        <f t="shared" si="13"/>
        <v>Q2</v>
      </c>
      <c r="D390" s="2" t="s">
        <v>31</v>
      </c>
      <c r="E390" s="13">
        <v>45884</v>
      </c>
      <c r="F390" s="14" t="s">
        <v>162</v>
      </c>
      <c r="G390" s="14" t="s">
        <v>130</v>
      </c>
      <c r="H390" s="14" t="s">
        <v>117</v>
      </c>
      <c r="I390" s="15">
        <v>70</v>
      </c>
      <c r="J390" s="15">
        <v>280</v>
      </c>
      <c r="K390" s="15">
        <v>595.94000000000005</v>
      </c>
      <c r="L390" s="15">
        <v>166863.19999999998</v>
      </c>
      <c r="M390" s="15">
        <v>-12831.779999999999</v>
      </c>
      <c r="N390" s="15">
        <v>0</v>
      </c>
      <c r="O390" s="15">
        <v>20024.080000000002</v>
      </c>
      <c r="P390" s="15">
        <v>174055.5</v>
      </c>
    </row>
    <row r="391" spans="1:16" ht="15" x14ac:dyDescent="0.2">
      <c r="A391" s="4" t="s">
        <v>581</v>
      </c>
      <c r="B391" s="21" t="str">
        <f t="shared" si="12"/>
        <v>Aug-2025</v>
      </c>
      <c r="C391" s="2" t="str">
        <f t="shared" si="13"/>
        <v>Q2</v>
      </c>
      <c r="D391" s="2" t="s">
        <v>31</v>
      </c>
      <c r="E391" s="13">
        <v>45886</v>
      </c>
      <c r="F391" s="14" t="s">
        <v>163</v>
      </c>
      <c r="G391" s="14" t="s">
        <v>14</v>
      </c>
      <c r="H391" s="14" t="s">
        <v>66</v>
      </c>
      <c r="I391" s="15">
        <v>3</v>
      </c>
      <c r="J391" s="15">
        <v>72</v>
      </c>
      <c r="K391" s="15">
        <v>141.54</v>
      </c>
      <c r="L391" s="15">
        <v>10190.879999999999</v>
      </c>
      <c r="M391" s="15">
        <v>-783.68</v>
      </c>
      <c r="N391" s="15">
        <v>0</v>
      </c>
      <c r="O391" s="15">
        <v>1222.9358890000001</v>
      </c>
      <c r="P391" s="15">
        <v>10630.135888999999</v>
      </c>
    </row>
    <row r="392" spans="1:16" ht="15" x14ac:dyDescent="0.2">
      <c r="A392" s="4" t="s">
        <v>579</v>
      </c>
      <c r="B392" s="21" t="str">
        <f t="shared" si="12"/>
        <v>Aug-2025</v>
      </c>
      <c r="C392" s="2" t="str">
        <f t="shared" si="13"/>
        <v>Q2</v>
      </c>
      <c r="D392" s="2" t="s">
        <v>31</v>
      </c>
      <c r="E392" s="13">
        <v>45886</v>
      </c>
      <c r="F392" s="14" t="s">
        <v>163</v>
      </c>
      <c r="G392" s="14" t="s">
        <v>14</v>
      </c>
      <c r="H392" s="14" t="s">
        <v>92</v>
      </c>
      <c r="I392" s="15">
        <v>2</v>
      </c>
      <c r="J392" s="15">
        <v>40</v>
      </c>
      <c r="K392" s="15">
        <v>242.1</v>
      </c>
      <c r="L392" s="15">
        <v>9683.9999999999982</v>
      </c>
      <c r="M392" s="15">
        <v>-744.7</v>
      </c>
      <c r="N392" s="15">
        <v>0</v>
      </c>
      <c r="O392" s="15">
        <v>1162.1088949999998</v>
      </c>
      <c r="P392" s="15">
        <v>10101.408895</v>
      </c>
    </row>
    <row r="393" spans="1:16" ht="15" x14ac:dyDescent="0.2">
      <c r="A393" s="4" t="s">
        <v>589</v>
      </c>
      <c r="B393" s="21" t="str">
        <f t="shared" si="12"/>
        <v>Aug-2025</v>
      </c>
      <c r="C393" s="2" t="str">
        <f t="shared" si="13"/>
        <v>Q2</v>
      </c>
      <c r="D393" s="2" t="s">
        <v>31</v>
      </c>
      <c r="E393" s="13">
        <v>45886</v>
      </c>
      <c r="F393" s="14" t="s">
        <v>163</v>
      </c>
      <c r="G393" s="14" t="s">
        <v>14</v>
      </c>
      <c r="H393" s="14" t="s">
        <v>98</v>
      </c>
      <c r="I393" s="15">
        <v>2</v>
      </c>
      <c r="J393" s="15">
        <v>120</v>
      </c>
      <c r="K393" s="15">
        <v>145.26</v>
      </c>
      <c r="L393" s="15">
        <v>17431.2</v>
      </c>
      <c r="M393" s="15">
        <v>-1340.46</v>
      </c>
      <c r="N393" s="15">
        <v>0</v>
      </c>
      <c r="O393" s="15">
        <v>2091.79601</v>
      </c>
      <c r="P393" s="15">
        <v>18182.53601</v>
      </c>
    </row>
    <row r="394" spans="1:16" ht="15" x14ac:dyDescent="0.2">
      <c r="A394" s="4" t="s">
        <v>582</v>
      </c>
      <c r="B394" s="21" t="str">
        <f t="shared" si="12"/>
        <v>Aug-2025</v>
      </c>
      <c r="C394" s="2" t="str">
        <f t="shared" si="13"/>
        <v>Q2</v>
      </c>
      <c r="D394" s="2" t="s">
        <v>31</v>
      </c>
      <c r="E394" s="13">
        <v>45886</v>
      </c>
      <c r="F394" s="14" t="s">
        <v>163</v>
      </c>
      <c r="G394" s="14" t="s">
        <v>14</v>
      </c>
      <c r="H394" s="14" t="s">
        <v>77</v>
      </c>
      <c r="I394" s="15">
        <v>3</v>
      </c>
      <c r="J394" s="15">
        <v>72</v>
      </c>
      <c r="K394" s="15">
        <v>204.85</v>
      </c>
      <c r="L394" s="15">
        <v>14749.199999999999</v>
      </c>
      <c r="M394" s="15">
        <v>-1134.21</v>
      </c>
      <c r="N394" s="15">
        <v>0</v>
      </c>
      <c r="O394" s="15">
        <v>1769.9485400000001</v>
      </c>
      <c r="P394" s="15">
        <v>15384.938539999999</v>
      </c>
    </row>
    <row r="395" spans="1:16" ht="15" x14ac:dyDescent="0.2">
      <c r="A395" s="4" t="s">
        <v>584</v>
      </c>
      <c r="B395" s="21" t="str">
        <f t="shared" si="12"/>
        <v>Aug-2025</v>
      </c>
      <c r="C395" s="2" t="str">
        <f t="shared" si="13"/>
        <v>Q2</v>
      </c>
      <c r="D395" s="2" t="s">
        <v>31</v>
      </c>
      <c r="E395" s="13">
        <v>45886</v>
      </c>
      <c r="F395" s="14" t="s">
        <v>163</v>
      </c>
      <c r="G395" s="14" t="s">
        <v>14</v>
      </c>
      <c r="H395" s="14" t="s">
        <v>72</v>
      </c>
      <c r="I395" s="15">
        <v>1</v>
      </c>
      <c r="J395" s="15">
        <v>40</v>
      </c>
      <c r="K395" s="15">
        <v>81.94</v>
      </c>
      <c r="L395" s="15">
        <v>3277.6</v>
      </c>
      <c r="M395" s="15">
        <v>-252.05</v>
      </c>
      <c r="N395" s="15">
        <v>0</v>
      </c>
      <c r="O395" s="15">
        <v>393.32146400000005</v>
      </c>
      <c r="P395" s="15">
        <v>3418.8714639999998</v>
      </c>
    </row>
    <row r="396" spans="1:16" ht="15" x14ac:dyDescent="0.2">
      <c r="A396" s="4" t="s">
        <v>592</v>
      </c>
      <c r="B396" s="21" t="str">
        <f t="shared" si="12"/>
        <v>Aug-2025</v>
      </c>
      <c r="C396" s="2" t="str">
        <f t="shared" si="13"/>
        <v>Q2</v>
      </c>
      <c r="D396" s="2" t="s">
        <v>31</v>
      </c>
      <c r="E396" s="13">
        <v>45886</v>
      </c>
      <c r="F396" s="14" t="s">
        <v>163</v>
      </c>
      <c r="G396" s="14" t="s">
        <v>14</v>
      </c>
      <c r="H396" s="14" t="s">
        <v>115</v>
      </c>
      <c r="I396" s="15">
        <v>1.88</v>
      </c>
      <c r="J396" s="15">
        <v>94</v>
      </c>
      <c r="K396" s="15">
        <v>89.39</v>
      </c>
      <c r="L396" s="15">
        <v>8402.66</v>
      </c>
      <c r="M396" s="15">
        <v>-646.16</v>
      </c>
      <c r="N396" s="15">
        <v>0</v>
      </c>
      <c r="O396" s="15">
        <v>1008.344909</v>
      </c>
      <c r="P396" s="15">
        <v>8764.8449089999995</v>
      </c>
    </row>
    <row r="397" spans="1:16" ht="15" x14ac:dyDescent="0.2">
      <c r="A397" s="4" t="s">
        <v>589</v>
      </c>
      <c r="B397" s="21" t="str">
        <f t="shared" si="12"/>
        <v>Aug-2025</v>
      </c>
      <c r="C397" s="2" t="str">
        <f t="shared" si="13"/>
        <v>Q2</v>
      </c>
      <c r="D397" s="2" t="s">
        <v>31</v>
      </c>
      <c r="E397" s="13">
        <v>45886</v>
      </c>
      <c r="F397" s="14" t="s">
        <v>163</v>
      </c>
      <c r="G397" s="14" t="s">
        <v>14</v>
      </c>
      <c r="H397" s="14" t="s">
        <v>105</v>
      </c>
      <c r="I397" s="15">
        <v>2</v>
      </c>
      <c r="J397" s="15">
        <v>60</v>
      </c>
      <c r="K397" s="15">
        <v>316.58999999999997</v>
      </c>
      <c r="L397" s="15">
        <v>18995.399999999998</v>
      </c>
      <c r="M397" s="15">
        <v>-1460.75</v>
      </c>
      <c r="N397" s="15">
        <v>0</v>
      </c>
      <c r="O397" s="15">
        <v>2279.504293</v>
      </c>
      <c r="P397" s="15">
        <v>19814.154293</v>
      </c>
    </row>
    <row r="398" spans="1:16" ht="15" x14ac:dyDescent="0.2">
      <c r="A398" s="4" t="s">
        <v>581</v>
      </c>
      <c r="B398" s="21" t="str">
        <f t="shared" si="12"/>
        <v>Aug-2025</v>
      </c>
      <c r="C398" s="2" t="str">
        <f t="shared" si="13"/>
        <v>Q2</v>
      </c>
      <c r="D398" s="2" t="s">
        <v>31</v>
      </c>
      <c r="E398" s="13">
        <v>45886</v>
      </c>
      <c r="F398" s="14" t="s">
        <v>164</v>
      </c>
      <c r="G398" s="14" t="s">
        <v>12</v>
      </c>
      <c r="H398" s="14" t="s">
        <v>104</v>
      </c>
      <c r="I398" s="15">
        <v>2</v>
      </c>
      <c r="J398" s="15">
        <v>80</v>
      </c>
      <c r="K398" s="15">
        <v>67.040000000000006</v>
      </c>
      <c r="L398" s="15">
        <v>5363.2</v>
      </c>
      <c r="M398" s="15">
        <v>-412.43</v>
      </c>
      <c r="N398" s="15">
        <v>0</v>
      </c>
      <c r="O398" s="15">
        <v>643.60019599999998</v>
      </c>
      <c r="P398" s="15">
        <v>5594.3701959999999</v>
      </c>
    </row>
    <row r="399" spans="1:16" ht="15" x14ac:dyDescent="0.2">
      <c r="A399" s="4" t="s">
        <v>586</v>
      </c>
      <c r="B399" s="21" t="str">
        <f t="shared" si="12"/>
        <v>Aug-2025</v>
      </c>
      <c r="C399" s="2" t="str">
        <f t="shared" si="13"/>
        <v>Q2</v>
      </c>
      <c r="D399" s="2" t="s">
        <v>31</v>
      </c>
      <c r="E399" s="13">
        <v>45886</v>
      </c>
      <c r="F399" s="14" t="s">
        <v>164</v>
      </c>
      <c r="G399" s="14" t="s">
        <v>12</v>
      </c>
      <c r="H399" s="14" t="s">
        <v>76</v>
      </c>
      <c r="I399" s="15">
        <v>3</v>
      </c>
      <c r="J399" s="15">
        <v>720</v>
      </c>
      <c r="K399" s="15">
        <v>18.62</v>
      </c>
      <c r="L399" s="15">
        <v>13406.4</v>
      </c>
      <c r="M399" s="15">
        <v>-1030.95</v>
      </c>
      <c r="N399" s="15">
        <v>0</v>
      </c>
      <c r="O399" s="15">
        <v>1608.8087410000001</v>
      </c>
      <c r="P399" s="15">
        <v>13984.258741</v>
      </c>
    </row>
    <row r="400" spans="1:16" ht="15" x14ac:dyDescent="0.2">
      <c r="A400" s="4" t="s">
        <v>591</v>
      </c>
      <c r="B400" s="21" t="str">
        <f t="shared" si="12"/>
        <v>Aug-2025</v>
      </c>
      <c r="C400" s="2" t="str">
        <f t="shared" si="13"/>
        <v>Q2</v>
      </c>
      <c r="D400" s="2" t="s">
        <v>31</v>
      </c>
      <c r="E400" s="13">
        <v>45886</v>
      </c>
      <c r="F400" s="14" t="s">
        <v>164</v>
      </c>
      <c r="G400" s="14" t="s">
        <v>12</v>
      </c>
      <c r="H400" s="14" t="s">
        <v>106</v>
      </c>
      <c r="I400" s="15">
        <v>2</v>
      </c>
      <c r="J400" s="15">
        <v>120</v>
      </c>
      <c r="K400" s="15">
        <v>111.74</v>
      </c>
      <c r="L400" s="15">
        <v>13408.8</v>
      </c>
      <c r="M400" s="15">
        <v>-1031.1400000000001</v>
      </c>
      <c r="N400" s="15">
        <v>0</v>
      </c>
      <c r="O400" s="15">
        <v>1609.096041</v>
      </c>
      <c r="P400" s="15">
        <v>13986.756041000001</v>
      </c>
    </row>
    <row r="401" spans="1:16" ht="15" x14ac:dyDescent="0.2">
      <c r="A401" s="4" t="s">
        <v>584</v>
      </c>
      <c r="B401" s="21" t="str">
        <f t="shared" si="12"/>
        <v>Aug-2025</v>
      </c>
      <c r="C401" s="2" t="str">
        <f t="shared" si="13"/>
        <v>Q2</v>
      </c>
      <c r="D401" s="2" t="s">
        <v>31</v>
      </c>
      <c r="E401" s="13">
        <v>45886</v>
      </c>
      <c r="F401" s="14" t="s">
        <v>164</v>
      </c>
      <c r="G401" s="14" t="s">
        <v>12</v>
      </c>
      <c r="H401" s="14" t="s">
        <v>99</v>
      </c>
      <c r="I401" s="15">
        <v>2</v>
      </c>
      <c r="J401" s="15">
        <v>80</v>
      </c>
      <c r="K401" s="15">
        <v>81.94</v>
      </c>
      <c r="L401" s="15">
        <v>6555.2</v>
      </c>
      <c r="M401" s="15">
        <v>-504.09</v>
      </c>
      <c r="N401" s="15">
        <v>0</v>
      </c>
      <c r="O401" s="15">
        <v>786.64441799999997</v>
      </c>
      <c r="P401" s="15">
        <v>6837.7544180000004</v>
      </c>
    </row>
    <row r="402" spans="1:16" ht="15" x14ac:dyDescent="0.2">
      <c r="A402" s="4" t="s">
        <v>590</v>
      </c>
      <c r="B402" s="21" t="str">
        <f t="shared" si="12"/>
        <v>Aug-2025</v>
      </c>
      <c r="C402" s="2" t="str">
        <f t="shared" si="13"/>
        <v>Q2</v>
      </c>
      <c r="D402" s="2" t="s">
        <v>31</v>
      </c>
      <c r="E402" s="13">
        <v>45886</v>
      </c>
      <c r="F402" s="14" t="s">
        <v>164</v>
      </c>
      <c r="G402" s="14" t="s">
        <v>12</v>
      </c>
      <c r="H402" s="14" t="s">
        <v>102</v>
      </c>
      <c r="I402" s="15">
        <v>5</v>
      </c>
      <c r="J402" s="15">
        <v>100</v>
      </c>
      <c r="K402" s="15">
        <v>249.55</v>
      </c>
      <c r="L402" s="15">
        <v>24955</v>
      </c>
      <c r="M402" s="15">
        <v>-1919.04</v>
      </c>
      <c r="N402" s="15">
        <v>0</v>
      </c>
      <c r="O402" s="15">
        <v>2994.675248</v>
      </c>
      <c r="P402" s="15">
        <v>26030.635247999999</v>
      </c>
    </row>
    <row r="403" spans="1:16" ht="15" x14ac:dyDescent="0.2">
      <c r="A403" s="4" t="s">
        <v>588</v>
      </c>
      <c r="B403" s="21" t="str">
        <f t="shared" si="12"/>
        <v>Aug-2025</v>
      </c>
      <c r="C403" s="2" t="str">
        <f t="shared" si="13"/>
        <v>Q2</v>
      </c>
      <c r="D403" s="2" t="s">
        <v>31</v>
      </c>
      <c r="E403" s="13">
        <v>45886</v>
      </c>
      <c r="F403" s="14" t="s">
        <v>164</v>
      </c>
      <c r="G403" s="14" t="s">
        <v>12</v>
      </c>
      <c r="H403" s="14" t="s">
        <v>95</v>
      </c>
      <c r="I403" s="15">
        <v>3</v>
      </c>
      <c r="J403" s="15">
        <v>180</v>
      </c>
      <c r="K403" s="15">
        <v>111.74</v>
      </c>
      <c r="L403" s="15">
        <v>20113.2</v>
      </c>
      <c r="M403" s="15">
        <v>-1546.71</v>
      </c>
      <c r="N403" s="15">
        <v>0</v>
      </c>
      <c r="O403" s="15">
        <v>2413.644061</v>
      </c>
      <c r="P403" s="15">
        <v>20980.134061000001</v>
      </c>
    </row>
    <row r="404" spans="1:16" ht="15" x14ac:dyDescent="0.2">
      <c r="A404" s="4" t="s">
        <v>586</v>
      </c>
      <c r="B404" s="21" t="str">
        <f t="shared" si="12"/>
        <v>Aug-2025</v>
      </c>
      <c r="C404" s="2" t="str">
        <f t="shared" si="13"/>
        <v>Q2</v>
      </c>
      <c r="D404" s="2" t="s">
        <v>31</v>
      </c>
      <c r="E404" s="13">
        <v>45886</v>
      </c>
      <c r="F404" s="14" t="s">
        <v>164</v>
      </c>
      <c r="G404" s="14" t="s">
        <v>12</v>
      </c>
      <c r="H404" s="14" t="s">
        <v>78</v>
      </c>
      <c r="I404" s="15">
        <v>2</v>
      </c>
      <c r="J404" s="15">
        <v>1200</v>
      </c>
      <c r="K404" s="15">
        <v>7.45</v>
      </c>
      <c r="L404" s="15">
        <v>8940</v>
      </c>
      <c r="M404" s="15">
        <v>-687.4899999999999</v>
      </c>
      <c r="N404" s="15">
        <v>0</v>
      </c>
      <c r="O404" s="15">
        <v>1072.8264609999999</v>
      </c>
      <c r="P404" s="15">
        <v>9325.3364610000008</v>
      </c>
    </row>
    <row r="405" spans="1:16" ht="15" x14ac:dyDescent="0.2">
      <c r="A405" s="4" t="s">
        <v>574</v>
      </c>
      <c r="B405" s="21" t="str">
        <f t="shared" si="12"/>
        <v>Aug-2025</v>
      </c>
      <c r="C405" s="2" t="str">
        <f t="shared" si="13"/>
        <v>Q2</v>
      </c>
      <c r="D405" s="2" t="s">
        <v>31</v>
      </c>
      <c r="E405" s="13">
        <v>45886</v>
      </c>
      <c r="F405" s="14" t="s">
        <v>164</v>
      </c>
      <c r="G405" s="14" t="s">
        <v>12</v>
      </c>
      <c r="H405" s="14" t="s">
        <v>84</v>
      </c>
      <c r="I405" s="15">
        <v>3</v>
      </c>
      <c r="J405" s="15">
        <v>54</v>
      </c>
      <c r="K405" s="15">
        <v>178.78</v>
      </c>
      <c r="L405" s="15">
        <v>9654.119999999999</v>
      </c>
      <c r="M405" s="15">
        <v>-742.4</v>
      </c>
      <c r="N405" s="15">
        <v>0</v>
      </c>
      <c r="O405" s="15">
        <v>1158.523774</v>
      </c>
      <c r="P405" s="15">
        <v>10070.243774</v>
      </c>
    </row>
    <row r="406" spans="1:16" ht="15" x14ac:dyDescent="0.2">
      <c r="A406" s="4" t="s">
        <v>584</v>
      </c>
      <c r="B406" s="21" t="str">
        <f t="shared" si="12"/>
        <v>Aug-2025</v>
      </c>
      <c r="C406" s="2" t="str">
        <f t="shared" si="13"/>
        <v>Q2</v>
      </c>
      <c r="D406" s="2" t="s">
        <v>31</v>
      </c>
      <c r="E406" s="13">
        <v>45886</v>
      </c>
      <c r="F406" s="14" t="s">
        <v>164</v>
      </c>
      <c r="G406" s="14" t="s">
        <v>12</v>
      </c>
      <c r="H406" s="14" t="s">
        <v>100</v>
      </c>
      <c r="I406" s="15">
        <v>2</v>
      </c>
      <c r="J406" s="15">
        <v>80</v>
      </c>
      <c r="K406" s="15">
        <v>81.94</v>
      </c>
      <c r="L406" s="15">
        <v>6555.2</v>
      </c>
      <c r="M406" s="15">
        <v>-504.09</v>
      </c>
      <c r="N406" s="15">
        <v>0</v>
      </c>
      <c r="O406" s="15">
        <v>786.64441799999997</v>
      </c>
      <c r="P406" s="15">
        <v>6837.7544180000004</v>
      </c>
    </row>
    <row r="407" spans="1:16" ht="15" x14ac:dyDescent="0.2">
      <c r="A407" s="4" t="s">
        <v>587</v>
      </c>
      <c r="B407" s="21" t="str">
        <f t="shared" si="12"/>
        <v>Aug-2025</v>
      </c>
      <c r="C407" s="2" t="str">
        <f t="shared" si="13"/>
        <v>Q2</v>
      </c>
      <c r="D407" s="2" t="s">
        <v>31</v>
      </c>
      <c r="E407" s="13">
        <v>45886</v>
      </c>
      <c r="F407" s="14" t="s">
        <v>164</v>
      </c>
      <c r="G407" s="14" t="s">
        <v>12</v>
      </c>
      <c r="H407" s="14" t="s">
        <v>94</v>
      </c>
      <c r="I407" s="15">
        <v>2</v>
      </c>
      <c r="J407" s="15">
        <v>120</v>
      </c>
      <c r="K407" s="15">
        <v>111.74</v>
      </c>
      <c r="L407" s="15">
        <v>13408.8</v>
      </c>
      <c r="M407" s="15">
        <v>-1031.1400000000001</v>
      </c>
      <c r="N407" s="15">
        <v>0</v>
      </c>
      <c r="O407" s="15">
        <v>1609.096041</v>
      </c>
      <c r="P407" s="15">
        <v>13986.756041000001</v>
      </c>
    </row>
    <row r="408" spans="1:16" ht="15" x14ac:dyDescent="0.2">
      <c r="A408" s="4" t="s">
        <v>581</v>
      </c>
      <c r="B408" s="21" t="str">
        <f t="shared" si="12"/>
        <v>Aug-2025</v>
      </c>
      <c r="C408" s="2" t="str">
        <f t="shared" si="13"/>
        <v>Q2</v>
      </c>
      <c r="D408" s="2" t="s">
        <v>31</v>
      </c>
      <c r="E408" s="13">
        <v>45886</v>
      </c>
      <c r="F408" s="14" t="s">
        <v>164</v>
      </c>
      <c r="G408" s="14" t="s">
        <v>12</v>
      </c>
      <c r="H408" s="14" t="s">
        <v>66</v>
      </c>
      <c r="I408" s="15">
        <v>3</v>
      </c>
      <c r="J408" s="15">
        <v>72</v>
      </c>
      <c r="K408" s="15">
        <v>141.54</v>
      </c>
      <c r="L408" s="15">
        <v>10190.879999999999</v>
      </c>
      <c r="M408" s="15">
        <v>-783.68</v>
      </c>
      <c r="N408" s="15">
        <v>0</v>
      </c>
      <c r="O408" s="15">
        <v>1222.936183</v>
      </c>
      <c r="P408" s="15">
        <v>10630.136183000001</v>
      </c>
    </row>
    <row r="409" spans="1:16" ht="15" x14ac:dyDescent="0.2">
      <c r="A409" s="4" t="s">
        <v>584</v>
      </c>
      <c r="B409" s="21" t="str">
        <f t="shared" si="12"/>
        <v>Aug-2025</v>
      </c>
      <c r="C409" s="2" t="str">
        <f t="shared" si="13"/>
        <v>Q2</v>
      </c>
      <c r="D409" s="2" t="s">
        <v>31</v>
      </c>
      <c r="E409" s="13">
        <v>45886</v>
      </c>
      <c r="F409" s="14" t="s">
        <v>164</v>
      </c>
      <c r="G409" s="14" t="s">
        <v>12</v>
      </c>
      <c r="H409" s="14" t="s">
        <v>72</v>
      </c>
      <c r="I409" s="15">
        <v>2</v>
      </c>
      <c r="J409" s="15">
        <v>80</v>
      </c>
      <c r="K409" s="15">
        <v>81.94</v>
      </c>
      <c r="L409" s="15">
        <v>6555.2</v>
      </c>
      <c r="M409" s="15">
        <v>-504.09</v>
      </c>
      <c r="N409" s="15">
        <v>0</v>
      </c>
      <c r="O409" s="15">
        <v>786.64441799999997</v>
      </c>
      <c r="P409" s="15">
        <v>6837.7544180000004</v>
      </c>
    </row>
    <row r="410" spans="1:16" ht="15" x14ac:dyDescent="0.2">
      <c r="A410" s="4" t="s">
        <v>589</v>
      </c>
      <c r="B410" s="21" t="str">
        <f t="shared" si="12"/>
        <v>Aug-2025</v>
      </c>
      <c r="C410" s="2" t="str">
        <f t="shared" si="13"/>
        <v>Q2</v>
      </c>
      <c r="D410" s="2" t="s">
        <v>31</v>
      </c>
      <c r="E410" s="13">
        <v>45887</v>
      </c>
      <c r="F410" s="14" t="s">
        <v>165</v>
      </c>
      <c r="G410" s="14" t="s">
        <v>119</v>
      </c>
      <c r="H410" s="14" t="s">
        <v>105</v>
      </c>
      <c r="I410" s="15">
        <v>1</v>
      </c>
      <c r="J410" s="15">
        <v>30</v>
      </c>
      <c r="K410" s="15">
        <v>316.58999999999997</v>
      </c>
      <c r="L410" s="15">
        <v>9497.6999999999989</v>
      </c>
      <c r="M410" s="15">
        <v>-730.36999999999989</v>
      </c>
      <c r="N410" s="15">
        <v>0</v>
      </c>
      <c r="O410" s="15">
        <v>1139.752729</v>
      </c>
      <c r="P410" s="15">
        <v>9907.0827289999997</v>
      </c>
    </row>
    <row r="411" spans="1:16" ht="15" x14ac:dyDescent="0.2">
      <c r="A411" s="4" t="s">
        <v>573</v>
      </c>
      <c r="B411" s="21" t="str">
        <f t="shared" si="12"/>
        <v>Aug-2025</v>
      </c>
      <c r="C411" s="2" t="str">
        <f t="shared" si="13"/>
        <v>Q2</v>
      </c>
      <c r="D411" s="2" t="s">
        <v>31</v>
      </c>
      <c r="E411" s="13">
        <v>45887</v>
      </c>
      <c r="F411" s="14" t="s">
        <v>165</v>
      </c>
      <c r="G411" s="14" t="s">
        <v>119</v>
      </c>
      <c r="H411" s="14" t="s">
        <v>111</v>
      </c>
      <c r="I411" s="15">
        <v>1</v>
      </c>
      <c r="J411" s="15">
        <v>40</v>
      </c>
      <c r="K411" s="15">
        <v>111.74</v>
      </c>
      <c r="L411" s="15">
        <v>4469.6000000000004</v>
      </c>
      <c r="M411" s="15">
        <v>-343.71</v>
      </c>
      <c r="N411" s="15">
        <v>0</v>
      </c>
      <c r="O411" s="15">
        <v>536.36562000000004</v>
      </c>
      <c r="P411" s="15">
        <v>4662.2556199999999</v>
      </c>
    </row>
    <row r="412" spans="1:16" ht="15" x14ac:dyDescent="0.2">
      <c r="A412" s="4" t="s">
        <v>583</v>
      </c>
      <c r="B412" s="21" t="str">
        <f t="shared" si="12"/>
        <v>Aug-2025</v>
      </c>
      <c r="C412" s="2" t="str">
        <f t="shared" si="13"/>
        <v>Q2</v>
      </c>
      <c r="D412" s="2" t="s">
        <v>31</v>
      </c>
      <c r="E412" s="13">
        <v>45887</v>
      </c>
      <c r="F412" s="14" t="s">
        <v>165</v>
      </c>
      <c r="G412" s="14" t="s">
        <v>119</v>
      </c>
      <c r="H412" s="14" t="s">
        <v>113</v>
      </c>
      <c r="I412" s="15">
        <v>5</v>
      </c>
      <c r="J412" s="15">
        <v>75</v>
      </c>
      <c r="K412" s="15">
        <v>260.72000000000003</v>
      </c>
      <c r="L412" s="15">
        <v>19554</v>
      </c>
      <c r="M412" s="15">
        <v>-1503.6999999999998</v>
      </c>
      <c r="N412" s="15">
        <v>0</v>
      </c>
      <c r="O412" s="15">
        <v>2346.5386479999997</v>
      </c>
      <c r="P412" s="15">
        <v>20396.838648000001</v>
      </c>
    </row>
    <row r="413" spans="1:16" ht="15" x14ac:dyDescent="0.2">
      <c r="A413" s="4" t="s">
        <v>581</v>
      </c>
      <c r="B413" s="21" t="str">
        <f t="shared" si="12"/>
        <v>Aug-2025</v>
      </c>
      <c r="C413" s="2" t="str">
        <f t="shared" si="13"/>
        <v>Q2</v>
      </c>
      <c r="D413" s="2" t="s">
        <v>31</v>
      </c>
      <c r="E413" s="13">
        <v>45887</v>
      </c>
      <c r="F413" s="14" t="s">
        <v>165</v>
      </c>
      <c r="G413" s="14" t="s">
        <v>119</v>
      </c>
      <c r="H413" s="14" t="s">
        <v>66</v>
      </c>
      <c r="I413" s="15">
        <v>1</v>
      </c>
      <c r="J413" s="15">
        <v>24</v>
      </c>
      <c r="K413" s="15">
        <v>141.54</v>
      </c>
      <c r="L413" s="15">
        <v>3396.96</v>
      </c>
      <c r="M413" s="15">
        <v>-261.23</v>
      </c>
      <c r="N413" s="15">
        <v>0</v>
      </c>
      <c r="O413" s="15">
        <v>407.64483899999999</v>
      </c>
      <c r="P413" s="15">
        <v>3543.3748390000001</v>
      </c>
    </row>
    <row r="414" spans="1:16" ht="15" x14ac:dyDescent="0.2">
      <c r="A414" s="4" t="s">
        <v>573</v>
      </c>
      <c r="B414" s="21" t="str">
        <f t="shared" si="12"/>
        <v>Aug-2025</v>
      </c>
      <c r="C414" s="2" t="str">
        <f t="shared" si="13"/>
        <v>Q2</v>
      </c>
      <c r="D414" s="2" t="s">
        <v>31</v>
      </c>
      <c r="E414" s="13">
        <v>45887</v>
      </c>
      <c r="F414" s="14" t="s">
        <v>165</v>
      </c>
      <c r="G414" s="14" t="s">
        <v>119</v>
      </c>
      <c r="H414" s="14" t="s">
        <v>47</v>
      </c>
      <c r="I414" s="15">
        <v>1</v>
      </c>
      <c r="J414" s="15">
        <v>40</v>
      </c>
      <c r="K414" s="15">
        <v>111.74</v>
      </c>
      <c r="L414" s="15">
        <v>4469.6000000000004</v>
      </c>
      <c r="M414" s="15">
        <v>-343.71</v>
      </c>
      <c r="N414" s="15">
        <v>0</v>
      </c>
      <c r="O414" s="15">
        <v>536.36562000000004</v>
      </c>
      <c r="P414" s="15">
        <v>4662.2556199999999</v>
      </c>
    </row>
    <row r="415" spans="1:16" ht="15" x14ac:dyDescent="0.2">
      <c r="A415" s="4" t="s">
        <v>578</v>
      </c>
      <c r="B415" s="21" t="str">
        <f t="shared" si="12"/>
        <v>Aug-2025</v>
      </c>
      <c r="C415" s="2" t="str">
        <f t="shared" si="13"/>
        <v>Q2</v>
      </c>
      <c r="D415" s="2" t="s">
        <v>31</v>
      </c>
      <c r="E415" s="13">
        <v>45887</v>
      </c>
      <c r="F415" s="14" t="s">
        <v>165</v>
      </c>
      <c r="G415" s="14" t="s">
        <v>119</v>
      </c>
      <c r="H415" s="14" t="s">
        <v>60</v>
      </c>
      <c r="I415" s="15">
        <v>3</v>
      </c>
      <c r="J415" s="15">
        <v>126</v>
      </c>
      <c r="K415" s="15">
        <v>74.489999999999995</v>
      </c>
      <c r="L415" s="15">
        <v>9385.74</v>
      </c>
      <c r="M415" s="15">
        <v>-721.76</v>
      </c>
      <c r="N415" s="15">
        <v>0</v>
      </c>
      <c r="O415" s="15">
        <v>1126.317231</v>
      </c>
      <c r="P415" s="15">
        <v>9790.2972310000005</v>
      </c>
    </row>
    <row r="416" spans="1:16" ht="15" x14ac:dyDescent="0.2">
      <c r="A416" s="4" t="s">
        <v>578</v>
      </c>
      <c r="B416" s="21" t="str">
        <f t="shared" si="12"/>
        <v>Aug-2025</v>
      </c>
      <c r="C416" s="2" t="str">
        <f t="shared" si="13"/>
        <v>Q2</v>
      </c>
      <c r="D416" s="2" t="s">
        <v>31</v>
      </c>
      <c r="E416" s="13">
        <v>45887</v>
      </c>
      <c r="F416" s="14" t="s">
        <v>165</v>
      </c>
      <c r="G416" s="14" t="s">
        <v>119</v>
      </c>
      <c r="H416" s="14" t="s">
        <v>59</v>
      </c>
      <c r="I416" s="15">
        <v>3</v>
      </c>
      <c r="J416" s="15">
        <v>126</v>
      </c>
      <c r="K416" s="15">
        <v>74.489999999999995</v>
      </c>
      <c r="L416" s="15">
        <v>9385.74</v>
      </c>
      <c r="M416" s="15">
        <v>-721.76</v>
      </c>
      <c r="N416" s="15">
        <v>0</v>
      </c>
      <c r="O416" s="15">
        <v>1126.317231</v>
      </c>
      <c r="P416" s="15">
        <v>9790.2972310000005</v>
      </c>
    </row>
    <row r="417" spans="1:16" ht="15" x14ac:dyDescent="0.2">
      <c r="A417" s="4" t="s">
        <v>578</v>
      </c>
      <c r="B417" s="21" t="str">
        <f t="shared" si="12"/>
        <v>Aug-2025</v>
      </c>
      <c r="C417" s="2" t="str">
        <f t="shared" si="13"/>
        <v>Q2</v>
      </c>
      <c r="D417" s="2" t="s">
        <v>31</v>
      </c>
      <c r="E417" s="13">
        <v>45887</v>
      </c>
      <c r="F417" s="14" t="s">
        <v>165</v>
      </c>
      <c r="G417" s="14" t="s">
        <v>119</v>
      </c>
      <c r="H417" s="14" t="s">
        <v>62</v>
      </c>
      <c r="I417" s="15">
        <v>5</v>
      </c>
      <c r="J417" s="15">
        <v>210</v>
      </c>
      <c r="K417" s="15">
        <v>74.489999999999995</v>
      </c>
      <c r="L417" s="15">
        <v>15642.9</v>
      </c>
      <c r="M417" s="15">
        <v>-1202.94</v>
      </c>
      <c r="N417" s="15">
        <v>0</v>
      </c>
      <c r="O417" s="15">
        <v>1877.1945189999999</v>
      </c>
      <c r="P417" s="15">
        <v>16317.154519</v>
      </c>
    </row>
    <row r="418" spans="1:16" ht="15" x14ac:dyDescent="0.2">
      <c r="A418" s="4" t="s">
        <v>573</v>
      </c>
      <c r="B418" s="21" t="str">
        <f t="shared" si="12"/>
        <v>Aug-2025</v>
      </c>
      <c r="C418" s="2" t="str">
        <f t="shared" si="13"/>
        <v>Q2</v>
      </c>
      <c r="D418" s="2" t="s">
        <v>31</v>
      </c>
      <c r="E418" s="13">
        <v>45887</v>
      </c>
      <c r="F418" s="14" t="s">
        <v>165</v>
      </c>
      <c r="G418" s="14" t="s">
        <v>119</v>
      </c>
      <c r="H418" s="14" t="s">
        <v>136</v>
      </c>
      <c r="I418" s="15">
        <v>1</v>
      </c>
      <c r="J418" s="15">
        <v>40</v>
      </c>
      <c r="K418" s="15">
        <v>111.74</v>
      </c>
      <c r="L418" s="15">
        <v>4469.6000000000004</v>
      </c>
      <c r="M418" s="15">
        <v>-343.71</v>
      </c>
      <c r="N418" s="15">
        <v>0</v>
      </c>
      <c r="O418" s="15">
        <v>536.36562000000004</v>
      </c>
      <c r="P418" s="15">
        <v>4662.2556199999999</v>
      </c>
    </row>
    <row r="419" spans="1:16" ht="15" x14ac:dyDescent="0.2">
      <c r="A419" s="4" t="s">
        <v>589</v>
      </c>
      <c r="B419" s="21" t="str">
        <f t="shared" si="12"/>
        <v>Aug-2025</v>
      </c>
      <c r="C419" s="2" t="str">
        <f t="shared" si="13"/>
        <v>Q2</v>
      </c>
      <c r="D419" s="2" t="s">
        <v>31</v>
      </c>
      <c r="E419" s="13">
        <v>45887</v>
      </c>
      <c r="F419" s="14" t="s">
        <v>165</v>
      </c>
      <c r="G419" s="14" t="s">
        <v>119</v>
      </c>
      <c r="H419" s="14" t="s">
        <v>98</v>
      </c>
      <c r="I419" s="15">
        <v>1</v>
      </c>
      <c r="J419" s="15">
        <v>60</v>
      </c>
      <c r="K419" s="15">
        <v>145.26</v>
      </c>
      <c r="L419" s="15">
        <v>8715.6</v>
      </c>
      <c r="M419" s="15">
        <v>-670.23</v>
      </c>
      <c r="N419" s="15">
        <v>0</v>
      </c>
      <c r="O419" s="15">
        <v>1045.8979429999999</v>
      </c>
      <c r="P419" s="15">
        <v>9091.2679430000007</v>
      </c>
    </row>
    <row r="420" spans="1:16" ht="15" x14ac:dyDescent="0.2">
      <c r="A420" s="4" t="s">
        <v>576</v>
      </c>
      <c r="B420" s="21" t="str">
        <f t="shared" si="12"/>
        <v>Aug-2025</v>
      </c>
      <c r="C420" s="2" t="str">
        <f t="shared" si="13"/>
        <v>Q2</v>
      </c>
      <c r="D420" s="2" t="s">
        <v>31</v>
      </c>
      <c r="E420" s="13">
        <v>45887</v>
      </c>
      <c r="F420" s="14" t="s">
        <v>166</v>
      </c>
      <c r="G420" s="14" t="s">
        <v>130</v>
      </c>
      <c r="H420" s="14" t="s">
        <v>124</v>
      </c>
      <c r="I420" s="15">
        <v>3</v>
      </c>
      <c r="J420" s="15">
        <v>60</v>
      </c>
      <c r="K420" s="15">
        <v>175.06</v>
      </c>
      <c r="L420" s="15">
        <v>10503.6</v>
      </c>
      <c r="M420" s="15">
        <v>-807.7299999999999</v>
      </c>
      <c r="N420" s="15">
        <v>0</v>
      </c>
      <c r="O420" s="15">
        <v>1260.463037</v>
      </c>
      <c r="P420" s="15">
        <v>10956.333037</v>
      </c>
    </row>
    <row r="421" spans="1:16" ht="15" x14ac:dyDescent="0.2">
      <c r="A421" s="4" t="s">
        <v>581</v>
      </c>
      <c r="B421" s="21" t="str">
        <f t="shared" si="12"/>
        <v>Aug-2025</v>
      </c>
      <c r="C421" s="2" t="str">
        <f t="shared" si="13"/>
        <v>Q2</v>
      </c>
      <c r="D421" s="2" t="s">
        <v>31</v>
      </c>
      <c r="E421" s="13">
        <v>45887</v>
      </c>
      <c r="F421" s="14" t="s">
        <v>166</v>
      </c>
      <c r="G421" s="14" t="s">
        <v>130</v>
      </c>
      <c r="H421" s="14" t="s">
        <v>97</v>
      </c>
      <c r="I421" s="15">
        <v>5</v>
      </c>
      <c r="J421" s="15">
        <v>200</v>
      </c>
      <c r="K421" s="15">
        <v>67.040000000000006</v>
      </c>
      <c r="L421" s="15">
        <v>13408</v>
      </c>
      <c r="M421" s="15">
        <v>-1031.08</v>
      </c>
      <c r="N421" s="15">
        <v>0</v>
      </c>
      <c r="O421" s="15">
        <v>1608.999519</v>
      </c>
      <c r="P421" s="15">
        <v>13985.919518999999</v>
      </c>
    </row>
    <row r="422" spans="1:16" ht="15" x14ac:dyDescent="0.2">
      <c r="A422" s="4" t="s">
        <v>576</v>
      </c>
      <c r="B422" s="21" t="str">
        <f t="shared" si="12"/>
        <v>Aug-2025</v>
      </c>
      <c r="C422" s="2" t="str">
        <f t="shared" si="13"/>
        <v>Q2</v>
      </c>
      <c r="D422" s="2" t="s">
        <v>31</v>
      </c>
      <c r="E422" s="13">
        <v>45887</v>
      </c>
      <c r="F422" s="14" t="s">
        <v>166</v>
      </c>
      <c r="G422" s="14" t="s">
        <v>130</v>
      </c>
      <c r="H422" s="14" t="s">
        <v>68</v>
      </c>
      <c r="I422" s="15">
        <v>3</v>
      </c>
      <c r="J422" s="15">
        <v>60</v>
      </c>
      <c r="K422" s="15">
        <v>175.05</v>
      </c>
      <c r="L422" s="15">
        <v>10503</v>
      </c>
      <c r="M422" s="15">
        <v>-807.68</v>
      </c>
      <c r="N422" s="15">
        <v>0</v>
      </c>
      <c r="O422" s="15">
        <v>1260.391537</v>
      </c>
      <c r="P422" s="15">
        <v>10955.711536999999</v>
      </c>
    </row>
    <row r="423" spans="1:16" ht="15" x14ac:dyDescent="0.2">
      <c r="A423" s="4" t="s">
        <v>576</v>
      </c>
      <c r="B423" s="21" t="str">
        <f t="shared" si="12"/>
        <v>Aug-2025</v>
      </c>
      <c r="C423" s="2" t="str">
        <f t="shared" si="13"/>
        <v>Q2</v>
      </c>
      <c r="D423" s="2" t="s">
        <v>31</v>
      </c>
      <c r="E423" s="13">
        <v>45887</v>
      </c>
      <c r="F423" s="14" t="s">
        <v>166</v>
      </c>
      <c r="G423" s="14" t="s">
        <v>130</v>
      </c>
      <c r="H423" s="14" t="s">
        <v>123</v>
      </c>
      <c r="I423" s="15">
        <v>2</v>
      </c>
      <c r="J423" s="15">
        <v>40</v>
      </c>
      <c r="K423" s="15">
        <v>175.05</v>
      </c>
      <c r="L423" s="15">
        <v>7001.9999999999991</v>
      </c>
      <c r="M423" s="15">
        <v>-538.45000000000005</v>
      </c>
      <c r="N423" s="15">
        <v>0</v>
      </c>
      <c r="O423" s="15">
        <v>840.26145800000006</v>
      </c>
      <c r="P423" s="15">
        <v>7303.8114580000001</v>
      </c>
    </row>
    <row r="424" spans="1:16" ht="15" x14ac:dyDescent="0.2">
      <c r="A424" s="4" t="s">
        <v>579</v>
      </c>
      <c r="B424" s="21" t="str">
        <f t="shared" si="12"/>
        <v>Aug-2025</v>
      </c>
      <c r="C424" s="2" t="str">
        <f t="shared" si="13"/>
        <v>Q2</v>
      </c>
      <c r="D424" s="2" t="s">
        <v>31</v>
      </c>
      <c r="E424" s="13">
        <v>45887</v>
      </c>
      <c r="F424" s="14" t="s">
        <v>166</v>
      </c>
      <c r="G424" s="14" t="s">
        <v>130</v>
      </c>
      <c r="H424" s="14" t="s">
        <v>90</v>
      </c>
      <c r="I424" s="15">
        <v>10</v>
      </c>
      <c r="J424" s="15">
        <v>200</v>
      </c>
      <c r="K424" s="15">
        <v>204.85</v>
      </c>
      <c r="L424" s="15">
        <v>40970</v>
      </c>
      <c r="M424" s="15">
        <v>-3150.5899999999997</v>
      </c>
      <c r="N424" s="15">
        <v>0</v>
      </c>
      <c r="O424" s="15">
        <v>4916.5230529999999</v>
      </c>
      <c r="P424" s="15">
        <v>42735.933053000001</v>
      </c>
    </row>
    <row r="425" spans="1:16" ht="15" x14ac:dyDescent="0.2">
      <c r="A425" s="4" t="s">
        <v>590</v>
      </c>
      <c r="B425" s="21" t="str">
        <f t="shared" si="12"/>
        <v>Aug-2025</v>
      </c>
      <c r="C425" s="2" t="str">
        <f t="shared" si="13"/>
        <v>Q2</v>
      </c>
      <c r="D425" s="2" t="s">
        <v>31</v>
      </c>
      <c r="E425" s="13">
        <v>45887</v>
      </c>
      <c r="F425" s="14" t="s">
        <v>166</v>
      </c>
      <c r="G425" s="14" t="s">
        <v>130</v>
      </c>
      <c r="H425" s="14" t="s">
        <v>102</v>
      </c>
      <c r="I425" s="15">
        <v>3</v>
      </c>
      <c r="J425" s="15">
        <v>60</v>
      </c>
      <c r="K425" s="15">
        <v>249.55</v>
      </c>
      <c r="L425" s="15">
        <v>14973</v>
      </c>
      <c r="M425" s="15">
        <v>-1151.42</v>
      </c>
      <c r="N425" s="15">
        <v>0</v>
      </c>
      <c r="O425" s="15">
        <v>1796.80531</v>
      </c>
      <c r="P425" s="15">
        <v>15618.38531</v>
      </c>
    </row>
    <row r="426" spans="1:16" ht="15" x14ac:dyDescent="0.2">
      <c r="A426" s="4" t="s">
        <v>579</v>
      </c>
      <c r="B426" s="21" t="str">
        <f t="shared" si="12"/>
        <v>Aug-2025</v>
      </c>
      <c r="C426" s="2" t="str">
        <f t="shared" si="13"/>
        <v>Q2</v>
      </c>
      <c r="D426" s="2" t="s">
        <v>31</v>
      </c>
      <c r="E426" s="13">
        <v>45887</v>
      </c>
      <c r="F426" s="14" t="s">
        <v>166</v>
      </c>
      <c r="G426" s="14" t="s">
        <v>130</v>
      </c>
      <c r="H426" s="14" t="s">
        <v>91</v>
      </c>
      <c r="I426" s="15">
        <v>5</v>
      </c>
      <c r="J426" s="15">
        <v>100</v>
      </c>
      <c r="K426" s="15">
        <v>204.85</v>
      </c>
      <c r="L426" s="15">
        <v>20485</v>
      </c>
      <c r="M426" s="15">
        <v>-1575.3</v>
      </c>
      <c r="N426" s="15">
        <v>0</v>
      </c>
      <c r="O426" s="15">
        <v>2458.2608760000003</v>
      </c>
      <c r="P426" s="15">
        <v>21367.960876000001</v>
      </c>
    </row>
    <row r="427" spans="1:16" ht="15" x14ac:dyDescent="0.2">
      <c r="A427" s="4" t="s">
        <v>583</v>
      </c>
      <c r="B427" s="21" t="str">
        <f t="shared" si="12"/>
        <v>Aug-2025</v>
      </c>
      <c r="C427" s="2" t="str">
        <f t="shared" si="13"/>
        <v>Q2</v>
      </c>
      <c r="D427" s="2" t="s">
        <v>31</v>
      </c>
      <c r="E427" s="13">
        <v>45887</v>
      </c>
      <c r="F427" s="14" t="s">
        <v>166</v>
      </c>
      <c r="G427" s="14" t="s">
        <v>130</v>
      </c>
      <c r="H427" s="14" t="s">
        <v>109</v>
      </c>
      <c r="I427" s="15">
        <v>10</v>
      </c>
      <c r="J427" s="15">
        <v>150</v>
      </c>
      <c r="K427" s="15">
        <v>260.72000000000003</v>
      </c>
      <c r="L427" s="15">
        <v>39108</v>
      </c>
      <c r="M427" s="15">
        <v>-3007.4100000000003</v>
      </c>
      <c r="N427" s="15">
        <v>0</v>
      </c>
      <c r="O427" s="15">
        <v>4693.0764639999998</v>
      </c>
      <c r="P427" s="15">
        <v>40793.666464000002</v>
      </c>
    </row>
    <row r="428" spans="1:16" ht="15" x14ac:dyDescent="0.2">
      <c r="A428" s="4" t="s">
        <v>583</v>
      </c>
      <c r="B428" s="21" t="str">
        <f t="shared" si="12"/>
        <v>Aug-2025</v>
      </c>
      <c r="C428" s="2" t="str">
        <f t="shared" si="13"/>
        <v>Q2</v>
      </c>
      <c r="D428" s="2" t="s">
        <v>31</v>
      </c>
      <c r="E428" s="13">
        <v>45887</v>
      </c>
      <c r="F428" s="14" t="s">
        <v>166</v>
      </c>
      <c r="G428" s="14" t="s">
        <v>130</v>
      </c>
      <c r="H428" s="14" t="s">
        <v>113</v>
      </c>
      <c r="I428" s="15">
        <v>10</v>
      </c>
      <c r="J428" s="15">
        <v>150</v>
      </c>
      <c r="K428" s="15">
        <v>260.72000000000003</v>
      </c>
      <c r="L428" s="15">
        <v>39108</v>
      </c>
      <c r="M428" s="15">
        <v>-3007.4100000000003</v>
      </c>
      <c r="N428" s="15">
        <v>0</v>
      </c>
      <c r="O428" s="15">
        <v>4693.0764639999998</v>
      </c>
      <c r="P428" s="15">
        <v>40793.666464000002</v>
      </c>
    </row>
    <row r="429" spans="1:16" ht="15" x14ac:dyDescent="0.2">
      <c r="A429" s="4" t="s">
        <v>576</v>
      </c>
      <c r="B429" s="21" t="str">
        <f t="shared" si="12"/>
        <v>Aug-2025</v>
      </c>
      <c r="C429" s="2" t="str">
        <f t="shared" si="13"/>
        <v>Q2</v>
      </c>
      <c r="D429" s="2" t="s">
        <v>31</v>
      </c>
      <c r="E429" s="13">
        <v>45887</v>
      </c>
      <c r="F429" s="14" t="s">
        <v>166</v>
      </c>
      <c r="G429" s="14" t="s">
        <v>130</v>
      </c>
      <c r="H429" s="14" t="s">
        <v>110</v>
      </c>
      <c r="I429" s="15">
        <v>10</v>
      </c>
      <c r="J429" s="15">
        <v>200</v>
      </c>
      <c r="K429" s="15">
        <v>175.05</v>
      </c>
      <c r="L429" s="15">
        <v>35010</v>
      </c>
      <c r="M429" s="15">
        <v>-2692.27</v>
      </c>
      <c r="N429" s="15">
        <v>0</v>
      </c>
      <c r="O429" s="15">
        <v>4201.3046890000005</v>
      </c>
      <c r="P429" s="15">
        <v>36519.034689</v>
      </c>
    </row>
    <row r="430" spans="1:16" ht="15" x14ac:dyDescent="0.2">
      <c r="A430" s="4" t="s">
        <v>581</v>
      </c>
      <c r="B430" s="21" t="str">
        <f t="shared" si="12"/>
        <v>Aug-2025</v>
      </c>
      <c r="C430" s="2" t="str">
        <f t="shared" si="13"/>
        <v>Q2</v>
      </c>
      <c r="D430" s="2" t="s">
        <v>31</v>
      </c>
      <c r="E430" s="13">
        <v>45887</v>
      </c>
      <c r="F430" s="14" t="s">
        <v>166</v>
      </c>
      <c r="G430" s="14" t="s">
        <v>130</v>
      </c>
      <c r="H430" s="14" t="s">
        <v>104</v>
      </c>
      <c r="I430" s="15">
        <v>5</v>
      </c>
      <c r="J430" s="15">
        <v>200</v>
      </c>
      <c r="K430" s="15">
        <v>67.040000000000006</v>
      </c>
      <c r="L430" s="15">
        <v>13408</v>
      </c>
      <c r="M430" s="15">
        <v>-1031.08</v>
      </c>
      <c r="N430" s="15">
        <v>0</v>
      </c>
      <c r="O430" s="15">
        <v>1608.999519</v>
      </c>
      <c r="P430" s="15">
        <v>13985.919518999999</v>
      </c>
    </row>
    <row r="431" spans="1:16" ht="15" x14ac:dyDescent="0.2">
      <c r="A431" s="4" t="s">
        <v>584</v>
      </c>
      <c r="B431" s="21" t="str">
        <f t="shared" si="12"/>
        <v>Aug-2025</v>
      </c>
      <c r="C431" s="2" t="str">
        <f t="shared" si="13"/>
        <v>Q2</v>
      </c>
      <c r="D431" s="2" t="s">
        <v>31</v>
      </c>
      <c r="E431" s="13">
        <v>45887</v>
      </c>
      <c r="F431" s="14" t="s">
        <v>166</v>
      </c>
      <c r="G431" s="14" t="s">
        <v>130</v>
      </c>
      <c r="H431" s="14" t="s">
        <v>72</v>
      </c>
      <c r="I431" s="15">
        <v>3</v>
      </c>
      <c r="J431" s="15">
        <v>120</v>
      </c>
      <c r="K431" s="15">
        <v>81.94</v>
      </c>
      <c r="L431" s="15">
        <v>9832.8000000000011</v>
      </c>
      <c r="M431" s="15">
        <v>-756.14</v>
      </c>
      <c r="N431" s="15">
        <v>0</v>
      </c>
      <c r="O431" s="15">
        <v>1179.965741</v>
      </c>
      <c r="P431" s="15">
        <v>10256.625741</v>
      </c>
    </row>
    <row r="432" spans="1:16" ht="15" x14ac:dyDescent="0.2">
      <c r="A432" s="4" t="s">
        <v>576</v>
      </c>
      <c r="B432" s="21" t="str">
        <f t="shared" si="12"/>
        <v>Aug-2025</v>
      </c>
      <c r="C432" s="2" t="str">
        <f t="shared" si="13"/>
        <v>Q2</v>
      </c>
      <c r="D432" s="2" t="s">
        <v>31</v>
      </c>
      <c r="E432" s="13">
        <v>45887</v>
      </c>
      <c r="F432" s="14" t="s">
        <v>166</v>
      </c>
      <c r="G432" s="14" t="s">
        <v>130</v>
      </c>
      <c r="H432" s="14" t="s">
        <v>56</v>
      </c>
      <c r="I432" s="15">
        <v>2</v>
      </c>
      <c r="J432" s="15">
        <v>40</v>
      </c>
      <c r="K432" s="15">
        <v>175.05</v>
      </c>
      <c r="L432" s="15">
        <v>7001.9999999999991</v>
      </c>
      <c r="M432" s="15">
        <v>-538.45000000000005</v>
      </c>
      <c r="N432" s="15">
        <v>0</v>
      </c>
      <c r="O432" s="15">
        <v>840.26145800000006</v>
      </c>
      <c r="P432" s="15">
        <v>7303.8114580000001</v>
      </c>
    </row>
    <row r="433" spans="1:16" ht="15" x14ac:dyDescent="0.2">
      <c r="A433" s="4" t="s">
        <v>579</v>
      </c>
      <c r="B433" s="21" t="str">
        <f t="shared" si="12"/>
        <v>Aug-2025</v>
      </c>
      <c r="C433" s="2" t="str">
        <f t="shared" si="13"/>
        <v>Q2</v>
      </c>
      <c r="D433" s="2" t="s">
        <v>31</v>
      </c>
      <c r="E433" s="13">
        <v>45887</v>
      </c>
      <c r="F433" s="14" t="s">
        <v>166</v>
      </c>
      <c r="G433" s="14" t="s">
        <v>130</v>
      </c>
      <c r="H433" s="14" t="s">
        <v>112</v>
      </c>
      <c r="I433" s="15">
        <v>5</v>
      </c>
      <c r="J433" s="15">
        <v>100</v>
      </c>
      <c r="K433" s="15">
        <v>204.85</v>
      </c>
      <c r="L433" s="15">
        <v>20485</v>
      </c>
      <c r="M433" s="15">
        <v>-1575.3</v>
      </c>
      <c r="N433" s="15">
        <v>0</v>
      </c>
      <c r="O433" s="15">
        <v>2458.2608760000003</v>
      </c>
      <c r="P433" s="15">
        <v>21367.960876000001</v>
      </c>
    </row>
    <row r="434" spans="1:16" ht="15" x14ac:dyDescent="0.2">
      <c r="A434" s="4" t="s">
        <v>577</v>
      </c>
      <c r="B434" s="21" t="str">
        <f t="shared" si="12"/>
        <v>Aug-2025</v>
      </c>
      <c r="C434" s="2" t="str">
        <f t="shared" si="13"/>
        <v>Q2</v>
      </c>
      <c r="D434" s="2" t="s">
        <v>31</v>
      </c>
      <c r="E434" s="13">
        <v>45887</v>
      </c>
      <c r="F434" s="14" t="s">
        <v>167</v>
      </c>
      <c r="G434" s="14" t="s">
        <v>80</v>
      </c>
      <c r="H434" s="14" t="s">
        <v>57</v>
      </c>
      <c r="I434" s="15">
        <v>2</v>
      </c>
      <c r="J434" s="15">
        <v>360</v>
      </c>
      <c r="K434" s="15">
        <v>18.62</v>
      </c>
      <c r="L434" s="15">
        <v>6703.2</v>
      </c>
      <c r="M434" s="15">
        <v>-515.48</v>
      </c>
      <c r="N434" s="15">
        <v>0</v>
      </c>
      <c r="O434" s="15">
        <v>804.40203200000008</v>
      </c>
      <c r="P434" s="15">
        <v>6992.1220320000002</v>
      </c>
    </row>
    <row r="435" spans="1:16" ht="15" x14ac:dyDescent="0.2">
      <c r="A435" s="4" t="s">
        <v>578</v>
      </c>
      <c r="B435" s="21" t="str">
        <f t="shared" si="12"/>
        <v>Aug-2025</v>
      </c>
      <c r="C435" s="2" t="str">
        <f t="shared" si="13"/>
        <v>Q2</v>
      </c>
      <c r="D435" s="2" t="s">
        <v>31</v>
      </c>
      <c r="E435" s="13">
        <v>45887</v>
      </c>
      <c r="F435" s="14" t="s">
        <v>167</v>
      </c>
      <c r="G435" s="14" t="s">
        <v>80</v>
      </c>
      <c r="H435" s="14" t="s">
        <v>60</v>
      </c>
      <c r="I435" s="15">
        <v>1</v>
      </c>
      <c r="J435" s="15">
        <v>42</v>
      </c>
      <c r="K435" s="15">
        <v>74.489999999999995</v>
      </c>
      <c r="L435" s="15">
        <v>3128.58</v>
      </c>
      <c r="M435" s="15">
        <v>-240.59</v>
      </c>
      <c r="N435" s="15">
        <v>0</v>
      </c>
      <c r="O435" s="15">
        <v>375.43796800000001</v>
      </c>
      <c r="P435" s="15">
        <v>3263.427968</v>
      </c>
    </row>
    <row r="436" spans="1:16" ht="15" x14ac:dyDescent="0.2">
      <c r="A436" s="4" t="s">
        <v>578</v>
      </c>
      <c r="B436" s="21" t="str">
        <f t="shared" si="12"/>
        <v>Aug-2025</v>
      </c>
      <c r="C436" s="2" t="str">
        <f t="shared" si="13"/>
        <v>Q2</v>
      </c>
      <c r="D436" s="2" t="s">
        <v>31</v>
      </c>
      <c r="E436" s="13">
        <v>45887</v>
      </c>
      <c r="F436" s="14" t="s">
        <v>168</v>
      </c>
      <c r="G436" s="14" t="s">
        <v>14</v>
      </c>
      <c r="H436" s="14" t="s">
        <v>59</v>
      </c>
      <c r="I436" s="15">
        <v>-5</v>
      </c>
      <c r="J436" s="15">
        <v>-210</v>
      </c>
      <c r="K436" s="15">
        <v>74.489999999999995</v>
      </c>
      <c r="L436" s="15">
        <v>-15642.9</v>
      </c>
      <c r="M436" s="15">
        <v>1202.94</v>
      </c>
      <c r="N436" s="15">
        <v>0</v>
      </c>
      <c r="O436" s="15">
        <v>-1877.1933329999999</v>
      </c>
      <c r="P436" s="15">
        <v>-16317.153333</v>
      </c>
    </row>
    <row r="437" spans="1:16" ht="15" x14ac:dyDescent="0.2">
      <c r="A437" s="4" t="s">
        <v>578</v>
      </c>
      <c r="B437" s="21" t="str">
        <f t="shared" si="12"/>
        <v>Aug-2025</v>
      </c>
      <c r="C437" s="2" t="str">
        <f t="shared" si="13"/>
        <v>Q2</v>
      </c>
      <c r="D437" s="2" t="s">
        <v>31</v>
      </c>
      <c r="E437" s="13">
        <v>45887</v>
      </c>
      <c r="F437" s="14" t="s">
        <v>168</v>
      </c>
      <c r="G437" s="14" t="s">
        <v>14</v>
      </c>
      <c r="H437" s="14" t="s">
        <v>60</v>
      </c>
      <c r="I437" s="15">
        <v>-5</v>
      </c>
      <c r="J437" s="15">
        <v>-210</v>
      </c>
      <c r="K437" s="15">
        <v>74.489999999999995</v>
      </c>
      <c r="L437" s="15">
        <v>-15642.9</v>
      </c>
      <c r="M437" s="15">
        <v>1202.94</v>
      </c>
      <c r="N437" s="15">
        <v>0</v>
      </c>
      <c r="O437" s="15">
        <v>-1877.1933329999999</v>
      </c>
      <c r="P437" s="15">
        <v>-16317.153333</v>
      </c>
    </row>
    <row r="438" spans="1:16" ht="15" x14ac:dyDescent="0.2">
      <c r="A438" s="4" t="s">
        <v>578</v>
      </c>
      <c r="B438" s="21" t="str">
        <f t="shared" si="12"/>
        <v>Aug-2025</v>
      </c>
      <c r="C438" s="2" t="str">
        <f t="shared" si="13"/>
        <v>Q2</v>
      </c>
      <c r="D438" s="2" t="s">
        <v>31</v>
      </c>
      <c r="E438" s="13">
        <v>45887</v>
      </c>
      <c r="F438" s="14" t="s">
        <v>168</v>
      </c>
      <c r="G438" s="14" t="s">
        <v>14</v>
      </c>
      <c r="H438" s="14" t="s">
        <v>62</v>
      </c>
      <c r="I438" s="15">
        <v>-5</v>
      </c>
      <c r="J438" s="15">
        <v>-210</v>
      </c>
      <c r="K438" s="15">
        <v>74.489999999999995</v>
      </c>
      <c r="L438" s="15">
        <v>-15642.9</v>
      </c>
      <c r="M438" s="15">
        <v>1202.94</v>
      </c>
      <c r="N438" s="15">
        <v>0</v>
      </c>
      <c r="O438" s="15">
        <v>-1877.1933329999999</v>
      </c>
      <c r="P438" s="15">
        <v>-16317.153333</v>
      </c>
    </row>
    <row r="439" spans="1:16" ht="15" x14ac:dyDescent="0.2">
      <c r="A439" s="4" t="s">
        <v>575</v>
      </c>
      <c r="B439" s="21" t="str">
        <f t="shared" si="12"/>
        <v>Aug-2025</v>
      </c>
      <c r="C439" s="2" t="str">
        <f t="shared" si="13"/>
        <v>Q2</v>
      </c>
      <c r="D439" s="2" t="s">
        <v>31</v>
      </c>
      <c r="E439" s="13">
        <v>45888</v>
      </c>
      <c r="F439" s="14" t="s">
        <v>169</v>
      </c>
      <c r="G439" s="14" t="s">
        <v>19</v>
      </c>
      <c r="H439" s="14" t="s">
        <v>55</v>
      </c>
      <c r="I439" s="15">
        <v>5</v>
      </c>
      <c r="J439" s="15">
        <v>100</v>
      </c>
      <c r="K439" s="15">
        <v>186.23</v>
      </c>
      <c r="L439" s="15">
        <v>18623</v>
      </c>
      <c r="M439" s="15">
        <v>-1432.1100000000001</v>
      </c>
      <c r="N439" s="15">
        <v>0</v>
      </c>
      <c r="O439" s="15">
        <v>2234.8148350000001</v>
      </c>
      <c r="P439" s="15">
        <v>19425.704835</v>
      </c>
    </row>
    <row r="440" spans="1:16" ht="15" x14ac:dyDescent="0.2">
      <c r="A440" s="4" t="s">
        <v>584</v>
      </c>
      <c r="B440" s="21" t="str">
        <f t="shared" si="12"/>
        <v>Aug-2025</v>
      </c>
      <c r="C440" s="2" t="str">
        <f t="shared" si="13"/>
        <v>Q2</v>
      </c>
      <c r="D440" s="2" t="s">
        <v>31</v>
      </c>
      <c r="E440" s="13">
        <v>45888</v>
      </c>
      <c r="F440" s="14" t="s">
        <v>169</v>
      </c>
      <c r="G440" s="14" t="s">
        <v>19</v>
      </c>
      <c r="H440" s="14" t="s">
        <v>72</v>
      </c>
      <c r="I440" s="15">
        <v>2</v>
      </c>
      <c r="J440" s="15">
        <v>80</v>
      </c>
      <c r="K440" s="15">
        <v>81.94</v>
      </c>
      <c r="L440" s="15">
        <v>6555.2</v>
      </c>
      <c r="M440" s="15">
        <v>-504.09</v>
      </c>
      <c r="N440" s="15">
        <v>0</v>
      </c>
      <c r="O440" s="15">
        <v>786.64399600000002</v>
      </c>
      <c r="P440" s="15">
        <v>6837.7539960000004</v>
      </c>
    </row>
    <row r="441" spans="1:16" ht="15" x14ac:dyDescent="0.2">
      <c r="A441" s="4" t="s">
        <v>581</v>
      </c>
      <c r="B441" s="21" t="str">
        <f t="shared" si="12"/>
        <v>Aug-2025</v>
      </c>
      <c r="C441" s="2" t="str">
        <f t="shared" si="13"/>
        <v>Q2</v>
      </c>
      <c r="D441" s="2" t="s">
        <v>31</v>
      </c>
      <c r="E441" s="13">
        <v>45888</v>
      </c>
      <c r="F441" s="14" t="s">
        <v>169</v>
      </c>
      <c r="G441" s="14" t="s">
        <v>19</v>
      </c>
      <c r="H441" s="14" t="s">
        <v>97</v>
      </c>
      <c r="I441" s="15">
        <v>2</v>
      </c>
      <c r="J441" s="15">
        <v>80</v>
      </c>
      <c r="K441" s="15">
        <v>67.040000000000006</v>
      </c>
      <c r="L441" s="15">
        <v>5363.2</v>
      </c>
      <c r="M441" s="15">
        <v>-412.43</v>
      </c>
      <c r="N441" s="15">
        <v>0</v>
      </c>
      <c r="O441" s="15">
        <v>643.59985100000006</v>
      </c>
      <c r="P441" s="15">
        <v>5594.3698510000004</v>
      </c>
    </row>
    <row r="442" spans="1:16" ht="15" x14ac:dyDescent="0.2">
      <c r="A442" s="4" t="s">
        <v>584</v>
      </c>
      <c r="B442" s="21" t="str">
        <f t="shared" si="12"/>
        <v>Aug-2025</v>
      </c>
      <c r="C442" s="2" t="str">
        <f t="shared" si="13"/>
        <v>Q2</v>
      </c>
      <c r="D442" s="2" t="s">
        <v>31</v>
      </c>
      <c r="E442" s="13">
        <v>45888</v>
      </c>
      <c r="F442" s="14" t="s">
        <v>169</v>
      </c>
      <c r="G442" s="14" t="s">
        <v>19</v>
      </c>
      <c r="H442" s="14" t="s">
        <v>99</v>
      </c>
      <c r="I442" s="15">
        <v>5</v>
      </c>
      <c r="J442" s="15">
        <v>200</v>
      </c>
      <c r="K442" s="15">
        <v>81.94</v>
      </c>
      <c r="L442" s="15">
        <v>16388</v>
      </c>
      <c r="M442" s="15">
        <v>-1260.24</v>
      </c>
      <c r="N442" s="15">
        <v>0</v>
      </c>
      <c r="O442" s="15">
        <v>1966.608039</v>
      </c>
      <c r="P442" s="15">
        <v>17094.368039000001</v>
      </c>
    </row>
    <row r="443" spans="1:16" ht="15" x14ac:dyDescent="0.2">
      <c r="A443" s="4" t="s">
        <v>584</v>
      </c>
      <c r="B443" s="21" t="str">
        <f t="shared" si="12"/>
        <v>Aug-2025</v>
      </c>
      <c r="C443" s="2" t="str">
        <f t="shared" si="13"/>
        <v>Q2</v>
      </c>
      <c r="D443" s="2" t="s">
        <v>31</v>
      </c>
      <c r="E443" s="13">
        <v>45888</v>
      </c>
      <c r="F443" s="14" t="s">
        <v>169</v>
      </c>
      <c r="G443" s="14" t="s">
        <v>19</v>
      </c>
      <c r="H443" s="14" t="s">
        <v>100</v>
      </c>
      <c r="I443" s="15">
        <v>5</v>
      </c>
      <c r="J443" s="15">
        <v>200</v>
      </c>
      <c r="K443" s="15">
        <v>81.94</v>
      </c>
      <c r="L443" s="15">
        <v>16388</v>
      </c>
      <c r="M443" s="15">
        <v>-1260.24</v>
      </c>
      <c r="N443" s="15">
        <v>0</v>
      </c>
      <c r="O443" s="15">
        <v>1966.608039</v>
      </c>
      <c r="P443" s="15">
        <v>17094.368039000001</v>
      </c>
    </row>
    <row r="444" spans="1:16" ht="15" x14ac:dyDescent="0.2">
      <c r="A444" s="4" t="s">
        <v>581</v>
      </c>
      <c r="B444" s="21" t="str">
        <f t="shared" si="12"/>
        <v>Aug-2025</v>
      </c>
      <c r="C444" s="2" t="str">
        <f t="shared" si="13"/>
        <v>Q2</v>
      </c>
      <c r="D444" s="2" t="s">
        <v>31</v>
      </c>
      <c r="E444" s="13">
        <v>45888</v>
      </c>
      <c r="F444" s="14" t="s">
        <v>169</v>
      </c>
      <c r="G444" s="14" t="s">
        <v>19</v>
      </c>
      <c r="H444" s="14" t="s">
        <v>104</v>
      </c>
      <c r="I444" s="15">
        <v>2</v>
      </c>
      <c r="J444" s="15">
        <v>80</v>
      </c>
      <c r="K444" s="15">
        <v>67.040000000000006</v>
      </c>
      <c r="L444" s="15">
        <v>5363.2</v>
      </c>
      <c r="M444" s="15">
        <v>-412.43</v>
      </c>
      <c r="N444" s="15">
        <v>0</v>
      </c>
      <c r="O444" s="15">
        <v>643.59985100000006</v>
      </c>
      <c r="P444" s="15">
        <v>5594.3698510000004</v>
      </c>
    </row>
    <row r="445" spans="1:16" ht="15" x14ac:dyDescent="0.2">
      <c r="A445" s="4" t="s">
        <v>589</v>
      </c>
      <c r="B445" s="21" t="str">
        <f t="shared" si="12"/>
        <v>Aug-2025</v>
      </c>
      <c r="C445" s="2" t="str">
        <f t="shared" si="13"/>
        <v>Q2</v>
      </c>
      <c r="D445" s="2" t="s">
        <v>31</v>
      </c>
      <c r="E445" s="13">
        <v>45888</v>
      </c>
      <c r="F445" s="14" t="s">
        <v>169</v>
      </c>
      <c r="G445" s="14" t="s">
        <v>19</v>
      </c>
      <c r="H445" s="14" t="s">
        <v>98</v>
      </c>
      <c r="I445" s="15">
        <v>2</v>
      </c>
      <c r="J445" s="15">
        <v>120</v>
      </c>
      <c r="K445" s="15">
        <v>145.26</v>
      </c>
      <c r="L445" s="15">
        <v>17431.2</v>
      </c>
      <c r="M445" s="15">
        <v>-1340.46</v>
      </c>
      <c r="N445" s="15">
        <v>0</v>
      </c>
      <c r="O445" s="15">
        <v>2091.7953899999998</v>
      </c>
      <c r="P445" s="15">
        <v>18182.535390000001</v>
      </c>
    </row>
    <row r="446" spans="1:16" ht="15" x14ac:dyDescent="0.2">
      <c r="A446" s="4" t="s">
        <v>578</v>
      </c>
      <c r="B446" s="21" t="str">
        <f t="shared" si="12"/>
        <v>Aug-2025</v>
      </c>
      <c r="C446" s="2" t="str">
        <f t="shared" si="13"/>
        <v>Q2</v>
      </c>
      <c r="D446" s="2" t="s">
        <v>31</v>
      </c>
      <c r="E446" s="13">
        <v>45888</v>
      </c>
      <c r="F446" s="14" t="s">
        <v>170</v>
      </c>
      <c r="G446" s="14" t="s">
        <v>171</v>
      </c>
      <c r="H446" s="14" t="s">
        <v>62</v>
      </c>
      <c r="I446" s="15">
        <v>3</v>
      </c>
      <c r="J446" s="15">
        <v>126</v>
      </c>
      <c r="K446" s="15">
        <v>74.489999999999995</v>
      </c>
      <c r="L446" s="15">
        <v>9385.74</v>
      </c>
      <c r="M446" s="15">
        <v>-721.76</v>
      </c>
      <c r="N446" s="15">
        <v>0</v>
      </c>
      <c r="O446" s="15">
        <v>1126.3162689999999</v>
      </c>
      <c r="P446" s="15">
        <v>9790.2962690000004</v>
      </c>
    </row>
    <row r="447" spans="1:16" ht="15" x14ac:dyDescent="0.2">
      <c r="A447" s="4" t="s">
        <v>586</v>
      </c>
      <c r="B447" s="21" t="str">
        <f t="shared" si="12"/>
        <v>Aug-2025</v>
      </c>
      <c r="C447" s="2" t="str">
        <f t="shared" si="13"/>
        <v>Q2</v>
      </c>
      <c r="D447" s="2" t="s">
        <v>31</v>
      </c>
      <c r="E447" s="13">
        <v>45888</v>
      </c>
      <c r="F447" s="14" t="s">
        <v>170</v>
      </c>
      <c r="G447" s="14" t="s">
        <v>171</v>
      </c>
      <c r="H447" s="14" t="s">
        <v>78</v>
      </c>
      <c r="I447" s="15">
        <v>1</v>
      </c>
      <c r="J447" s="15">
        <v>600</v>
      </c>
      <c r="K447" s="15">
        <v>7.45</v>
      </c>
      <c r="L447" s="15">
        <v>4470.01</v>
      </c>
      <c r="M447" s="15">
        <v>-343.74</v>
      </c>
      <c r="N447" s="15">
        <v>0</v>
      </c>
      <c r="O447" s="15">
        <v>536.41456100000005</v>
      </c>
      <c r="P447" s="15">
        <v>4662.684561</v>
      </c>
    </row>
    <row r="448" spans="1:16" ht="15" x14ac:dyDescent="0.2">
      <c r="A448" s="4" t="s">
        <v>579</v>
      </c>
      <c r="B448" s="21" t="str">
        <f t="shared" si="12"/>
        <v>Aug-2025</v>
      </c>
      <c r="C448" s="2" t="str">
        <f t="shared" si="13"/>
        <v>Q2</v>
      </c>
      <c r="D448" s="2" t="s">
        <v>31</v>
      </c>
      <c r="E448" s="13">
        <v>45888</v>
      </c>
      <c r="F448" s="14" t="s">
        <v>170</v>
      </c>
      <c r="G448" s="14" t="s">
        <v>171</v>
      </c>
      <c r="H448" s="14" t="s">
        <v>92</v>
      </c>
      <c r="I448" s="15">
        <v>1</v>
      </c>
      <c r="J448" s="15">
        <v>20</v>
      </c>
      <c r="K448" s="15">
        <v>242.1</v>
      </c>
      <c r="L448" s="15">
        <v>4841.9999999999991</v>
      </c>
      <c r="M448" s="15">
        <v>-372.35</v>
      </c>
      <c r="N448" s="15">
        <v>0</v>
      </c>
      <c r="O448" s="15">
        <v>581.05391699999996</v>
      </c>
      <c r="P448" s="15">
        <v>5050.7039169999998</v>
      </c>
    </row>
    <row r="449" spans="1:16" ht="15" x14ac:dyDescent="0.2">
      <c r="A449" s="4" t="s">
        <v>582</v>
      </c>
      <c r="B449" s="21" t="str">
        <f t="shared" si="12"/>
        <v>Aug-2025</v>
      </c>
      <c r="C449" s="2" t="str">
        <f t="shared" si="13"/>
        <v>Q2</v>
      </c>
      <c r="D449" s="2" t="s">
        <v>31</v>
      </c>
      <c r="E449" s="13">
        <v>45888</v>
      </c>
      <c r="F449" s="14" t="s">
        <v>170</v>
      </c>
      <c r="G449" s="14" t="s">
        <v>171</v>
      </c>
      <c r="H449" s="14" t="s">
        <v>77</v>
      </c>
      <c r="I449" s="15">
        <v>1</v>
      </c>
      <c r="J449" s="15">
        <v>24</v>
      </c>
      <c r="K449" s="15">
        <v>204.85</v>
      </c>
      <c r="L449" s="15">
        <v>4916.4000000000005</v>
      </c>
      <c r="M449" s="15">
        <v>-378.07</v>
      </c>
      <c r="N449" s="15">
        <v>0</v>
      </c>
      <c r="O449" s="15">
        <v>589.98230799999999</v>
      </c>
      <c r="P449" s="15">
        <v>5128.3123079999996</v>
      </c>
    </row>
    <row r="450" spans="1:16" ht="15" x14ac:dyDescent="0.2">
      <c r="A450" s="4" t="s">
        <v>581</v>
      </c>
      <c r="B450" s="21" t="str">
        <f t="shared" si="12"/>
        <v>Aug-2025</v>
      </c>
      <c r="C450" s="2" t="str">
        <f t="shared" si="13"/>
        <v>Q2</v>
      </c>
      <c r="D450" s="2" t="s">
        <v>31</v>
      </c>
      <c r="E450" s="13">
        <v>45888</v>
      </c>
      <c r="F450" s="14" t="s">
        <v>170</v>
      </c>
      <c r="G450" s="14" t="s">
        <v>171</v>
      </c>
      <c r="H450" s="14" t="s">
        <v>66</v>
      </c>
      <c r="I450" s="15">
        <v>1</v>
      </c>
      <c r="J450" s="15">
        <v>24</v>
      </c>
      <c r="K450" s="15">
        <v>141.54</v>
      </c>
      <c r="L450" s="15">
        <v>3396.96</v>
      </c>
      <c r="M450" s="15">
        <v>-261.23</v>
      </c>
      <c r="N450" s="15">
        <v>0</v>
      </c>
      <c r="O450" s="15">
        <v>407.64449100000002</v>
      </c>
      <c r="P450" s="15">
        <v>3543.374491</v>
      </c>
    </row>
    <row r="451" spans="1:16" ht="15" x14ac:dyDescent="0.2">
      <c r="A451" s="4" t="s">
        <v>585</v>
      </c>
      <c r="B451" s="21" t="str">
        <f t="shared" ref="B451:B514" si="14">+TEXT(E451,"MMM-yyy")</f>
        <v>Aug-2025</v>
      </c>
      <c r="C451" s="2" t="str">
        <f t="shared" ref="C451:C514" si="15">"Q" &amp; CHOOSE(MONTH(E451),4,4,4,1,1,1,2,2,2,3,3,3)</f>
        <v>Q2</v>
      </c>
      <c r="D451" s="2" t="s">
        <v>31</v>
      </c>
      <c r="E451" s="13">
        <v>45888</v>
      </c>
      <c r="F451" s="14" t="s">
        <v>170</v>
      </c>
      <c r="G451" s="14" t="s">
        <v>171</v>
      </c>
      <c r="H451" s="14" t="s">
        <v>73</v>
      </c>
      <c r="I451" s="15">
        <v>1</v>
      </c>
      <c r="J451" s="15">
        <v>1600</v>
      </c>
      <c r="K451" s="15">
        <v>1.79</v>
      </c>
      <c r="L451" s="15">
        <v>2864</v>
      </c>
      <c r="M451" s="15">
        <v>-220.24</v>
      </c>
      <c r="N451" s="15">
        <v>0</v>
      </c>
      <c r="O451" s="15">
        <v>343.68845499999998</v>
      </c>
      <c r="P451" s="15">
        <v>2987.4484550000002</v>
      </c>
    </row>
    <row r="452" spans="1:16" ht="15" x14ac:dyDescent="0.2">
      <c r="A452" s="4" t="s">
        <v>573</v>
      </c>
      <c r="B452" s="21" t="str">
        <f t="shared" si="14"/>
        <v>Aug-2025</v>
      </c>
      <c r="C452" s="2" t="str">
        <f t="shared" si="15"/>
        <v>Q2</v>
      </c>
      <c r="D452" s="2" t="s">
        <v>31</v>
      </c>
      <c r="E452" s="13">
        <v>45888</v>
      </c>
      <c r="F452" s="14" t="s">
        <v>172</v>
      </c>
      <c r="G452" s="14" t="s">
        <v>171</v>
      </c>
      <c r="H452" s="14" t="s">
        <v>47</v>
      </c>
      <c r="I452" s="15">
        <v>1</v>
      </c>
      <c r="J452" s="15">
        <v>40</v>
      </c>
      <c r="K452" s="15">
        <v>111.74</v>
      </c>
      <c r="L452" s="15">
        <v>4469.6000000000004</v>
      </c>
      <c r="M452" s="15">
        <v>-343.71</v>
      </c>
      <c r="N452" s="15">
        <v>0</v>
      </c>
      <c r="O452" s="15">
        <v>536.36560199999997</v>
      </c>
      <c r="P452" s="15">
        <v>4662.2556020000002</v>
      </c>
    </row>
    <row r="453" spans="1:16" ht="15" x14ac:dyDescent="0.2">
      <c r="A453" s="4" t="s">
        <v>584</v>
      </c>
      <c r="B453" s="21" t="str">
        <f t="shared" si="14"/>
        <v>Aug-2025</v>
      </c>
      <c r="C453" s="2" t="str">
        <f t="shared" si="15"/>
        <v>Q2</v>
      </c>
      <c r="D453" s="2" t="s">
        <v>31</v>
      </c>
      <c r="E453" s="13">
        <v>45888</v>
      </c>
      <c r="F453" s="14" t="s">
        <v>172</v>
      </c>
      <c r="G453" s="14" t="s">
        <v>171</v>
      </c>
      <c r="H453" s="14" t="s">
        <v>100</v>
      </c>
      <c r="I453" s="15">
        <v>1</v>
      </c>
      <c r="J453" s="15">
        <v>40</v>
      </c>
      <c r="K453" s="15">
        <v>81.94</v>
      </c>
      <c r="L453" s="15">
        <v>3277.6</v>
      </c>
      <c r="M453" s="15">
        <v>-252.05</v>
      </c>
      <c r="N453" s="15">
        <v>0</v>
      </c>
      <c r="O453" s="15">
        <v>393.32142799999997</v>
      </c>
      <c r="P453" s="15">
        <v>3418.8714279999999</v>
      </c>
    </row>
    <row r="454" spans="1:16" ht="15" x14ac:dyDescent="0.2">
      <c r="A454" s="4" t="s">
        <v>583</v>
      </c>
      <c r="B454" s="21" t="str">
        <f t="shared" si="14"/>
        <v>Aug-2025</v>
      </c>
      <c r="C454" s="2" t="str">
        <f t="shared" si="15"/>
        <v>Q2</v>
      </c>
      <c r="D454" s="2" t="s">
        <v>31</v>
      </c>
      <c r="E454" s="13">
        <v>45888</v>
      </c>
      <c r="F454" s="14" t="s">
        <v>172</v>
      </c>
      <c r="G454" s="14" t="s">
        <v>171</v>
      </c>
      <c r="H454" s="14" t="s">
        <v>113</v>
      </c>
      <c r="I454" s="15">
        <v>2</v>
      </c>
      <c r="J454" s="15">
        <v>30</v>
      </c>
      <c r="K454" s="15">
        <v>260.72000000000003</v>
      </c>
      <c r="L454" s="15">
        <v>7821.6</v>
      </c>
      <c r="M454" s="15">
        <v>-601.48</v>
      </c>
      <c r="N454" s="15">
        <v>0</v>
      </c>
      <c r="O454" s="15">
        <v>938.61542799999995</v>
      </c>
      <c r="P454" s="15">
        <v>8158.735428</v>
      </c>
    </row>
    <row r="455" spans="1:16" ht="15" x14ac:dyDescent="0.2">
      <c r="A455" s="4" t="s">
        <v>578</v>
      </c>
      <c r="B455" s="21" t="str">
        <f t="shared" si="14"/>
        <v>Aug-2025</v>
      </c>
      <c r="C455" s="2" t="str">
        <f t="shared" si="15"/>
        <v>Q2</v>
      </c>
      <c r="D455" s="2" t="s">
        <v>31</v>
      </c>
      <c r="E455" s="13">
        <v>45888</v>
      </c>
      <c r="F455" s="14" t="s">
        <v>172</v>
      </c>
      <c r="G455" s="14" t="s">
        <v>171</v>
      </c>
      <c r="H455" s="14" t="s">
        <v>59</v>
      </c>
      <c r="I455" s="15">
        <v>2</v>
      </c>
      <c r="J455" s="15">
        <v>84</v>
      </c>
      <c r="K455" s="15">
        <v>74.489999999999995</v>
      </c>
      <c r="L455" s="15">
        <v>6257.16</v>
      </c>
      <c r="M455" s="15">
        <v>-481.18</v>
      </c>
      <c r="N455" s="15">
        <v>0</v>
      </c>
      <c r="O455" s="15">
        <v>750.87726199999997</v>
      </c>
      <c r="P455" s="15">
        <v>6526.8572620000004</v>
      </c>
    </row>
    <row r="456" spans="1:16" ht="15" x14ac:dyDescent="0.2">
      <c r="A456" s="4" t="s">
        <v>593</v>
      </c>
      <c r="B456" s="21" t="str">
        <f t="shared" si="14"/>
        <v>Aug-2025</v>
      </c>
      <c r="C456" s="2" t="str">
        <f t="shared" si="15"/>
        <v>Q2</v>
      </c>
      <c r="D456" s="2" t="s">
        <v>31</v>
      </c>
      <c r="E456" s="13">
        <v>45888</v>
      </c>
      <c r="F456" s="14" t="s">
        <v>172</v>
      </c>
      <c r="G456" s="14" t="s">
        <v>171</v>
      </c>
      <c r="H456" s="14" t="s">
        <v>117</v>
      </c>
      <c r="I456" s="15">
        <v>5</v>
      </c>
      <c r="J456" s="15">
        <v>20</v>
      </c>
      <c r="K456" s="15">
        <v>595.94000000000005</v>
      </c>
      <c r="L456" s="15">
        <v>11918.8</v>
      </c>
      <c r="M456" s="15">
        <v>-916.56</v>
      </c>
      <c r="N456" s="15">
        <v>0</v>
      </c>
      <c r="O456" s="15">
        <v>1430.290937</v>
      </c>
      <c r="P456" s="15">
        <v>12432.530937</v>
      </c>
    </row>
    <row r="457" spans="1:16" ht="15" x14ac:dyDescent="0.2">
      <c r="A457" s="4" t="s">
        <v>581</v>
      </c>
      <c r="B457" s="21" t="str">
        <f t="shared" si="14"/>
        <v>Aug-2025</v>
      </c>
      <c r="C457" s="2" t="str">
        <f t="shared" si="15"/>
        <v>Q2</v>
      </c>
      <c r="D457" s="2" t="s">
        <v>31</v>
      </c>
      <c r="E457" s="13">
        <v>45888</v>
      </c>
      <c r="F457" s="14" t="s">
        <v>172</v>
      </c>
      <c r="G457" s="14" t="s">
        <v>171</v>
      </c>
      <c r="H457" s="14" t="s">
        <v>104</v>
      </c>
      <c r="I457" s="15">
        <v>1</v>
      </c>
      <c r="J457" s="15">
        <v>40</v>
      </c>
      <c r="K457" s="15">
        <v>67.040000000000006</v>
      </c>
      <c r="L457" s="15">
        <v>2681.6</v>
      </c>
      <c r="M457" s="15">
        <v>-206.22</v>
      </c>
      <c r="N457" s="15">
        <v>0</v>
      </c>
      <c r="O457" s="15">
        <v>321.79934100000003</v>
      </c>
      <c r="P457" s="15">
        <v>2797.179341</v>
      </c>
    </row>
    <row r="458" spans="1:16" ht="15" x14ac:dyDescent="0.2">
      <c r="A458" s="4" t="s">
        <v>573</v>
      </c>
      <c r="B458" s="21" t="str">
        <f t="shared" si="14"/>
        <v>Aug-2025</v>
      </c>
      <c r="C458" s="2" t="str">
        <f t="shared" si="15"/>
        <v>Q2</v>
      </c>
      <c r="D458" s="2" t="s">
        <v>31</v>
      </c>
      <c r="E458" s="13">
        <v>45888</v>
      </c>
      <c r="F458" s="14" t="s">
        <v>172</v>
      </c>
      <c r="G458" s="14" t="s">
        <v>171</v>
      </c>
      <c r="H458" s="14" t="s">
        <v>136</v>
      </c>
      <c r="I458" s="15">
        <v>1</v>
      </c>
      <c r="J458" s="15">
        <v>40</v>
      </c>
      <c r="K458" s="15">
        <v>111.74</v>
      </c>
      <c r="L458" s="15">
        <v>4469.6000000000004</v>
      </c>
      <c r="M458" s="15">
        <v>-343.71</v>
      </c>
      <c r="N458" s="15">
        <v>0</v>
      </c>
      <c r="O458" s="15">
        <v>536.36560199999997</v>
      </c>
      <c r="P458" s="15">
        <v>4662.2556020000002</v>
      </c>
    </row>
    <row r="459" spans="1:16" ht="15" x14ac:dyDescent="0.2">
      <c r="A459" s="4" t="s">
        <v>573</v>
      </c>
      <c r="B459" s="21" t="str">
        <f t="shared" si="14"/>
        <v>Aug-2025</v>
      </c>
      <c r="C459" s="2" t="str">
        <f t="shared" si="15"/>
        <v>Q2</v>
      </c>
      <c r="D459" s="2" t="s">
        <v>31</v>
      </c>
      <c r="E459" s="13">
        <v>45888</v>
      </c>
      <c r="F459" s="14" t="s">
        <v>172</v>
      </c>
      <c r="G459" s="14" t="s">
        <v>171</v>
      </c>
      <c r="H459" s="14" t="s">
        <v>111</v>
      </c>
      <c r="I459" s="15">
        <v>2</v>
      </c>
      <c r="J459" s="15">
        <v>80</v>
      </c>
      <c r="K459" s="15">
        <v>111.74</v>
      </c>
      <c r="L459" s="15">
        <v>8939.2000000000007</v>
      </c>
      <c r="M459" s="15">
        <v>-687.42</v>
      </c>
      <c r="N459" s="15">
        <v>0</v>
      </c>
      <c r="O459" s="15">
        <v>1072.7312030000001</v>
      </c>
      <c r="P459" s="15">
        <v>9324.511203</v>
      </c>
    </row>
    <row r="460" spans="1:16" ht="15" x14ac:dyDescent="0.2">
      <c r="A460" s="4" t="s">
        <v>578</v>
      </c>
      <c r="B460" s="21" t="str">
        <f t="shared" si="14"/>
        <v>Aug-2025</v>
      </c>
      <c r="C460" s="2" t="str">
        <f t="shared" si="15"/>
        <v>Q2</v>
      </c>
      <c r="D460" s="2" t="s">
        <v>31</v>
      </c>
      <c r="E460" s="13">
        <v>45888</v>
      </c>
      <c r="F460" s="14" t="s">
        <v>172</v>
      </c>
      <c r="G460" s="14" t="s">
        <v>171</v>
      </c>
      <c r="H460" s="14" t="s">
        <v>60</v>
      </c>
      <c r="I460" s="15">
        <v>3</v>
      </c>
      <c r="J460" s="15">
        <v>126</v>
      </c>
      <c r="K460" s="15">
        <v>74.489999999999995</v>
      </c>
      <c r="L460" s="15">
        <v>9385.74</v>
      </c>
      <c r="M460" s="15">
        <v>-721.76</v>
      </c>
      <c r="N460" s="15">
        <v>0</v>
      </c>
      <c r="O460" s="15">
        <v>1126.3171930000001</v>
      </c>
      <c r="P460" s="15">
        <v>9790.2971930000003</v>
      </c>
    </row>
    <row r="461" spans="1:16" ht="15" x14ac:dyDescent="0.2">
      <c r="A461" s="4" t="s">
        <v>580</v>
      </c>
      <c r="B461" s="21" t="str">
        <f t="shared" si="14"/>
        <v>Aug-2025</v>
      </c>
      <c r="C461" s="2" t="str">
        <f t="shared" si="15"/>
        <v>Q2</v>
      </c>
      <c r="D461" s="2" t="s">
        <v>31</v>
      </c>
      <c r="E461" s="13">
        <v>45888</v>
      </c>
      <c r="F461" s="14" t="s">
        <v>172</v>
      </c>
      <c r="G461" s="14" t="s">
        <v>171</v>
      </c>
      <c r="H461" s="14" t="s">
        <v>65</v>
      </c>
      <c r="I461" s="15">
        <v>2</v>
      </c>
      <c r="J461" s="15">
        <v>260</v>
      </c>
      <c r="K461" s="15">
        <v>37.25</v>
      </c>
      <c r="L461" s="15">
        <v>9685</v>
      </c>
      <c r="M461" s="15">
        <v>-744.78</v>
      </c>
      <c r="N461" s="15">
        <v>0</v>
      </c>
      <c r="O461" s="15">
        <v>1162.2283870000001</v>
      </c>
      <c r="P461" s="15">
        <v>10102.448387</v>
      </c>
    </row>
    <row r="462" spans="1:16" ht="15" x14ac:dyDescent="0.2">
      <c r="A462" s="4" t="s">
        <v>576</v>
      </c>
      <c r="B462" s="21" t="str">
        <f t="shared" si="14"/>
        <v>Aug-2025</v>
      </c>
      <c r="C462" s="2" t="str">
        <f t="shared" si="15"/>
        <v>Q2</v>
      </c>
      <c r="D462" s="2" t="s">
        <v>31</v>
      </c>
      <c r="E462" s="13">
        <v>45888</v>
      </c>
      <c r="F462" s="14" t="s">
        <v>172</v>
      </c>
      <c r="G462" s="14" t="s">
        <v>171</v>
      </c>
      <c r="H462" s="14" t="s">
        <v>124</v>
      </c>
      <c r="I462" s="15">
        <v>1</v>
      </c>
      <c r="J462" s="15">
        <v>20</v>
      </c>
      <c r="K462" s="15">
        <v>175.06</v>
      </c>
      <c r="L462" s="15">
        <v>3501.2</v>
      </c>
      <c r="M462" s="15">
        <v>-269.24</v>
      </c>
      <c r="N462" s="15">
        <v>0</v>
      </c>
      <c r="O462" s="15">
        <v>420.15472299999999</v>
      </c>
      <c r="P462" s="15">
        <v>3652.1147230000001</v>
      </c>
    </row>
    <row r="463" spans="1:16" ht="15" x14ac:dyDescent="0.2">
      <c r="A463" s="4" t="s">
        <v>581</v>
      </c>
      <c r="B463" s="21" t="str">
        <f t="shared" si="14"/>
        <v>Aug-2025</v>
      </c>
      <c r="C463" s="2" t="str">
        <f t="shared" si="15"/>
        <v>Q2</v>
      </c>
      <c r="D463" s="2" t="s">
        <v>31</v>
      </c>
      <c r="E463" s="13">
        <v>45888</v>
      </c>
      <c r="F463" s="14" t="s">
        <v>172</v>
      </c>
      <c r="G463" s="14" t="s">
        <v>171</v>
      </c>
      <c r="H463" s="14" t="s">
        <v>125</v>
      </c>
      <c r="I463" s="15">
        <v>1</v>
      </c>
      <c r="J463" s="15">
        <v>800</v>
      </c>
      <c r="K463" s="15">
        <v>7.46</v>
      </c>
      <c r="L463" s="15">
        <v>5968</v>
      </c>
      <c r="M463" s="15">
        <v>-458.94</v>
      </c>
      <c r="N463" s="15">
        <v>0</v>
      </c>
      <c r="O463" s="15">
        <v>716.17766800000004</v>
      </c>
      <c r="P463" s="15">
        <v>6225.2376679999998</v>
      </c>
    </row>
    <row r="464" spans="1:16" ht="15" x14ac:dyDescent="0.2">
      <c r="A464" s="4" t="s">
        <v>576</v>
      </c>
      <c r="B464" s="21" t="str">
        <f t="shared" si="14"/>
        <v>Aug-2025</v>
      </c>
      <c r="C464" s="2" t="str">
        <f t="shared" si="15"/>
        <v>Q2</v>
      </c>
      <c r="D464" s="2" t="s">
        <v>31</v>
      </c>
      <c r="E464" s="13">
        <v>45888</v>
      </c>
      <c r="F464" s="14" t="s">
        <v>172</v>
      </c>
      <c r="G464" s="14" t="s">
        <v>171</v>
      </c>
      <c r="H464" s="14" t="s">
        <v>123</v>
      </c>
      <c r="I464" s="15">
        <v>1</v>
      </c>
      <c r="J464" s="15">
        <v>20</v>
      </c>
      <c r="K464" s="15">
        <v>175.05</v>
      </c>
      <c r="L464" s="15">
        <v>3500.9999999999995</v>
      </c>
      <c r="M464" s="15">
        <v>-269.23</v>
      </c>
      <c r="N464" s="15">
        <v>0</v>
      </c>
      <c r="O464" s="15">
        <v>420.13002299999999</v>
      </c>
      <c r="P464" s="15">
        <v>3651.9000230000001</v>
      </c>
    </row>
    <row r="465" spans="1:16" ht="15" x14ac:dyDescent="0.2">
      <c r="A465" s="4" t="s">
        <v>589</v>
      </c>
      <c r="B465" s="21" t="str">
        <f t="shared" si="14"/>
        <v>Aug-2025</v>
      </c>
      <c r="C465" s="2" t="str">
        <f t="shared" si="15"/>
        <v>Q2</v>
      </c>
      <c r="D465" s="2" t="s">
        <v>31</v>
      </c>
      <c r="E465" s="13">
        <v>45888</v>
      </c>
      <c r="F465" s="14" t="s">
        <v>172</v>
      </c>
      <c r="G465" s="14" t="s">
        <v>171</v>
      </c>
      <c r="H465" s="14" t="s">
        <v>105</v>
      </c>
      <c r="I465" s="15">
        <v>1</v>
      </c>
      <c r="J465" s="15">
        <v>30</v>
      </c>
      <c r="K465" s="15">
        <v>316.58999999999997</v>
      </c>
      <c r="L465" s="15">
        <v>9497.6999999999989</v>
      </c>
      <c r="M465" s="15">
        <v>-730.36999999999989</v>
      </c>
      <c r="N465" s="15">
        <v>0</v>
      </c>
      <c r="O465" s="15">
        <v>1139.7526909999999</v>
      </c>
      <c r="P465" s="15">
        <v>9907.0826909999996</v>
      </c>
    </row>
    <row r="466" spans="1:16" ht="15" x14ac:dyDescent="0.2">
      <c r="A466" s="4" t="s">
        <v>581</v>
      </c>
      <c r="B466" s="21" t="str">
        <f t="shared" si="14"/>
        <v>Aug-2025</v>
      </c>
      <c r="C466" s="2" t="str">
        <f t="shared" si="15"/>
        <v>Q2</v>
      </c>
      <c r="D466" s="2" t="s">
        <v>31</v>
      </c>
      <c r="E466" s="13">
        <v>45888</v>
      </c>
      <c r="F466" s="14" t="s">
        <v>172</v>
      </c>
      <c r="G466" s="14" t="s">
        <v>171</v>
      </c>
      <c r="H466" s="14" t="s">
        <v>97</v>
      </c>
      <c r="I466" s="15">
        <v>1</v>
      </c>
      <c r="J466" s="15">
        <v>40</v>
      </c>
      <c r="K466" s="15">
        <v>67.040000000000006</v>
      </c>
      <c r="L466" s="15">
        <v>2681.6</v>
      </c>
      <c r="M466" s="15">
        <v>-206.22</v>
      </c>
      <c r="N466" s="15">
        <v>0</v>
      </c>
      <c r="O466" s="15">
        <v>321.79934100000003</v>
      </c>
      <c r="P466" s="15">
        <v>2797.179341</v>
      </c>
    </row>
    <row r="467" spans="1:16" ht="15" x14ac:dyDescent="0.2">
      <c r="A467" s="4" t="s">
        <v>590</v>
      </c>
      <c r="B467" s="21" t="str">
        <f t="shared" si="14"/>
        <v>Aug-2025</v>
      </c>
      <c r="C467" s="2" t="str">
        <f t="shared" si="15"/>
        <v>Q2</v>
      </c>
      <c r="D467" s="2" t="s">
        <v>31</v>
      </c>
      <c r="E467" s="13">
        <v>45888</v>
      </c>
      <c r="F467" s="14" t="s">
        <v>172</v>
      </c>
      <c r="G467" s="14" t="s">
        <v>171</v>
      </c>
      <c r="H467" s="14" t="s">
        <v>102</v>
      </c>
      <c r="I467" s="15">
        <v>1</v>
      </c>
      <c r="J467" s="15">
        <v>20</v>
      </c>
      <c r="K467" s="15">
        <v>249.55</v>
      </c>
      <c r="L467" s="15">
        <v>4991</v>
      </c>
      <c r="M467" s="15">
        <v>-383.81</v>
      </c>
      <c r="N467" s="15">
        <v>0</v>
      </c>
      <c r="O467" s="15">
        <v>598.93458999999996</v>
      </c>
      <c r="P467" s="15">
        <v>5206.1245900000004</v>
      </c>
    </row>
    <row r="468" spans="1:16" ht="15" x14ac:dyDescent="0.2">
      <c r="A468" s="4" t="s">
        <v>583</v>
      </c>
      <c r="B468" s="21" t="str">
        <f t="shared" si="14"/>
        <v>Aug-2025</v>
      </c>
      <c r="C468" s="2" t="str">
        <f t="shared" si="15"/>
        <v>Q2</v>
      </c>
      <c r="D468" s="2" t="s">
        <v>31</v>
      </c>
      <c r="E468" s="13">
        <v>45888</v>
      </c>
      <c r="F468" s="14" t="s">
        <v>172</v>
      </c>
      <c r="G468" s="14" t="s">
        <v>171</v>
      </c>
      <c r="H468" s="14" t="s">
        <v>71</v>
      </c>
      <c r="I468" s="15">
        <v>2</v>
      </c>
      <c r="J468" s="15">
        <v>30</v>
      </c>
      <c r="K468" s="15">
        <v>260.72000000000003</v>
      </c>
      <c r="L468" s="15">
        <v>7821.6</v>
      </c>
      <c r="M468" s="15">
        <v>-601.48</v>
      </c>
      <c r="N468" s="15">
        <v>0</v>
      </c>
      <c r="O468" s="15">
        <v>938.61542799999995</v>
      </c>
      <c r="P468" s="15">
        <v>8158.735428</v>
      </c>
    </row>
    <row r="469" spans="1:16" ht="15" x14ac:dyDescent="0.2">
      <c r="A469" s="4" t="s">
        <v>586</v>
      </c>
      <c r="B469" s="21" t="str">
        <f t="shared" si="14"/>
        <v>Aug-2025</v>
      </c>
      <c r="C469" s="2" t="str">
        <f t="shared" si="15"/>
        <v>Q2</v>
      </c>
      <c r="D469" s="2" t="s">
        <v>31</v>
      </c>
      <c r="E469" s="13">
        <v>45888</v>
      </c>
      <c r="F469" s="14" t="s">
        <v>172</v>
      </c>
      <c r="G469" s="14" t="s">
        <v>171</v>
      </c>
      <c r="H469" s="14" t="s">
        <v>103</v>
      </c>
      <c r="I469" s="15">
        <v>1</v>
      </c>
      <c r="J469" s="15">
        <v>600</v>
      </c>
      <c r="K469" s="15">
        <v>7.46</v>
      </c>
      <c r="L469" s="15">
        <v>4476</v>
      </c>
      <c r="M469" s="15">
        <v>-344.2</v>
      </c>
      <c r="N469" s="15">
        <v>0</v>
      </c>
      <c r="O469" s="15">
        <v>537.13390100000004</v>
      </c>
      <c r="P469" s="15">
        <v>4668.9339010000003</v>
      </c>
    </row>
    <row r="470" spans="1:16" ht="15" x14ac:dyDescent="0.2">
      <c r="A470" s="4" t="s">
        <v>576</v>
      </c>
      <c r="B470" s="21" t="str">
        <f t="shared" si="14"/>
        <v>Aug-2025</v>
      </c>
      <c r="C470" s="2" t="str">
        <f t="shared" si="15"/>
        <v>Q2</v>
      </c>
      <c r="D470" s="2" t="s">
        <v>31</v>
      </c>
      <c r="E470" s="13">
        <v>45888</v>
      </c>
      <c r="F470" s="14" t="s">
        <v>172</v>
      </c>
      <c r="G470" s="14" t="s">
        <v>171</v>
      </c>
      <c r="H470" s="14" t="s">
        <v>110</v>
      </c>
      <c r="I470" s="15">
        <v>2</v>
      </c>
      <c r="J470" s="15">
        <v>40</v>
      </c>
      <c r="K470" s="15">
        <v>175.05</v>
      </c>
      <c r="L470" s="15">
        <v>7001.9999999999991</v>
      </c>
      <c r="M470" s="15">
        <v>-538.45000000000005</v>
      </c>
      <c r="N470" s="15">
        <v>0</v>
      </c>
      <c r="O470" s="15">
        <v>840.261346</v>
      </c>
      <c r="P470" s="15">
        <v>7303.8113460000004</v>
      </c>
    </row>
    <row r="471" spans="1:16" ht="15" x14ac:dyDescent="0.2">
      <c r="A471" s="4" t="s">
        <v>589</v>
      </c>
      <c r="B471" s="21" t="str">
        <f t="shared" si="14"/>
        <v>Aug-2025</v>
      </c>
      <c r="C471" s="2" t="str">
        <f t="shared" si="15"/>
        <v>Q2</v>
      </c>
      <c r="D471" s="2" t="s">
        <v>31</v>
      </c>
      <c r="E471" s="13">
        <v>45888</v>
      </c>
      <c r="F471" s="14" t="s">
        <v>172</v>
      </c>
      <c r="G471" s="14" t="s">
        <v>171</v>
      </c>
      <c r="H471" s="14" t="s">
        <v>98</v>
      </c>
      <c r="I471" s="15">
        <v>1</v>
      </c>
      <c r="J471" s="15">
        <v>60</v>
      </c>
      <c r="K471" s="15">
        <v>145.26</v>
      </c>
      <c r="L471" s="15">
        <v>8715.6</v>
      </c>
      <c r="M471" s="15">
        <v>-670.23</v>
      </c>
      <c r="N471" s="15">
        <v>0</v>
      </c>
      <c r="O471" s="15">
        <v>1045.8979080000001</v>
      </c>
      <c r="P471" s="15">
        <v>9091.2679079999998</v>
      </c>
    </row>
    <row r="472" spans="1:16" ht="15" x14ac:dyDescent="0.2">
      <c r="A472" s="4" t="s">
        <v>585</v>
      </c>
      <c r="B472" s="21" t="str">
        <f t="shared" si="14"/>
        <v>Aug-2025</v>
      </c>
      <c r="C472" s="2" t="str">
        <f t="shared" si="15"/>
        <v>Q2</v>
      </c>
      <c r="D472" s="2" t="s">
        <v>31</v>
      </c>
      <c r="E472" s="13">
        <v>45888</v>
      </c>
      <c r="F472" s="14" t="s">
        <v>173</v>
      </c>
      <c r="G472" s="14" t="s">
        <v>130</v>
      </c>
      <c r="H472" s="14" t="s">
        <v>73</v>
      </c>
      <c r="I472" s="15">
        <v>2</v>
      </c>
      <c r="J472" s="15">
        <v>3200</v>
      </c>
      <c r="K472" s="15">
        <v>1.79</v>
      </c>
      <c r="L472" s="15">
        <v>5728</v>
      </c>
      <c r="M472" s="15">
        <v>-440.48</v>
      </c>
      <c r="N472" s="15">
        <v>0</v>
      </c>
      <c r="O472" s="15">
        <v>687.38</v>
      </c>
      <c r="P472" s="15">
        <v>5974.9</v>
      </c>
    </row>
    <row r="473" spans="1:16" ht="15" x14ac:dyDescent="0.2">
      <c r="A473" s="4" t="s">
        <v>578</v>
      </c>
      <c r="B473" s="21" t="str">
        <f t="shared" si="14"/>
        <v>Aug-2025</v>
      </c>
      <c r="C473" s="2" t="str">
        <f t="shared" si="15"/>
        <v>Q2</v>
      </c>
      <c r="D473" s="2" t="s">
        <v>31</v>
      </c>
      <c r="E473" s="13">
        <v>45889</v>
      </c>
      <c r="F473" s="14" t="s">
        <v>174</v>
      </c>
      <c r="G473" s="14" t="s">
        <v>130</v>
      </c>
      <c r="H473" s="14" t="s">
        <v>62</v>
      </c>
      <c r="I473" s="15">
        <v>11.5</v>
      </c>
      <c r="J473" s="15">
        <v>483</v>
      </c>
      <c r="K473" s="15">
        <v>74.489999999999995</v>
      </c>
      <c r="L473" s="15">
        <v>35978.67</v>
      </c>
      <c r="M473" s="15">
        <v>-2766.7599999999998</v>
      </c>
      <c r="N473" s="15">
        <v>0</v>
      </c>
      <c r="O473" s="15">
        <v>4317.5466079999997</v>
      </c>
      <c r="P473" s="15">
        <v>37529.456608</v>
      </c>
    </row>
    <row r="474" spans="1:16" ht="15" x14ac:dyDescent="0.2">
      <c r="A474" s="4" t="s">
        <v>578</v>
      </c>
      <c r="B474" s="21" t="str">
        <f t="shared" si="14"/>
        <v>Aug-2025</v>
      </c>
      <c r="C474" s="2" t="str">
        <f t="shared" si="15"/>
        <v>Q2</v>
      </c>
      <c r="D474" s="2" t="s">
        <v>31</v>
      </c>
      <c r="E474" s="13">
        <v>45889</v>
      </c>
      <c r="F474" s="14" t="s">
        <v>174</v>
      </c>
      <c r="G474" s="14" t="s">
        <v>130</v>
      </c>
      <c r="H474" s="14" t="s">
        <v>60</v>
      </c>
      <c r="I474" s="15">
        <v>10.5</v>
      </c>
      <c r="J474" s="15">
        <v>441</v>
      </c>
      <c r="K474" s="15">
        <v>74.489999999999995</v>
      </c>
      <c r="L474" s="15">
        <v>32850.089999999997</v>
      </c>
      <c r="M474" s="15">
        <v>-2526.17</v>
      </c>
      <c r="N474" s="15">
        <v>0</v>
      </c>
      <c r="O474" s="15">
        <v>3942.1080550000001</v>
      </c>
      <c r="P474" s="15">
        <v>34266.028055000002</v>
      </c>
    </row>
    <row r="475" spans="1:16" ht="15" x14ac:dyDescent="0.2">
      <c r="A475" s="4" t="s">
        <v>582</v>
      </c>
      <c r="B475" s="21" t="str">
        <f t="shared" si="14"/>
        <v>Aug-2025</v>
      </c>
      <c r="C475" s="2" t="str">
        <f t="shared" si="15"/>
        <v>Q2</v>
      </c>
      <c r="D475" s="2" t="s">
        <v>31</v>
      </c>
      <c r="E475" s="13">
        <v>45889</v>
      </c>
      <c r="F475" s="14" t="s">
        <v>174</v>
      </c>
      <c r="G475" s="14" t="s">
        <v>130</v>
      </c>
      <c r="H475" s="14" t="s">
        <v>77</v>
      </c>
      <c r="I475" s="15">
        <v>2</v>
      </c>
      <c r="J475" s="15">
        <v>48</v>
      </c>
      <c r="K475" s="15">
        <v>204.85</v>
      </c>
      <c r="L475" s="15">
        <v>9832.8000000000011</v>
      </c>
      <c r="M475" s="15">
        <v>-756.14</v>
      </c>
      <c r="N475" s="15">
        <v>0</v>
      </c>
      <c r="O475" s="15">
        <v>1179.9653369999999</v>
      </c>
      <c r="P475" s="15">
        <v>10256.625336999999</v>
      </c>
    </row>
    <row r="476" spans="1:16" ht="15" x14ac:dyDescent="0.2">
      <c r="A476" s="4" t="s">
        <v>575</v>
      </c>
      <c r="B476" s="21" t="str">
        <f t="shared" si="14"/>
        <v>Aug-2025</v>
      </c>
      <c r="C476" s="2" t="str">
        <f t="shared" si="15"/>
        <v>Q2</v>
      </c>
      <c r="D476" s="2" t="s">
        <v>31</v>
      </c>
      <c r="E476" s="13">
        <v>45889</v>
      </c>
      <c r="F476" s="14" t="s">
        <v>175</v>
      </c>
      <c r="G476" s="14" t="s">
        <v>88</v>
      </c>
      <c r="H476" s="14" t="s">
        <v>55</v>
      </c>
      <c r="I476" s="15">
        <v>1</v>
      </c>
      <c r="J476" s="15">
        <v>20</v>
      </c>
      <c r="K476" s="15">
        <v>186.23</v>
      </c>
      <c r="L476" s="15">
        <v>3724.6000000000004</v>
      </c>
      <c r="M476" s="15">
        <v>-286.42</v>
      </c>
      <c r="N476" s="15">
        <v>0</v>
      </c>
      <c r="O476" s="15">
        <v>446.96294499999999</v>
      </c>
      <c r="P476" s="15">
        <v>3885.1429450000001</v>
      </c>
    </row>
    <row r="477" spans="1:16" ht="15" x14ac:dyDescent="0.2">
      <c r="A477" s="4" t="s">
        <v>586</v>
      </c>
      <c r="B477" s="21" t="str">
        <f t="shared" si="14"/>
        <v>Aug-2025</v>
      </c>
      <c r="C477" s="2" t="str">
        <f t="shared" si="15"/>
        <v>Q2</v>
      </c>
      <c r="D477" s="2" t="s">
        <v>31</v>
      </c>
      <c r="E477" s="13">
        <v>45889</v>
      </c>
      <c r="F477" s="14" t="s">
        <v>175</v>
      </c>
      <c r="G477" s="14" t="s">
        <v>88</v>
      </c>
      <c r="H477" s="14" t="s">
        <v>76</v>
      </c>
      <c r="I477" s="15">
        <v>1</v>
      </c>
      <c r="J477" s="15">
        <v>240</v>
      </c>
      <c r="K477" s="15">
        <v>18.62</v>
      </c>
      <c r="L477" s="15">
        <v>4468.8</v>
      </c>
      <c r="M477" s="15">
        <v>-343.65</v>
      </c>
      <c r="N477" s="15">
        <v>0</v>
      </c>
      <c r="O477" s="15">
        <v>536.26895400000001</v>
      </c>
      <c r="P477" s="15">
        <v>4661.4189539999998</v>
      </c>
    </row>
    <row r="478" spans="1:16" ht="15" x14ac:dyDescent="0.2">
      <c r="A478" s="4" t="s">
        <v>589</v>
      </c>
      <c r="B478" s="21" t="str">
        <f t="shared" si="14"/>
        <v>Aug-2025</v>
      </c>
      <c r="C478" s="2" t="str">
        <f t="shared" si="15"/>
        <v>Q2</v>
      </c>
      <c r="D478" s="2" t="s">
        <v>31</v>
      </c>
      <c r="E478" s="13">
        <v>45889</v>
      </c>
      <c r="F478" s="14" t="s">
        <v>175</v>
      </c>
      <c r="G478" s="14" t="s">
        <v>88</v>
      </c>
      <c r="H478" s="14" t="s">
        <v>105</v>
      </c>
      <c r="I478" s="15">
        <v>1</v>
      </c>
      <c r="J478" s="15">
        <v>30</v>
      </c>
      <c r="K478" s="15">
        <v>316.58999999999997</v>
      </c>
      <c r="L478" s="15">
        <v>9497.6999999999989</v>
      </c>
      <c r="M478" s="15">
        <v>-730.36999999999989</v>
      </c>
      <c r="N478" s="15">
        <v>0</v>
      </c>
      <c r="O478" s="15">
        <v>1139.751739</v>
      </c>
      <c r="P478" s="15">
        <v>9907.0817389999993</v>
      </c>
    </row>
    <row r="479" spans="1:16" ht="15" x14ac:dyDescent="0.2">
      <c r="A479" s="4" t="s">
        <v>586</v>
      </c>
      <c r="B479" s="21" t="str">
        <f t="shared" si="14"/>
        <v>Aug-2025</v>
      </c>
      <c r="C479" s="2" t="str">
        <f t="shared" si="15"/>
        <v>Q2</v>
      </c>
      <c r="D479" s="2" t="s">
        <v>31</v>
      </c>
      <c r="E479" s="13">
        <v>45889</v>
      </c>
      <c r="F479" s="14" t="s">
        <v>175</v>
      </c>
      <c r="G479" s="14" t="s">
        <v>88</v>
      </c>
      <c r="H479" s="14" t="s">
        <v>78</v>
      </c>
      <c r="I479" s="15">
        <v>1</v>
      </c>
      <c r="J479" s="15">
        <v>600</v>
      </c>
      <c r="K479" s="15">
        <v>7.46</v>
      </c>
      <c r="L479" s="15">
        <v>4476</v>
      </c>
      <c r="M479" s="15">
        <v>-344.2</v>
      </c>
      <c r="N479" s="15">
        <v>0</v>
      </c>
      <c r="O479" s="15">
        <v>537.13345300000003</v>
      </c>
      <c r="P479" s="15">
        <v>4668.9334529999996</v>
      </c>
    </row>
    <row r="480" spans="1:16" ht="15" x14ac:dyDescent="0.2">
      <c r="A480" s="4" t="s">
        <v>577</v>
      </c>
      <c r="B480" s="21" t="str">
        <f t="shared" si="14"/>
        <v>Aug-2025</v>
      </c>
      <c r="C480" s="2" t="str">
        <f t="shared" si="15"/>
        <v>Q2</v>
      </c>
      <c r="D480" s="2" t="s">
        <v>31</v>
      </c>
      <c r="E480" s="13">
        <v>45889</v>
      </c>
      <c r="F480" s="14" t="s">
        <v>175</v>
      </c>
      <c r="G480" s="14" t="s">
        <v>88</v>
      </c>
      <c r="H480" s="14" t="s">
        <v>57</v>
      </c>
      <c r="I480" s="15">
        <v>1</v>
      </c>
      <c r="J480" s="15">
        <v>180</v>
      </c>
      <c r="K480" s="15">
        <v>18.62</v>
      </c>
      <c r="L480" s="15">
        <v>3351.6</v>
      </c>
      <c r="M480" s="15">
        <v>-257.74</v>
      </c>
      <c r="N480" s="15">
        <v>0</v>
      </c>
      <c r="O480" s="15">
        <v>402.20139</v>
      </c>
      <c r="P480" s="15">
        <v>3496.0613899999998</v>
      </c>
    </row>
    <row r="481" spans="1:16" ht="15" x14ac:dyDescent="0.2">
      <c r="A481" s="4" t="s">
        <v>582</v>
      </c>
      <c r="B481" s="21" t="str">
        <f t="shared" si="14"/>
        <v>Aug-2025</v>
      </c>
      <c r="C481" s="2" t="str">
        <f t="shared" si="15"/>
        <v>Q2</v>
      </c>
      <c r="D481" s="2" t="s">
        <v>31</v>
      </c>
      <c r="E481" s="13">
        <v>45889</v>
      </c>
      <c r="F481" s="14" t="s">
        <v>175</v>
      </c>
      <c r="G481" s="14" t="s">
        <v>88</v>
      </c>
      <c r="H481" s="14" t="s">
        <v>67</v>
      </c>
      <c r="I481" s="15">
        <v>1</v>
      </c>
      <c r="J481" s="15">
        <v>24</v>
      </c>
      <c r="K481" s="15">
        <v>186.23</v>
      </c>
      <c r="L481" s="15">
        <v>4469.5200000000004</v>
      </c>
      <c r="M481" s="15">
        <v>-343.71</v>
      </c>
      <c r="N481" s="15">
        <v>0</v>
      </c>
      <c r="O481" s="15">
        <v>536.35475299999996</v>
      </c>
      <c r="P481" s="15">
        <v>4662.164753</v>
      </c>
    </row>
    <row r="482" spans="1:16" ht="15" x14ac:dyDescent="0.2">
      <c r="A482" s="4" t="s">
        <v>578</v>
      </c>
      <c r="B482" s="21" t="str">
        <f t="shared" si="14"/>
        <v>Aug-2025</v>
      </c>
      <c r="C482" s="2" t="str">
        <f t="shared" si="15"/>
        <v>Q2</v>
      </c>
      <c r="D482" s="2" t="s">
        <v>31</v>
      </c>
      <c r="E482" s="13">
        <v>45889</v>
      </c>
      <c r="F482" s="14" t="s">
        <v>175</v>
      </c>
      <c r="G482" s="14" t="s">
        <v>88</v>
      </c>
      <c r="H482" s="14" t="s">
        <v>60</v>
      </c>
      <c r="I482" s="15">
        <v>1</v>
      </c>
      <c r="J482" s="15">
        <v>42</v>
      </c>
      <c r="K482" s="15">
        <v>74.489999999999995</v>
      </c>
      <c r="L482" s="15">
        <v>3128.58</v>
      </c>
      <c r="M482" s="15">
        <v>-240.59</v>
      </c>
      <c r="N482" s="15">
        <v>0</v>
      </c>
      <c r="O482" s="15">
        <v>375.43831700000004</v>
      </c>
      <c r="P482" s="15">
        <v>3263.4283169999999</v>
      </c>
    </row>
    <row r="483" spans="1:16" ht="15" x14ac:dyDescent="0.2">
      <c r="A483" s="4" t="s">
        <v>585</v>
      </c>
      <c r="B483" s="21" t="str">
        <f t="shared" si="14"/>
        <v>Aug-2025</v>
      </c>
      <c r="C483" s="2" t="str">
        <f t="shared" si="15"/>
        <v>Q2</v>
      </c>
      <c r="D483" s="2" t="s">
        <v>31</v>
      </c>
      <c r="E483" s="13">
        <v>45889</v>
      </c>
      <c r="F483" s="14" t="s">
        <v>175</v>
      </c>
      <c r="G483" s="14" t="s">
        <v>88</v>
      </c>
      <c r="H483" s="14" t="s">
        <v>73</v>
      </c>
      <c r="I483" s="15">
        <v>1</v>
      </c>
      <c r="J483" s="15">
        <v>1600</v>
      </c>
      <c r="K483" s="15">
        <v>1.79</v>
      </c>
      <c r="L483" s="15">
        <v>2864</v>
      </c>
      <c r="M483" s="15">
        <v>-220.24</v>
      </c>
      <c r="N483" s="15">
        <v>0</v>
      </c>
      <c r="O483" s="15">
        <v>343.68844999999999</v>
      </c>
      <c r="P483" s="15">
        <v>2987.4484499999999</v>
      </c>
    </row>
    <row r="484" spans="1:16" ht="15" x14ac:dyDescent="0.2">
      <c r="A484" s="4" t="s">
        <v>577</v>
      </c>
      <c r="B484" s="21" t="str">
        <f t="shared" si="14"/>
        <v>Aug-2025</v>
      </c>
      <c r="C484" s="2" t="str">
        <f t="shared" si="15"/>
        <v>Q2</v>
      </c>
      <c r="D484" s="2" t="s">
        <v>31</v>
      </c>
      <c r="E484" s="13">
        <v>45889</v>
      </c>
      <c r="F484" s="14" t="s">
        <v>176</v>
      </c>
      <c r="G484" s="14" t="s">
        <v>17</v>
      </c>
      <c r="H484" s="14" t="s">
        <v>57</v>
      </c>
      <c r="I484" s="15">
        <v>1</v>
      </c>
      <c r="J484" s="15">
        <v>180</v>
      </c>
      <c r="K484" s="15">
        <v>18.62</v>
      </c>
      <c r="L484" s="15">
        <v>3351.6</v>
      </c>
      <c r="M484" s="15">
        <v>-257.74</v>
      </c>
      <c r="N484" s="15">
        <v>0</v>
      </c>
      <c r="O484" s="15">
        <v>402.20202800000004</v>
      </c>
      <c r="P484" s="15">
        <v>3496.0620279999998</v>
      </c>
    </row>
    <row r="485" spans="1:16" ht="15" x14ac:dyDescent="0.2">
      <c r="A485" s="4" t="s">
        <v>573</v>
      </c>
      <c r="B485" s="21" t="str">
        <f t="shared" si="14"/>
        <v>Aug-2025</v>
      </c>
      <c r="C485" s="2" t="str">
        <f t="shared" si="15"/>
        <v>Q2</v>
      </c>
      <c r="D485" s="2" t="s">
        <v>31</v>
      </c>
      <c r="E485" s="13">
        <v>45889</v>
      </c>
      <c r="F485" s="14" t="s">
        <v>176</v>
      </c>
      <c r="G485" s="14" t="s">
        <v>17</v>
      </c>
      <c r="H485" s="14" t="s">
        <v>111</v>
      </c>
      <c r="I485" s="15">
        <v>2</v>
      </c>
      <c r="J485" s="15">
        <v>80</v>
      </c>
      <c r="K485" s="15">
        <v>111.74</v>
      </c>
      <c r="L485" s="15">
        <v>8939.2000000000007</v>
      </c>
      <c r="M485" s="15">
        <v>-687.42</v>
      </c>
      <c r="N485" s="15">
        <v>0</v>
      </c>
      <c r="O485" s="15">
        <v>1072.732008</v>
      </c>
      <c r="P485" s="15">
        <v>9324.5120079999997</v>
      </c>
    </row>
    <row r="486" spans="1:16" ht="15" x14ac:dyDescent="0.2">
      <c r="A486" s="4" t="s">
        <v>589</v>
      </c>
      <c r="B486" s="21" t="str">
        <f t="shared" si="14"/>
        <v>Aug-2025</v>
      </c>
      <c r="C486" s="2" t="str">
        <f t="shared" si="15"/>
        <v>Q2</v>
      </c>
      <c r="D486" s="2" t="s">
        <v>31</v>
      </c>
      <c r="E486" s="13">
        <v>45889</v>
      </c>
      <c r="F486" s="14" t="s">
        <v>176</v>
      </c>
      <c r="G486" s="14" t="s">
        <v>17</v>
      </c>
      <c r="H486" s="14" t="s">
        <v>105</v>
      </c>
      <c r="I486" s="15">
        <v>1</v>
      </c>
      <c r="J486" s="15">
        <v>30</v>
      </c>
      <c r="K486" s="15">
        <v>316.58999999999997</v>
      </c>
      <c r="L486" s="15">
        <v>9497.6999999999989</v>
      </c>
      <c r="M486" s="15">
        <v>-730.36999999999989</v>
      </c>
      <c r="N486" s="15">
        <v>0</v>
      </c>
      <c r="O486" s="15">
        <v>1139.7535459999999</v>
      </c>
      <c r="P486" s="15">
        <v>9907.0835459999998</v>
      </c>
    </row>
    <row r="487" spans="1:16" ht="15" x14ac:dyDescent="0.2">
      <c r="A487" s="4" t="s">
        <v>573</v>
      </c>
      <c r="B487" s="21" t="str">
        <f t="shared" si="14"/>
        <v>Aug-2025</v>
      </c>
      <c r="C487" s="2" t="str">
        <f t="shared" si="15"/>
        <v>Q2</v>
      </c>
      <c r="D487" s="2" t="s">
        <v>31</v>
      </c>
      <c r="E487" s="13">
        <v>45889</v>
      </c>
      <c r="F487" s="14" t="s">
        <v>176</v>
      </c>
      <c r="G487" s="14" t="s">
        <v>17</v>
      </c>
      <c r="H487" s="14" t="s">
        <v>138</v>
      </c>
      <c r="I487" s="15">
        <v>2</v>
      </c>
      <c r="J487" s="15">
        <v>80</v>
      </c>
      <c r="K487" s="15">
        <v>111.74</v>
      </c>
      <c r="L487" s="15">
        <v>8939.2000000000007</v>
      </c>
      <c r="M487" s="15">
        <v>-687.42</v>
      </c>
      <c r="N487" s="15">
        <v>0</v>
      </c>
      <c r="O487" s="15">
        <v>1072.732008</v>
      </c>
      <c r="P487" s="15">
        <v>9324.5120079999997</v>
      </c>
    </row>
    <row r="488" spans="1:16" ht="15" x14ac:dyDescent="0.2">
      <c r="A488" s="4" t="s">
        <v>584</v>
      </c>
      <c r="B488" s="21" t="str">
        <f t="shared" si="14"/>
        <v>Aug-2025</v>
      </c>
      <c r="C488" s="2" t="str">
        <f t="shared" si="15"/>
        <v>Q2</v>
      </c>
      <c r="D488" s="2" t="s">
        <v>31</v>
      </c>
      <c r="E488" s="13">
        <v>45889</v>
      </c>
      <c r="F488" s="14" t="s">
        <v>176</v>
      </c>
      <c r="G488" s="14" t="s">
        <v>17</v>
      </c>
      <c r="H488" s="14" t="s">
        <v>120</v>
      </c>
      <c r="I488" s="15">
        <v>1</v>
      </c>
      <c r="J488" s="15">
        <v>40</v>
      </c>
      <c r="K488" s="15">
        <v>81.94</v>
      </c>
      <c r="L488" s="15">
        <v>3277.6</v>
      </c>
      <c r="M488" s="15">
        <v>-252.05</v>
      </c>
      <c r="N488" s="15">
        <v>0</v>
      </c>
      <c r="O488" s="15">
        <v>393.32172300000002</v>
      </c>
      <c r="P488" s="15">
        <v>3418.8717230000002</v>
      </c>
    </row>
    <row r="489" spans="1:16" ht="15" x14ac:dyDescent="0.2">
      <c r="A489" s="4" t="s">
        <v>573</v>
      </c>
      <c r="B489" s="21" t="str">
        <f t="shared" si="14"/>
        <v>Aug-2025</v>
      </c>
      <c r="C489" s="2" t="str">
        <f t="shared" si="15"/>
        <v>Q2</v>
      </c>
      <c r="D489" s="2" t="s">
        <v>31</v>
      </c>
      <c r="E489" s="13">
        <v>45889</v>
      </c>
      <c r="F489" s="14" t="s">
        <v>176</v>
      </c>
      <c r="G489" s="14" t="s">
        <v>17</v>
      </c>
      <c r="H489" s="14" t="s">
        <v>136</v>
      </c>
      <c r="I489" s="15">
        <v>2</v>
      </c>
      <c r="J489" s="15">
        <v>80</v>
      </c>
      <c r="K489" s="15">
        <v>111.74</v>
      </c>
      <c r="L489" s="15">
        <v>8939.2000000000007</v>
      </c>
      <c r="M489" s="15">
        <v>-687.42</v>
      </c>
      <c r="N489" s="15">
        <v>0</v>
      </c>
      <c r="O489" s="15">
        <v>1072.732008</v>
      </c>
      <c r="P489" s="15">
        <v>9324.5120079999997</v>
      </c>
    </row>
    <row r="490" spans="1:16" ht="15" x14ac:dyDescent="0.2">
      <c r="A490" s="4" t="s">
        <v>584</v>
      </c>
      <c r="B490" s="21" t="str">
        <f t="shared" si="14"/>
        <v>Aug-2025</v>
      </c>
      <c r="C490" s="2" t="str">
        <f t="shared" si="15"/>
        <v>Q2</v>
      </c>
      <c r="D490" s="2" t="s">
        <v>31</v>
      </c>
      <c r="E490" s="13">
        <v>45889</v>
      </c>
      <c r="F490" s="14" t="s">
        <v>176</v>
      </c>
      <c r="G490" s="14" t="s">
        <v>17</v>
      </c>
      <c r="H490" s="14" t="s">
        <v>99</v>
      </c>
      <c r="I490" s="15">
        <v>1</v>
      </c>
      <c r="J490" s="15">
        <v>40</v>
      </c>
      <c r="K490" s="15">
        <v>81.94</v>
      </c>
      <c r="L490" s="15">
        <v>3277.6</v>
      </c>
      <c r="M490" s="15">
        <v>-252.05</v>
      </c>
      <c r="N490" s="15">
        <v>0</v>
      </c>
      <c r="O490" s="15">
        <v>393.32172300000002</v>
      </c>
      <c r="P490" s="15">
        <v>3418.8717230000002</v>
      </c>
    </row>
    <row r="491" spans="1:16" ht="15" x14ac:dyDescent="0.2">
      <c r="A491" s="4" t="s">
        <v>584</v>
      </c>
      <c r="B491" s="21" t="str">
        <f t="shared" si="14"/>
        <v>Aug-2025</v>
      </c>
      <c r="C491" s="2" t="str">
        <f t="shared" si="15"/>
        <v>Q2</v>
      </c>
      <c r="D491" s="2" t="s">
        <v>31</v>
      </c>
      <c r="E491" s="13">
        <v>45889</v>
      </c>
      <c r="F491" s="14" t="s">
        <v>176</v>
      </c>
      <c r="G491" s="14" t="s">
        <v>17</v>
      </c>
      <c r="H491" s="14" t="s">
        <v>100</v>
      </c>
      <c r="I491" s="15">
        <v>1</v>
      </c>
      <c r="J491" s="15">
        <v>40</v>
      </c>
      <c r="K491" s="15">
        <v>81.94</v>
      </c>
      <c r="L491" s="15">
        <v>3277.6</v>
      </c>
      <c r="M491" s="15">
        <v>-252.05</v>
      </c>
      <c r="N491" s="15">
        <v>0</v>
      </c>
      <c r="O491" s="15">
        <v>393.32172300000002</v>
      </c>
      <c r="P491" s="15">
        <v>3418.8717230000002</v>
      </c>
    </row>
    <row r="492" spans="1:16" ht="15" x14ac:dyDescent="0.2">
      <c r="A492" s="4" t="s">
        <v>582</v>
      </c>
      <c r="B492" s="21" t="str">
        <f t="shared" si="14"/>
        <v>Aug-2025</v>
      </c>
      <c r="C492" s="2" t="str">
        <f t="shared" si="15"/>
        <v>Q2</v>
      </c>
      <c r="D492" s="2" t="s">
        <v>31</v>
      </c>
      <c r="E492" s="13">
        <v>45889</v>
      </c>
      <c r="F492" s="14" t="s">
        <v>176</v>
      </c>
      <c r="G492" s="14" t="s">
        <v>17</v>
      </c>
      <c r="H492" s="14" t="s">
        <v>77</v>
      </c>
      <c r="I492" s="15">
        <v>1</v>
      </c>
      <c r="J492" s="15">
        <v>24</v>
      </c>
      <c r="K492" s="15">
        <v>204.85</v>
      </c>
      <c r="L492" s="15">
        <v>4916.4000000000005</v>
      </c>
      <c r="M492" s="15">
        <v>-378.07</v>
      </c>
      <c r="N492" s="15">
        <v>0</v>
      </c>
      <c r="O492" s="15">
        <v>589.98323400000004</v>
      </c>
      <c r="P492" s="15">
        <v>5128.3132340000002</v>
      </c>
    </row>
    <row r="493" spans="1:16" ht="15" x14ac:dyDescent="0.2">
      <c r="A493" s="4" t="s">
        <v>593</v>
      </c>
      <c r="B493" s="21" t="str">
        <f t="shared" si="14"/>
        <v>Aug-2025</v>
      </c>
      <c r="C493" s="2" t="str">
        <f t="shared" si="15"/>
        <v>Q2</v>
      </c>
      <c r="D493" s="2" t="s">
        <v>31</v>
      </c>
      <c r="E493" s="13">
        <v>45889</v>
      </c>
      <c r="F493" s="14" t="s">
        <v>177</v>
      </c>
      <c r="G493" s="14" t="s">
        <v>19</v>
      </c>
      <c r="H493" s="14" t="s">
        <v>117</v>
      </c>
      <c r="I493" s="15">
        <v>5</v>
      </c>
      <c r="J493" s="15">
        <v>20</v>
      </c>
      <c r="K493" s="15">
        <v>595.94000000000005</v>
      </c>
      <c r="L493" s="15">
        <v>11918.8</v>
      </c>
      <c r="M493" s="15">
        <v>-916.56</v>
      </c>
      <c r="N493" s="15">
        <v>0</v>
      </c>
      <c r="O493" s="15">
        <v>1430.29</v>
      </c>
      <c r="P493" s="15">
        <v>12432.53</v>
      </c>
    </row>
    <row r="494" spans="1:16" ht="15" x14ac:dyDescent="0.2">
      <c r="A494" s="4" t="s">
        <v>573</v>
      </c>
      <c r="B494" s="21" t="str">
        <f t="shared" si="14"/>
        <v>Aug-2025</v>
      </c>
      <c r="C494" s="2" t="str">
        <f t="shared" si="15"/>
        <v>Q2</v>
      </c>
      <c r="D494" s="2" t="s">
        <v>31</v>
      </c>
      <c r="E494" s="13">
        <v>45891</v>
      </c>
      <c r="F494" s="14" t="s">
        <v>178</v>
      </c>
      <c r="G494" s="14" t="s">
        <v>179</v>
      </c>
      <c r="H494" s="14" t="s">
        <v>47</v>
      </c>
      <c r="I494" s="15">
        <v>1</v>
      </c>
      <c r="J494" s="15">
        <v>40</v>
      </c>
      <c r="K494" s="15">
        <v>111.74</v>
      </c>
      <c r="L494" s="15">
        <v>4469.6000000000004</v>
      </c>
      <c r="M494" s="15">
        <v>-343.71</v>
      </c>
      <c r="N494" s="15">
        <v>0</v>
      </c>
      <c r="O494" s="15">
        <v>536.36586</v>
      </c>
      <c r="P494" s="15">
        <v>4662.2558600000002</v>
      </c>
    </row>
    <row r="495" spans="1:16" ht="15" x14ac:dyDescent="0.2">
      <c r="A495" s="4" t="s">
        <v>576</v>
      </c>
      <c r="B495" s="21" t="str">
        <f t="shared" si="14"/>
        <v>Aug-2025</v>
      </c>
      <c r="C495" s="2" t="str">
        <f t="shared" si="15"/>
        <v>Q2</v>
      </c>
      <c r="D495" s="2" t="s">
        <v>31</v>
      </c>
      <c r="E495" s="13">
        <v>45891</v>
      </c>
      <c r="F495" s="14" t="s">
        <v>178</v>
      </c>
      <c r="G495" s="14" t="s">
        <v>179</v>
      </c>
      <c r="H495" s="14" t="s">
        <v>110</v>
      </c>
      <c r="I495" s="15">
        <v>2</v>
      </c>
      <c r="J495" s="15">
        <v>40</v>
      </c>
      <c r="K495" s="15">
        <v>175.06</v>
      </c>
      <c r="L495" s="15">
        <v>7002.4</v>
      </c>
      <c r="M495" s="15">
        <v>-538.48</v>
      </c>
      <c r="N495" s="15">
        <v>0</v>
      </c>
      <c r="O495" s="15">
        <v>840.30985099999998</v>
      </c>
      <c r="P495" s="15">
        <v>7304.2298510000001</v>
      </c>
    </row>
    <row r="496" spans="1:16" ht="15" x14ac:dyDescent="0.2">
      <c r="A496" s="4" t="s">
        <v>583</v>
      </c>
      <c r="B496" s="21" t="str">
        <f t="shared" si="14"/>
        <v>Aug-2025</v>
      </c>
      <c r="C496" s="2" t="str">
        <f t="shared" si="15"/>
        <v>Q2</v>
      </c>
      <c r="D496" s="2" t="s">
        <v>31</v>
      </c>
      <c r="E496" s="13">
        <v>45891</v>
      </c>
      <c r="F496" s="14" t="s">
        <v>178</v>
      </c>
      <c r="G496" s="14" t="s">
        <v>179</v>
      </c>
      <c r="H496" s="14" t="s">
        <v>71</v>
      </c>
      <c r="I496" s="15">
        <v>1</v>
      </c>
      <c r="J496" s="15">
        <v>15</v>
      </c>
      <c r="K496" s="15">
        <v>260.72000000000003</v>
      </c>
      <c r="L496" s="15">
        <v>3910.8</v>
      </c>
      <c r="M496" s="15">
        <v>-300.74</v>
      </c>
      <c r="N496" s="15">
        <v>0</v>
      </c>
      <c r="O496" s="15">
        <v>469.30793999999997</v>
      </c>
      <c r="P496" s="15">
        <v>4079.3679400000001</v>
      </c>
    </row>
    <row r="497" spans="1:16" ht="15" x14ac:dyDescent="0.2">
      <c r="A497" s="4" t="s">
        <v>581</v>
      </c>
      <c r="B497" s="21" t="str">
        <f t="shared" si="14"/>
        <v>Aug-2025</v>
      </c>
      <c r="C497" s="2" t="str">
        <f t="shared" si="15"/>
        <v>Q2</v>
      </c>
      <c r="D497" s="2" t="s">
        <v>31</v>
      </c>
      <c r="E497" s="13">
        <v>45891</v>
      </c>
      <c r="F497" s="14" t="s">
        <v>178</v>
      </c>
      <c r="G497" s="14" t="s">
        <v>179</v>
      </c>
      <c r="H497" s="14" t="s">
        <v>97</v>
      </c>
      <c r="I497" s="15">
        <v>1</v>
      </c>
      <c r="J497" s="15">
        <v>40</v>
      </c>
      <c r="K497" s="15">
        <v>67.040000000000006</v>
      </c>
      <c r="L497" s="15">
        <v>2681.6</v>
      </c>
      <c r="M497" s="15">
        <v>-206.22</v>
      </c>
      <c r="N497" s="15">
        <v>0</v>
      </c>
      <c r="O497" s="15">
        <v>321.79949599999998</v>
      </c>
      <c r="P497" s="15">
        <v>2797.1794960000002</v>
      </c>
    </row>
    <row r="498" spans="1:16" ht="15" x14ac:dyDescent="0.2">
      <c r="A498" s="4" t="s">
        <v>590</v>
      </c>
      <c r="B498" s="21" t="str">
        <f t="shared" si="14"/>
        <v>Aug-2025</v>
      </c>
      <c r="C498" s="2" t="str">
        <f t="shared" si="15"/>
        <v>Q2</v>
      </c>
      <c r="D498" s="2" t="s">
        <v>31</v>
      </c>
      <c r="E498" s="13">
        <v>45891</v>
      </c>
      <c r="F498" s="14" t="s">
        <v>178</v>
      </c>
      <c r="G498" s="14" t="s">
        <v>179</v>
      </c>
      <c r="H498" s="14" t="s">
        <v>102</v>
      </c>
      <c r="I498" s="15">
        <v>2</v>
      </c>
      <c r="J498" s="15">
        <v>40</v>
      </c>
      <c r="K498" s="15">
        <v>249.55</v>
      </c>
      <c r="L498" s="15">
        <v>9982</v>
      </c>
      <c r="M498" s="15">
        <v>-767.62</v>
      </c>
      <c r="N498" s="15">
        <v>0</v>
      </c>
      <c r="O498" s="15">
        <v>1197.8697579999998</v>
      </c>
      <c r="P498" s="15">
        <v>10412.249758</v>
      </c>
    </row>
    <row r="499" spans="1:16" ht="15" x14ac:dyDescent="0.2">
      <c r="A499" s="4" t="s">
        <v>583</v>
      </c>
      <c r="B499" s="21" t="str">
        <f t="shared" si="14"/>
        <v>Aug-2025</v>
      </c>
      <c r="C499" s="2" t="str">
        <f t="shared" si="15"/>
        <v>Q2</v>
      </c>
      <c r="D499" s="2" t="s">
        <v>31</v>
      </c>
      <c r="E499" s="13">
        <v>45891</v>
      </c>
      <c r="F499" s="14" t="s">
        <v>178</v>
      </c>
      <c r="G499" s="14" t="s">
        <v>179</v>
      </c>
      <c r="H499" s="14" t="s">
        <v>113</v>
      </c>
      <c r="I499" s="15">
        <v>2</v>
      </c>
      <c r="J499" s="15">
        <v>30</v>
      </c>
      <c r="K499" s="15">
        <v>260.72000000000003</v>
      </c>
      <c r="L499" s="15">
        <v>7821.6</v>
      </c>
      <c r="M499" s="15">
        <v>-601.48</v>
      </c>
      <c r="N499" s="15">
        <v>0</v>
      </c>
      <c r="O499" s="15">
        <v>938.61587999999995</v>
      </c>
      <c r="P499" s="15">
        <v>8158.7358800000002</v>
      </c>
    </row>
    <row r="500" spans="1:16" ht="15" x14ac:dyDescent="0.2">
      <c r="A500" s="4" t="s">
        <v>575</v>
      </c>
      <c r="B500" s="21" t="str">
        <f t="shared" si="14"/>
        <v>Aug-2025</v>
      </c>
      <c r="C500" s="2" t="str">
        <f t="shared" si="15"/>
        <v>Q2</v>
      </c>
      <c r="D500" s="2" t="s">
        <v>31</v>
      </c>
      <c r="E500" s="13">
        <v>45891</v>
      </c>
      <c r="F500" s="14" t="s">
        <v>178</v>
      </c>
      <c r="G500" s="14" t="s">
        <v>179</v>
      </c>
      <c r="H500" s="14" t="s">
        <v>55</v>
      </c>
      <c r="I500" s="15">
        <v>1</v>
      </c>
      <c r="J500" s="15">
        <v>20</v>
      </c>
      <c r="K500" s="15">
        <v>186.23</v>
      </c>
      <c r="L500" s="15">
        <v>3724.6000000000004</v>
      </c>
      <c r="M500" s="15">
        <v>-286.42</v>
      </c>
      <c r="N500" s="15">
        <v>0</v>
      </c>
      <c r="O500" s="15">
        <v>446.96353299999998</v>
      </c>
      <c r="P500" s="15">
        <v>3885.1435329999999</v>
      </c>
    </row>
    <row r="501" spans="1:16" ht="15" x14ac:dyDescent="0.2">
      <c r="A501" s="4" t="s">
        <v>592</v>
      </c>
      <c r="B501" s="21" t="str">
        <f t="shared" si="14"/>
        <v>Aug-2025</v>
      </c>
      <c r="C501" s="2" t="str">
        <f t="shared" si="15"/>
        <v>Q2</v>
      </c>
      <c r="D501" s="2" t="s">
        <v>31</v>
      </c>
      <c r="E501" s="13">
        <v>45891</v>
      </c>
      <c r="F501" s="14" t="s">
        <v>178</v>
      </c>
      <c r="G501" s="14" t="s">
        <v>179</v>
      </c>
      <c r="H501" s="14" t="s">
        <v>115</v>
      </c>
      <c r="I501" s="15">
        <v>1</v>
      </c>
      <c r="J501" s="15">
        <v>50</v>
      </c>
      <c r="K501" s="15">
        <v>89.39</v>
      </c>
      <c r="L501" s="15">
        <v>4469.5</v>
      </c>
      <c r="M501" s="15">
        <v>-343.7</v>
      </c>
      <c r="N501" s="15">
        <v>0</v>
      </c>
      <c r="O501" s="15">
        <v>536.35415999999998</v>
      </c>
      <c r="P501" s="15">
        <v>4662.15416</v>
      </c>
    </row>
    <row r="502" spans="1:16" ht="15" x14ac:dyDescent="0.2">
      <c r="A502" s="4" t="s">
        <v>584</v>
      </c>
      <c r="B502" s="21" t="str">
        <f t="shared" si="14"/>
        <v>Aug-2025</v>
      </c>
      <c r="C502" s="2" t="str">
        <f t="shared" si="15"/>
        <v>Q2</v>
      </c>
      <c r="D502" s="2" t="s">
        <v>31</v>
      </c>
      <c r="E502" s="13">
        <v>45891</v>
      </c>
      <c r="F502" s="14" t="s">
        <v>178</v>
      </c>
      <c r="G502" s="14" t="s">
        <v>179</v>
      </c>
      <c r="H502" s="14" t="s">
        <v>120</v>
      </c>
      <c r="I502" s="15">
        <v>1</v>
      </c>
      <c r="J502" s="15">
        <v>40</v>
      </c>
      <c r="K502" s="15">
        <v>81.94</v>
      </c>
      <c r="L502" s="15">
        <v>3277.6</v>
      </c>
      <c r="M502" s="15">
        <v>-252.05</v>
      </c>
      <c r="N502" s="15">
        <v>0</v>
      </c>
      <c r="O502" s="15">
        <v>393.321617</v>
      </c>
      <c r="P502" s="15">
        <v>3418.8716169999998</v>
      </c>
    </row>
    <row r="503" spans="1:16" ht="15" x14ac:dyDescent="0.2">
      <c r="A503" s="4" t="s">
        <v>576</v>
      </c>
      <c r="B503" s="21" t="str">
        <f t="shared" si="14"/>
        <v>Aug-2025</v>
      </c>
      <c r="C503" s="2" t="str">
        <f t="shared" si="15"/>
        <v>Q2</v>
      </c>
      <c r="D503" s="2" t="s">
        <v>31</v>
      </c>
      <c r="E503" s="13">
        <v>45891</v>
      </c>
      <c r="F503" s="14" t="s">
        <v>178</v>
      </c>
      <c r="G503" s="14" t="s">
        <v>179</v>
      </c>
      <c r="H503" s="14" t="s">
        <v>123</v>
      </c>
      <c r="I503" s="15">
        <v>1</v>
      </c>
      <c r="J503" s="15">
        <v>20</v>
      </c>
      <c r="K503" s="15">
        <v>175.06</v>
      </c>
      <c r="L503" s="15">
        <v>3501.2</v>
      </c>
      <c r="M503" s="15">
        <v>-269.24</v>
      </c>
      <c r="N503" s="15">
        <v>0</v>
      </c>
      <c r="O503" s="15">
        <v>420.15492499999999</v>
      </c>
      <c r="P503" s="15">
        <v>3652.1149249999999</v>
      </c>
    </row>
    <row r="504" spans="1:16" ht="15" x14ac:dyDescent="0.2">
      <c r="A504" s="4" t="s">
        <v>584</v>
      </c>
      <c r="B504" s="21" t="str">
        <f t="shared" si="14"/>
        <v>Aug-2025</v>
      </c>
      <c r="C504" s="2" t="str">
        <f t="shared" si="15"/>
        <v>Q2</v>
      </c>
      <c r="D504" s="2" t="s">
        <v>31</v>
      </c>
      <c r="E504" s="13">
        <v>45891</v>
      </c>
      <c r="F504" s="14" t="s">
        <v>178</v>
      </c>
      <c r="G504" s="14" t="s">
        <v>179</v>
      </c>
      <c r="H504" s="14" t="s">
        <v>99</v>
      </c>
      <c r="I504" s="15">
        <v>1</v>
      </c>
      <c r="J504" s="15">
        <v>40</v>
      </c>
      <c r="K504" s="15">
        <v>81.94</v>
      </c>
      <c r="L504" s="15">
        <v>3277.6</v>
      </c>
      <c r="M504" s="15">
        <v>-252.05</v>
      </c>
      <c r="N504" s="15">
        <v>0</v>
      </c>
      <c r="O504" s="15">
        <v>393.321617</v>
      </c>
      <c r="P504" s="15">
        <v>3418.8716169999998</v>
      </c>
    </row>
    <row r="505" spans="1:16" ht="15" x14ac:dyDescent="0.2">
      <c r="A505" s="4" t="s">
        <v>580</v>
      </c>
      <c r="B505" s="21" t="str">
        <f t="shared" si="14"/>
        <v>Aug-2025</v>
      </c>
      <c r="C505" s="2" t="str">
        <f t="shared" si="15"/>
        <v>Q2</v>
      </c>
      <c r="D505" s="2" t="s">
        <v>31</v>
      </c>
      <c r="E505" s="13">
        <v>45891</v>
      </c>
      <c r="F505" s="14" t="s">
        <v>178</v>
      </c>
      <c r="G505" s="14" t="s">
        <v>179</v>
      </c>
      <c r="H505" s="14" t="s">
        <v>65</v>
      </c>
      <c r="I505" s="15">
        <v>1</v>
      </c>
      <c r="J505" s="15">
        <v>130</v>
      </c>
      <c r="K505" s="15">
        <v>37.25</v>
      </c>
      <c r="L505" s="15">
        <v>4842.5</v>
      </c>
      <c r="M505" s="15">
        <v>-372.39</v>
      </c>
      <c r="N505" s="15">
        <v>0</v>
      </c>
      <c r="O505" s="15">
        <v>581.11447299999998</v>
      </c>
      <c r="P505" s="15">
        <v>5051.2244730000002</v>
      </c>
    </row>
    <row r="506" spans="1:16" ht="15" x14ac:dyDescent="0.2">
      <c r="A506" s="4" t="s">
        <v>573</v>
      </c>
      <c r="B506" s="21" t="str">
        <f t="shared" si="14"/>
        <v>Aug-2025</v>
      </c>
      <c r="C506" s="2" t="str">
        <f t="shared" si="15"/>
        <v>Q2</v>
      </c>
      <c r="D506" s="2" t="s">
        <v>31</v>
      </c>
      <c r="E506" s="13">
        <v>45891</v>
      </c>
      <c r="F506" s="14" t="s">
        <v>178</v>
      </c>
      <c r="G506" s="14" t="s">
        <v>179</v>
      </c>
      <c r="H506" s="14" t="s">
        <v>136</v>
      </c>
      <c r="I506" s="15">
        <v>1</v>
      </c>
      <c r="J506" s="15">
        <v>40</v>
      </c>
      <c r="K506" s="15">
        <v>111.74</v>
      </c>
      <c r="L506" s="15">
        <v>4469.6000000000004</v>
      </c>
      <c r="M506" s="15">
        <v>-343.71</v>
      </c>
      <c r="N506" s="15">
        <v>0</v>
      </c>
      <c r="O506" s="15">
        <v>536.36586</v>
      </c>
      <c r="P506" s="15">
        <v>4662.2558600000002</v>
      </c>
    </row>
    <row r="507" spans="1:16" ht="15" x14ac:dyDescent="0.2">
      <c r="A507" s="4" t="s">
        <v>573</v>
      </c>
      <c r="B507" s="21" t="str">
        <f t="shared" si="14"/>
        <v>Aug-2025</v>
      </c>
      <c r="C507" s="2" t="str">
        <f t="shared" si="15"/>
        <v>Q2</v>
      </c>
      <c r="D507" s="2" t="s">
        <v>31</v>
      </c>
      <c r="E507" s="13">
        <v>45891</v>
      </c>
      <c r="F507" s="14" t="s">
        <v>178</v>
      </c>
      <c r="G507" s="14" t="s">
        <v>179</v>
      </c>
      <c r="H507" s="14" t="s">
        <v>111</v>
      </c>
      <c r="I507" s="15">
        <v>2</v>
      </c>
      <c r="J507" s="15">
        <v>80</v>
      </c>
      <c r="K507" s="15">
        <v>111.74</v>
      </c>
      <c r="L507" s="15">
        <v>8939.2000000000007</v>
      </c>
      <c r="M507" s="15">
        <v>-687.42</v>
      </c>
      <c r="N507" s="15">
        <v>0</v>
      </c>
      <c r="O507" s="15">
        <v>1072.73172</v>
      </c>
      <c r="P507" s="15">
        <v>9324.5117200000004</v>
      </c>
    </row>
    <row r="508" spans="1:16" ht="15" x14ac:dyDescent="0.2">
      <c r="A508" s="4" t="s">
        <v>581</v>
      </c>
      <c r="B508" s="21" t="str">
        <f t="shared" si="14"/>
        <v>Aug-2025</v>
      </c>
      <c r="C508" s="2" t="str">
        <f t="shared" si="15"/>
        <v>Q2</v>
      </c>
      <c r="D508" s="2" t="s">
        <v>31</v>
      </c>
      <c r="E508" s="13">
        <v>45891</v>
      </c>
      <c r="F508" s="14" t="s">
        <v>178</v>
      </c>
      <c r="G508" s="14" t="s">
        <v>179</v>
      </c>
      <c r="H508" s="14" t="s">
        <v>96</v>
      </c>
      <c r="I508" s="15">
        <v>1</v>
      </c>
      <c r="J508" s="15">
        <v>40</v>
      </c>
      <c r="K508" s="15">
        <v>67.040000000000006</v>
      </c>
      <c r="L508" s="15">
        <v>2681.6</v>
      </c>
      <c r="M508" s="15">
        <v>-206.22</v>
      </c>
      <c r="N508" s="15">
        <v>0</v>
      </c>
      <c r="O508" s="15">
        <v>321.79949599999998</v>
      </c>
      <c r="P508" s="15">
        <v>2797.1794960000002</v>
      </c>
    </row>
    <row r="509" spans="1:16" ht="15" x14ac:dyDescent="0.2">
      <c r="A509" s="4" t="s">
        <v>581</v>
      </c>
      <c r="B509" s="21" t="str">
        <f t="shared" si="14"/>
        <v>Aug-2025</v>
      </c>
      <c r="C509" s="2" t="str">
        <f t="shared" si="15"/>
        <v>Q2</v>
      </c>
      <c r="D509" s="2" t="s">
        <v>31</v>
      </c>
      <c r="E509" s="13">
        <v>45891</v>
      </c>
      <c r="F509" s="14" t="s">
        <v>178</v>
      </c>
      <c r="G509" s="14" t="s">
        <v>179</v>
      </c>
      <c r="H509" s="14" t="s">
        <v>125</v>
      </c>
      <c r="I509" s="15">
        <v>1</v>
      </c>
      <c r="J509" s="15">
        <v>800</v>
      </c>
      <c r="K509" s="15">
        <v>7.46</v>
      </c>
      <c r="L509" s="15">
        <v>5968</v>
      </c>
      <c r="M509" s="15">
        <v>-458.94</v>
      </c>
      <c r="N509" s="15">
        <v>0</v>
      </c>
      <c r="O509" s="15">
        <v>716.17801399999996</v>
      </c>
      <c r="P509" s="15">
        <v>6225.2380139999996</v>
      </c>
    </row>
    <row r="510" spans="1:16" ht="15" x14ac:dyDescent="0.2">
      <c r="A510" s="4" t="s">
        <v>589</v>
      </c>
      <c r="B510" s="21" t="str">
        <f t="shared" si="14"/>
        <v>Aug-2025</v>
      </c>
      <c r="C510" s="2" t="str">
        <f t="shared" si="15"/>
        <v>Q2</v>
      </c>
      <c r="D510" s="2" t="s">
        <v>31</v>
      </c>
      <c r="E510" s="13">
        <v>45891</v>
      </c>
      <c r="F510" s="14" t="s">
        <v>178</v>
      </c>
      <c r="G510" s="14" t="s">
        <v>179</v>
      </c>
      <c r="H510" s="14" t="s">
        <v>98</v>
      </c>
      <c r="I510" s="15">
        <v>1</v>
      </c>
      <c r="J510" s="15">
        <v>60</v>
      </c>
      <c r="K510" s="15">
        <v>145.26</v>
      </c>
      <c r="L510" s="15">
        <v>8715.6</v>
      </c>
      <c r="M510" s="15">
        <v>-670.23</v>
      </c>
      <c r="N510" s="15">
        <v>0</v>
      </c>
      <c r="O510" s="15">
        <v>1045.898412</v>
      </c>
      <c r="P510" s="15">
        <v>9091.2684119999994</v>
      </c>
    </row>
    <row r="511" spans="1:16" ht="15" x14ac:dyDescent="0.2">
      <c r="A511" s="4" t="s">
        <v>589</v>
      </c>
      <c r="B511" s="21" t="str">
        <f t="shared" si="14"/>
        <v>Aug-2025</v>
      </c>
      <c r="C511" s="2" t="str">
        <f t="shared" si="15"/>
        <v>Q2</v>
      </c>
      <c r="D511" s="2" t="s">
        <v>31</v>
      </c>
      <c r="E511" s="13">
        <v>45891</v>
      </c>
      <c r="F511" s="14" t="s">
        <v>178</v>
      </c>
      <c r="G511" s="14" t="s">
        <v>179</v>
      </c>
      <c r="H511" s="14" t="s">
        <v>105</v>
      </c>
      <c r="I511" s="15">
        <v>2</v>
      </c>
      <c r="J511" s="15">
        <v>60</v>
      </c>
      <c r="K511" s="15">
        <v>316.58999999999997</v>
      </c>
      <c r="L511" s="15">
        <v>18995.399999999998</v>
      </c>
      <c r="M511" s="15">
        <v>-1460.75</v>
      </c>
      <c r="N511" s="15">
        <v>0</v>
      </c>
      <c r="O511" s="15">
        <v>2279.5051800000001</v>
      </c>
      <c r="P511" s="15">
        <v>19814.155180000002</v>
      </c>
    </row>
    <row r="512" spans="1:16" ht="15" x14ac:dyDescent="0.2">
      <c r="A512" s="4" t="s">
        <v>584</v>
      </c>
      <c r="B512" s="21" t="str">
        <f t="shared" si="14"/>
        <v>Aug-2025</v>
      </c>
      <c r="C512" s="2" t="str">
        <f t="shared" si="15"/>
        <v>Q2</v>
      </c>
      <c r="D512" s="2" t="s">
        <v>31</v>
      </c>
      <c r="E512" s="13">
        <v>45891</v>
      </c>
      <c r="F512" s="14" t="s">
        <v>178</v>
      </c>
      <c r="G512" s="14" t="s">
        <v>179</v>
      </c>
      <c r="H512" s="14" t="s">
        <v>100</v>
      </c>
      <c r="I512" s="15">
        <v>1</v>
      </c>
      <c r="J512" s="15">
        <v>40</v>
      </c>
      <c r="K512" s="15">
        <v>81.94</v>
      </c>
      <c r="L512" s="15">
        <v>3277.6</v>
      </c>
      <c r="M512" s="15">
        <v>-252.05</v>
      </c>
      <c r="N512" s="15">
        <v>0</v>
      </c>
      <c r="O512" s="15">
        <v>393.321617</v>
      </c>
      <c r="P512" s="15">
        <v>3418.8716169999998</v>
      </c>
    </row>
    <row r="513" spans="1:16" ht="15" x14ac:dyDescent="0.2">
      <c r="A513" s="4" t="s">
        <v>581</v>
      </c>
      <c r="B513" s="21" t="str">
        <f t="shared" si="14"/>
        <v>Aug-2025</v>
      </c>
      <c r="C513" s="2" t="str">
        <f t="shared" si="15"/>
        <v>Q2</v>
      </c>
      <c r="D513" s="2" t="s">
        <v>31</v>
      </c>
      <c r="E513" s="13">
        <v>45891</v>
      </c>
      <c r="F513" s="14" t="s">
        <v>178</v>
      </c>
      <c r="G513" s="14" t="s">
        <v>179</v>
      </c>
      <c r="H513" s="14" t="s">
        <v>104</v>
      </c>
      <c r="I513" s="15">
        <v>1</v>
      </c>
      <c r="J513" s="15">
        <v>40</v>
      </c>
      <c r="K513" s="15">
        <v>67.040000000000006</v>
      </c>
      <c r="L513" s="15">
        <v>2681.6</v>
      </c>
      <c r="M513" s="15">
        <v>-206.22</v>
      </c>
      <c r="N513" s="15">
        <v>0</v>
      </c>
      <c r="O513" s="15">
        <v>321.79949599999998</v>
      </c>
      <c r="P513" s="15">
        <v>2797.1794960000002</v>
      </c>
    </row>
    <row r="514" spans="1:16" ht="15" x14ac:dyDescent="0.2">
      <c r="A514" s="4" t="s">
        <v>576</v>
      </c>
      <c r="B514" s="21" t="str">
        <f t="shared" si="14"/>
        <v>Aug-2025</v>
      </c>
      <c r="C514" s="2" t="str">
        <f t="shared" si="15"/>
        <v>Q2</v>
      </c>
      <c r="D514" s="2" t="s">
        <v>31</v>
      </c>
      <c r="E514" s="13">
        <v>45891</v>
      </c>
      <c r="F514" s="14" t="s">
        <v>178</v>
      </c>
      <c r="G514" s="14" t="s">
        <v>179</v>
      </c>
      <c r="H514" s="14" t="s">
        <v>124</v>
      </c>
      <c r="I514" s="15">
        <v>1</v>
      </c>
      <c r="J514" s="15">
        <v>20</v>
      </c>
      <c r="K514" s="15">
        <v>175.06</v>
      </c>
      <c r="L514" s="15">
        <v>3501.2</v>
      </c>
      <c r="M514" s="15">
        <v>-269.24</v>
      </c>
      <c r="N514" s="15">
        <v>0</v>
      </c>
      <c r="O514" s="15">
        <v>420.15492499999999</v>
      </c>
      <c r="P514" s="15">
        <v>3652.1149249999999</v>
      </c>
    </row>
    <row r="515" spans="1:16" ht="15" x14ac:dyDescent="0.2">
      <c r="A515" s="4" t="s">
        <v>585</v>
      </c>
      <c r="B515" s="21" t="str">
        <f t="shared" ref="B515:B578" si="16">+TEXT(E515,"MMM-yyy")</f>
        <v>Aug-2025</v>
      </c>
      <c r="C515" s="2" t="str">
        <f t="shared" ref="C515:C578" si="17">"Q" &amp; CHOOSE(MONTH(E515),4,4,4,1,1,1,2,2,2,3,3,3)</f>
        <v>Q2</v>
      </c>
      <c r="D515" s="2" t="s">
        <v>31</v>
      </c>
      <c r="E515" s="13">
        <v>45891</v>
      </c>
      <c r="F515" s="14" t="s">
        <v>178</v>
      </c>
      <c r="G515" s="14" t="s">
        <v>179</v>
      </c>
      <c r="H515" s="14" t="s">
        <v>180</v>
      </c>
      <c r="I515" s="15">
        <v>1</v>
      </c>
      <c r="J515" s="15">
        <v>1000</v>
      </c>
      <c r="K515" s="15">
        <v>1.86</v>
      </c>
      <c r="L515" s="15">
        <v>1860</v>
      </c>
      <c r="M515" s="15">
        <v>-143.03</v>
      </c>
      <c r="N515" s="15">
        <v>0</v>
      </c>
      <c r="O515" s="15">
        <v>223.20616699999999</v>
      </c>
      <c r="P515" s="15">
        <v>1940.1761670000001</v>
      </c>
    </row>
    <row r="516" spans="1:16" ht="15" x14ac:dyDescent="0.2">
      <c r="A516" s="4" t="s">
        <v>581</v>
      </c>
      <c r="B516" s="21" t="str">
        <f t="shared" si="16"/>
        <v>Aug-2025</v>
      </c>
      <c r="C516" s="2" t="str">
        <f t="shared" si="17"/>
        <v>Q2</v>
      </c>
      <c r="D516" s="2" t="s">
        <v>31</v>
      </c>
      <c r="E516" s="13">
        <v>45891</v>
      </c>
      <c r="F516" s="14" t="s">
        <v>181</v>
      </c>
      <c r="G516" s="14" t="s">
        <v>182</v>
      </c>
      <c r="H516" s="14" t="s">
        <v>104</v>
      </c>
      <c r="I516" s="15">
        <v>1</v>
      </c>
      <c r="J516" s="15">
        <v>40</v>
      </c>
      <c r="K516" s="15">
        <v>67.040000000000006</v>
      </c>
      <c r="L516" s="15">
        <v>2681.6</v>
      </c>
      <c r="M516" s="15">
        <v>-134.08000000000001</v>
      </c>
      <c r="N516" s="15">
        <v>-50.950411000000003</v>
      </c>
      <c r="O516" s="15">
        <v>324.55399500000004</v>
      </c>
      <c r="P516" s="15">
        <v>2821.1235839999999</v>
      </c>
    </row>
    <row r="517" spans="1:16" ht="15" x14ac:dyDescent="0.2">
      <c r="A517" s="4" t="s">
        <v>589</v>
      </c>
      <c r="B517" s="21" t="str">
        <f t="shared" si="16"/>
        <v>Aug-2025</v>
      </c>
      <c r="C517" s="2" t="str">
        <f t="shared" si="17"/>
        <v>Q2</v>
      </c>
      <c r="D517" s="2" t="s">
        <v>31</v>
      </c>
      <c r="E517" s="13">
        <v>45891</v>
      </c>
      <c r="F517" s="14" t="s">
        <v>181</v>
      </c>
      <c r="G517" s="14" t="s">
        <v>182</v>
      </c>
      <c r="H517" s="14" t="s">
        <v>98</v>
      </c>
      <c r="I517" s="15">
        <v>1</v>
      </c>
      <c r="J517" s="15">
        <v>60</v>
      </c>
      <c r="K517" s="15">
        <v>145.26</v>
      </c>
      <c r="L517" s="15">
        <v>8715.6</v>
      </c>
      <c r="M517" s="15">
        <v>-435.78</v>
      </c>
      <c r="N517" s="15">
        <v>-165.59643700000001</v>
      </c>
      <c r="O517" s="15">
        <v>1054.8488970000001</v>
      </c>
      <c r="P517" s="15">
        <v>9169.0724599999994</v>
      </c>
    </row>
    <row r="518" spans="1:16" ht="15" x14ac:dyDescent="0.2">
      <c r="A518" s="4" t="s">
        <v>580</v>
      </c>
      <c r="B518" s="21" t="str">
        <f t="shared" si="16"/>
        <v>Aug-2025</v>
      </c>
      <c r="C518" s="2" t="str">
        <f t="shared" si="17"/>
        <v>Q2</v>
      </c>
      <c r="D518" s="2" t="s">
        <v>31</v>
      </c>
      <c r="E518" s="13">
        <v>45891</v>
      </c>
      <c r="F518" s="14" t="s">
        <v>181</v>
      </c>
      <c r="G518" s="14" t="s">
        <v>182</v>
      </c>
      <c r="H518" s="14" t="s">
        <v>65</v>
      </c>
      <c r="I518" s="15">
        <v>1</v>
      </c>
      <c r="J518" s="15">
        <v>130</v>
      </c>
      <c r="K518" s="15">
        <v>37.25</v>
      </c>
      <c r="L518" s="15">
        <v>4842.5</v>
      </c>
      <c r="M518" s="15">
        <v>-242.13</v>
      </c>
      <c r="N518" s="15">
        <v>-92.007420999999994</v>
      </c>
      <c r="O518" s="15">
        <v>586.08704299999999</v>
      </c>
      <c r="P518" s="15">
        <v>5094.4496220000001</v>
      </c>
    </row>
    <row r="519" spans="1:16" ht="15" x14ac:dyDescent="0.2">
      <c r="A519" s="4" t="s">
        <v>581</v>
      </c>
      <c r="B519" s="21" t="str">
        <f t="shared" si="16"/>
        <v>Aug-2025</v>
      </c>
      <c r="C519" s="2" t="str">
        <f t="shared" si="17"/>
        <v>Q2</v>
      </c>
      <c r="D519" s="2" t="s">
        <v>31</v>
      </c>
      <c r="E519" s="13">
        <v>45891</v>
      </c>
      <c r="F519" s="14" t="s">
        <v>181</v>
      </c>
      <c r="G519" s="14" t="s">
        <v>182</v>
      </c>
      <c r="H519" s="14" t="s">
        <v>96</v>
      </c>
      <c r="I519" s="15">
        <v>1</v>
      </c>
      <c r="J519" s="15">
        <v>40</v>
      </c>
      <c r="K519" s="15">
        <v>67.040000000000006</v>
      </c>
      <c r="L519" s="15">
        <v>2681.6</v>
      </c>
      <c r="M519" s="15">
        <v>-134.08000000000001</v>
      </c>
      <c r="N519" s="15">
        <v>-50.950411000000003</v>
      </c>
      <c r="O519" s="15">
        <v>324.55399500000004</v>
      </c>
      <c r="P519" s="15">
        <v>2821.1235839999999</v>
      </c>
    </row>
    <row r="520" spans="1:16" ht="15" x14ac:dyDescent="0.2">
      <c r="A520" s="4" t="s">
        <v>589</v>
      </c>
      <c r="B520" s="21" t="str">
        <f t="shared" si="16"/>
        <v>Aug-2025</v>
      </c>
      <c r="C520" s="2" t="str">
        <f t="shared" si="17"/>
        <v>Q2</v>
      </c>
      <c r="D520" s="2" t="s">
        <v>31</v>
      </c>
      <c r="E520" s="13">
        <v>45891</v>
      </c>
      <c r="F520" s="14" t="s">
        <v>181</v>
      </c>
      <c r="G520" s="14" t="s">
        <v>182</v>
      </c>
      <c r="H520" s="14" t="s">
        <v>105</v>
      </c>
      <c r="I520" s="15">
        <v>1</v>
      </c>
      <c r="J520" s="15">
        <v>30</v>
      </c>
      <c r="K520" s="15">
        <v>316.58999999999997</v>
      </c>
      <c r="L520" s="15">
        <v>9497.6999999999989</v>
      </c>
      <c r="M520" s="15">
        <v>-474.89</v>
      </c>
      <c r="N520" s="15">
        <v>-180.45624000000001</v>
      </c>
      <c r="O520" s="15">
        <v>1149.5058079999999</v>
      </c>
      <c r="P520" s="15">
        <v>9991.8595679999999</v>
      </c>
    </row>
    <row r="521" spans="1:16" ht="15" x14ac:dyDescent="0.2">
      <c r="A521" s="4" t="s">
        <v>584</v>
      </c>
      <c r="B521" s="21" t="str">
        <f t="shared" si="16"/>
        <v>Aug-2025</v>
      </c>
      <c r="C521" s="2" t="str">
        <f t="shared" si="17"/>
        <v>Q2</v>
      </c>
      <c r="D521" s="2" t="s">
        <v>31</v>
      </c>
      <c r="E521" s="13">
        <v>45891</v>
      </c>
      <c r="F521" s="14" t="s">
        <v>181</v>
      </c>
      <c r="G521" s="14" t="s">
        <v>182</v>
      </c>
      <c r="H521" s="14" t="s">
        <v>99</v>
      </c>
      <c r="I521" s="15">
        <v>1</v>
      </c>
      <c r="J521" s="15">
        <v>40</v>
      </c>
      <c r="K521" s="15">
        <v>81.94</v>
      </c>
      <c r="L521" s="15">
        <v>3277.6</v>
      </c>
      <c r="M521" s="15">
        <v>-163.88</v>
      </c>
      <c r="N521" s="15">
        <v>-62.274414</v>
      </c>
      <c r="O521" s="15">
        <v>396.68786400000005</v>
      </c>
      <c r="P521" s="15">
        <v>3448.1334499999998</v>
      </c>
    </row>
    <row r="522" spans="1:16" ht="15" x14ac:dyDescent="0.2">
      <c r="A522" s="4" t="s">
        <v>581</v>
      </c>
      <c r="B522" s="21" t="str">
        <f t="shared" si="16"/>
        <v>Aug-2025</v>
      </c>
      <c r="C522" s="2" t="str">
        <f t="shared" si="17"/>
        <v>Q2</v>
      </c>
      <c r="D522" s="2" t="s">
        <v>31</v>
      </c>
      <c r="E522" s="13">
        <v>45891</v>
      </c>
      <c r="F522" s="14" t="s">
        <v>181</v>
      </c>
      <c r="G522" s="14" t="s">
        <v>182</v>
      </c>
      <c r="H522" s="14" t="s">
        <v>66</v>
      </c>
      <c r="I522" s="15">
        <v>1</v>
      </c>
      <c r="J522" s="15">
        <v>24</v>
      </c>
      <c r="K522" s="15">
        <v>141.54</v>
      </c>
      <c r="L522" s="15">
        <v>3396.96</v>
      </c>
      <c r="M522" s="15">
        <v>-169.85</v>
      </c>
      <c r="N522" s="15">
        <v>-64.542214000000001</v>
      </c>
      <c r="O522" s="15">
        <v>411.13374699999997</v>
      </c>
      <c r="P522" s="15">
        <v>3573.7015329999999</v>
      </c>
    </row>
    <row r="523" spans="1:16" ht="15" x14ac:dyDescent="0.2">
      <c r="A523" s="4" t="s">
        <v>581</v>
      </c>
      <c r="B523" s="21" t="str">
        <f t="shared" si="16"/>
        <v>Aug-2025</v>
      </c>
      <c r="C523" s="2" t="str">
        <f t="shared" si="17"/>
        <v>Q2</v>
      </c>
      <c r="D523" s="2" t="s">
        <v>31</v>
      </c>
      <c r="E523" s="13">
        <v>45891</v>
      </c>
      <c r="F523" s="14" t="s">
        <v>181</v>
      </c>
      <c r="G523" s="14" t="s">
        <v>182</v>
      </c>
      <c r="H523" s="14" t="s">
        <v>97</v>
      </c>
      <c r="I523" s="15">
        <v>1</v>
      </c>
      <c r="J523" s="15">
        <v>40</v>
      </c>
      <c r="K523" s="15">
        <v>67.040000000000006</v>
      </c>
      <c r="L523" s="15">
        <v>2681.6</v>
      </c>
      <c r="M523" s="15">
        <v>-134.08000000000001</v>
      </c>
      <c r="N523" s="15">
        <v>-50.950411000000003</v>
      </c>
      <c r="O523" s="15">
        <v>324.55399500000004</v>
      </c>
      <c r="P523" s="15">
        <v>2821.1235839999999</v>
      </c>
    </row>
    <row r="524" spans="1:16" ht="15" x14ac:dyDescent="0.2">
      <c r="A524" s="4" t="s">
        <v>582</v>
      </c>
      <c r="B524" s="21" t="str">
        <f t="shared" si="16"/>
        <v>Aug-2025</v>
      </c>
      <c r="C524" s="2" t="str">
        <f t="shared" si="17"/>
        <v>Q2</v>
      </c>
      <c r="D524" s="2" t="s">
        <v>31</v>
      </c>
      <c r="E524" s="13">
        <v>45891</v>
      </c>
      <c r="F524" s="14" t="s">
        <v>181</v>
      </c>
      <c r="G524" s="14" t="s">
        <v>182</v>
      </c>
      <c r="H524" s="14" t="s">
        <v>77</v>
      </c>
      <c r="I524" s="15">
        <v>1</v>
      </c>
      <c r="J524" s="15">
        <v>24</v>
      </c>
      <c r="K524" s="15">
        <v>204.85</v>
      </c>
      <c r="L524" s="15">
        <v>4916.4000000000005</v>
      </c>
      <c r="M524" s="15">
        <v>-245.82</v>
      </c>
      <c r="N524" s="15">
        <v>-93.411620999999997</v>
      </c>
      <c r="O524" s="15">
        <v>595.03179499999999</v>
      </c>
      <c r="P524" s="15">
        <v>5172.2001739999996</v>
      </c>
    </row>
    <row r="525" spans="1:16" ht="15" x14ac:dyDescent="0.2">
      <c r="A525" s="4" t="s">
        <v>592</v>
      </c>
      <c r="B525" s="21" t="str">
        <f t="shared" si="16"/>
        <v>Aug-2025</v>
      </c>
      <c r="C525" s="2" t="str">
        <f t="shared" si="17"/>
        <v>Q2</v>
      </c>
      <c r="D525" s="2" t="s">
        <v>31</v>
      </c>
      <c r="E525" s="13">
        <v>45891</v>
      </c>
      <c r="F525" s="14" t="s">
        <v>181</v>
      </c>
      <c r="G525" s="14" t="s">
        <v>182</v>
      </c>
      <c r="H525" s="14" t="s">
        <v>115</v>
      </c>
      <c r="I525" s="15">
        <v>1</v>
      </c>
      <c r="J525" s="15">
        <v>50</v>
      </c>
      <c r="K525" s="15">
        <v>89.39</v>
      </c>
      <c r="L525" s="15">
        <v>4469.5</v>
      </c>
      <c r="M525" s="15">
        <v>-223.48</v>
      </c>
      <c r="N525" s="15">
        <v>-84.92041900000001</v>
      </c>
      <c r="O525" s="15">
        <v>540.94286</v>
      </c>
      <c r="P525" s="15">
        <v>4702.0424409999996</v>
      </c>
    </row>
    <row r="526" spans="1:16" ht="15" x14ac:dyDescent="0.2">
      <c r="A526" s="4" t="s">
        <v>589</v>
      </c>
      <c r="B526" s="21" t="str">
        <f t="shared" si="16"/>
        <v>Aug-2025</v>
      </c>
      <c r="C526" s="2" t="str">
        <f t="shared" si="17"/>
        <v>Q2</v>
      </c>
      <c r="D526" s="2" t="s">
        <v>31</v>
      </c>
      <c r="E526" s="13">
        <v>45891</v>
      </c>
      <c r="F526" s="14" t="s">
        <v>183</v>
      </c>
      <c r="G526" s="14" t="s">
        <v>23</v>
      </c>
      <c r="H526" s="14" t="s">
        <v>98</v>
      </c>
      <c r="I526" s="15">
        <v>3</v>
      </c>
      <c r="J526" s="15">
        <v>180</v>
      </c>
      <c r="K526" s="15">
        <v>145.26</v>
      </c>
      <c r="L526" s="15">
        <v>26146.799999999999</v>
      </c>
      <c r="M526" s="15">
        <v>-2010.6899999999998</v>
      </c>
      <c r="N526" s="15">
        <v>0</v>
      </c>
      <c r="O526" s="15">
        <v>3137.694786</v>
      </c>
      <c r="P526" s="15">
        <v>27273.804786000001</v>
      </c>
    </row>
    <row r="527" spans="1:16" ht="15" x14ac:dyDescent="0.2">
      <c r="A527" s="4" t="s">
        <v>573</v>
      </c>
      <c r="B527" s="21" t="str">
        <f t="shared" si="16"/>
        <v>Aug-2025</v>
      </c>
      <c r="C527" s="2" t="str">
        <f t="shared" si="17"/>
        <v>Q2</v>
      </c>
      <c r="D527" s="2" t="s">
        <v>31</v>
      </c>
      <c r="E527" s="13">
        <v>45891</v>
      </c>
      <c r="F527" s="14" t="s">
        <v>183</v>
      </c>
      <c r="G527" s="14" t="s">
        <v>23</v>
      </c>
      <c r="H527" s="14" t="s">
        <v>111</v>
      </c>
      <c r="I527" s="15">
        <v>5</v>
      </c>
      <c r="J527" s="15">
        <v>200</v>
      </c>
      <c r="K527" s="15">
        <v>111.74</v>
      </c>
      <c r="L527" s="15">
        <v>22348</v>
      </c>
      <c r="M527" s="15">
        <v>-1718.56</v>
      </c>
      <c r="N527" s="15">
        <v>0</v>
      </c>
      <c r="O527" s="15">
        <v>2681.8276150000002</v>
      </c>
      <c r="P527" s="15">
        <v>23311.267615000001</v>
      </c>
    </row>
    <row r="528" spans="1:16" ht="15" x14ac:dyDescent="0.2">
      <c r="A528" s="4" t="s">
        <v>586</v>
      </c>
      <c r="B528" s="21" t="str">
        <f t="shared" si="16"/>
        <v>Aug-2025</v>
      </c>
      <c r="C528" s="2" t="str">
        <f t="shared" si="17"/>
        <v>Q2</v>
      </c>
      <c r="D528" s="2" t="s">
        <v>31</v>
      </c>
      <c r="E528" s="13">
        <v>45891</v>
      </c>
      <c r="F528" s="14" t="s">
        <v>183</v>
      </c>
      <c r="G528" s="14" t="s">
        <v>23</v>
      </c>
      <c r="H528" s="14" t="s">
        <v>114</v>
      </c>
      <c r="I528" s="15">
        <v>1</v>
      </c>
      <c r="J528" s="15">
        <v>240</v>
      </c>
      <c r="K528" s="15">
        <v>14.9</v>
      </c>
      <c r="L528" s="15">
        <v>3576</v>
      </c>
      <c r="M528" s="15">
        <v>-274.99</v>
      </c>
      <c r="N528" s="15">
        <v>0</v>
      </c>
      <c r="O528" s="15">
        <v>429.13136599999996</v>
      </c>
      <c r="P528" s="15">
        <v>3730.1413659999998</v>
      </c>
    </row>
    <row r="529" spans="1:16" ht="15" x14ac:dyDescent="0.2">
      <c r="A529" s="4" t="s">
        <v>583</v>
      </c>
      <c r="B529" s="21" t="str">
        <f t="shared" si="16"/>
        <v>Aug-2025</v>
      </c>
      <c r="C529" s="2" t="str">
        <f t="shared" si="17"/>
        <v>Q2</v>
      </c>
      <c r="D529" s="2" t="s">
        <v>31</v>
      </c>
      <c r="E529" s="13">
        <v>45891</v>
      </c>
      <c r="F529" s="14" t="s">
        <v>183</v>
      </c>
      <c r="G529" s="14" t="s">
        <v>23</v>
      </c>
      <c r="H529" s="14" t="s">
        <v>113</v>
      </c>
      <c r="I529" s="15">
        <v>5</v>
      </c>
      <c r="J529" s="15">
        <v>75</v>
      </c>
      <c r="K529" s="15">
        <v>260.72000000000003</v>
      </c>
      <c r="L529" s="15">
        <v>19554</v>
      </c>
      <c r="M529" s="15">
        <v>-1503.6999999999998</v>
      </c>
      <c r="N529" s="15">
        <v>0</v>
      </c>
      <c r="O529" s="15">
        <v>2346.5393640000002</v>
      </c>
      <c r="P529" s="15">
        <v>20396.839363999999</v>
      </c>
    </row>
    <row r="530" spans="1:16" ht="15" x14ac:dyDescent="0.2">
      <c r="A530" s="4" t="s">
        <v>575</v>
      </c>
      <c r="B530" s="21" t="str">
        <f t="shared" si="16"/>
        <v>Aug-2025</v>
      </c>
      <c r="C530" s="2" t="str">
        <f t="shared" si="17"/>
        <v>Q2</v>
      </c>
      <c r="D530" s="2" t="s">
        <v>31</v>
      </c>
      <c r="E530" s="13">
        <v>45891</v>
      </c>
      <c r="F530" s="14" t="s">
        <v>183</v>
      </c>
      <c r="G530" s="14" t="s">
        <v>23</v>
      </c>
      <c r="H530" s="14" t="s">
        <v>55</v>
      </c>
      <c r="I530" s="15">
        <v>5</v>
      </c>
      <c r="J530" s="15">
        <v>100</v>
      </c>
      <c r="K530" s="15">
        <v>186.23</v>
      </c>
      <c r="L530" s="15">
        <v>18623</v>
      </c>
      <c r="M530" s="15">
        <v>-1432.1100000000001</v>
      </c>
      <c r="N530" s="15">
        <v>0</v>
      </c>
      <c r="O530" s="15">
        <v>2234.8160459999999</v>
      </c>
      <c r="P530" s="15">
        <v>19425.706045999999</v>
      </c>
    </row>
    <row r="531" spans="1:16" ht="15" x14ac:dyDescent="0.2">
      <c r="A531" s="4" t="s">
        <v>576</v>
      </c>
      <c r="B531" s="21" t="str">
        <f t="shared" si="16"/>
        <v>Aug-2025</v>
      </c>
      <c r="C531" s="2" t="str">
        <f t="shared" si="17"/>
        <v>Q2</v>
      </c>
      <c r="D531" s="2" t="s">
        <v>31</v>
      </c>
      <c r="E531" s="13">
        <v>45891</v>
      </c>
      <c r="F531" s="14" t="s">
        <v>183</v>
      </c>
      <c r="G531" s="14" t="s">
        <v>23</v>
      </c>
      <c r="H531" s="14" t="s">
        <v>124</v>
      </c>
      <c r="I531" s="15">
        <v>5</v>
      </c>
      <c r="J531" s="15">
        <v>100</v>
      </c>
      <c r="K531" s="15">
        <v>175.06</v>
      </c>
      <c r="L531" s="15">
        <v>17506</v>
      </c>
      <c r="M531" s="15">
        <v>-1346.21</v>
      </c>
      <c r="N531" s="15">
        <v>0</v>
      </c>
      <c r="O531" s="15">
        <v>2100.773025</v>
      </c>
      <c r="P531" s="15">
        <v>18260.563024999999</v>
      </c>
    </row>
    <row r="532" spans="1:16" ht="15" x14ac:dyDescent="0.2">
      <c r="A532" s="4" t="s">
        <v>573</v>
      </c>
      <c r="B532" s="21" t="str">
        <f t="shared" si="16"/>
        <v>Aug-2025</v>
      </c>
      <c r="C532" s="2" t="str">
        <f t="shared" si="17"/>
        <v>Q2</v>
      </c>
      <c r="D532" s="2" t="s">
        <v>31</v>
      </c>
      <c r="E532" s="13">
        <v>45891</v>
      </c>
      <c r="F532" s="14" t="s">
        <v>183</v>
      </c>
      <c r="G532" s="14" t="s">
        <v>23</v>
      </c>
      <c r="H532" s="14" t="s">
        <v>136</v>
      </c>
      <c r="I532" s="15">
        <v>5</v>
      </c>
      <c r="J532" s="15">
        <v>200</v>
      </c>
      <c r="K532" s="15">
        <v>111.74</v>
      </c>
      <c r="L532" s="15">
        <v>22348</v>
      </c>
      <c r="M532" s="15">
        <v>-1718.56</v>
      </c>
      <c r="N532" s="15">
        <v>0</v>
      </c>
      <c r="O532" s="15">
        <v>2681.8276150000002</v>
      </c>
      <c r="P532" s="15">
        <v>23311.267615000001</v>
      </c>
    </row>
    <row r="533" spans="1:16" ht="15" x14ac:dyDescent="0.2">
      <c r="A533" s="4" t="s">
        <v>576</v>
      </c>
      <c r="B533" s="21" t="str">
        <f t="shared" si="16"/>
        <v>Aug-2025</v>
      </c>
      <c r="C533" s="2" t="str">
        <f t="shared" si="17"/>
        <v>Q2</v>
      </c>
      <c r="D533" s="2" t="s">
        <v>31</v>
      </c>
      <c r="E533" s="13">
        <v>45891</v>
      </c>
      <c r="F533" s="14" t="s">
        <v>183</v>
      </c>
      <c r="G533" s="14" t="s">
        <v>23</v>
      </c>
      <c r="H533" s="14" t="s">
        <v>110</v>
      </c>
      <c r="I533" s="15">
        <v>5</v>
      </c>
      <c r="J533" s="15">
        <v>100</v>
      </c>
      <c r="K533" s="15">
        <v>175.06</v>
      </c>
      <c r="L533" s="15">
        <v>17506</v>
      </c>
      <c r="M533" s="15">
        <v>-1346.21</v>
      </c>
      <c r="N533" s="15">
        <v>0</v>
      </c>
      <c r="O533" s="15">
        <v>2100.773025</v>
      </c>
      <c r="P533" s="15">
        <v>18260.563024999999</v>
      </c>
    </row>
    <row r="534" spans="1:16" ht="15" x14ac:dyDescent="0.2">
      <c r="A534" s="4" t="s">
        <v>586</v>
      </c>
      <c r="B534" s="21" t="str">
        <f t="shared" si="16"/>
        <v>Aug-2025</v>
      </c>
      <c r="C534" s="2" t="str">
        <f t="shared" si="17"/>
        <v>Q2</v>
      </c>
      <c r="D534" s="2" t="s">
        <v>31</v>
      </c>
      <c r="E534" s="13">
        <v>45891</v>
      </c>
      <c r="F534" s="14" t="s">
        <v>183</v>
      </c>
      <c r="G534" s="14" t="s">
        <v>23</v>
      </c>
      <c r="H534" s="14" t="s">
        <v>78</v>
      </c>
      <c r="I534" s="15">
        <v>1</v>
      </c>
      <c r="J534" s="15">
        <v>600</v>
      </c>
      <c r="K534" s="15">
        <v>7.46</v>
      </c>
      <c r="L534" s="15">
        <v>4476</v>
      </c>
      <c r="M534" s="15">
        <v>-344.2</v>
      </c>
      <c r="N534" s="15">
        <v>0</v>
      </c>
      <c r="O534" s="15">
        <v>537.13408300000003</v>
      </c>
      <c r="P534" s="15">
        <v>4668.9340830000001</v>
      </c>
    </row>
    <row r="535" spans="1:16" ht="15" x14ac:dyDescent="0.2">
      <c r="A535" s="4" t="s">
        <v>588</v>
      </c>
      <c r="B535" s="21" t="str">
        <f t="shared" si="16"/>
        <v>Aug-2025</v>
      </c>
      <c r="C535" s="2" t="str">
        <f t="shared" si="17"/>
        <v>Q2</v>
      </c>
      <c r="D535" s="2" t="s">
        <v>31</v>
      </c>
      <c r="E535" s="13">
        <v>45891</v>
      </c>
      <c r="F535" s="14" t="s">
        <v>183</v>
      </c>
      <c r="G535" s="14" t="s">
        <v>23</v>
      </c>
      <c r="H535" s="14" t="s">
        <v>95</v>
      </c>
      <c r="I535" s="15">
        <v>1</v>
      </c>
      <c r="J535" s="15">
        <v>60</v>
      </c>
      <c r="K535" s="15">
        <v>111.74</v>
      </c>
      <c r="L535" s="15">
        <v>6704.4</v>
      </c>
      <c r="M535" s="15">
        <v>-515.57000000000005</v>
      </c>
      <c r="N535" s="15">
        <v>0</v>
      </c>
      <c r="O535" s="15">
        <v>804.54802499999994</v>
      </c>
      <c r="P535" s="15">
        <v>6993.378025</v>
      </c>
    </row>
    <row r="536" spans="1:16" ht="15" x14ac:dyDescent="0.2">
      <c r="A536" s="4" t="s">
        <v>576</v>
      </c>
      <c r="B536" s="21" t="str">
        <f t="shared" si="16"/>
        <v>Aug-2025</v>
      </c>
      <c r="C536" s="2" t="str">
        <f t="shared" si="17"/>
        <v>Q2</v>
      </c>
      <c r="D536" s="2" t="s">
        <v>31</v>
      </c>
      <c r="E536" s="13">
        <v>45891</v>
      </c>
      <c r="F536" s="14" t="s">
        <v>183</v>
      </c>
      <c r="G536" s="14" t="s">
        <v>23</v>
      </c>
      <c r="H536" s="14" t="s">
        <v>123</v>
      </c>
      <c r="I536" s="15">
        <v>2</v>
      </c>
      <c r="J536" s="15">
        <v>40</v>
      </c>
      <c r="K536" s="15">
        <v>175.06</v>
      </c>
      <c r="L536" s="15">
        <v>7002.4</v>
      </c>
      <c r="M536" s="15">
        <v>-538.48</v>
      </c>
      <c r="N536" s="15">
        <v>0</v>
      </c>
      <c r="O536" s="15">
        <v>840.30972999999994</v>
      </c>
      <c r="P536" s="15">
        <v>7304.22973</v>
      </c>
    </row>
    <row r="537" spans="1:16" ht="15" x14ac:dyDescent="0.2">
      <c r="A537" s="4" t="s">
        <v>583</v>
      </c>
      <c r="B537" s="21" t="str">
        <f t="shared" si="16"/>
        <v>Aug-2025</v>
      </c>
      <c r="C537" s="2" t="str">
        <f t="shared" si="17"/>
        <v>Q2</v>
      </c>
      <c r="D537" s="2" t="s">
        <v>31</v>
      </c>
      <c r="E537" s="13">
        <v>45891</v>
      </c>
      <c r="F537" s="14" t="s">
        <v>183</v>
      </c>
      <c r="G537" s="14" t="s">
        <v>23</v>
      </c>
      <c r="H537" s="14" t="s">
        <v>71</v>
      </c>
      <c r="I537" s="15">
        <v>5</v>
      </c>
      <c r="J537" s="15">
        <v>75</v>
      </c>
      <c r="K537" s="15">
        <v>260.72000000000003</v>
      </c>
      <c r="L537" s="15">
        <v>19554</v>
      </c>
      <c r="M537" s="15">
        <v>-1503.6999999999998</v>
      </c>
      <c r="N537" s="15">
        <v>0</v>
      </c>
      <c r="O537" s="15">
        <v>2346.5393640000002</v>
      </c>
      <c r="P537" s="15">
        <v>20396.839363999999</v>
      </c>
    </row>
    <row r="538" spans="1:16" ht="15" x14ac:dyDescent="0.2">
      <c r="A538" s="4" t="s">
        <v>589</v>
      </c>
      <c r="B538" s="21" t="str">
        <f t="shared" si="16"/>
        <v>Aug-2025</v>
      </c>
      <c r="C538" s="2" t="str">
        <f t="shared" si="17"/>
        <v>Q2</v>
      </c>
      <c r="D538" s="2" t="s">
        <v>31</v>
      </c>
      <c r="E538" s="13">
        <v>45891</v>
      </c>
      <c r="F538" s="14" t="s">
        <v>183</v>
      </c>
      <c r="G538" s="14" t="s">
        <v>23</v>
      </c>
      <c r="H538" s="14" t="s">
        <v>105</v>
      </c>
      <c r="I538" s="15">
        <v>3</v>
      </c>
      <c r="J538" s="15">
        <v>90</v>
      </c>
      <c r="K538" s="15">
        <v>316.58999999999997</v>
      </c>
      <c r="L538" s="15">
        <v>28493.1</v>
      </c>
      <c r="M538" s="15">
        <v>-2191.12</v>
      </c>
      <c r="N538" s="15">
        <v>0</v>
      </c>
      <c r="O538" s="15">
        <v>3419.2579300000002</v>
      </c>
      <c r="P538" s="15">
        <v>29721.237929999999</v>
      </c>
    </row>
    <row r="539" spans="1:16" ht="15" x14ac:dyDescent="0.2">
      <c r="A539" s="4" t="s">
        <v>591</v>
      </c>
      <c r="B539" s="21" t="str">
        <f t="shared" si="16"/>
        <v>Aug-2025</v>
      </c>
      <c r="C539" s="2" t="str">
        <f t="shared" si="17"/>
        <v>Q2</v>
      </c>
      <c r="D539" s="2" t="s">
        <v>31</v>
      </c>
      <c r="E539" s="13">
        <v>45891</v>
      </c>
      <c r="F539" s="14" t="s">
        <v>183</v>
      </c>
      <c r="G539" s="14" t="s">
        <v>23</v>
      </c>
      <c r="H539" s="14" t="s">
        <v>106</v>
      </c>
      <c r="I539" s="15">
        <v>1</v>
      </c>
      <c r="J539" s="15">
        <v>60</v>
      </c>
      <c r="K539" s="15">
        <v>111.74</v>
      </c>
      <c r="L539" s="15">
        <v>6704.4</v>
      </c>
      <c r="M539" s="15">
        <v>-515.57000000000005</v>
      </c>
      <c r="N539" s="15">
        <v>0</v>
      </c>
      <c r="O539" s="15">
        <v>804.54802499999994</v>
      </c>
      <c r="P539" s="15">
        <v>6993.378025</v>
      </c>
    </row>
    <row r="540" spans="1:16" ht="15" x14ac:dyDescent="0.2">
      <c r="A540" s="4" t="s">
        <v>585</v>
      </c>
      <c r="B540" s="21" t="str">
        <f t="shared" si="16"/>
        <v>Aug-2025</v>
      </c>
      <c r="C540" s="2" t="str">
        <f t="shared" si="17"/>
        <v>Q2</v>
      </c>
      <c r="D540" s="2" t="s">
        <v>31</v>
      </c>
      <c r="E540" s="13">
        <v>45891</v>
      </c>
      <c r="F540" s="14" t="s">
        <v>184</v>
      </c>
      <c r="G540" s="14" t="s">
        <v>23</v>
      </c>
      <c r="H540" s="14" t="s">
        <v>180</v>
      </c>
      <c r="I540" s="15">
        <v>1</v>
      </c>
      <c r="J540" s="15">
        <v>1000</v>
      </c>
      <c r="K540" s="15">
        <v>1.86</v>
      </c>
      <c r="L540" s="15">
        <v>1860</v>
      </c>
      <c r="M540" s="15">
        <v>-143.03</v>
      </c>
      <c r="N540" s="15">
        <v>0</v>
      </c>
      <c r="O540" s="15">
        <v>223.20611499999998</v>
      </c>
      <c r="P540" s="15">
        <v>1940.176115</v>
      </c>
    </row>
    <row r="541" spans="1:16" ht="15" x14ac:dyDescent="0.2">
      <c r="A541" s="4" t="s">
        <v>579</v>
      </c>
      <c r="B541" s="21" t="str">
        <f t="shared" si="16"/>
        <v>Aug-2025</v>
      </c>
      <c r="C541" s="2" t="str">
        <f t="shared" si="17"/>
        <v>Q2</v>
      </c>
      <c r="D541" s="2" t="s">
        <v>31</v>
      </c>
      <c r="E541" s="13">
        <v>45891</v>
      </c>
      <c r="F541" s="14" t="s">
        <v>184</v>
      </c>
      <c r="G541" s="14" t="s">
        <v>23</v>
      </c>
      <c r="H541" s="14" t="s">
        <v>92</v>
      </c>
      <c r="I541" s="15">
        <v>3</v>
      </c>
      <c r="J541" s="15">
        <v>60</v>
      </c>
      <c r="K541" s="15">
        <v>242.1</v>
      </c>
      <c r="L541" s="15">
        <v>14526</v>
      </c>
      <c r="M541" s="15">
        <v>-1117.05</v>
      </c>
      <c r="N541" s="15">
        <v>0</v>
      </c>
      <c r="O541" s="15">
        <v>1743.1636189999999</v>
      </c>
      <c r="P541" s="15">
        <v>15152.113619</v>
      </c>
    </row>
    <row r="542" spans="1:16" ht="15" x14ac:dyDescent="0.2">
      <c r="A542" s="4" t="s">
        <v>579</v>
      </c>
      <c r="B542" s="21" t="str">
        <f t="shared" si="16"/>
        <v>Aug-2025</v>
      </c>
      <c r="C542" s="2" t="str">
        <f t="shared" si="17"/>
        <v>Q2</v>
      </c>
      <c r="D542" s="2" t="s">
        <v>31</v>
      </c>
      <c r="E542" s="13">
        <v>45891</v>
      </c>
      <c r="F542" s="14" t="s">
        <v>184</v>
      </c>
      <c r="G542" s="14" t="s">
        <v>23</v>
      </c>
      <c r="H542" s="14" t="s">
        <v>91</v>
      </c>
      <c r="I542" s="15">
        <v>5</v>
      </c>
      <c r="J542" s="15">
        <v>100</v>
      </c>
      <c r="K542" s="15">
        <v>204.85</v>
      </c>
      <c r="L542" s="15">
        <v>20485</v>
      </c>
      <c r="M542" s="15">
        <v>-1575.3</v>
      </c>
      <c r="N542" s="15">
        <v>0</v>
      </c>
      <c r="O542" s="15">
        <v>2458.2611670000001</v>
      </c>
      <c r="P542" s="15">
        <v>21367.961167000001</v>
      </c>
    </row>
    <row r="543" spans="1:16" ht="15" x14ac:dyDescent="0.2">
      <c r="A543" s="4" t="s">
        <v>592</v>
      </c>
      <c r="B543" s="21" t="str">
        <f t="shared" si="16"/>
        <v>Aug-2025</v>
      </c>
      <c r="C543" s="2" t="str">
        <f t="shared" si="17"/>
        <v>Q2</v>
      </c>
      <c r="D543" s="2" t="s">
        <v>31</v>
      </c>
      <c r="E543" s="13">
        <v>45891</v>
      </c>
      <c r="F543" s="14" t="s">
        <v>184</v>
      </c>
      <c r="G543" s="14" t="s">
        <v>23</v>
      </c>
      <c r="H543" s="14" t="s">
        <v>115</v>
      </c>
      <c r="I543" s="15">
        <v>3</v>
      </c>
      <c r="J543" s="15">
        <v>150</v>
      </c>
      <c r="K543" s="15">
        <v>89.39</v>
      </c>
      <c r="L543" s="15">
        <v>13408.500000000002</v>
      </c>
      <c r="M543" s="15">
        <v>-1031.1100000000001</v>
      </c>
      <c r="N543" s="15">
        <v>0</v>
      </c>
      <c r="O543" s="15">
        <v>1609.0608089999998</v>
      </c>
      <c r="P543" s="15">
        <v>13986.450809</v>
      </c>
    </row>
    <row r="544" spans="1:16" ht="15" x14ac:dyDescent="0.2">
      <c r="A544" s="4" t="s">
        <v>579</v>
      </c>
      <c r="B544" s="21" t="str">
        <f t="shared" si="16"/>
        <v>Aug-2025</v>
      </c>
      <c r="C544" s="2" t="str">
        <f t="shared" si="17"/>
        <v>Q2</v>
      </c>
      <c r="D544" s="2" t="s">
        <v>31</v>
      </c>
      <c r="E544" s="13">
        <v>45891</v>
      </c>
      <c r="F544" s="14" t="s">
        <v>184</v>
      </c>
      <c r="G544" s="14" t="s">
        <v>23</v>
      </c>
      <c r="H544" s="14" t="s">
        <v>112</v>
      </c>
      <c r="I544" s="15">
        <v>2</v>
      </c>
      <c r="J544" s="15">
        <v>40</v>
      </c>
      <c r="K544" s="15">
        <v>204.85</v>
      </c>
      <c r="L544" s="15">
        <v>8194</v>
      </c>
      <c r="M544" s="15">
        <v>-630.12</v>
      </c>
      <c r="N544" s="15">
        <v>0</v>
      </c>
      <c r="O544" s="15">
        <v>983.30446699999993</v>
      </c>
      <c r="P544" s="15">
        <v>8547.1844669999991</v>
      </c>
    </row>
    <row r="545" spans="1:16" ht="15" x14ac:dyDescent="0.2">
      <c r="A545" s="4" t="s">
        <v>579</v>
      </c>
      <c r="B545" s="21" t="str">
        <f t="shared" si="16"/>
        <v>Aug-2025</v>
      </c>
      <c r="C545" s="2" t="str">
        <f t="shared" si="17"/>
        <v>Q2</v>
      </c>
      <c r="D545" s="2" t="s">
        <v>31</v>
      </c>
      <c r="E545" s="13">
        <v>45891</v>
      </c>
      <c r="F545" s="14" t="s">
        <v>184</v>
      </c>
      <c r="G545" s="14" t="s">
        <v>23</v>
      </c>
      <c r="H545" s="14" t="s">
        <v>90</v>
      </c>
      <c r="I545" s="15">
        <v>5</v>
      </c>
      <c r="J545" s="15">
        <v>100</v>
      </c>
      <c r="K545" s="15">
        <v>204.85</v>
      </c>
      <c r="L545" s="15">
        <v>20485</v>
      </c>
      <c r="M545" s="15">
        <v>-1575.3</v>
      </c>
      <c r="N545" s="15">
        <v>0</v>
      </c>
      <c r="O545" s="15">
        <v>2458.2611670000001</v>
      </c>
      <c r="P545" s="15">
        <v>21367.961167000001</v>
      </c>
    </row>
    <row r="546" spans="1:16" ht="15" x14ac:dyDescent="0.2">
      <c r="A546" s="4" t="s">
        <v>586</v>
      </c>
      <c r="B546" s="21" t="str">
        <f t="shared" si="16"/>
        <v>Aug-2025</v>
      </c>
      <c r="C546" s="2" t="str">
        <f t="shared" si="17"/>
        <v>Q2</v>
      </c>
      <c r="D546" s="2" t="s">
        <v>31</v>
      </c>
      <c r="E546" s="13">
        <v>45891</v>
      </c>
      <c r="F546" s="14" t="s">
        <v>184</v>
      </c>
      <c r="G546" s="14" t="s">
        <v>23</v>
      </c>
      <c r="H546" s="14" t="s">
        <v>76</v>
      </c>
      <c r="I546" s="15">
        <v>1</v>
      </c>
      <c r="J546" s="15">
        <v>240</v>
      </c>
      <c r="K546" s="15">
        <v>18.62</v>
      </c>
      <c r="L546" s="15">
        <v>4468.8</v>
      </c>
      <c r="M546" s="15">
        <v>-343.65</v>
      </c>
      <c r="N546" s="15">
        <v>0</v>
      </c>
      <c r="O546" s="15">
        <v>536.26953600000002</v>
      </c>
      <c r="P546" s="15">
        <v>4661.4195360000003</v>
      </c>
    </row>
    <row r="547" spans="1:16" ht="15" x14ac:dyDescent="0.2">
      <c r="A547" s="4" t="s">
        <v>581</v>
      </c>
      <c r="B547" s="21" t="str">
        <f t="shared" si="16"/>
        <v>Aug-2025</v>
      </c>
      <c r="C547" s="2" t="str">
        <f t="shared" si="17"/>
        <v>Q2</v>
      </c>
      <c r="D547" s="2" t="s">
        <v>31</v>
      </c>
      <c r="E547" s="13">
        <v>45891</v>
      </c>
      <c r="F547" s="14" t="s">
        <v>184</v>
      </c>
      <c r="G547" s="14" t="s">
        <v>23</v>
      </c>
      <c r="H547" s="14" t="s">
        <v>66</v>
      </c>
      <c r="I547" s="15">
        <v>5</v>
      </c>
      <c r="J547" s="15">
        <v>120</v>
      </c>
      <c r="K547" s="15">
        <v>141.54</v>
      </c>
      <c r="L547" s="15">
        <v>16984.8</v>
      </c>
      <c r="M547" s="15">
        <v>-1306.1299999999999</v>
      </c>
      <c r="N547" s="15">
        <v>0</v>
      </c>
      <c r="O547" s="15">
        <v>2038.2272389999998</v>
      </c>
      <c r="P547" s="15">
        <v>17716.897239000002</v>
      </c>
    </row>
    <row r="548" spans="1:16" ht="15" x14ac:dyDescent="0.2">
      <c r="A548" s="4" t="s">
        <v>582</v>
      </c>
      <c r="B548" s="21" t="str">
        <f t="shared" si="16"/>
        <v>Aug-2025</v>
      </c>
      <c r="C548" s="2" t="str">
        <f t="shared" si="17"/>
        <v>Q2</v>
      </c>
      <c r="D548" s="2" t="s">
        <v>31</v>
      </c>
      <c r="E548" s="13">
        <v>45891</v>
      </c>
      <c r="F548" s="14" t="s">
        <v>184</v>
      </c>
      <c r="G548" s="14" t="s">
        <v>23</v>
      </c>
      <c r="H548" s="14" t="s">
        <v>77</v>
      </c>
      <c r="I548" s="15">
        <v>2</v>
      </c>
      <c r="J548" s="15">
        <v>48</v>
      </c>
      <c r="K548" s="15">
        <v>204.85</v>
      </c>
      <c r="L548" s="15">
        <v>9832.8000000000011</v>
      </c>
      <c r="M548" s="15">
        <v>-756.14</v>
      </c>
      <c r="N548" s="15">
        <v>0</v>
      </c>
      <c r="O548" s="15">
        <v>1179.96588</v>
      </c>
      <c r="P548" s="15">
        <v>10256.62588</v>
      </c>
    </row>
    <row r="549" spans="1:16" ht="15" x14ac:dyDescent="0.2">
      <c r="A549" s="4" t="s">
        <v>587</v>
      </c>
      <c r="B549" s="21" t="str">
        <f t="shared" si="16"/>
        <v>Aug-2025</v>
      </c>
      <c r="C549" s="2" t="str">
        <f t="shared" si="17"/>
        <v>Q2</v>
      </c>
      <c r="D549" s="2" t="s">
        <v>31</v>
      </c>
      <c r="E549" s="13">
        <v>45891</v>
      </c>
      <c r="F549" s="14" t="s">
        <v>185</v>
      </c>
      <c r="G549" s="14" t="s">
        <v>23</v>
      </c>
      <c r="H549" s="14" t="s">
        <v>94</v>
      </c>
      <c r="I549" s="15">
        <v>5</v>
      </c>
      <c r="J549" s="15">
        <v>300</v>
      </c>
      <c r="K549" s="15">
        <v>111.74</v>
      </c>
      <c r="L549" s="15">
        <v>33522</v>
      </c>
      <c r="M549" s="15">
        <v>-2577.84</v>
      </c>
      <c r="N549" s="15">
        <v>0</v>
      </c>
      <c r="O549" s="15">
        <v>4022.7414349999999</v>
      </c>
      <c r="P549" s="15">
        <v>34966.901435</v>
      </c>
    </row>
    <row r="550" spans="1:16" ht="15" x14ac:dyDescent="0.2">
      <c r="A550" s="4" t="s">
        <v>581</v>
      </c>
      <c r="B550" s="21" t="str">
        <f t="shared" si="16"/>
        <v>Aug-2025</v>
      </c>
      <c r="C550" s="2" t="str">
        <f t="shared" si="17"/>
        <v>Q2</v>
      </c>
      <c r="D550" s="2" t="s">
        <v>31</v>
      </c>
      <c r="E550" s="13">
        <v>45891</v>
      </c>
      <c r="F550" s="14" t="s">
        <v>185</v>
      </c>
      <c r="G550" s="14" t="s">
        <v>23</v>
      </c>
      <c r="H550" s="14" t="s">
        <v>96</v>
      </c>
      <c r="I550" s="15">
        <v>2</v>
      </c>
      <c r="J550" s="15">
        <v>80</v>
      </c>
      <c r="K550" s="15">
        <v>67.040000000000006</v>
      </c>
      <c r="L550" s="15">
        <v>5363.2</v>
      </c>
      <c r="M550" s="15">
        <v>-412.43</v>
      </c>
      <c r="N550" s="15">
        <v>0</v>
      </c>
      <c r="O550" s="15">
        <v>643.60020199999997</v>
      </c>
      <c r="P550" s="15">
        <v>5594.3702020000001</v>
      </c>
    </row>
    <row r="551" spans="1:16" ht="15" x14ac:dyDescent="0.2">
      <c r="A551" s="4" t="s">
        <v>584</v>
      </c>
      <c r="B551" s="21" t="str">
        <f t="shared" si="16"/>
        <v>Aug-2025</v>
      </c>
      <c r="C551" s="2" t="str">
        <f t="shared" si="17"/>
        <v>Q2</v>
      </c>
      <c r="D551" s="2" t="s">
        <v>31</v>
      </c>
      <c r="E551" s="13">
        <v>45891</v>
      </c>
      <c r="F551" s="14" t="s">
        <v>185</v>
      </c>
      <c r="G551" s="14" t="s">
        <v>23</v>
      </c>
      <c r="H551" s="14" t="s">
        <v>100</v>
      </c>
      <c r="I551" s="15">
        <v>2</v>
      </c>
      <c r="J551" s="15">
        <v>80</v>
      </c>
      <c r="K551" s="15">
        <v>81.94</v>
      </c>
      <c r="L551" s="15">
        <v>6555.2</v>
      </c>
      <c r="M551" s="15">
        <v>-504.09</v>
      </c>
      <c r="N551" s="15">
        <v>0</v>
      </c>
      <c r="O551" s="15">
        <v>786.64442399999996</v>
      </c>
      <c r="P551" s="15">
        <v>6837.7544239999997</v>
      </c>
    </row>
    <row r="552" spans="1:16" ht="15" x14ac:dyDescent="0.2">
      <c r="A552" s="4" t="s">
        <v>584</v>
      </c>
      <c r="B552" s="21" t="str">
        <f t="shared" si="16"/>
        <v>Aug-2025</v>
      </c>
      <c r="C552" s="2" t="str">
        <f t="shared" si="17"/>
        <v>Q2</v>
      </c>
      <c r="D552" s="2" t="s">
        <v>31</v>
      </c>
      <c r="E552" s="13">
        <v>45891</v>
      </c>
      <c r="F552" s="14" t="s">
        <v>185</v>
      </c>
      <c r="G552" s="14" t="s">
        <v>23</v>
      </c>
      <c r="H552" s="14" t="s">
        <v>99</v>
      </c>
      <c r="I552" s="15">
        <v>2</v>
      </c>
      <c r="J552" s="15">
        <v>80</v>
      </c>
      <c r="K552" s="15">
        <v>81.94</v>
      </c>
      <c r="L552" s="15">
        <v>6555.2</v>
      </c>
      <c r="M552" s="15">
        <v>-504.09</v>
      </c>
      <c r="N552" s="15">
        <v>0</v>
      </c>
      <c r="O552" s="15">
        <v>786.64442399999996</v>
      </c>
      <c r="P552" s="15">
        <v>6837.7544239999997</v>
      </c>
    </row>
    <row r="553" spans="1:16" ht="15" x14ac:dyDescent="0.2">
      <c r="A553" s="4" t="s">
        <v>580</v>
      </c>
      <c r="B553" s="21" t="str">
        <f t="shared" si="16"/>
        <v>Aug-2025</v>
      </c>
      <c r="C553" s="2" t="str">
        <f t="shared" si="17"/>
        <v>Q2</v>
      </c>
      <c r="D553" s="2" t="s">
        <v>31</v>
      </c>
      <c r="E553" s="13">
        <v>45891</v>
      </c>
      <c r="F553" s="14" t="s">
        <v>185</v>
      </c>
      <c r="G553" s="14" t="s">
        <v>23</v>
      </c>
      <c r="H553" s="14" t="s">
        <v>65</v>
      </c>
      <c r="I553" s="15">
        <v>3</v>
      </c>
      <c r="J553" s="15">
        <v>390</v>
      </c>
      <c r="K553" s="15">
        <v>37.25</v>
      </c>
      <c r="L553" s="15">
        <v>14527.499999999998</v>
      </c>
      <c r="M553" s="15">
        <v>-1117.1600000000001</v>
      </c>
      <c r="N553" s="15">
        <v>0</v>
      </c>
      <c r="O553" s="15">
        <v>1743.3444749999999</v>
      </c>
      <c r="P553" s="15">
        <v>15153.684475</v>
      </c>
    </row>
    <row r="554" spans="1:16" ht="15" x14ac:dyDescent="0.2">
      <c r="A554" s="4" t="s">
        <v>581</v>
      </c>
      <c r="B554" s="21" t="str">
        <f t="shared" si="16"/>
        <v>Aug-2025</v>
      </c>
      <c r="C554" s="2" t="str">
        <f t="shared" si="17"/>
        <v>Q2</v>
      </c>
      <c r="D554" s="2" t="s">
        <v>31</v>
      </c>
      <c r="E554" s="13">
        <v>45891</v>
      </c>
      <c r="F554" s="14" t="s">
        <v>185</v>
      </c>
      <c r="G554" s="14" t="s">
        <v>23</v>
      </c>
      <c r="H554" s="14" t="s">
        <v>104</v>
      </c>
      <c r="I554" s="15">
        <v>2</v>
      </c>
      <c r="J554" s="15">
        <v>80</v>
      </c>
      <c r="K554" s="15">
        <v>67.040000000000006</v>
      </c>
      <c r="L554" s="15">
        <v>5363.2</v>
      </c>
      <c r="M554" s="15">
        <v>-412.43</v>
      </c>
      <c r="N554" s="15">
        <v>0</v>
      </c>
      <c r="O554" s="15">
        <v>643.60020199999997</v>
      </c>
      <c r="P554" s="15">
        <v>5594.3702020000001</v>
      </c>
    </row>
    <row r="555" spans="1:16" ht="15" x14ac:dyDescent="0.2">
      <c r="A555" s="4" t="s">
        <v>579</v>
      </c>
      <c r="B555" s="21" t="str">
        <f t="shared" si="16"/>
        <v>Aug-2025</v>
      </c>
      <c r="C555" s="2" t="str">
        <f t="shared" si="17"/>
        <v>Q2</v>
      </c>
      <c r="D555" s="2" t="s">
        <v>31</v>
      </c>
      <c r="E555" s="13">
        <v>45891</v>
      </c>
      <c r="F555" s="14" t="s">
        <v>185</v>
      </c>
      <c r="G555" s="14" t="s">
        <v>23</v>
      </c>
      <c r="H555" s="14" t="s">
        <v>70</v>
      </c>
      <c r="I555" s="15">
        <v>2</v>
      </c>
      <c r="J555" s="15">
        <v>40</v>
      </c>
      <c r="K555" s="15">
        <v>201.13</v>
      </c>
      <c r="L555" s="15">
        <v>8045.2</v>
      </c>
      <c r="M555" s="15">
        <v>-618.67999999999995</v>
      </c>
      <c r="N555" s="15">
        <v>0</v>
      </c>
      <c r="O555" s="15">
        <v>965.44775199999992</v>
      </c>
      <c r="P555" s="15">
        <v>8391.9677520000005</v>
      </c>
    </row>
    <row r="556" spans="1:16" ht="15" x14ac:dyDescent="0.2">
      <c r="A556" s="4" t="s">
        <v>577</v>
      </c>
      <c r="B556" s="21" t="str">
        <f t="shared" si="16"/>
        <v>Aug-2025</v>
      </c>
      <c r="C556" s="2" t="str">
        <f t="shared" si="17"/>
        <v>Q2</v>
      </c>
      <c r="D556" s="2" t="s">
        <v>31</v>
      </c>
      <c r="E556" s="13">
        <v>45891</v>
      </c>
      <c r="F556" s="14" t="s">
        <v>185</v>
      </c>
      <c r="G556" s="14" t="s">
        <v>23</v>
      </c>
      <c r="H556" s="14" t="s">
        <v>57</v>
      </c>
      <c r="I556" s="15">
        <v>2</v>
      </c>
      <c r="J556" s="15">
        <v>360</v>
      </c>
      <c r="K556" s="15">
        <v>18.62</v>
      </c>
      <c r="L556" s="15">
        <v>6703.2</v>
      </c>
      <c r="M556" s="15">
        <v>-515.48</v>
      </c>
      <c r="N556" s="15">
        <v>0</v>
      </c>
      <c r="O556" s="15">
        <v>804.403727</v>
      </c>
      <c r="P556" s="15">
        <v>6992.1237270000001</v>
      </c>
    </row>
    <row r="557" spans="1:16" ht="15" x14ac:dyDescent="0.2">
      <c r="A557" s="4" t="s">
        <v>582</v>
      </c>
      <c r="B557" s="21" t="str">
        <f t="shared" si="16"/>
        <v>Aug-2025</v>
      </c>
      <c r="C557" s="2" t="str">
        <f t="shared" si="17"/>
        <v>Q2</v>
      </c>
      <c r="D557" s="2" t="s">
        <v>31</v>
      </c>
      <c r="E557" s="13">
        <v>45891</v>
      </c>
      <c r="F557" s="14" t="s">
        <v>185</v>
      </c>
      <c r="G557" s="14" t="s">
        <v>23</v>
      </c>
      <c r="H557" s="14" t="s">
        <v>101</v>
      </c>
      <c r="I557" s="15">
        <v>3</v>
      </c>
      <c r="J557" s="15">
        <v>72</v>
      </c>
      <c r="K557" s="15">
        <v>186.23</v>
      </c>
      <c r="L557" s="15">
        <v>13408.560000000001</v>
      </c>
      <c r="M557" s="15">
        <v>-1031.1199999999999</v>
      </c>
      <c r="N557" s="15">
        <v>0</v>
      </c>
      <c r="O557" s="15">
        <v>1609.0674539999998</v>
      </c>
      <c r="P557" s="15">
        <v>13986.507454000001</v>
      </c>
    </row>
    <row r="558" spans="1:16" ht="15" x14ac:dyDescent="0.2">
      <c r="A558" s="4" t="s">
        <v>593</v>
      </c>
      <c r="B558" s="21" t="str">
        <f t="shared" si="16"/>
        <v>Aug-2025</v>
      </c>
      <c r="C558" s="2" t="str">
        <f t="shared" si="17"/>
        <v>Q2</v>
      </c>
      <c r="D558" s="2" t="s">
        <v>31</v>
      </c>
      <c r="E558" s="13">
        <v>45891</v>
      </c>
      <c r="F558" s="14" t="s">
        <v>185</v>
      </c>
      <c r="G558" s="14" t="s">
        <v>23</v>
      </c>
      <c r="H558" s="14" t="s">
        <v>117</v>
      </c>
      <c r="I558" s="15">
        <v>5</v>
      </c>
      <c r="J558" s="15">
        <v>20</v>
      </c>
      <c r="K558" s="15">
        <v>595.94000000000005</v>
      </c>
      <c r="L558" s="15">
        <v>11918.8</v>
      </c>
      <c r="M558" s="15">
        <v>-916.56</v>
      </c>
      <c r="N558" s="15">
        <v>0</v>
      </c>
      <c r="O558" s="15">
        <v>1430.291426</v>
      </c>
      <c r="P558" s="15">
        <v>12432.531426</v>
      </c>
    </row>
    <row r="559" spans="1:16" ht="15" x14ac:dyDescent="0.2">
      <c r="A559" s="4" t="s">
        <v>581</v>
      </c>
      <c r="B559" s="21" t="str">
        <f t="shared" si="16"/>
        <v>Aug-2025</v>
      </c>
      <c r="C559" s="2" t="str">
        <f t="shared" si="17"/>
        <v>Q2</v>
      </c>
      <c r="D559" s="2" t="s">
        <v>31</v>
      </c>
      <c r="E559" s="13">
        <v>45891</v>
      </c>
      <c r="F559" s="14" t="s">
        <v>185</v>
      </c>
      <c r="G559" s="14" t="s">
        <v>23</v>
      </c>
      <c r="H559" s="14" t="s">
        <v>125</v>
      </c>
      <c r="I559" s="15">
        <v>1</v>
      </c>
      <c r="J559" s="15">
        <v>800</v>
      </c>
      <c r="K559" s="15">
        <v>7.46</v>
      </c>
      <c r="L559" s="15">
        <v>5968</v>
      </c>
      <c r="M559" s="15">
        <v>-458.94</v>
      </c>
      <c r="N559" s="15">
        <v>0</v>
      </c>
      <c r="O559" s="15">
        <v>716.17791299999999</v>
      </c>
      <c r="P559" s="15">
        <v>6225.2379129999999</v>
      </c>
    </row>
    <row r="560" spans="1:16" ht="15" x14ac:dyDescent="0.2">
      <c r="A560" s="4" t="s">
        <v>581</v>
      </c>
      <c r="B560" s="21" t="str">
        <f t="shared" si="16"/>
        <v>Aug-2025</v>
      </c>
      <c r="C560" s="2" t="str">
        <f t="shared" si="17"/>
        <v>Q2</v>
      </c>
      <c r="D560" s="2" t="s">
        <v>31</v>
      </c>
      <c r="E560" s="13">
        <v>45891</v>
      </c>
      <c r="F560" s="14" t="s">
        <v>185</v>
      </c>
      <c r="G560" s="14" t="s">
        <v>23</v>
      </c>
      <c r="H560" s="14" t="s">
        <v>97</v>
      </c>
      <c r="I560" s="15">
        <v>3</v>
      </c>
      <c r="J560" s="15">
        <v>120</v>
      </c>
      <c r="K560" s="15">
        <v>67.040000000000006</v>
      </c>
      <c r="L560" s="15">
        <v>8044.8</v>
      </c>
      <c r="M560" s="15">
        <v>-618.65</v>
      </c>
      <c r="N560" s="15">
        <v>0</v>
      </c>
      <c r="O560" s="15">
        <v>965.39965199999995</v>
      </c>
      <c r="P560" s="15">
        <v>8391.5496519999997</v>
      </c>
    </row>
    <row r="561" spans="1:16" ht="15" x14ac:dyDescent="0.2">
      <c r="A561" s="4" t="s">
        <v>584</v>
      </c>
      <c r="B561" s="21" t="str">
        <f t="shared" si="16"/>
        <v>Aug-2025</v>
      </c>
      <c r="C561" s="2" t="str">
        <f t="shared" si="17"/>
        <v>Q2</v>
      </c>
      <c r="D561" s="2" t="s">
        <v>31</v>
      </c>
      <c r="E561" s="13">
        <v>45891</v>
      </c>
      <c r="F561" s="14" t="s">
        <v>185</v>
      </c>
      <c r="G561" s="14" t="s">
        <v>23</v>
      </c>
      <c r="H561" s="14" t="s">
        <v>120</v>
      </c>
      <c r="I561" s="15">
        <v>3</v>
      </c>
      <c r="J561" s="15">
        <v>120</v>
      </c>
      <c r="K561" s="15">
        <v>81.94</v>
      </c>
      <c r="L561" s="15">
        <v>9832.8000000000011</v>
      </c>
      <c r="M561" s="15">
        <v>-756.14</v>
      </c>
      <c r="N561" s="15">
        <v>0</v>
      </c>
      <c r="O561" s="15">
        <v>1179.9659859999999</v>
      </c>
      <c r="P561" s="15">
        <v>10256.625985999999</v>
      </c>
    </row>
    <row r="562" spans="1:16" ht="15" x14ac:dyDescent="0.2">
      <c r="A562" s="4" t="s">
        <v>590</v>
      </c>
      <c r="B562" s="21" t="str">
        <f t="shared" si="16"/>
        <v>Aug-2025</v>
      </c>
      <c r="C562" s="2" t="str">
        <f t="shared" si="17"/>
        <v>Q2</v>
      </c>
      <c r="D562" s="2" t="s">
        <v>31</v>
      </c>
      <c r="E562" s="13">
        <v>45891</v>
      </c>
      <c r="F562" s="14" t="s">
        <v>185</v>
      </c>
      <c r="G562" s="14" t="s">
        <v>23</v>
      </c>
      <c r="H562" s="14" t="s">
        <v>102</v>
      </c>
      <c r="I562" s="15">
        <v>5</v>
      </c>
      <c r="J562" s="15">
        <v>100</v>
      </c>
      <c r="K562" s="15">
        <v>249.55</v>
      </c>
      <c r="L562" s="15">
        <v>24955</v>
      </c>
      <c r="M562" s="15">
        <v>-1919.04</v>
      </c>
      <c r="N562" s="15">
        <v>0</v>
      </c>
      <c r="O562" s="15">
        <v>2994.6752729999998</v>
      </c>
      <c r="P562" s="15">
        <v>26030.635273</v>
      </c>
    </row>
    <row r="563" spans="1:16" ht="15" x14ac:dyDescent="0.2">
      <c r="A563" s="4" t="s">
        <v>573</v>
      </c>
      <c r="B563" s="21" t="str">
        <f t="shared" si="16"/>
        <v>Aug-2025</v>
      </c>
      <c r="C563" s="2" t="str">
        <f t="shared" si="17"/>
        <v>Q2</v>
      </c>
      <c r="D563" s="2" t="s">
        <v>31</v>
      </c>
      <c r="E563" s="13">
        <v>45891</v>
      </c>
      <c r="F563" s="14" t="s">
        <v>185</v>
      </c>
      <c r="G563" s="14" t="s">
        <v>23</v>
      </c>
      <c r="H563" s="14" t="s">
        <v>47</v>
      </c>
      <c r="I563" s="15">
        <v>2</v>
      </c>
      <c r="J563" s="15">
        <v>80</v>
      </c>
      <c r="K563" s="15">
        <v>111.74</v>
      </c>
      <c r="L563" s="15">
        <v>8939.2000000000007</v>
      </c>
      <c r="M563" s="15">
        <v>-687.42</v>
      </c>
      <c r="N563" s="15">
        <v>0</v>
      </c>
      <c r="O563" s="15">
        <v>1072.731569</v>
      </c>
      <c r="P563" s="15">
        <v>9324.5115690000002</v>
      </c>
    </row>
    <row r="564" spans="1:16" ht="15" x14ac:dyDescent="0.2">
      <c r="A564" s="4" t="s">
        <v>586</v>
      </c>
      <c r="B564" s="21" t="str">
        <f t="shared" si="16"/>
        <v>Aug-2025</v>
      </c>
      <c r="C564" s="2" t="str">
        <f t="shared" si="17"/>
        <v>Q2</v>
      </c>
      <c r="D564" s="2" t="s">
        <v>31</v>
      </c>
      <c r="E564" s="13">
        <v>45891</v>
      </c>
      <c r="F564" s="14" t="s">
        <v>185</v>
      </c>
      <c r="G564" s="14" t="s">
        <v>23</v>
      </c>
      <c r="H564" s="14" t="s">
        <v>103</v>
      </c>
      <c r="I564" s="15">
        <v>1</v>
      </c>
      <c r="J564" s="15">
        <v>600</v>
      </c>
      <c r="K564" s="15">
        <v>7.46</v>
      </c>
      <c r="L564" s="15">
        <v>4476</v>
      </c>
      <c r="M564" s="15">
        <v>-344.2</v>
      </c>
      <c r="N564" s="15">
        <v>0</v>
      </c>
      <c r="O564" s="15">
        <v>537.13408500000003</v>
      </c>
      <c r="P564" s="15">
        <v>4668.9340849999999</v>
      </c>
    </row>
    <row r="565" spans="1:16" ht="15" x14ac:dyDescent="0.2">
      <c r="A565" s="4" t="s">
        <v>590</v>
      </c>
      <c r="B565" s="21" t="str">
        <f t="shared" si="16"/>
        <v>Aug-2025</v>
      </c>
      <c r="C565" s="2" t="str">
        <f t="shared" si="17"/>
        <v>Q2</v>
      </c>
      <c r="D565" s="2" t="s">
        <v>31</v>
      </c>
      <c r="E565" s="13">
        <v>45891</v>
      </c>
      <c r="F565" s="14" t="s">
        <v>186</v>
      </c>
      <c r="G565" s="14" t="s">
        <v>187</v>
      </c>
      <c r="H565" s="14" t="s">
        <v>102</v>
      </c>
      <c r="I565" s="15">
        <v>1</v>
      </c>
      <c r="J565" s="15">
        <v>20</v>
      </c>
      <c r="K565" s="15">
        <v>249.55</v>
      </c>
      <c r="L565" s="15">
        <v>4991</v>
      </c>
      <c r="M565" s="15">
        <v>-383.81</v>
      </c>
      <c r="N565" s="15">
        <v>0</v>
      </c>
      <c r="O565" s="15">
        <v>598.93467299999998</v>
      </c>
      <c r="P565" s="15">
        <v>5206.1246730000003</v>
      </c>
    </row>
    <row r="566" spans="1:16" ht="15" x14ac:dyDescent="0.2">
      <c r="A566" s="4" t="s">
        <v>573</v>
      </c>
      <c r="B566" s="21" t="str">
        <f t="shared" si="16"/>
        <v>Aug-2025</v>
      </c>
      <c r="C566" s="2" t="str">
        <f t="shared" si="17"/>
        <v>Q2</v>
      </c>
      <c r="D566" s="2" t="s">
        <v>31</v>
      </c>
      <c r="E566" s="13">
        <v>45891</v>
      </c>
      <c r="F566" s="14" t="s">
        <v>186</v>
      </c>
      <c r="G566" s="14" t="s">
        <v>187</v>
      </c>
      <c r="H566" s="14" t="s">
        <v>47</v>
      </c>
      <c r="I566" s="15">
        <v>1</v>
      </c>
      <c r="J566" s="15">
        <v>40</v>
      </c>
      <c r="K566" s="15">
        <v>111.74</v>
      </c>
      <c r="L566" s="15">
        <v>4469.6000000000004</v>
      </c>
      <c r="M566" s="15">
        <v>-343.71</v>
      </c>
      <c r="N566" s="15">
        <v>0</v>
      </c>
      <c r="O566" s="15">
        <v>536.36567600000001</v>
      </c>
      <c r="P566" s="15">
        <v>4662.2556759999998</v>
      </c>
    </row>
    <row r="567" spans="1:16" ht="15" x14ac:dyDescent="0.2">
      <c r="A567" s="4" t="s">
        <v>584</v>
      </c>
      <c r="B567" s="21" t="str">
        <f t="shared" si="16"/>
        <v>Aug-2025</v>
      </c>
      <c r="C567" s="2" t="str">
        <f t="shared" si="17"/>
        <v>Q2</v>
      </c>
      <c r="D567" s="2" t="s">
        <v>31</v>
      </c>
      <c r="E567" s="13">
        <v>45891</v>
      </c>
      <c r="F567" s="14" t="s">
        <v>186</v>
      </c>
      <c r="G567" s="14" t="s">
        <v>187</v>
      </c>
      <c r="H567" s="14" t="s">
        <v>100</v>
      </c>
      <c r="I567" s="15">
        <v>1</v>
      </c>
      <c r="J567" s="15">
        <v>40</v>
      </c>
      <c r="K567" s="15">
        <v>81.94</v>
      </c>
      <c r="L567" s="15">
        <v>3277.6</v>
      </c>
      <c r="M567" s="15">
        <v>-252.05</v>
      </c>
      <c r="N567" s="15">
        <v>0</v>
      </c>
      <c r="O567" s="15">
        <v>393.321482</v>
      </c>
      <c r="P567" s="15">
        <v>3418.871482</v>
      </c>
    </row>
    <row r="568" spans="1:16" ht="15" x14ac:dyDescent="0.2">
      <c r="A568" s="4" t="s">
        <v>587</v>
      </c>
      <c r="B568" s="21" t="str">
        <f t="shared" si="16"/>
        <v>Aug-2025</v>
      </c>
      <c r="C568" s="2" t="str">
        <f t="shared" si="17"/>
        <v>Q2</v>
      </c>
      <c r="D568" s="2" t="s">
        <v>31</v>
      </c>
      <c r="E568" s="13">
        <v>45891</v>
      </c>
      <c r="F568" s="14" t="s">
        <v>186</v>
      </c>
      <c r="G568" s="14" t="s">
        <v>187</v>
      </c>
      <c r="H568" s="14" t="s">
        <v>94</v>
      </c>
      <c r="I568" s="15">
        <v>2</v>
      </c>
      <c r="J568" s="15">
        <v>120</v>
      </c>
      <c r="K568" s="15">
        <v>111.74</v>
      </c>
      <c r="L568" s="15">
        <v>13408.8</v>
      </c>
      <c r="M568" s="15">
        <v>-1031.1400000000001</v>
      </c>
      <c r="N568" s="15">
        <v>0</v>
      </c>
      <c r="O568" s="15">
        <v>1609.0957269999999</v>
      </c>
      <c r="P568" s="15">
        <v>13986.755727</v>
      </c>
    </row>
    <row r="569" spans="1:16" ht="15" x14ac:dyDescent="0.2">
      <c r="A569" s="4" t="s">
        <v>581</v>
      </c>
      <c r="B569" s="21" t="str">
        <f t="shared" si="16"/>
        <v>Aug-2025</v>
      </c>
      <c r="C569" s="2" t="str">
        <f t="shared" si="17"/>
        <v>Q2</v>
      </c>
      <c r="D569" s="2" t="s">
        <v>31</v>
      </c>
      <c r="E569" s="13">
        <v>45891</v>
      </c>
      <c r="F569" s="14" t="s">
        <v>186</v>
      </c>
      <c r="G569" s="14" t="s">
        <v>187</v>
      </c>
      <c r="H569" s="14" t="s">
        <v>96</v>
      </c>
      <c r="I569" s="15">
        <v>1</v>
      </c>
      <c r="J569" s="15">
        <v>40</v>
      </c>
      <c r="K569" s="15">
        <v>67.040000000000006</v>
      </c>
      <c r="L569" s="15">
        <v>2681.6</v>
      </c>
      <c r="M569" s="15">
        <v>-206.22</v>
      </c>
      <c r="N569" s="15">
        <v>0</v>
      </c>
      <c r="O569" s="15">
        <v>321.79938500000003</v>
      </c>
      <c r="P569" s="15">
        <v>2797.1793849999999</v>
      </c>
    </row>
    <row r="570" spans="1:16" ht="15" x14ac:dyDescent="0.2">
      <c r="A570" s="4" t="s">
        <v>581</v>
      </c>
      <c r="B570" s="21" t="str">
        <f t="shared" si="16"/>
        <v>Aug-2025</v>
      </c>
      <c r="C570" s="2" t="str">
        <f t="shared" si="17"/>
        <v>Q2</v>
      </c>
      <c r="D570" s="2" t="s">
        <v>31</v>
      </c>
      <c r="E570" s="13">
        <v>45891</v>
      </c>
      <c r="F570" s="14" t="s">
        <v>186</v>
      </c>
      <c r="G570" s="14" t="s">
        <v>187</v>
      </c>
      <c r="H570" s="14" t="s">
        <v>97</v>
      </c>
      <c r="I570" s="15">
        <v>1</v>
      </c>
      <c r="J570" s="15">
        <v>40</v>
      </c>
      <c r="K570" s="15">
        <v>67.040000000000006</v>
      </c>
      <c r="L570" s="15">
        <v>2681.6</v>
      </c>
      <c r="M570" s="15">
        <v>-206.22</v>
      </c>
      <c r="N570" s="15">
        <v>0</v>
      </c>
      <c r="O570" s="15">
        <v>321.79938500000003</v>
      </c>
      <c r="P570" s="15">
        <v>2797.1793849999999</v>
      </c>
    </row>
    <row r="571" spans="1:16" ht="15" x14ac:dyDescent="0.2">
      <c r="A571" s="4" t="s">
        <v>589</v>
      </c>
      <c r="B571" s="21" t="str">
        <f t="shared" si="16"/>
        <v>Aug-2025</v>
      </c>
      <c r="C571" s="2" t="str">
        <f t="shared" si="17"/>
        <v>Q2</v>
      </c>
      <c r="D571" s="2" t="s">
        <v>31</v>
      </c>
      <c r="E571" s="13">
        <v>45891</v>
      </c>
      <c r="F571" s="14" t="s">
        <v>186</v>
      </c>
      <c r="G571" s="14" t="s">
        <v>187</v>
      </c>
      <c r="H571" s="14" t="s">
        <v>98</v>
      </c>
      <c r="I571" s="15">
        <v>2</v>
      </c>
      <c r="J571" s="15">
        <v>120</v>
      </c>
      <c r="K571" s="15">
        <v>145.26</v>
      </c>
      <c r="L571" s="15">
        <v>17431.2</v>
      </c>
      <c r="M571" s="15">
        <v>-1340.46</v>
      </c>
      <c r="N571" s="15">
        <v>0</v>
      </c>
      <c r="O571" s="15">
        <v>2091.7961049999999</v>
      </c>
      <c r="P571" s="15">
        <v>18182.536104999999</v>
      </c>
    </row>
    <row r="572" spans="1:16" ht="15" x14ac:dyDescent="0.2">
      <c r="A572" s="4" t="s">
        <v>581</v>
      </c>
      <c r="B572" s="21" t="str">
        <f t="shared" si="16"/>
        <v>Aug-2025</v>
      </c>
      <c r="C572" s="2" t="str">
        <f t="shared" si="17"/>
        <v>Q2</v>
      </c>
      <c r="D572" s="2" t="s">
        <v>31</v>
      </c>
      <c r="E572" s="13">
        <v>45891</v>
      </c>
      <c r="F572" s="14" t="s">
        <v>186</v>
      </c>
      <c r="G572" s="14" t="s">
        <v>187</v>
      </c>
      <c r="H572" s="14" t="s">
        <v>104</v>
      </c>
      <c r="I572" s="15">
        <v>1</v>
      </c>
      <c r="J572" s="15">
        <v>40</v>
      </c>
      <c r="K572" s="15">
        <v>67.040000000000006</v>
      </c>
      <c r="L572" s="15">
        <v>2681.6</v>
      </c>
      <c r="M572" s="15">
        <v>-206.22</v>
      </c>
      <c r="N572" s="15">
        <v>0</v>
      </c>
      <c r="O572" s="15">
        <v>321.79938500000003</v>
      </c>
      <c r="P572" s="15">
        <v>2797.1793849999999</v>
      </c>
    </row>
    <row r="573" spans="1:16" ht="15" x14ac:dyDescent="0.2">
      <c r="A573" s="4" t="s">
        <v>584</v>
      </c>
      <c r="B573" s="21" t="str">
        <f t="shared" si="16"/>
        <v>Aug-2025</v>
      </c>
      <c r="C573" s="2" t="str">
        <f t="shared" si="17"/>
        <v>Q2</v>
      </c>
      <c r="D573" s="2" t="s">
        <v>31</v>
      </c>
      <c r="E573" s="13">
        <v>45891</v>
      </c>
      <c r="F573" s="14" t="s">
        <v>186</v>
      </c>
      <c r="G573" s="14" t="s">
        <v>187</v>
      </c>
      <c r="H573" s="14" t="s">
        <v>120</v>
      </c>
      <c r="I573" s="15">
        <v>1</v>
      </c>
      <c r="J573" s="15">
        <v>40</v>
      </c>
      <c r="K573" s="15">
        <v>81.94</v>
      </c>
      <c r="L573" s="15">
        <v>3277.6</v>
      </c>
      <c r="M573" s="15">
        <v>-252.05</v>
      </c>
      <c r="N573" s="15">
        <v>0</v>
      </c>
      <c r="O573" s="15">
        <v>393.321482</v>
      </c>
      <c r="P573" s="15">
        <v>3418.871482</v>
      </c>
    </row>
    <row r="574" spans="1:16" ht="15" x14ac:dyDescent="0.2">
      <c r="A574" s="4" t="s">
        <v>593</v>
      </c>
      <c r="B574" s="21" t="str">
        <f t="shared" si="16"/>
        <v>Aug-2025</v>
      </c>
      <c r="C574" s="2" t="str">
        <f t="shared" si="17"/>
        <v>Q2</v>
      </c>
      <c r="D574" s="2" t="s">
        <v>31</v>
      </c>
      <c r="E574" s="13">
        <v>45891</v>
      </c>
      <c r="F574" s="14" t="s">
        <v>186</v>
      </c>
      <c r="G574" s="14" t="s">
        <v>187</v>
      </c>
      <c r="H574" s="14" t="s">
        <v>117</v>
      </c>
      <c r="I574" s="15">
        <v>10</v>
      </c>
      <c r="J574" s="15">
        <v>40</v>
      </c>
      <c r="K574" s="15">
        <v>595.94000000000005</v>
      </c>
      <c r="L574" s="15">
        <v>23837.599999999999</v>
      </c>
      <c r="M574" s="15">
        <v>-1833.1100000000001</v>
      </c>
      <c r="N574" s="15">
        <v>0</v>
      </c>
      <c r="O574" s="15">
        <v>2860.5835710000001</v>
      </c>
      <c r="P574" s="15">
        <v>24865.073571000001</v>
      </c>
    </row>
    <row r="575" spans="1:16" ht="15" x14ac:dyDescent="0.2">
      <c r="A575" s="4" t="s">
        <v>584</v>
      </c>
      <c r="B575" s="21" t="str">
        <f t="shared" si="16"/>
        <v>Aug-2025</v>
      </c>
      <c r="C575" s="2" t="str">
        <f t="shared" si="17"/>
        <v>Q2</v>
      </c>
      <c r="D575" s="2" t="s">
        <v>31</v>
      </c>
      <c r="E575" s="13">
        <v>45891</v>
      </c>
      <c r="F575" s="14" t="s">
        <v>186</v>
      </c>
      <c r="G575" s="14" t="s">
        <v>187</v>
      </c>
      <c r="H575" s="14" t="s">
        <v>99</v>
      </c>
      <c r="I575" s="15">
        <v>1</v>
      </c>
      <c r="J575" s="15">
        <v>40</v>
      </c>
      <c r="K575" s="15">
        <v>81.94</v>
      </c>
      <c r="L575" s="15">
        <v>3277.6</v>
      </c>
      <c r="M575" s="15">
        <v>-252.05</v>
      </c>
      <c r="N575" s="15">
        <v>0</v>
      </c>
      <c r="O575" s="15">
        <v>393.321482</v>
      </c>
      <c r="P575" s="15">
        <v>3418.871482</v>
      </c>
    </row>
    <row r="576" spans="1:16" ht="15" x14ac:dyDescent="0.2">
      <c r="A576" s="4" t="s">
        <v>580</v>
      </c>
      <c r="B576" s="21" t="str">
        <f t="shared" si="16"/>
        <v>Aug-2025</v>
      </c>
      <c r="C576" s="2" t="str">
        <f t="shared" si="17"/>
        <v>Q2</v>
      </c>
      <c r="D576" s="2" t="s">
        <v>31</v>
      </c>
      <c r="E576" s="13">
        <v>45891</v>
      </c>
      <c r="F576" s="14" t="s">
        <v>186</v>
      </c>
      <c r="G576" s="14" t="s">
        <v>187</v>
      </c>
      <c r="H576" s="14" t="s">
        <v>65</v>
      </c>
      <c r="I576" s="15">
        <v>2</v>
      </c>
      <c r="J576" s="15">
        <v>260</v>
      </c>
      <c r="K576" s="15">
        <v>37.25</v>
      </c>
      <c r="L576" s="15">
        <v>9685</v>
      </c>
      <c r="M576" s="15">
        <v>-744.78</v>
      </c>
      <c r="N576" s="15">
        <v>0</v>
      </c>
      <c r="O576" s="15">
        <v>1162.2285470000002</v>
      </c>
      <c r="P576" s="15">
        <v>10102.448547</v>
      </c>
    </row>
    <row r="577" spans="1:16" ht="15" x14ac:dyDescent="0.2">
      <c r="A577" s="4" t="s">
        <v>589</v>
      </c>
      <c r="B577" s="21" t="str">
        <f t="shared" si="16"/>
        <v>Aug-2025</v>
      </c>
      <c r="C577" s="2" t="str">
        <f t="shared" si="17"/>
        <v>Q2</v>
      </c>
      <c r="D577" s="2" t="s">
        <v>31</v>
      </c>
      <c r="E577" s="13">
        <v>45891</v>
      </c>
      <c r="F577" s="14" t="s">
        <v>186</v>
      </c>
      <c r="G577" s="14" t="s">
        <v>187</v>
      </c>
      <c r="H577" s="14" t="s">
        <v>105</v>
      </c>
      <c r="I577" s="15">
        <v>5</v>
      </c>
      <c r="J577" s="15">
        <v>150</v>
      </c>
      <c r="K577" s="15">
        <v>316.58999999999997</v>
      </c>
      <c r="L577" s="15">
        <v>47488.5</v>
      </c>
      <c r="M577" s="15">
        <v>-3651.87</v>
      </c>
      <c r="N577" s="15">
        <v>0</v>
      </c>
      <c r="O577" s="15">
        <v>5698.7616429999998</v>
      </c>
      <c r="P577" s="15">
        <v>49535.391643000003</v>
      </c>
    </row>
    <row r="578" spans="1:16" ht="15" x14ac:dyDescent="0.2">
      <c r="A578" s="4" t="s">
        <v>591</v>
      </c>
      <c r="B578" s="21" t="str">
        <f t="shared" si="16"/>
        <v>Aug-2025</v>
      </c>
      <c r="C578" s="2" t="str">
        <f t="shared" si="17"/>
        <v>Q2</v>
      </c>
      <c r="D578" s="2" t="s">
        <v>31</v>
      </c>
      <c r="E578" s="13">
        <v>45891</v>
      </c>
      <c r="F578" s="14" t="s">
        <v>186</v>
      </c>
      <c r="G578" s="14" t="s">
        <v>187</v>
      </c>
      <c r="H578" s="14" t="s">
        <v>106</v>
      </c>
      <c r="I578" s="15">
        <v>2</v>
      </c>
      <c r="J578" s="15">
        <v>120</v>
      </c>
      <c r="K578" s="15">
        <v>111.74</v>
      </c>
      <c r="L578" s="15">
        <v>13408.8</v>
      </c>
      <c r="M578" s="15">
        <v>-1031.1400000000001</v>
      </c>
      <c r="N578" s="15">
        <v>0</v>
      </c>
      <c r="O578" s="15">
        <v>1609.0957269999999</v>
      </c>
      <c r="P578" s="15">
        <v>13986.755727</v>
      </c>
    </row>
    <row r="579" spans="1:16" ht="15" x14ac:dyDescent="0.2">
      <c r="A579" s="4" t="s">
        <v>588</v>
      </c>
      <c r="B579" s="21" t="str">
        <f t="shared" ref="B579:B642" si="18">+TEXT(E579,"MMM-yyy")</f>
        <v>Aug-2025</v>
      </c>
      <c r="C579" s="2" t="str">
        <f t="shared" ref="C579:C642" si="19">"Q" &amp; CHOOSE(MONTH(E579),4,4,4,1,1,1,2,2,2,3,3,3)</f>
        <v>Q2</v>
      </c>
      <c r="D579" s="2" t="s">
        <v>31</v>
      </c>
      <c r="E579" s="13">
        <v>45891</v>
      </c>
      <c r="F579" s="14" t="s">
        <v>186</v>
      </c>
      <c r="G579" s="14" t="s">
        <v>187</v>
      </c>
      <c r="H579" s="14" t="s">
        <v>95</v>
      </c>
      <c r="I579" s="15">
        <v>2</v>
      </c>
      <c r="J579" s="15">
        <v>120</v>
      </c>
      <c r="K579" s="15">
        <v>111.74</v>
      </c>
      <c r="L579" s="15">
        <v>13408.8</v>
      </c>
      <c r="M579" s="15">
        <v>-1031.1400000000001</v>
      </c>
      <c r="N579" s="15">
        <v>0</v>
      </c>
      <c r="O579" s="15">
        <v>1609.0957269999999</v>
      </c>
      <c r="P579" s="15">
        <v>13986.755727</v>
      </c>
    </row>
    <row r="580" spans="1:16" ht="15" x14ac:dyDescent="0.2">
      <c r="A580" s="4" t="s">
        <v>583</v>
      </c>
      <c r="B580" s="21" t="str">
        <f t="shared" si="18"/>
        <v>Aug-2025</v>
      </c>
      <c r="C580" s="2" t="str">
        <f t="shared" si="19"/>
        <v>Q2</v>
      </c>
      <c r="D580" s="2" t="s">
        <v>31</v>
      </c>
      <c r="E580" s="13">
        <v>45891</v>
      </c>
      <c r="F580" s="14" t="s">
        <v>188</v>
      </c>
      <c r="G580" s="14" t="s">
        <v>187</v>
      </c>
      <c r="H580" s="14" t="s">
        <v>109</v>
      </c>
      <c r="I580" s="15">
        <v>1</v>
      </c>
      <c r="J580" s="15">
        <v>15</v>
      </c>
      <c r="K580" s="15">
        <v>260.72000000000003</v>
      </c>
      <c r="L580" s="15">
        <v>3910.8</v>
      </c>
      <c r="M580" s="15">
        <v>-300.74</v>
      </c>
      <c r="N580" s="15">
        <v>0</v>
      </c>
      <c r="O580" s="15">
        <v>469.30807400000003</v>
      </c>
      <c r="P580" s="15">
        <v>4079.368074</v>
      </c>
    </row>
    <row r="581" spans="1:16" ht="15" x14ac:dyDescent="0.2">
      <c r="A581" s="4" t="s">
        <v>579</v>
      </c>
      <c r="B581" s="21" t="str">
        <f t="shared" si="18"/>
        <v>Aug-2025</v>
      </c>
      <c r="C581" s="2" t="str">
        <f t="shared" si="19"/>
        <v>Q2</v>
      </c>
      <c r="D581" s="2" t="s">
        <v>31</v>
      </c>
      <c r="E581" s="13">
        <v>45891</v>
      </c>
      <c r="F581" s="14" t="s">
        <v>188</v>
      </c>
      <c r="G581" s="14" t="s">
        <v>187</v>
      </c>
      <c r="H581" s="14" t="s">
        <v>92</v>
      </c>
      <c r="I581" s="15">
        <v>1</v>
      </c>
      <c r="J581" s="15">
        <v>20</v>
      </c>
      <c r="K581" s="15">
        <v>242.1</v>
      </c>
      <c r="L581" s="15">
        <v>4841.9999999999991</v>
      </c>
      <c r="M581" s="15">
        <v>-372.35</v>
      </c>
      <c r="N581" s="15">
        <v>0</v>
      </c>
      <c r="O581" s="15">
        <v>581.05484000000001</v>
      </c>
      <c r="P581" s="15">
        <v>5050.7048400000003</v>
      </c>
    </row>
    <row r="582" spans="1:16" ht="15" x14ac:dyDescent="0.2">
      <c r="A582" s="4" t="s">
        <v>583</v>
      </c>
      <c r="B582" s="21" t="str">
        <f t="shared" si="18"/>
        <v>Aug-2025</v>
      </c>
      <c r="C582" s="2" t="str">
        <f t="shared" si="19"/>
        <v>Q2</v>
      </c>
      <c r="D582" s="2" t="s">
        <v>31</v>
      </c>
      <c r="E582" s="13">
        <v>45891</v>
      </c>
      <c r="F582" s="14" t="s">
        <v>188</v>
      </c>
      <c r="G582" s="14" t="s">
        <v>187</v>
      </c>
      <c r="H582" s="14" t="s">
        <v>113</v>
      </c>
      <c r="I582" s="15">
        <v>2</v>
      </c>
      <c r="J582" s="15">
        <v>30</v>
      </c>
      <c r="K582" s="15">
        <v>260.72000000000003</v>
      </c>
      <c r="L582" s="15">
        <v>7821.6</v>
      </c>
      <c r="M582" s="15">
        <v>-601.48</v>
      </c>
      <c r="N582" s="15">
        <v>0</v>
      </c>
      <c r="O582" s="15">
        <v>938.61614899999995</v>
      </c>
      <c r="P582" s="15">
        <v>8158.7361490000003</v>
      </c>
    </row>
    <row r="583" spans="1:16" ht="15" x14ac:dyDescent="0.2">
      <c r="A583" s="4" t="s">
        <v>582</v>
      </c>
      <c r="B583" s="21" t="str">
        <f t="shared" si="18"/>
        <v>Aug-2025</v>
      </c>
      <c r="C583" s="2" t="str">
        <f t="shared" si="19"/>
        <v>Q2</v>
      </c>
      <c r="D583" s="2" t="s">
        <v>31</v>
      </c>
      <c r="E583" s="13">
        <v>45891</v>
      </c>
      <c r="F583" s="14" t="s">
        <v>188</v>
      </c>
      <c r="G583" s="14" t="s">
        <v>187</v>
      </c>
      <c r="H583" s="14" t="s">
        <v>77</v>
      </c>
      <c r="I583" s="15">
        <v>1</v>
      </c>
      <c r="J583" s="15">
        <v>24</v>
      </c>
      <c r="K583" s="15">
        <v>204.85</v>
      </c>
      <c r="L583" s="15">
        <v>4916.4000000000005</v>
      </c>
      <c r="M583" s="15">
        <v>-378.07</v>
      </c>
      <c r="N583" s="15">
        <v>0</v>
      </c>
      <c r="O583" s="15">
        <v>589.98324500000001</v>
      </c>
      <c r="P583" s="15">
        <v>5128.3132450000003</v>
      </c>
    </row>
    <row r="584" spans="1:16" ht="15" x14ac:dyDescent="0.2">
      <c r="A584" s="4" t="s">
        <v>573</v>
      </c>
      <c r="B584" s="21" t="str">
        <f t="shared" si="18"/>
        <v>Aug-2025</v>
      </c>
      <c r="C584" s="2" t="str">
        <f t="shared" si="19"/>
        <v>Q2</v>
      </c>
      <c r="D584" s="2" t="s">
        <v>31</v>
      </c>
      <c r="E584" s="13">
        <v>45891</v>
      </c>
      <c r="F584" s="14" t="s">
        <v>188</v>
      </c>
      <c r="G584" s="14" t="s">
        <v>187</v>
      </c>
      <c r="H584" s="14" t="s">
        <v>136</v>
      </c>
      <c r="I584" s="15">
        <v>1</v>
      </c>
      <c r="J584" s="15">
        <v>40</v>
      </c>
      <c r="K584" s="15">
        <v>111.74</v>
      </c>
      <c r="L584" s="15">
        <v>4469.6000000000004</v>
      </c>
      <c r="M584" s="15">
        <v>-343.71</v>
      </c>
      <c r="N584" s="15">
        <v>0</v>
      </c>
      <c r="O584" s="15">
        <v>536.36601400000006</v>
      </c>
      <c r="P584" s="15">
        <v>4662.2560139999996</v>
      </c>
    </row>
    <row r="585" spans="1:16" ht="15" x14ac:dyDescent="0.2">
      <c r="A585" s="4" t="s">
        <v>585</v>
      </c>
      <c r="B585" s="21" t="str">
        <f t="shared" si="18"/>
        <v>Aug-2025</v>
      </c>
      <c r="C585" s="2" t="str">
        <f t="shared" si="19"/>
        <v>Q2</v>
      </c>
      <c r="D585" s="2" t="s">
        <v>31</v>
      </c>
      <c r="E585" s="13">
        <v>45891</v>
      </c>
      <c r="F585" s="14" t="s">
        <v>188</v>
      </c>
      <c r="G585" s="14" t="s">
        <v>187</v>
      </c>
      <c r="H585" s="14" t="s">
        <v>180</v>
      </c>
      <c r="I585" s="15">
        <v>1</v>
      </c>
      <c r="J585" s="15">
        <v>1000</v>
      </c>
      <c r="K585" s="15">
        <v>1.86</v>
      </c>
      <c r="L585" s="15">
        <v>1860</v>
      </c>
      <c r="M585" s="15">
        <v>-143.03</v>
      </c>
      <c r="N585" s="15">
        <v>0</v>
      </c>
      <c r="O585" s="15">
        <v>223.20623000000001</v>
      </c>
      <c r="P585" s="15">
        <v>1940.17623</v>
      </c>
    </row>
    <row r="586" spans="1:16" ht="15" x14ac:dyDescent="0.2">
      <c r="A586" s="4" t="s">
        <v>576</v>
      </c>
      <c r="B586" s="21" t="str">
        <f t="shared" si="18"/>
        <v>Aug-2025</v>
      </c>
      <c r="C586" s="2" t="str">
        <f t="shared" si="19"/>
        <v>Q2</v>
      </c>
      <c r="D586" s="2" t="s">
        <v>31</v>
      </c>
      <c r="E586" s="13">
        <v>45891</v>
      </c>
      <c r="F586" s="14" t="s">
        <v>188</v>
      </c>
      <c r="G586" s="14" t="s">
        <v>187</v>
      </c>
      <c r="H586" s="14" t="s">
        <v>124</v>
      </c>
      <c r="I586" s="15">
        <v>1</v>
      </c>
      <c r="J586" s="15">
        <v>20</v>
      </c>
      <c r="K586" s="15">
        <v>175.06</v>
      </c>
      <c r="L586" s="15">
        <v>3501.2</v>
      </c>
      <c r="M586" s="15">
        <v>-269.24</v>
      </c>
      <c r="N586" s="15">
        <v>0</v>
      </c>
      <c r="O586" s="15">
        <v>420.15504599999997</v>
      </c>
      <c r="P586" s="15">
        <v>3652.1150459999999</v>
      </c>
    </row>
    <row r="587" spans="1:16" ht="15" x14ac:dyDescent="0.2">
      <c r="A587" s="4" t="s">
        <v>573</v>
      </c>
      <c r="B587" s="21" t="str">
        <f t="shared" si="18"/>
        <v>Aug-2025</v>
      </c>
      <c r="C587" s="2" t="str">
        <f t="shared" si="19"/>
        <v>Q2</v>
      </c>
      <c r="D587" s="2" t="s">
        <v>31</v>
      </c>
      <c r="E587" s="13">
        <v>45891</v>
      </c>
      <c r="F587" s="14" t="s">
        <v>188</v>
      </c>
      <c r="G587" s="14" t="s">
        <v>187</v>
      </c>
      <c r="H587" s="14" t="s">
        <v>111</v>
      </c>
      <c r="I587" s="15">
        <v>2</v>
      </c>
      <c r="J587" s="15">
        <v>80</v>
      </c>
      <c r="K587" s="15">
        <v>111.74</v>
      </c>
      <c r="L587" s="15">
        <v>8939.2000000000007</v>
      </c>
      <c r="M587" s="15">
        <v>-687.42</v>
      </c>
      <c r="N587" s="15">
        <v>0</v>
      </c>
      <c r="O587" s="15">
        <v>1072.732027</v>
      </c>
      <c r="P587" s="15">
        <v>9324.5120270000007</v>
      </c>
    </row>
    <row r="588" spans="1:16" ht="15" x14ac:dyDescent="0.2">
      <c r="A588" s="4" t="s">
        <v>581</v>
      </c>
      <c r="B588" s="21" t="str">
        <f t="shared" si="18"/>
        <v>Aug-2025</v>
      </c>
      <c r="C588" s="2" t="str">
        <f t="shared" si="19"/>
        <v>Q2</v>
      </c>
      <c r="D588" s="2" t="s">
        <v>31</v>
      </c>
      <c r="E588" s="13">
        <v>45891</v>
      </c>
      <c r="F588" s="14" t="s">
        <v>188</v>
      </c>
      <c r="G588" s="14" t="s">
        <v>187</v>
      </c>
      <c r="H588" s="14" t="s">
        <v>66</v>
      </c>
      <c r="I588" s="15">
        <v>1</v>
      </c>
      <c r="J588" s="15">
        <v>24</v>
      </c>
      <c r="K588" s="15">
        <v>141.54</v>
      </c>
      <c r="L588" s="15">
        <v>3396.96</v>
      </c>
      <c r="M588" s="15">
        <v>-261.23</v>
      </c>
      <c r="N588" s="15">
        <v>0</v>
      </c>
      <c r="O588" s="15">
        <v>407.64513799999997</v>
      </c>
      <c r="P588" s="15">
        <v>3543.3751379999999</v>
      </c>
    </row>
    <row r="589" spans="1:16" ht="15" x14ac:dyDescent="0.2">
      <c r="A589" s="4" t="s">
        <v>579</v>
      </c>
      <c r="B589" s="21" t="str">
        <f t="shared" si="18"/>
        <v>Aug-2025</v>
      </c>
      <c r="C589" s="2" t="str">
        <f t="shared" si="19"/>
        <v>Q2</v>
      </c>
      <c r="D589" s="2" t="s">
        <v>31</v>
      </c>
      <c r="E589" s="13">
        <v>45891</v>
      </c>
      <c r="F589" s="14" t="s">
        <v>188</v>
      </c>
      <c r="G589" s="14" t="s">
        <v>187</v>
      </c>
      <c r="H589" s="14" t="s">
        <v>112</v>
      </c>
      <c r="I589" s="15">
        <v>1</v>
      </c>
      <c r="J589" s="15">
        <v>20</v>
      </c>
      <c r="K589" s="15">
        <v>204.85</v>
      </c>
      <c r="L589" s="15">
        <v>4097</v>
      </c>
      <c r="M589" s="15">
        <v>-315.06</v>
      </c>
      <c r="N589" s="15">
        <v>0</v>
      </c>
      <c r="O589" s="15">
        <v>491.65248699999995</v>
      </c>
      <c r="P589" s="15">
        <v>4273.5924869999999</v>
      </c>
    </row>
    <row r="590" spans="1:16" ht="15" x14ac:dyDescent="0.2">
      <c r="A590" s="4" t="s">
        <v>576</v>
      </c>
      <c r="B590" s="21" t="str">
        <f t="shared" si="18"/>
        <v>Aug-2025</v>
      </c>
      <c r="C590" s="2" t="str">
        <f t="shared" si="19"/>
        <v>Q2</v>
      </c>
      <c r="D590" s="2" t="s">
        <v>31</v>
      </c>
      <c r="E590" s="13">
        <v>45891</v>
      </c>
      <c r="F590" s="14" t="s">
        <v>188</v>
      </c>
      <c r="G590" s="14" t="s">
        <v>187</v>
      </c>
      <c r="H590" s="14" t="s">
        <v>123</v>
      </c>
      <c r="I590" s="15">
        <v>2</v>
      </c>
      <c r="J590" s="15">
        <v>40</v>
      </c>
      <c r="K590" s="15">
        <v>175.06</v>
      </c>
      <c r="L590" s="15">
        <v>7002.4</v>
      </c>
      <c r="M590" s="15">
        <v>-538.48</v>
      </c>
      <c r="N590" s="15">
        <v>0</v>
      </c>
      <c r="O590" s="15">
        <v>840.31009100000006</v>
      </c>
      <c r="P590" s="15">
        <v>7304.2300910000004</v>
      </c>
    </row>
    <row r="591" spans="1:16" ht="15" x14ac:dyDescent="0.2">
      <c r="A591" s="4" t="s">
        <v>576</v>
      </c>
      <c r="B591" s="21" t="str">
        <f t="shared" si="18"/>
        <v>Aug-2025</v>
      </c>
      <c r="C591" s="2" t="str">
        <f t="shared" si="19"/>
        <v>Q2</v>
      </c>
      <c r="D591" s="2" t="s">
        <v>31</v>
      </c>
      <c r="E591" s="13">
        <v>45891</v>
      </c>
      <c r="F591" s="14" t="s">
        <v>188</v>
      </c>
      <c r="G591" s="14" t="s">
        <v>187</v>
      </c>
      <c r="H591" s="14" t="s">
        <v>110</v>
      </c>
      <c r="I591" s="15">
        <v>1</v>
      </c>
      <c r="J591" s="15">
        <v>20</v>
      </c>
      <c r="K591" s="15">
        <v>175.06</v>
      </c>
      <c r="L591" s="15">
        <v>3501.2</v>
      </c>
      <c r="M591" s="15">
        <v>-269.24</v>
      </c>
      <c r="N591" s="15">
        <v>0</v>
      </c>
      <c r="O591" s="15">
        <v>420.15504599999997</v>
      </c>
      <c r="P591" s="15">
        <v>3652.1150459999999</v>
      </c>
    </row>
    <row r="592" spans="1:16" ht="15" x14ac:dyDescent="0.2">
      <c r="A592" s="4" t="s">
        <v>582</v>
      </c>
      <c r="B592" s="21" t="str">
        <f t="shared" si="18"/>
        <v>Aug-2025</v>
      </c>
      <c r="C592" s="2" t="str">
        <f t="shared" si="19"/>
        <v>Q2</v>
      </c>
      <c r="D592" s="2" t="s">
        <v>31</v>
      </c>
      <c r="E592" s="13">
        <v>45891</v>
      </c>
      <c r="F592" s="14" t="s">
        <v>188</v>
      </c>
      <c r="G592" s="14" t="s">
        <v>187</v>
      </c>
      <c r="H592" s="14" t="s">
        <v>108</v>
      </c>
      <c r="I592" s="15">
        <v>1</v>
      </c>
      <c r="J592" s="15">
        <v>24</v>
      </c>
      <c r="K592" s="15">
        <v>186.23</v>
      </c>
      <c r="L592" s="15">
        <v>4469.5200000000004</v>
      </c>
      <c r="M592" s="15">
        <v>-343.71</v>
      </c>
      <c r="N592" s="15">
        <v>0</v>
      </c>
      <c r="O592" s="15">
        <v>536.35561400000006</v>
      </c>
      <c r="P592" s="15">
        <v>4662.1656139999996</v>
      </c>
    </row>
    <row r="593" spans="1:16" ht="15" x14ac:dyDescent="0.2">
      <c r="A593" s="4" t="s">
        <v>589</v>
      </c>
      <c r="B593" s="21" t="str">
        <f t="shared" si="18"/>
        <v>Aug-2025</v>
      </c>
      <c r="C593" s="2" t="str">
        <f t="shared" si="19"/>
        <v>Q2</v>
      </c>
      <c r="D593" s="2" t="s">
        <v>31</v>
      </c>
      <c r="E593" s="13">
        <v>45893</v>
      </c>
      <c r="F593" s="14" t="s">
        <v>189</v>
      </c>
      <c r="G593" s="14" t="s">
        <v>130</v>
      </c>
      <c r="H593" s="14" t="s">
        <v>105</v>
      </c>
      <c r="I593" s="15">
        <v>5</v>
      </c>
      <c r="J593" s="15">
        <v>150</v>
      </c>
      <c r="K593" s="15">
        <v>316.58999999999997</v>
      </c>
      <c r="L593" s="15">
        <v>47488.5</v>
      </c>
      <c r="M593" s="15">
        <v>-3651.87</v>
      </c>
      <c r="N593" s="15">
        <v>0</v>
      </c>
      <c r="O593" s="15">
        <v>5698.7599999999993</v>
      </c>
      <c r="P593" s="15">
        <v>49535.39</v>
      </c>
    </row>
    <row r="594" spans="1:16" ht="15" x14ac:dyDescent="0.2">
      <c r="A594" s="4" t="s">
        <v>573</v>
      </c>
      <c r="B594" s="21" t="str">
        <f t="shared" si="18"/>
        <v>Aug-2025</v>
      </c>
      <c r="C594" s="2" t="str">
        <f t="shared" si="19"/>
        <v>Q2</v>
      </c>
      <c r="D594" s="2" t="s">
        <v>31</v>
      </c>
      <c r="E594" s="13">
        <v>45893</v>
      </c>
      <c r="F594" s="14" t="s">
        <v>190</v>
      </c>
      <c r="G594" s="14" t="s">
        <v>21</v>
      </c>
      <c r="H594" s="14" t="s">
        <v>111</v>
      </c>
      <c r="I594" s="15">
        <v>10</v>
      </c>
      <c r="J594" s="15">
        <v>400</v>
      </c>
      <c r="K594" s="15">
        <v>111.74</v>
      </c>
      <c r="L594" s="15">
        <v>44696</v>
      </c>
      <c r="M594" s="15">
        <v>-3437.12</v>
      </c>
      <c r="N594" s="15">
        <v>0</v>
      </c>
      <c r="O594" s="15">
        <v>5363.6500000000005</v>
      </c>
      <c r="P594" s="15">
        <v>46622.53</v>
      </c>
    </row>
    <row r="595" spans="1:16" ht="15" x14ac:dyDescent="0.2">
      <c r="A595" s="4" t="s">
        <v>585</v>
      </c>
      <c r="B595" s="21" t="str">
        <f t="shared" si="18"/>
        <v>Aug-2025</v>
      </c>
      <c r="C595" s="2" t="str">
        <f t="shared" si="19"/>
        <v>Q2</v>
      </c>
      <c r="D595" s="2" t="s">
        <v>31</v>
      </c>
      <c r="E595" s="13">
        <v>45893</v>
      </c>
      <c r="F595" s="14" t="s">
        <v>191</v>
      </c>
      <c r="G595" s="14" t="s">
        <v>80</v>
      </c>
      <c r="H595" s="14" t="s">
        <v>180</v>
      </c>
      <c r="I595" s="15">
        <v>1</v>
      </c>
      <c r="J595" s="15">
        <v>1000</v>
      </c>
      <c r="K595" s="15">
        <v>1.76</v>
      </c>
      <c r="L595" s="15">
        <v>1760</v>
      </c>
      <c r="M595" s="15">
        <v>0</v>
      </c>
      <c r="N595" s="15">
        <v>0</v>
      </c>
      <c r="O595" s="15">
        <v>228.8</v>
      </c>
      <c r="P595" s="15">
        <v>1988.8</v>
      </c>
    </row>
    <row r="596" spans="1:16" ht="15" x14ac:dyDescent="0.2">
      <c r="A596" s="4" t="s">
        <v>577</v>
      </c>
      <c r="B596" s="21" t="str">
        <f t="shared" si="18"/>
        <v>Aug-2025</v>
      </c>
      <c r="C596" s="2" t="str">
        <f t="shared" si="19"/>
        <v>Q2</v>
      </c>
      <c r="D596" s="2" t="s">
        <v>31</v>
      </c>
      <c r="E596" s="13">
        <v>45893</v>
      </c>
      <c r="F596" s="14" t="s">
        <v>191</v>
      </c>
      <c r="G596" s="14" t="s">
        <v>80</v>
      </c>
      <c r="H596" s="14" t="s">
        <v>57</v>
      </c>
      <c r="I596" s="15">
        <v>2</v>
      </c>
      <c r="J596" s="15">
        <v>360</v>
      </c>
      <c r="K596" s="15">
        <v>15.35</v>
      </c>
      <c r="L596" s="15">
        <v>5526.0000000000009</v>
      </c>
      <c r="M596" s="15">
        <v>0</v>
      </c>
      <c r="N596" s="15">
        <v>0</v>
      </c>
      <c r="O596" s="15">
        <v>718.38</v>
      </c>
      <c r="P596" s="15">
        <v>6244.38</v>
      </c>
    </row>
    <row r="597" spans="1:16" ht="15" x14ac:dyDescent="0.2">
      <c r="A597" s="4" t="s">
        <v>589</v>
      </c>
      <c r="B597" s="21" t="str">
        <f t="shared" si="18"/>
        <v>Aug-2025</v>
      </c>
      <c r="C597" s="2" t="str">
        <f t="shared" si="19"/>
        <v>Q2</v>
      </c>
      <c r="D597" s="2" t="s">
        <v>31</v>
      </c>
      <c r="E597" s="13">
        <v>45894</v>
      </c>
      <c r="F597" s="14" t="s">
        <v>192</v>
      </c>
      <c r="G597" s="14" t="s">
        <v>15</v>
      </c>
      <c r="H597" s="14" t="s">
        <v>98</v>
      </c>
      <c r="I597" s="15">
        <v>1</v>
      </c>
      <c r="J597" s="15">
        <v>60</v>
      </c>
      <c r="K597" s="15">
        <v>145.26</v>
      </c>
      <c r="L597" s="15">
        <v>8715.6</v>
      </c>
      <c r="M597" s="15">
        <v>-670.23</v>
      </c>
      <c r="N597" s="15">
        <v>0</v>
      </c>
      <c r="O597" s="15">
        <v>1045.897856</v>
      </c>
      <c r="P597" s="15">
        <v>9091.2678560000004</v>
      </c>
    </row>
    <row r="598" spans="1:16" ht="15" x14ac:dyDescent="0.2">
      <c r="A598" s="4" t="s">
        <v>588</v>
      </c>
      <c r="B598" s="21" t="str">
        <f t="shared" si="18"/>
        <v>Aug-2025</v>
      </c>
      <c r="C598" s="2" t="str">
        <f t="shared" si="19"/>
        <v>Q2</v>
      </c>
      <c r="D598" s="2" t="s">
        <v>31</v>
      </c>
      <c r="E598" s="13">
        <v>45894</v>
      </c>
      <c r="F598" s="14" t="s">
        <v>192</v>
      </c>
      <c r="G598" s="14" t="s">
        <v>15</v>
      </c>
      <c r="H598" s="14" t="s">
        <v>95</v>
      </c>
      <c r="I598" s="15">
        <v>1</v>
      </c>
      <c r="J598" s="15">
        <v>60</v>
      </c>
      <c r="K598" s="15">
        <v>111.74</v>
      </c>
      <c r="L598" s="15">
        <v>6704.4</v>
      </c>
      <c r="M598" s="15">
        <v>-515.57000000000005</v>
      </c>
      <c r="N598" s="15">
        <v>0</v>
      </c>
      <c r="O598" s="15">
        <v>804.54771200000005</v>
      </c>
      <c r="P598" s="15">
        <v>6993.3777120000004</v>
      </c>
    </row>
    <row r="599" spans="1:16" ht="15" x14ac:dyDescent="0.2">
      <c r="A599" s="4" t="s">
        <v>584</v>
      </c>
      <c r="B599" s="21" t="str">
        <f t="shared" si="18"/>
        <v>Aug-2025</v>
      </c>
      <c r="C599" s="2" t="str">
        <f t="shared" si="19"/>
        <v>Q2</v>
      </c>
      <c r="D599" s="2" t="s">
        <v>31</v>
      </c>
      <c r="E599" s="13">
        <v>45894</v>
      </c>
      <c r="F599" s="14" t="s">
        <v>192</v>
      </c>
      <c r="G599" s="14" t="s">
        <v>15</v>
      </c>
      <c r="H599" s="14" t="s">
        <v>100</v>
      </c>
      <c r="I599" s="15">
        <v>1</v>
      </c>
      <c r="J599" s="15">
        <v>40</v>
      </c>
      <c r="K599" s="15">
        <v>81.94</v>
      </c>
      <c r="L599" s="15">
        <v>3277.6</v>
      </c>
      <c r="M599" s="15">
        <v>-252.05</v>
      </c>
      <c r="N599" s="15">
        <v>0</v>
      </c>
      <c r="O599" s="15">
        <v>393.32140800000002</v>
      </c>
      <c r="P599" s="15">
        <v>3418.871408</v>
      </c>
    </row>
    <row r="600" spans="1:16" ht="15" x14ac:dyDescent="0.2">
      <c r="A600" s="4" t="s">
        <v>589</v>
      </c>
      <c r="B600" s="21" t="str">
        <f t="shared" si="18"/>
        <v>Aug-2025</v>
      </c>
      <c r="C600" s="2" t="str">
        <f t="shared" si="19"/>
        <v>Q2</v>
      </c>
      <c r="D600" s="2" t="s">
        <v>31</v>
      </c>
      <c r="E600" s="13">
        <v>45894</v>
      </c>
      <c r="F600" s="14" t="s">
        <v>192</v>
      </c>
      <c r="G600" s="14" t="s">
        <v>15</v>
      </c>
      <c r="H600" s="14" t="s">
        <v>105</v>
      </c>
      <c r="I600" s="15">
        <v>1</v>
      </c>
      <c r="J600" s="15">
        <v>30</v>
      </c>
      <c r="K600" s="15">
        <v>316.58999999999997</v>
      </c>
      <c r="L600" s="15">
        <v>9497.6999999999989</v>
      </c>
      <c r="M600" s="15">
        <v>-730.36999999999989</v>
      </c>
      <c r="N600" s="15">
        <v>0</v>
      </c>
      <c r="O600" s="15">
        <v>1139.7526339999999</v>
      </c>
      <c r="P600" s="15">
        <v>9907.0826340000003</v>
      </c>
    </row>
    <row r="601" spans="1:16" ht="15" x14ac:dyDescent="0.2">
      <c r="A601" s="4" t="s">
        <v>584</v>
      </c>
      <c r="B601" s="21" t="str">
        <f t="shared" si="18"/>
        <v>Aug-2025</v>
      </c>
      <c r="C601" s="2" t="str">
        <f t="shared" si="19"/>
        <v>Q2</v>
      </c>
      <c r="D601" s="2" t="s">
        <v>31</v>
      </c>
      <c r="E601" s="13">
        <v>45894</v>
      </c>
      <c r="F601" s="14" t="s">
        <v>192</v>
      </c>
      <c r="G601" s="14" t="s">
        <v>15</v>
      </c>
      <c r="H601" s="14" t="s">
        <v>120</v>
      </c>
      <c r="I601" s="15">
        <v>1</v>
      </c>
      <c r="J601" s="15">
        <v>40</v>
      </c>
      <c r="K601" s="15">
        <v>81.94</v>
      </c>
      <c r="L601" s="15">
        <v>3277.6</v>
      </c>
      <c r="M601" s="15">
        <v>-252.05</v>
      </c>
      <c r="N601" s="15">
        <v>0</v>
      </c>
      <c r="O601" s="15">
        <v>393.32140800000002</v>
      </c>
      <c r="P601" s="15">
        <v>3418.871408</v>
      </c>
    </row>
    <row r="602" spans="1:16" ht="15" x14ac:dyDescent="0.2">
      <c r="A602" s="4" t="s">
        <v>590</v>
      </c>
      <c r="B602" s="21" t="str">
        <f t="shared" si="18"/>
        <v>Aug-2025</v>
      </c>
      <c r="C602" s="2" t="str">
        <f t="shared" si="19"/>
        <v>Q2</v>
      </c>
      <c r="D602" s="2" t="s">
        <v>31</v>
      </c>
      <c r="E602" s="13">
        <v>45894</v>
      </c>
      <c r="F602" s="14" t="s">
        <v>192</v>
      </c>
      <c r="G602" s="14" t="s">
        <v>15</v>
      </c>
      <c r="H602" s="14" t="s">
        <v>102</v>
      </c>
      <c r="I602" s="15">
        <v>1</v>
      </c>
      <c r="J602" s="15">
        <v>20</v>
      </c>
      <c r="K602" s="15">
        <v>249.55</v>
      </c>
      <c r="L602" s="15">
        <v>4991</v>
      </c>
      <c r="M602" s="15">
        <v>-383.81</v>
      </c>
      <c r="N602" s="15">
        <v>0</v>
      </c>
      <c r="O602" s="15">
        <v>598.93456000000003</v>
      </c>
      <c r="P602" s="15">
        <v>5206.1245600000002</v>
      </c>
    </row>
    <row r="603" spans="1:16" ht="15" x14ac:dyDescent="0.2">
      <c r="A603" s="4" t="s">
        <v>579</v>
      </c>
      <c r="B603" s="21" t="str">
        <f t="shared" si="18"/>
        <v>Aug-2025</v>
      </c>
      <c r="C603" s="2" t="str">
        <f t="shared" si="19"/>
        <v>Q2</v>
      </c>
      <c r="D603" s="2" t="s">
        <v>31</v>
      </c>
      <c r="E603" s="13">
        <v>45894</v>
      </c>
      <c r="F603" s="14" t="s">
        <v>192</v>
      </c>
      <c r="G603" s="14" t="s">
        <v>15</v>
      </c>
      <c r="H603" s="14" t="s">
        <v>70</v>
      </c>
      <c r="I603" s="15">
        <v>1</v>
      </c>
      <c r="J603" s="15">
        <v>20</v>
      </c>
      <c r="K603" s="15">
        <v>201.13</v>
      </c>
      <c r="L603" s="15">
        <v>4022.6</v>
      </c>
      <c r="M603" s="15">
        <v>-309.33999999999997</v>
      </c>
      <c r="N603" s="15">
        <v>0</v>
      </c>
      <c r="O603" s="15">
        <v>482.72368699999998</v>
      </c>
      <c r="P603" s="15">
        <v>4195.9836869999999</v>
      </c>
    </row>
    <row r="604" spans="1:16" ht="15" x14ac:dyDescent="0.2">
      <c r="A604" s="4" t="s">
        <v>591</v>
      </c>
      <c r="B604" s="21" t="str">
        <f t="shared" si="18"/>
        <v>Aug-2025</v>
      </c>
      <c r="C604" s="2" t="str">
        <f t="shared" si="19"/>
        <v>Q2</v>
      </c>
      <c r="D604" s="2" t="s">
        <v>31</v>
      </c>
      <c r="E604" s="13">
        <v>45894</v>
      </c>
      <c r="F604" s="14" t="s">
        <v>192</v>
      </c>
      <c r="G604" s="14" t="s">
        <v>15</v>
      </c>
      <c r="H604" s="14" t="s">
        <v>106</v>
      </c>
      <c r="I604" s="15">
        <v>1</v>
      </c>
      <c r="J604" s="15">
        <v>60</v>
      </c>
      <c r="K604" s="15">
        <v>111.74</v>
      </c>
      <c r="L604" s="15">
        <v>6704.4</v>
      </c>
      <c r="M604" s="15">
        <v>-515.57000000000005</v>
      </c>
      <c r="N604" s="15">
        <v>0</v>
      </c>
      <c r="O604" s="15">
        <v>804.54771200000005</v>
      </c>
      <c r="P604" s="15">
        <v>6993.3777120000004</v>
      </c>
    </row>
    <row r="605" spans="1:16" ht="15" x14ac:dyDescent="0.2">
      <c r="A605" s="4" t="s">
        <v>581</v>
      </c>
      <c r="B605" s="21" t="str">
        <f t="shared" si="18"/>
        <v>Aug-2025</v>
      </c>
      <c r="C605" s="2" t="str">
        <f t="shared" si="19"/>
        <v>Q2</v>
      </c>
      <c r="D605" s="2" t="s">
        <v>31</v>
      </c>
      <c r="E605" s="13">
        <v>45894</v>
      </c>
      <c r="F605" s="14" t="s">
        <v>192</v>
      </c>
      <c r="G605" s="14" t="s">
        <v>15</v>
      </c>
      <c r="H605" s="14" t="s">
        <v>125</v>
      </c>
      <c r="I605" s="15">
        <v>1</v>
      </c>
      <c r="J605" s="15">
        <v>800</v>
      </c>
      <c r="K605" s="15">
        <v>7.45</v>
      </c>
      <c r="L605" s="15">
        <v>5960</v>
      </c>
      <c r="M605" s="15">
        <v>-458.32</v>
      </c>
      <c r="N605" s="15">
        <v>0</v>
      </c>
      <c r="O605" s="15">
        <v>715.21823299999994</v>
      </c>
      <c r="P605" s="15">
        <v>6216.8982329999999</v>
      </c>
    </row>
    <row r="606" spans="1:16" ht="15" x14ac:dyDescent="0.2">
      <c r="A606" s="4" t="s">
        <v>581</v>
      </c>
      <c r="B606" s="21" t="str">
        <f t="shared" si="18"/>
        <v>Aug-2025</v>
      </c>
      <c r="C606" s="2" t="str">
        <f t="shared" si="19"/>
        <v>Q2</v>
      </c>
      <c r="D606" s="2" t="s">
        <v>31</v>
      </c>
      <c r="E606" s="13">
        <v>45894</v>
      </c>
      <c r="F606" s="14" t="s">
        <v>192</v>
      </c>
      <c r="G606" s="14" t="s">
        <v>15</v>
      </c>
      <c r="H606" s="14" t="s">
        <v>97</v>
      </c>
      <c r="I606" s="15">
        <v>1</v>
      </c>
      <c r="J606" s="15">
        <v>40</v>
      </c>
      <c r="K606" s="15">
        <v>67.040000000000006</v>
      </c>
      <c r="L606" s="15">
        <v>2681.6</v>
      </c>
      <c r="M606" s="15">
        <v>-206.22</v>
      </c>
      <c r="N606" s="15">
        <v>0</v>
      </c>
      <c r="O606" s="15">
        <v>321.79932500000001</v>
      </c>
      <c r="P606" s="15">
        <v>2797.1793250000001</v>
      </c>
    </row>
    <row r="607" spans="1:16" ht="15" x14ac:dyDescent="0.2">
      <c r="A607" s="4" t="s">
        <v>573</v>
      </c>
      <c r="B607" s="21" t="str">
        <f t="shared" si="18"/>
        <v>Aug-2025</v>
      </c>
      <c r="C607" s="2" t="str">
        <f t="shared" si="19"/>
        <v>Q2</v>
      </c>
      <c r="D607" s="2" t="s">
        <v>31</v>
      </c>
      <c r="E607" s="13">
        <v>45894</v>
      </c>
      <c r="F607" s="14" t="s">
        <v>192</v>
      </c>
      <c r="G607" s="14" t="s">
        <v>15</v>
      </c>
      <c r="H607" s="14" t="s">
        <v>47</v>
      </c>
      <c r="I607" s="15">
        <v>1</v>
      </c>
      <c r="J607" s="15">
        <v>40</v>
      </c>
      <c r="K607" s="15">
        <v>111.74</v>
      </c>
      <c r="L607" s="15">
        <v>4469.6000000000004</v>
      </c>
      <c r="M607" s="15">
        <v>-343.71</v>
      </c>
      <c r="N607" s="15">
        <v>0</v>
      </c>
      <c r="O607" s="15">
        <v>536.36557499999992</v>
      </c>
      <c r="P607" s="15">
        <v>4662.2555750000001</v>
      </c>
    </row>
    <row r="608" spans="1:16" ht="15" x14ac:dyDescent="0.2">
      <c r="A608" s="4" t="s">
        <v>586</v>
      </c>
      <c r="B608" s="21" t="str">
        <f t="shared" si="18"/>
        <v>Aug-2025</v>
      </c>
      <c r="C608" s="2" t="str">
        <f t="shared" si="19"/>
        <v>Q2</v>
      </c>
      <c r="D608" s="2" t="s">
        <v>31</v>
      </c>
      <c r="E608" s="13">
        <v>45894</v>
      </c>
      <c r="F608" s="14" t="s">
        <v>192</v>
      </c>
      <c r="G608" s="14" t="s">
        <v>15</v>
      </c>
      <c r="H608" s="14" t="s">
        <v>103</v>
      </c>
      <c r="I608" s="15">
        <v>1</v>
      </c>
      <c r="J608" s="15">
        <v>600</v>
      </c>
      <c r="K608" s="15">
        <v>7.45</v>
      </c>
      <c r="L608" s="15">
        <v>4470</v>
      </c>
      <c r="M608" s="15">
        <v>-343.74</v>
      </c>
      <c r="N608" s="15">
        <v>0</v>
      </c>
      <c r="O608" s="15">
        <v>536.41367500000001</v>
      </c>
      <c r="P608" s="15">
        <v>4662.673675</v>
      </c>
    </row>
    <row r="609" spans="1:16" ht="15" x14ac:dyDescent="0.2">
      <c r="A609" s="4" t="s">
        <v>580</v>
      </c>
      <c r="B609" s="21" t="str">
        <f t="shared" si="18"/>
        <v>Aug-2025</v>
      </c>
      <c r="C609" s="2" t="str">
        <f t="shared" si="19"/>
        <v>Q2</v>
      </c>
      <c r="D609" s="2" t="s">
        <v>31</v>
      </c>
      <c r="E609" s="13">
        <v>45894</v>
      </c>
      <c r="F609" s="14" t="s">
        <v>192</v>
      </c>
      <c r="G609" s="14" t="s">
        <v>15</v>
      </c>
      <c r="H609" s="14" t="s">
        <v>65</v>
      </c>
      <c r="I609" s="15">
        <v>1</v>
      </c>
      <c r="J609" s="15">
        <v>130</v>
      </c>
      <c r="K609" s="15">
        <v>37.25</v>
      </c>
      <c r="L609" s="15">
        <v>4842.5</v>
      </c>
      <c r="M609" s="15">
        <v>-372.39</v>
      </c>
      <c r="N609" s="15">
        <v>0</v>
      </c>
      <c r="O609" s="15">
        <v>581.11416399999996</v>
      </c>
      <c r="P609" s="15">
        <v>5051.2241640000002</v>
      </c>
    </row>
    <row r="610" spans="1:16" ht="15" x14ac:dyDescent="0.2">
      <c r="A610" s="4" t="s">
        <v>581</v>
      </c>
      <c r="B610" s="21" t="str">
        <f t="shared" si="18"/>
        <v>Aug-2025</v>
      </c>
      <c r="C610" s="2" t="str">
        <f t="shared" si="19"/>
        <v>Q2</v>
      </c>
      <c r="D610" s="2" t="s">
        <v>31</v>
      </c>
      <c r="E610" s="13">
        <v>45894</v>
      </c>
      <c r="F610" s="14" t="s">
        <v>192</v>
      </c>
      <c r="G610" s="14" t="s">
        <v>15</v>
      </c>
      <c r="H610" s="14" t="s">
        <v>104</v>
      </c>
      <c r="I610" s="15">
        <v>1</v>
      </c>
      <c r="J610" s="15">
        <v>40</v>
      </c>
      <c r="K610" s="15">
        <v>67.040000000000006</v>
      </c>
      <c r="L610" s="15">
        <v>2681.6</v>
      </c>
      <c r="M610" s="15">
        <v>-206.22</v>
      </c>
      <c r="N610" s="15">
        <v>0</v>
      </c>
      <c r="O610" s="15">
        <v>321.79932500000001</v>
      </c>
      <c r="P610" s="15">
        <v>2797.1793250000001</v>
      </c>
    </row>
    <row r="611" spans="1:16" ht="15" x14ac:dyDescent="0.2">
      <c r="A611" s="4" t="s">
        <v>593</v>
      </c>
      <c r="B611" s="21" t="str">
        <f t="shared" si="18"/>
        <v>Aug-2025</v>
      </c>
      <c r="C611" s="2" t="str">
        <f t="shared" si="19"/>
        <v>Q2</v>
      </c>
      <c r="D611" s="2" t="s">
        <v>31</v>
      </c>
      <c r="E611" s="13">
        <v>45894</v>
      </c>
      <c r="F611" s="14" t="s">
        <v>192</v>
      </c>
      <c r="G611" s="14" t="s">
        <v>15</v>
      </c>
      <c r="H611" s="14" t="s">
        <v>117</v>
      </c>
      <c r="I611" s="15">
        <v>1</v>
      </c>
      <c r="J611" s="15">
        <v>4</v>
      </c>
      <c r="K611" s="15">
        <v>595.94000000000005</v>
      </c>
      <c r="L611" s="15">
        <v>2383.7600000000002</v>
      </c>
      <c r="M611" s="15">
        <v>-183.31</v>
      </c>
      <c r="N611" s="15">
        <v>0</v>
      </c>
      <c r="O611" s="15">
        <v>286.05843299999998</v>
      </c>
      <c r="P611" s="15">
        <v>2486.508433</v>
      </c>
    </row>
    <row r="612" spans="1:16" ht="15" x14ac:dyDescent="0.2">
      <c r="A612" s="4" t="s">
        <v>587</v>
      </c>
      <c r="B612" s="21" t="str">
        <f t="shared" si="18"/>
        <v>Aug-2025</v>
      </c>
      <c r="C612" s="2" t="str">
        <f t="shared" si="19"/>
        <v>Q2</v>
      </c>
      <c r="D612" s="2" t="s">
        <v>31</v>
      </c>
      <c r="E612" s="13">
        <v>45894</v>
      </c>
      <c r="F612" s="14" t="s">
        <v>192</v>
      </c>
      <c r="G612" s="14" t="s">
        <v>15</v>
      </c>
      <c r="H612" s="14" t="s">
        <v>94</v>
      </c>
      <c r="I612" s="15">
        <v>1</v>
      </c>
      <c r="J612" s="15">
        <v>60</v>
      </c>
      <c r="K612" s="15">
        <v>111.74</v>
      </c>
      <c r="L612" s="15">
        <v>6704.4</v>
      </c>
      <c r="M612" s="15">
        <v>-515.57000000000005</v>
      </c>
      <c r="N612" s="15">
        <v>0</v>
      </c>
      <c r="O612" s="15">
        <v>804.54771200000005</v>
      </c>
      <c r="P612" s="15">
        <v>6993.3777120000004</v>
      </c>
    </row>
    <row r="613" spans="1:16" ht="15" x14ac:dyDescent="0.2">
      <c r="A613" s="4" t="s">
        <v>584</v>
      </c>
      <c r="B613" s="21" t="str">
        <f t="shared" si="18"/>
        <v>Aug-2025</v>
      </c>
      <c r="C613" s="2" t="str">
        <f t="shared" si="19"/>
        <v>Q2</v>
      </c>
      <c r="D613" s="2" t="s">
        <v>31</v>
      </c>
      <c r="E613" s="13">
        <v>45894</v>
      </c>
      <c r="F613" s="14" t="s">
        <v>192</v>
      </c>
      <c r="G613" s="14" t="s">
        <v>15</v>
      </c>
      <c r="H613" s="14" t="s">
        <v>99</v>
      </c>
      <c r="I613" s="15">
        <v>1</v>
      </c>
      <c r="J613" s="15">
        <v>40</v>
      </c>
      <c r="K613" s="15">
        <v>81.94</v>
      </c>
      <c r="L613" s="15">
        <v>3277.6</v>
      </c>
      <c r="M613" s="15">
        <v>-252.05</v>
      </c>
      <c r="N613" s="15">
        <v>0</v>
      </c>
      <c r="O613" s="15">
        <v>393.32140800000002</v>
      </c>
      <c r="P613" s="15">
        <v>3418.871408</v>
      </c>
    </row>
    <row r="614" spans="1:16" ht="15" x14ac:dyDescent="0.2">
      <c r="A614" s="4" t="s">
        <v>582</v>
      </c>
      <c r="B614" s="21" t="str">
        <f t="shared" si="18"/>
        <v>Aug-2025</v>
      </c>
      <c r="C614" s="2" t="str">
        <f t="shared" si="19"/>
        <v>Q2</v>
      </c>
      <c r="D614" s="2" t="s">
        <v>31</v>
      </c>
      <c r="E614" s="13">
        <v>45894</v>
      </c>
      <c r="F614" s="14" t="s">
        <v>192</v>
      </c>
      <c r="G614" s="14" t="s">
        <v>15</v>
      </c>
      <c r="H614" s="14" t="s">
        <v>101</v>
      </c>
      <c r="I614" s="15">
        <v>1</v>
      </c>
      <c r="J614" s="15">
        <v>24</v>
      </c>
      <c r="K614" s="15">
        <v>186.23</v>
      </c>
      <c r="L614" s="15">
        <v>4469.5200000000004</v>
      </c>
      <c r="M614" s="15">
        <v>-343.71</v>
      </c>
      <c r="N614" s="15">
        <v>0</v>
      </c>
      <c r="O614" s="15">
        <v>536.35517499999992</v>
      </c>
      <c r="P614" s="15">
        <v>4662.1651750000001</v>
      </c>
    </row>
    <row r="615" spans="1:16" ht="15" x14ac:dyDescent="0.2">
      <c r="A615" s="4" t="s">
        <v>574</v>
      </c>
      <c r="B615" s="21" t="str">
        <f t="shared" si="18"/>
        <v>Aug-2025</v>
      </c>
      <c r="C615" s="2" t="str">
        <f t="shared" si="19"/>
        <v>Q2</v>
      </c>
      <c r="D615" s="2" t="s">
        <v>31</v>
      </c>
      <c r="E615" s="13">
        <v>45894</v>
      </c>
      <c r="F615" s="14" t="s">
        <v>193</v>
      </c>
      <c r="G615" s="14" t="s">
        <v>15</v>
      </c>
      <c r="H615" s="14" t="s">
        <v>85</v>
      </c>
      <c r="I615" s="15">
        <v>1</v>
      </c>
      <c r="J615" s="15">
        <v>18</v>
      </c>
      <c r="K615" s="15">
        <v>178.78</v>
      </c>
      <c r="L615" s="15">
        <v>3218.0400000000004</v>
      </c>
      <c r="M615" s="15">
        <v>-247.47</v>
      </c>
      <c r="N615" s="15">
        <v>0</v>
      </c>
      <c r="O615" s="15">
        <v>386.17437800000005</v>
      </c>
      <c r="P615" s="15">
        <v>3356.7443779999999</v>
      </c>
    </row>
    <row r="616" spans="1:16" ht="15" x14ac:dyDescent="0.2">
      <c r="A616" s="4" t="s">
        <v>582</v>
      </c>
      <c r="B616" s="21" t="str">
        <f t="shared" si="18"/>
        <v>Aug-2025</v>
      </c>
      <c r="C616" s="2" t="str">
        <f t="shared" si="19"/>
        <v>Q2</v>
      </c>
      <c r="D616" s="2" t="s">
        <v>31</v>
      </c>
      <c r="E616" s="13">
        <v>45894</v>
      </c>
      <c r="F616" s="14" t="s">
        <v>193</v>
      </c>
      <c r="G616" s="14" t="s">
        <v>15</v>
      </c>
      <c r="H616" s="14" t="s">
        <v>77</v>
      </c>
      <c r="I616" s="15">
        <v>1</v>
      </c>
      <c r="J616" s="15">
        <v>24</v>
      </c>
      <c r="K616" s="15">
        <v>204.85</v>
      </c>
      <c r="L616" s="15">
        <v>4916.4000000000005</v>
      </c>
      <c r="M616" s="15">
        <v>-378.07</v>
      </c>
      <c r="N616" s="15">
        <v>0</v>
      </c>
      <c r="O616" s="15">
        <v>589.98332400000004</v>
      </c>
      <c r="P616" s="15">
        <v>5128.3133239999997</v>
      </c>
    </row>
    <row r="617" spans="1:16" ht="15" x14ac:dyDescent="0.2">
      <c r="A617" s="4" t="s">
        <v>576</v>
      </c>
      <c r="B617" s="21" t="str">
        <f t="shared" si="18"/>
        <v>Aug-2025</v>
      </c>
      <c r="C617" s="2" t="str">
        <f t="shared" si="19"/>
        <v>Q2</v>
      </c>
      <c r="D617" s="2" t="s">
        <v>31</v>
      </c>
      <c r="E617" s="13">
        <v>45894</v>
      </c>
      <c r="F617" s="14" t="s">
        <v>193</v>
      </c>
      <c r="G617" s="14" t="s">
        <v>15</v>
      </c>
      <c r="H617" s="14" t="s">
        <v>123</v>
      </c>
      <c r="I617" s="15">
        <v>1</v>
      </c>
      <c r="J617" s="15">
        <v>20</v>
      </c>
      <c r="K617" s="15">
        <v>175.05</v>
      </c>
      <c r="L617" s="15">
        <v>3500.9999999999995</v>
      </c>
      <c r="M617" s="15">
        <v>-269.23</v>
      </c>
      <c r="N617" s="15">
        <v>0</v>
      </c>
      <c r="O617" s="15">
        <v>420.130402</v>
      </c>
      <c r="P617" s="15">
        <v>3651.9004020000002</v>
      </c>
    </row>
    <row r="618" spans="1:16" ht="15" x14ac:dyDescent="0.2">
      <c r="A618" s="4" t="s">
        <v>573</v>
      </c>
      <c r="B618" s="21" t="str">
        <f t="shared" si="18"/>
        <v>Aug-2025</v>
      </c>
      <c r="C618" s="2" t="str">
        <f t="shared" si="19"/>
        <v>Q2</v>
      </c>
      <c r="D618" s="2" t="s">
        <v>31</v>
      </c>
      <c r="E618" s="13">
        <v>45894</v>
      </c>
      <c r="F618" s="14" t="s">
        <v>193</v>
      </c>
      <c r="G618" s="14" t="s">
        <v>15</v>
      </c>
      <c r="H618" s="14" t="s">
        <v>136</v>
      </c>
      <c r="I618" s="15">
        <v>1</v>
      </c>
      <c r="J618" s="15">
        <v>40</v>
      </c>
      <c r="K618" s="15">
        <v>111.74</v>
      </c>
      <c r="L618" s="15">
        <v>4469.6000000000004</v>
      </c>
      <c r="M618" s="15">
        <v>-343.71</v>
      </c>
      <c r="N618" s="15">
        <v>0</v>
      </c>
      <c r="O618" s="15">
        <v>536.366085</v>
      </c>
      <c r="P618" s="15">
        <v>4662.256085</v>
      </c>
    </row>
    <row r="619" spans="1:16" ht="15" x14ac:dyDescent="0.2">
      <c r="A619" s="4" t="s">
        <v>583</v>
      </c>
      <c r="B619" s="21" t="str">
        <f t="shared" si="18"/>
        <v>Aug-2025</v>
      </c>
      <c r="C619" s="2" t="str">
        <f t="shared" si="19"/>
        <v>Q2</v>
      </c>
      <c r="D619" s="2" t="s">
        <v>31</v>
      </c>
      <c r="E619" s="13">
        <v>45894</v>
      </c>
      <c r="F619" s="14" t="s">
        <v>193</v>
      </c>
      <c r="G619" s="14" t="s">
        <v>15</v>
      </c>
      <c r="H619" s="14" t="s">
        <v>71</v>
      </c>
      <c r="I619" s="15">
        <v>1</v>
      </c>
      <c r="J619" s="15">
        <v>15</v>
      </c>
      <c r="K619" s="15">
        <v>260.72000000000003</v>
      </c>
      <c r="L619" s="15">
        <v>3910.8</v>
      </c>
      <c r="M619" s="15">
        <v>-300.74</v>
      </c>
      <c r="N619" s="15">
        <v>0</v>
      </c>
      <c r="O619" s="15">
        <v>469.30813700000004</v>
      </c>
      <c r="P619" s="15">
        <v>4079.3681369999999</v>
      </c>
    </row>
    <row r="620" spans="1:16" ht="15" x14ac:dyDescent="0.2">
      <c r="A620" s="4" t="s">
        <v>574</v>
      </c>
      <c r="B620" s="21" t="str">
        <f t="shared" si="18"/>
        <v>Aug-2025</v>
      </c>
      <c r="C620" s="2" t="str">
        <f t="shared" si="19"/>
        <v>Q2</v>
      </c>
      <c r="D620" s="2" t="s">
        <v>31</v>
      </c>
      <c r="E620" s="13">
        <v>45894</v>
      </c>
      <c r="F620" s="14" t="s">
        <v>193</v>
      </c>
      <c r="G620" s="14" t="s">
        <v>15</v>
      </c>
      <c r="H620" s="14" t="s">
        <v>52</v>
      </c>
      <c r="I620" s="15">
        <v>1</v>
      </c>
      <c r="J620" s="15">
        <v>18</v>
      </c>
      <c r="K620" s="15">
        <v>178.78</v>
      </c>
      <c r="L620" s="15">
        <v>3218.0400000000004</v>
      </c>
      <c r="M620" s="15">
        <v>-247.47</v>
      </c>
      <c r="N620" s="15">
        <v>0</v>
      </c>
      <c r="O620" s="15">
        <v>386.17437800000005</v>
      </c>
      <c r="P620" s="15">
        <v>3356.7443779999999</v>
      </c>
    </row>
    <row r="621" spans="1:16" ht="15" x14ac:dyDescent="0.2">
      <c r="A621" s="4" t="s">
        <v>575</v>
      </c>
      <c r="B621" s="21" t="str">
        <f t="shared" si="18"/>
        <v>Aug-2025</v>
      </c>
      <c r="C621" s="2" t="str">
        <f t="shared" si="19"/>
        <v>Q2</v>
      </c>
      <c r="D621" s="2" t="s">
        <v>31</v>
      </c>
      <c r="E621" s="13">
        <v>45894</v>
      </c>
      <c r="F621" s="14" t="s">
        <v>193</v>
      </c>
      <c r="G621" s="14" t="s">
        <v>15</v>
      </c>
      <c r="H621" s="14" t="s">
        <v>55</v>
      </c>
      <c r="I621" s="15">
        <v>1</v>
      </c>
      <c r="J621" s="15">
        <v>20</v>
      </c>
      <c r="K621" s="15">
        <v>186.23</v>
      </c>
      <c r="L621" s="15">
        <v>3724.6000000000004</v>
      </c>
      <c r="M621" s="15">
        <v>-286.42</v>
      </c>
      <c r="N621" s="15">
        <v>0</v>
      </c>
      <c r="O621" s="15">
        <v>446.96372100000002</v>
      </c>
      <c r="P621" s="15">
        <v>3885.1437209999999</v>
      </c>
    </row>
    <row r="622" spans="1:16" ht="15" x14ac:dyDescent="0.2">
      <c r="A622" s="4" t="s">
        <v>574</v>
      </c>
      <c r="B622" s="21" t="str">
        <f t="shared" si="18"/>
        <v>Aug-2025</v>
      </c>
      <c r="C622" s="2" t="str">
        <f t="shared" si="19"/>
        <v>Q2</v>
      </c>
      <c r="D622" s="2" t="s">
        <v>31</v>
      </c>
      <c r="E622" s="13">
        <v>45894</v>
      </c>
      <c r="F622" s="14" t="s">
        <v>193</v>
      </c>
      <c r="G622" s="14" t="s">
        <v>15</v>
      </c>
      <c r="H622" s="14" t="s">
        <v>86</v>
      </c>
      <c r="I622" s="15">
        <v>1</v>
      </c>
      <c r="J622" s="15">
        <v>18</v>
      </c>
      <c r="K622" s="15">
        <v>178.78</v>
      </c>
      <c r="L622" s="15">
        <v>3218.0400000000004</v>
      </c>
      <c r="M622" s="15">
        <v>-247.47</v>
      </c>
      <c r="N622" s="15">
        <v>0</v>
      </c>
      <c r="O622" s="15">
        <v>386.17437800000005</v>
      </c>
      <c r="P622" s="15">
        <v>3356.7443779999999</v>
      </c>
    </row>
    <row r="623" spans="1:16" ht="15" x14ac:dyDescent="0.2">
      <c r="A623" s="4" t="s">
        <v>573</v>
      </c>
      <c r="B623" s="21" t="str">
        <f t="shared" si="18"/>
        <v>Aug-2025</v>
      </c>
      <c r="C623" s="2" t="str">
        <f t="shared" si="19"/>
        <v>Q2</v>
      </c>
      <c r="D623" s="2" t="s">
        <v>31</v>
      </c>
      <c r="E623" s="13">
        <v>45894</v>
      </c>
      <c r="F623" s="14" t="s">
        <v>193</v>
      </c>
      <c r="G623" s="14" t="s">
        <v>15</v>
      </c>
      <c r="H623" s="14" t="s">
        <v>111</v>
      </c>
      <c r="I623" s="15">
        <v>1</v>
      </c>
      <c r="J623" s="15">
        <v>40</v>
      </c>
      <c r="K623" s="15">
        <v>111.74</v>
      </c>
      <c r="L623" s="15">
        <v>4469.6000000000004</v>
      </c>
      <c r="M623" s="15">
        <v>-343.71</v>
      </c>
      <c r="N623" s="15">
        <v>0</v>
      </c>
      <c r="O623" s="15">
        <v>536.366085</v>
      </c>
      <c r="P623" s="15">
        <v>4662.256085</v>
      </c>
    </row>
    <row r="624" spans="1:16" ht="15" x14ac:dyDescent="0.2">
      <c r="A624" s="4" t="s">
        <v>583</v>
      </c>
      <c r="B624" s="21" t="str">
        <f t="shared" si="18"/>
        <v>Aug-2025</v>
      </c>
      <c r="C624" s="2" t="str">
        <f t="shared" si="19"/>
        <v>Q2</v>
      </c>
      <c r="D624" s="2" t="s">
        <v>31</v>
      </c>
      <c r="E624" s="13">
        <v>45894</v>
      </c>
      <c r="F624" s="14" t="s">
        <v>193</v>
      </c>
      <c r="G624" s="14" t="s">
        <v>15</v>
      </c>
      <c r="H624" s="14" t="s">
        <v>113</v>
      </c>
      <c r="I624" s="15">
        <v>1</v>
      </c>
      <c r="J624" s="15">
        <v>15</v>
      </c>
      <c r="K624" s="15">
        <v>260.72000000000003</v>
      </c>
      <c r="L624" s="15">
        <v>3910.8</v>
      </c>
      <c r="M624" s="15">
        <v>-300.74</v>
      </c>
      <c r="N624" s="15">
        <v>0</v>
      </c>
      <c r="O624" s="15">
        <v>469.30813700000004</v>
      </c>
      <c r="P624" s="15">
        <v>4079.3681369999999</v>
      </c>
    </row>
    <row r="625" spans="1:16" ht="15" x14ac:dyDescent="0.2">
      <c r="A625" s="4" t="s">
        <v>576</v>
      </c>
      <c r="B625" s="21" t="str">
        <f t="shared" si="18"/>
        <v>Aug-2025</v>
      </c>
      <c r="C625" s="2" t="str">
        <f t="shared" si="19"/>
        <v>Q2</v>
      </c>
      <c r="D625" s="2" t="s">
        <v>31</v>
      </c>
      <c r="E625" s="13">
        <v>45894</v>
      </c>
      <c r="F625" s="14" t="s">
        <v>193</v>
      </c>
      <c r="G625" s="14" t="s">
        <v>15</v>
      </c>
      <c r="H625" s="14" t="s">
        <v>124</v>
      </c>
      <c r="I625" s="15">
        <v>1</v>
      </c>
      <c r="J625" s="15">
        <v>20</v>
      </c>
      <c r="K625" s="15">
        <v>175.05</v>
      </c>
      <c r="L625" s="15">
        <v>3500.9999999999995</v>
      </c>
      <c r="M625" s="15">
        <v>-269.23</v>
      </c>
      <c r="N625" s="15">
        <v>0</v>
      </c>
      <c r="O625" s="15">
        <v>420.130402</v>
      </c>
      <c r="P625" s="15">
        <v>3651.9004020000002</v>
      </c>
    </row>
    <row r="626" spans="1:16" ht="15" x14ac:dyDescent="0.2">
      <c r="A626" s="4" t="s">
        <v>586</v>
      </c>
      <c r="B626" s="21" t="str">
        <f t="shared" si="18"/>
        <v>Aug-2025</v>
      </c>
      <c r="C626" s="2" t="str">
        <f t="shared" si="19"/>
        <v>Q2</v>
      </c>
      <c r="D626" s="2" t="s">
        <v>31</v>
      </c>
      <c r="E626" s="13">
        <v>45894</v>
      </c>
      <c r="F626" s="14" t="s">
        <v>193</v>
      </c>
      <c r="G626" s="14" t="s">
        <v>15</v>
      </c>
      <c r="H626" s="14" t="s">
        <v>78</v>
      </c>
      <c r="I626" s="15">
        <v>1</v>
      </c>
      <c r="J626" s="15">
        <v>600</v>
      </c>
      <c r="K626" s="15">
        <v>7.45</v>
      </c>
      <c r="L626" s="15">
        <v>4470</v>
      </c>
      <c r="M626" s="15">
        <v>-343.74</v>
      </c>
      <c r="N626" s="15">
        <v>0</v>
      </c>
      <c r="O626" s="15">
        <v>536.41418499999997</v>
      </c>
      <c r="P626" s="15">
        <v>4662.6741849999999</v>
      </c>
    </row>
    <row r="627" spans="1:16" ht="15" x14ac:dyDescent="0.2">
      <c r="A627" s="4" t="s">
        <v>586</v>
      </c>
      <c r="B627" s="21" t="str">
        <f t="shared" si="18"/>
        <v>Aug-2025</v>
      </c>
      <c r="C627" s="2" t="str">
        <f t="shared" si="19"/>
        <v>Q2</v>
      </c>
      <c r="D627" s="2" t="s">
        <v>31</v>
      </c>
      <c r="E627" s="13">
        <v>45894</v>
      </c>
      <c r="F627" s="14" t="s">
        <v>193</v>
      </c>
      <c r="G627" s="14" t="s">
        <v>15</v>
      </c>
      <c r="H627" s="14" t="s">
        <v>114</v>
      </c>
      <c r="I627" s="15">
        <v>1</v>
      </c>
      <c r="J627" s="15">
        <v>240</v>
      </c>
      <c r="K627" s="15">
        <v>14.9</v>
      </c>
      <c r="L627" s="15">
        <v>3576</v>
      </c>
      <c r="M627" s="15">
        <v>-274.99</v>
      </c>
      <c r="N627" s="15">
        <v>0</v>
      </c>
      <c r="O627" s="15">
        <v>429.13160800000003</v>
      </c>
      <c r="P627" s="15">
        <v>3730.1416079999999</v>
      </c>
    </row>
    <row r="628" spans="1:16" ht="15" x14ac:dyDescent="0.2">
      <c r="A628" s="4" t="s">
        <v>576</v>
      </c>
      <c r="B628" s="21" t="str">
        <f t="shared" si="18"/>
        <v>Aug-2025</v>
      </c>
      <c r="C628" s="2" t="str">
        <f t="shared" si="19"/>
        <v>Q2</v>
      </c>
      <c r="D628" s="2" t="s">
        <v>31</v>
      </c>
      <c r="E628" s="13">
        <v>45894</v>
      </c>
      <c r="F628" s="14" t="s">
        <v>193</v>
      </c>
      <c r="G628" s="14" t="s">
        <v>15</v>
      </c>
      <c r="H628" s="14" t="s">
        <v>110</v>
      </c>
      <c r="I628" s="15">
        <v>1</v>
      </c>
      <c r="J628" s="15">
        <v>20</v>
      </c>
      <c r="K628" s="15">
        <v>175.05</v>
      </c>
      <c r="L628" s="15">
        <v>3500.9999999999995</v>
      </c>
      <c r="M628" s="15">
        <v>-269.23</v>
      </c>
      <c r="N628" s="15">
        <v>0</v>
      </c>
      <c r="O628" s="15">
        <v>420.130402</v>
      </c>
      <c r="P628" s="15">
        <v>3651.9004020000002</v>
      </c>
    </row>
    <row r="629" spans="1:16" ht="15" x14ac:dyDescent="0.2">
      <c r="A629" s="4" t="s">
        <v>574</v>
      </c>
      <c r="B629" s="21" t="str">
        <f t="shared" si="18"/>
        <v>Aug-2025</v>
      </c>
      <c r="C629" s="2" t="str">
        <f t="shared" si="19"/>
        <v>Q2</v>
      </c>
      <c r="D629" s="2" t="s">
        <v>31</v>
      </c>
      <c r="E629" s="13">
        <v>45894</v>
      </c>
      <c r="F629" s="14" t="s">
        <v>193</v>
      </c>
      <c r="G629" s="14" t="s">
        <v>15</v>
      </c>
      <c r="H629" s="14" t="s">
        <v>84</v>
      </c>
      <c r="I629" s="15">
        <v>1</v>
      </c>
      <c r="J629" s="15">
        <v>18</v>
      </c>
      <c r="K629" s="15">
        <v>178.78</v>
      </c>
      <c r="L629" s="15">
        <v>3218.0400000000004</v>
      </c>
      <c r="M629" s="15">
        <v>-247.47</v>
      </c>
      <c r="N629" s="15">
        <v>0</v>
      </c>
      <c r="O629" s="15">
        <v>386.17437800000005</v>
      </c>
      <c r="P629" s="15">
        <v>3356.7443779999999</v>
      </c>
    </row>
    <row r="630" spans="1:16" ht="15" x14ac:dyDescent="0.2">
      <c r="A630" s="4" t="s">
        <v>581</v>
      </c>
      <c r="B630" s="21" t="str">
        <f t="shared" si="18"/>
        <v>Aug-2025</v>
      </c>
      <c r="C630" s="2" t="str">
        <f t="shared" si="19"/>
        <v>Q2</v>
      </c>
      <c r="D630" s="2" t="s">
        <v>31</v>
      </c>
      <c r="E630" s="13">
        <v>45894</v>
      </c>
      <c r="F630" s="14" t="s">
        <v>194</v>
      </c>
      <c r="G630" s="14" t="s">
        <v>15</v>
      </c>
      <c r="H630" s="14" t="s">
        <v>66</v>
      </c>
      <c r="I630" s="15">
        <v>1</v>
      </c>
      <c r="J630" s="15">
        <v>24</v>
      </c>
      <c r="K630" s="15">
        <v>141.54</v>
      </c>
      <c r="L630" s="15">
        <v>3396.96</v>
      </c>
      <c r="M630" s="15">
        <v>-261.23</v>
      </c>
      <c r="N630" s="15">
        <v>0</v>
      </c>
      <c r="O630" s="15">
        <v>407.64480799999995</v>
      </c>
      <c r="P630" s="15">
        <v>3543.374808</v>
      </c>
    </row>
    <row r="631" spans="1:16" ht="15" x14ac:dyDescent="0.2">
      <c r="A631" s="4" t="s">
        <v>586</v>
      </c>
      <c r="B631" s="21" t="str">
        <f t="shared" si="18"/>
        <v>Aug-2025</v>
      </c>
      <c r="C631" s="2" t="str">
        <f t="shared" si="19"/>
        <v>Q2</v>
      </c>
      <c r="D631" s="2" t="s">
        <v>31</v>
      </c>
      <c r="E631" s="13">
        <v>45894</v>
      </c>
      <c r="F631" s="14" t="s">
        <v>194</v>
      </c>
      <c r="G631" s="14" t="s">
        <v>15</v>
      </c>
      <c r="H631" s="14" t="s">
        <v>76</v>
      </c>
      <c r="I631" s="15">
        <v>1</v>
      </c>
      <c r="J631" s="15">
        <v>240</v>
      </c>
      <c r="K631" s="15">
        <v>18.62</v>
      </c>
      <c r="L631" s="15">
        <v>4468.8</v>
      </c>
      <c r="M631" s="15">
        <v>-343.65</v>
      </c>
      <c r="N631" s="15">
        <v>0</v>
      </c>
      <c r="O631" s="15">
        <v>536.26937899999996</v>
      </c>
      <c r="P631" s="15">
        <v>4661.4193789999999</v>
      </c>
    </row>
    <row r="632" spans="1:16" ht="15" x14ac:dyDescent="0.2">
      <c r="A632" s="4" t="s">
        <v>579</v>
      </c>
      <c r="B632" s="21" t="str">
        <f t="shared" si="18"/>
        <v>Aug-2025</v>
      </c>
      <c r="C632" s="2" t="str">
        <f t="shared" si="19"/>
        <v>Q2</v>
      </c>
      <c r="D632" s="2" t="s">
        <v>31</v>
      </c>
      <c r="E632" s="13">
        <v>45894</v>
      </c>
      <c r="F632" s="14" t="s">
        <v>194</v>
      </c>
      <c r="G632" s="14" t="s">
        <v>15</v>
      </c>
      <c r="H632" s="14" t="s">
        <v>92</v>
      </c>
      <c r="I632" s="15">
        <v>1</v>
      </c>
      <c r="J632" s="15">
        <v>20</v>
      </c>
      <c r="K632" s="15">
        <v>242.1</v>
      </c>
      <c r="L632" s="15">
        <v>4841.9999999999991</v>
      </c>
      <c r="M632" s="15">
        <v>-372.35</v>
      </c>
      <c r="N632" s="15">
        <v>0</v>
      </c>
      <c r="O632" s="15">
        <v>581.05436899999995</v>
      </c>
      <c r="P632" s="15">
        <v>5050.704369</v>
      </c>
    </row>
    <row r="633" spans="1:16" ht="15" x14ac:dyDescent="0.2">
      <c r="A633" s="4" t="s">
        <v>579</v>
      </c>
      <c r="B633" s="21" t="str">
        <f t="shared" si="18"/>
        <v>Aug-2025</v>
      </c>
      <c r="C633" s="2" t="str">
        <f t="shared" si="19"/>
        <v>Q2</v>
      </c>
      <c r="D633" s="2" t="s">
        <v>31</v>
      </c>
      <c r="E633" s="13">
        <v>45894</v>
      </c>
      <c r="F633" s="14" t="s">
        <v>194</v>
      </c>
      <c r="G633" s="14" t="s">
        <v>15</v>
      </c>
      <c r="H633" s="14" t="s">
        <v>112</v>
      </c>
      <c r="I633" s="15">
        <v>1</v>
      </c>
      <c r="J633" s="15">
        <v>20</v>
      </c>
      <c r="K633" s="15">
        <v>204.85</v>
      </c>
      <c r="L633" s="15">
        <v>4097</v>
      </c>
      <c r="M633" s="15">
        <v>-315.06</v>
      </c>
      <c r="N633" s="15">
        <v>0</v>
      </c>
      <c r="O633" s="15">
        <v>491.65208900000005</v>
      </c>
      <c r="P633" s="15">
        <v>4273.5920889999998</v>
      </c>
    </row>
    <row r="634" spans="1:16" ht="15" x14ac:dyDescent="0.2">
      <c r="A634" s="4" t="s">
        <v>579</v>
      </c>
      <c r="B634" s="21" t="str">
        <f t="shared" si="18"/>
        <v>Aug-2025</v>
      </c>
      <c r="C634" s="2" t="str">
        <f t="shared" si="19"/>
        <v>Q2</v>
      </c>
      <c r="D634" s="2" t="s">
        <v>31</v>
      </c>
      <c r="E634" s="13">
        <v>45894</v>
      </c>
      <c r="F634" s="14" t="s">
        <v>194</v>
      </c>
      <c r="G634" s="14" t="s">
        <v>15</v>
      </c>
      <c r="H634" s="14" t="s">
        <v>90</v>
      </c>
      <c r="I634" s="15">
        <v>1</v>
      </c>
      <c r="J634" s="15">
        <v>20</v>
      </c>
      <c r="K634" s="15">
        <v>204.85</v>
      </c>
      <c r="L634" s="15">
        <v>4097</v>
      </c>
      <c r="M634" s="15">
        <v>-315.06</v>
      </c>
      <c r="N634" s="15">
        <v>0</v>
      </c>
      <c r="O634" s="15">
        <v>491.65208900000005</v>
      </c>
      <c r="P634" s="15">
        <v>4273.5920889999998</v>
      </c>
    </row>
    <row r="635" spans="1:16" ht="15" x14ac:dyDescent="0.2">
      <c r="A635" s="4" t="s">
        <v>582</v>
      </c>
      <c r="B635" s="21" t="str">
        <f t="shared" si="18"/>
        <v>Aug-2025</v>
      </c>
      <c r="C635" s="2" t="str">
        <f t="shared" si="19"/>
        <v>Q2</v>
      </c>
      <c r="D635" s="2" t="s">
        <v>31</v>
      </c>
      <c r="E635" s="13">
        <v>45894</v>
      </c>
      <c r="F635" s="14" t="s">
        <v>194</v>
      </c>
      <c r="G635" s="14" t="s">
        <v>15</v>
      </c>
      <c r="H635" s="14" t="s">
        <v>108</v>
      </c>
      <c r="I635" s="15">
        <v>1</v>
      </c>
      <c r="J635" s="15">
        <v>24</v>
      </c>
      <c r="K635" s="15">
        <v>186.23</v>
      </c>
      <c r="L635" s="15">
        <v>4469.5200000000004</v>
      </c>
      <c r="M635" s="15">
        <v>-343.71</v>
      </c>
      <c r="N635" s="15">
        <v>0</v>
      </c>
      <c r="O635" s="15">
        <v>536.35517900000002</v>
      </c>
      <c r="P635" s="15">
        <v>4662.1651789999996</v>
      </c>
    </row>
    <row r="636" spans="1:16" ht="15" x14ac:dyDescent="0.2">
      <c r="A636" s="4" t="s">
        <v>579</v>
      </c>
      <c r="B636" s="21" t="str">
        <f t="shared" si="18"/>
        <v>Aug-2025</v>
      </c>
      <c r="C636" s="2" t="str">
        <f t="shared" si="19"/>
        <v>Q2</v>
      </c>
      <c r="D636" s="2" t="s">
        <v>31</v>
      </c>
      <c r="E636" s="13">
        <v>45894</v>
      </c>
      <c r="F636" s="14" t="s">
        <v>194</v>
      </c>
      <c r="G636" s="14" t="s">
        <v>15</v>
      </c>
      <c r="H636" s="14" t="s">
        <v>91</v>
      </c>
      <c r="I636" s="15">
        <v>1</v>
      </c>
      <c r="J636" s="15">
        <v>20</v>
      </c>
      <c r="K636" s="15">
        <v>204.85</v>
      </c>
      <c r="L636" s="15">
        <v>4097</v>
      </c>
      <c r="M636" s="15">
        <v>-315.06</v>
      </c>
      <c r="N636" s="15">
        <v>0</v>
      </c>
      <c r="O636" s="15">
        <v>491.65208900000005</v>
      </c>
      <c r="P636" s="15">
        <v>4273.5920889999998</v>
      </c>
    </row>
    <row r="637" spans="1:16" ht="15" x14ac:dyDescent="0.2">
      <c r="A637" s="4" t="s">
        <v>583</v>
      </c>
      <c r="B637" s="21" t="str">
        <f t="shared" si="18"/>
        <v>Aug-2025</v>
      </c>
      <c r="C637" s="2" t="str">
        <f t="shared" si="19"/>
        <v>Q2</v>
      </c>
      <c r="D637" s="2" t="s">
        <v>31</v>
      </c>
      <c r="E637" s="13">
        <v>45894</v>
      </c>
      <c r="F637" s="14" t="s">
        <v>195</v>
      </c>
      <c r="G637" s="14" t="s">
        <v>12</v>
      </c>
      <c r="H637" s="14" t="s">
        <v>113</v>
      </c>
      <c r="I637" s="15">
        <v>3</v>
      </c>
      <c r="J637" s="15">
        <v>45</v>
      </c>
      <c r="K637" s="15">
        <v>260.72000000000003</v>
      </c>
      <c r="L637" s="15">
        <v>11732.4</v>
      </c>
      <c r="M637" s="15">
        <v>-902.22</v>
      </c>
      <c r="N637" s="15">
        <v>0</v>
      </c>
      <c r="O637" s="15">
        <v>1407.923133</v>
      </c>
      <c r="P637" s="15">
        <v>12238.103133000001</v>
      </c>
    </row>
    <row r="638" spans="1:16" ht="15" x14ac:dyDescent="0.2">
      <c r="A638" s="4" t="s">
        <v>579</v>
      </c>
      <c r="B638" s="21" t="str">
        <f t="shared" si="18"/>
        <v>Aug-2025</v>
      </c>
      <c r="C638" s="2" t="str">
        <f t="shared" si="19"/>
        <v>Q2</v>
      </c>
      <c r="D638" s="2" t="s">
        <v>31</v>
      </c>
      <c r="E638" s="13">
        <v>45894</v>
      </c>
      <c r="F638" s="14" t="s">
        <v>195</v>
      </c>
      <c r="G638" s="14" t="s">
        <v>12</v>
      </c>
      <c r="H638" s="14" t="s">
        <v>90</v>
      </c>
      <c r="I638" s="15">
        <v>2</v>
      </c>
      <c r="J638" s="15">
        <v>40</v>
      </c>
      <c r="K638" s="15">
        <v>204.85</v>
      </c>
      <c r="L638" s="15">
        <v>8194</v>
      </c>
      <c r="M638" s="15">
        <v>-630.12</v>
      </c>
      <c r="N638" s="15">
        <v>0</v>
      </c>
      <c r="O638" s="15">
        <v>983.304213</v>
      </c>
      <c r="P638" s="15">
        <v>8547.1842130000005</v>
      </c>
    </row>
    <row r="639" spans="1:16" ht="15" x14ac:dyDescent="0.2">
      <c r="A639" s="4" t="s">
        <v>573</v>
      </c>
      <c r="B639" s="21" t="str">
        <f t="shared" si="18"/>
        <v>Aug-2025</v>
      </c>
      <c r="C639" s="2" t="str">
        <f t="shared" si="19"/>
        <v>Q2</v>
      </c>
      <c r="D639" s="2" t="s">
        <v>31</v>
      </c>
      <c r="E639" s="13">
        <v>45894</v>
      </c>
      <c r="F639" s="14" t="s">
        <v>195</v>
      </c>
      <c r="G639" s="14" t="s">
        <v>12</v>
      </c>
      <c r="H639" s="14" t="s">
        <v>47</v>
      </c>
      <c r="I639" s="15">
        <v>1</v>
      </c>
      <c r="J639" s="15">
        <v>40</v>
      </c>
      <c r="K639" s="15">
        <v>111.74</v>
      </c>
      <c r="L639" s="15">
        <v>4469.6000000000004</v>
      </c>
      <c r="M639" s="15">
        <v>-343.71</v>
      </c>
      <c r="N639" s="15">
        <v>0</v>
      </c>
      <c r="O639" s="15">
        <v>536.36559799999998</v>
      </c>
      <c r="P639" s="15">
        <v>4662.2555979999997</v>
      </c>
    </row>
    <row r="640" spans="1:16" ht="15" x14ac:dyDescent="0.2">
      <c r="A640" s="4" t="s">
        <v>583</v>
      </c>
      <c r="B640" s="21" t="str">
        <f t="shared" si="18"/>
        <v>Aug-2025</v>
      </c>
      <c r="C640" s="2" t="str">
        <f t="shared" si="19"/>
        <v>Q2</v>
      </c>
      <c r="D640" s="2" t="s">
        <v>31</v>
      </c>
      <c r="E640" s="13">
        <v>45894</v>
      </c>
      <c r="F640" s="14" t="s">
        <v>195</v>
      </c>
      <c r="G640" s="14" t="s">
        <v>12</v>
      </c>
      <c r="H640" s="14" t="s">
        <v>71</v>
      </c>
      <c r="I640" s="15">
        <v>2</v>
      </c>
      <c r="J640" s="15">
        <v>30</v>
      </c>
      <c r="K640" s="15">
        <v>260.72000000000003</v>
      </c>
      <c r="L640" s="15">
        <v>7821.6</v>
      </c>
      <c r="M640" s="15">
        <v>-601.48</v>
      </c>
      <c r="N640" s="15">
        <v>0</v>
      </c>
      <c r="O640" s="15">
        <v>938.61542199999997</v>
      </c>
      <c r="P640" s="15">
        <v>8158.7354219999997</v>
      </c>
    </row>
    <row r="641" spans="1:16" ht="15" x14ac:dyDescent="0.2">
      <c r="A641" s="4" t="s">
        <v>574</v>
      </c>
      <c r="B641" s="21" t="str">
        <f t="shared" si="18"/>
        <v>Aug-2025</v>
      </c>
      <c r="C641" s="2" t="str">
        <f t="shared" si="19"/>
        <v>Q2</v>
      </c>
      <c r="D641" s="2" t="s">
        <v>31</v>
      </c>
      <c r="E641" s="13">
        <v>45894</v>
      </c>
      <c r="F641" s="14" t="s">
        <v>195</v>
      </c>
      <c r="G641" s="14" t="s">
        <v>12</v>
      </c>
      <c r="H641" s="14" t="s">
        <v>86</v>
      </c>
      <c r="I641" s="15">
        <v>1</v>
      </c>
      <c r="J641" s="15">
        <v>18</v>
      </c>
      <c r="K641" s="15">
        <v>178.78</v>
      </c>
      <c r="L641" s="15">
        <v>3218.0400000000004</v>
      </c>
      <c r="M641" s="15">
        <v>-247.47</v>
      </c>
      <c r="N641" s="15">
        <v>0</v>
      </c>
      <c r="O641" s="15">
        <v>386.17402700000002</v>
      </c>
      <c r="P641" s="15">
        <v>3356.7440270000002</v>
      </c>
    </row>
    <row r="642" spans="1:16" ht="15" x14ac:dyDescent="0.2">
      <c r="A642" s="4" t="s">
        <v>590</v>
      </c>
      <c r="B642" s="21" t="str">
        <f t="shared" si="18"/>
        <v>Aug-2025</v>
      </c>
      <c r="C642" s="2" t="str">
        <f t="shared" si="19"/>
        <v>Q2</v>
      </c>
      <c r="D642" s="2" t="s">
        <v>31</v>
      </c>
      <c r="E642" s="13">
        <v>45894</v>
      </c>
      <c r="F642" s="14" t="s">
        <v>195</v>
      </c>
      <c r="G642" s="14" t="s">
        <v>12</v>
      </c>
      <c r="H642" s="14" t="s">
        <v>102</v>
      </c>
      <c r="I642" s="15">
        <v>10</v>
      </c>
      <c r="J642" s="15">
        <v>200</v>
      </c>
      <c r="K642" s="15">
        <v>249.55</v>
      </c>
      <c r="L642" s="15">
        <v>49910</v>
      </c>
      <c r="M642" s="15">
        <v>-3838.08</v>
      </c>
      <c r="N642" s="15">
        <v>0</v>
      </c>
      <c r="O642" s="15">
        <v>5989.3484619999999</v>
      </c>
      <c r="P642" s="15">
        <v>52061.268462</v>
      </c>
    </row>
    <row r="643" spans="1:16" ht="15" x14ac:dyDescent="0.2">
      <c r="A643" s="4" t="s">
        <v>574</v>
      </c>
      <c r="B643" s="21" t="str">
        <f t="shared" ref="B643:B706" si="20">+TEXT(E643,"MMM-yyy")</f>
        <v>Aug-2025</v>
      </c>
      <c r="C643" s="2" t="str">
        <f t="shared" ref="C643:C706" si="21">"Q" &amp; CHOOSE(MONTH(E643),4,4,4,1,1,1,2,2,2,3,3,3)</f>
        <v>Q2</v>
      </c>
      <c r="D643" s="2" t="s">
        <v>31</v>
      </c>
      <c r="E643" s="13">
        <v>45894</v>
      </c>
      <c r="F643" s="14" t="s">
        <v>195</v>
      </c>
      <c r="G643" s="14" t="s">
        <v>12</v>
      </c>
      <c r="H643" s="14" t="s">
        <v>52</v>
      </c>
      <c r="I643" s="15">
        <v>1</v>
      </c>
      <c r="J643" s="15">
        <v>18</v>
      </c>
      <c r="K643" s="15">
        <v>178.78</v>
      </c>
      <c r="L643" s="15">
        <v>3218.0400000000004</v>
      </c>
      <c r="M643" s="15">
        <v>-247.47</v>
      </c>
      <c r="N643" s="15">
        <v>0</v>
      </c>
      <c r="O643" s="15">
        <v>386.17402700000002</v>
      </c>
      <c r="P643" s="15">
        <v>3356.7440270000002</v>
      </c>
    </row>
    <row r="644" spans="1:16" ht="15" x14ac:dyDescent="0.2">
      <c r="A644" s="4" t="s">
        <v>573</v>
      </c>
      <c r="B644" s="21" t="str">
        <f t="shared" si="20"/>
        <v>Aug-2025</v>
      </c>
      <c r="C644" s="2" t="str">
        <f t="shared" si="21"/>
        <v>Q2</v>
      </c>
      <c r="D644" s="2" t="s">
        <v>31</v>
      </c>
      <c r="E644" s="13">
        <v>45894</v>
      </c>
      <c r="F644" s="14" t="s">
        <v>195</v>
      </c>
      <c r="G644" s="14" t="s">
        <v>12</v>
      </c>
      <c r="H644" s="14" t="s">
        <v>136</v>
      </c>
      <c r="I644" s="15">
        <v>2</v>
      </c>
      <c r="J644" s="15">
        <v>80</v>
      </c>
      <c r="K644" s="15">
        <v>111.74</v>
      </c>
      <c r="L644" s="15">
        <v>8939.2000000000007</v>
      </c>
      <c r="M644" s="15">
        <v>-687.42</v>
      </c>
      <c r="N644" s="15">
        <v>0</v>
      </c>
      <c r="O644" s="15">
        <v>1072.731196</v>
      </c>
      <c r="P644" s="15">
        <v>9324.5111959999995</v>
      </c>
    </row>
    <row r="645" spans="1:16" ht="15" x14ac:dyDescent="0.2">
      <c r="A645" s="4" t="s">
        <v>573</v>
      </c>
      <c r="B645" s="21" t="str">
        <f t="shared" si="20"/>
        <v>Aug-2025</v>
      </c>
      <c r="C645" s="2" t="str">
        <f t="shared" si="21"/>
        <v>Q2</v>
      </c>
      <c r="D645" s="2" t="s">
        <v>31</v>
      </c>
      <c r="E645" s="13">
        <v>45894</v>
      </c>
      <c r="F645" s="14" t="s">
        <v>195</v>
      </c>
      <c r="G645" s="14" t="s">
        <v>12</v>
      </c>
      <c r="H645" s="14" t="s">
        <v>111</v>
      </c>
      <c r="I645" s="15">
        <v>3</v>
      </c>
      <c r="J645" s="15">
        <v>120</v>
      </c>
      <c r="K645" s="15">
        <v>111.74</v>
      </c>
      <c r="L645" s="15">
        <v>13408.8</v>
      </c>
      <c r="M645" s="15">
        <v>-1031.1400000000001</v>
      </c>
      <c r="N645" s="15">
        <v>0</v>
      </c>
      <c r="O645" s="15">
        <v>1609.0954940000001</v>
      </c>
      <c r="P645" s="15">
        <v>13986.755494000001</v>
      </c>
    </row>
    <row r="646" spans="1:16" ht="15" x14ac:dyDescent="0.2">
      <c r="A646" s="4" t="s">
        <v>579</v>
      </c>
      <c r="B646" s="21" t="str">
        <f t="shared" si="20"/>
        <v>Aug-2025</v>
      </c>
      <c r="C646" s="2" t="str">
        <f t="shared" si="21"/>
        <v>Q2</v>
      </c>
      <c r="D646" s="2" t="s">
        <v>31</v>
      </c>
      <c r="E646" s="13">
        <v>45894</v>
      </c>
      <c r="F646" s="14" t="s">
        <v>195</v>
      </c>
      <c r="G646" s="14" t="s">
        <v>12</v>
      </c>
      <c r="H646" s="14" t="s">
        <v>70</v>
      </c>
      <c r="I646" s="15">
        <v>1</v>
      </c>
      <c r="J646" s="15">
        <v>20</v>
      </c>
      <c r="K646" s="15">
        <v>201.13</v>
      </c>
      <c r="L646" s="15">
        <v>4022.6</v>
      </c>
      <c r="M646" s="15">
        <v>-309.33999999999997</v>
      </c>
      <c r="N646" s="15">
        <v>0</v>
      </c>
      <c r="O646" s="15">
        <v>482.72370800000004</v>
      </c>
      <c r="P646" s="15">
        <v>4195.9837079999998</v>
      </c>
    </row>
    <row r="647" spans="1:16" ht="15" x14ac:dyDescent="0.2">
      <c r="A647" s="4" t="s">
        <v>576</v>
      </c>
      <c r="B647" s="21" t="str">
        <f t="shared" si="20"/>
        <v>Aug-2025</v>
      </c>
      <c r="C647" s="2" t="str">
        <f t="shared" si="21"/>
        <v>Q2</v>
      </c>
      <c r="D647" s="2" t="s">
        <v>31</v>
      </c>
      <c r="E647" s="13">
        <v>45894</v>
      </c>
      <c r="F647" s="14" t="s">
        <v>195</v>
      </c>
      <c r="G647" s="14" t="s">
        <v>12</v>
      </c>
      <c r="H647" s="14" t="s">
        <v>123</v>
      </c>
      <c r="I647" s="15">
        <v>1</v>
      </c>
      <c r="J647" s="15">
        <v>20</v>
      </c>
      <c r="K647" s="15">
        <v>175.06</v>
      </c>
      <c r="L647" s="15">
        <v>3501.2</v>
      </c>
      <c r="M647" s="15">
        <v>-269.24</v>
      </c>
      <c r="N647" s="15">
        <v>0</v>
      </c>
      <c r="O647" s="15">
        <v>420.15472</v>
      </c>
      <c r="P647" s="15">
        <v>3652.11472</v>
      </c>
    </row>
    <row r="648" spans="1:16" ht="15" x14ac:dyDescent="0.2">
      <c r="A648" s="4" t="s">
        <v>574</v>
      </c>
      <c r="B648" s="21" t="str">
        <f t="shared" si="20"/>
        <v>Aug-2025</v>
      </c>
      <c r="C648" s="2" t="str">
        <f t="shared" si="21"/>
        <v>Q2</v>
      </c>
      <c r="D648" s="2" t="s">
        <v>31</v>
      </c>
      <c r="E648" s="13">
        <v>45894</v>
      </c>
      <c r="F648" s="14" t="s">
        <v>196</v>
      </c>
      <c r="G648" s="14" t="s">
        <v>130</v>
      </c>
      <c r="H648" s="14" t="s">
        <v>52</v>
      </c>
      <c r="I648" s="15">
        <v>3</v>
      </c>
      <c r="J648" s="15">
        <v>54</v>
      </c>
      <c r="K648" s="15">
        <v>178.78</v>
      </c>
      <c r="L648" s="15">
        <v>9654.119999999999</v>
      </c>
      <c r="M648" s="15">
        <v>-742.4</v>
      </c>
      <c r="N648" s="15">
        <v>0</v>
      </c>
      <c r="O648" s="15">
        <v>1158.5249999999999</v>
      </c>
      <c r="P648" s="15">
        <v>10070.245000000001</v>
      </c>
    </row>
    <row r="649" spans="1:16" ht="15" x14ac:dyDescent="0.2">
      <c r="A649" s="4" t="s">
        <v>574</v>
      </c>
      <c r="B649" s="21" t="str">
        <f t="shared" si="20"/>
        <v>Aug-2025</v>
      </c>
      <c r="C649" s="2" t="str">
        <f t="shared" si="21"/>
        <v>Q2</v>
      </c>
      <c r="D649" s="2" t="s">
        <v>31</v>
      </c>
      <c r="E649" s="13">
        <v>45894</v>
      </c>
      <c r="F649" s="14" t="s">
        <v>196</v>
      </c>
      <c r="G649" s="14" t="s">
        <v>130</v>
      </c>
      <c r="H649" s="14" t="s">
        <v>86</v>
      </c>
      <c r="I649" s="15">
        <v>3</v>
      </c>
      <c r="J649" s="15">
        <v>54</v>
      </c>
      <c r="K649" s="15">
        <v>178.78</v>
      </c>
      <c r="L649" s="15">
        <v>9654.119999999999</v>
      </c>
      <c r="M649" s="15">
        <v>-742.4</v>
      </c>
      <c r="N649" s="15">
        <v>0</v>
      </c>
      <c r="O649" s="15">
        <v>1158.5249999999999</v>
      </c>
      <c r="P649" s="15">
        <v>10070.245000000001</v>
      </c>
    </row>
    <row r="650" spans="1:16" ht="15" x14ac:dyDescent="0.2">
      <c r="A650" s="4" t="s">
        <v>583</v>
      </c>
      <c r="B650" s="21" t="str">
        <f t="shared" si="20"/>
        <v>Aug-2025</v>
      </c>
      <c r="C650" s="2" t="str">
        <f t="shared" si="21"/>
        <v>Q2</v>
      </c>
      <c r="D650" s="2" t="s">
        <v>31</v>
      </c>
      <c r="E650" s="13">
        <v>45894</v>
      </c>
      <c r="F650" s="14" t="s">
        <v>197</v>
      </c>
      <c r="G650" s="14" t="s">
        <v>19</v>
      </c>
      <c r="H650" s="14" t="s">
        <v>109</v>
      </c>
      <c r="I650" s="15">
        <v>2</v>
      </c>
      <c r="J650" s="15">
        <v>30</v>
      </c>
      <c r="K650" s="15">
        <v>260.72000000000003</v>
      </c>
      <c r="L650" s="15">
        <v>7821.6</v>
      </c>
      <c r="M650" s="15">
        <v>-601.48</v>
      </c>
      <c r="N650" s="15">
        <v>0</v>
      </c>
      <c r="O650" s="15">
        <v>938.61517000000003</v>
      </c>
      <c r="P650" s="15">
        <v>8158.7351699999999</v>
      </c>
    </row>
    <row r="651" spans="1:16" ht="15" x14ac:dyDescent="0.2">
      <c r="A651" s="4" t="s">
        <v>583</v>
      </c>
      <c r="B651" s="21" t="str">
        <f t="shared" si="20"/>
        <v>Aug-2025</v>
      </c>
      <c r="C651" s="2" t="str">
        <f t="shared" si="21"/>
        <v>Q2</v>
      </c>
      <c r="D651" s="2" t="s">
        <v>31</v>
      </c>
      <c r="E651" s="13">
        <v>45894</v>
      </c>
      <c r="F651" s="14" t="s">
        <v>197</v>
      </c>
      <c r="G651" s="14" t="s">
        <v>19</v>
      </c>
      <c r="H651" s="14" t="s">
        <v>113</v>
      </c>
      <c r="I651" s="15">
        <v>3</v>
      </c>
      <c r="J651" s="15">
        <v>45</v>
      </c>
      <c r="K651" s="15">
        <v>260.72000000000003</v>
      </c>
      <c r="L651" s="15">
        <v>11732.4</v>
      </c>
      <c r="M651" s="15">
        <v>-902.22</v>
      </c>
      <c r="N651" s="15">
        <v>0</v>
      </c>
      <c r="O651" s="15">
        <v>1407.9227550000001</v>
      </c>
      <c r="P651" s="15">
        <v>12238.102755</v>
      </c>
    </row>
    <row r="652" spans="1:16" ht="15" x14ac:dyDescent="0.2">
      <c r="A652" s="4" t="s">
        <v>576</v>
      </c>
      <c r="B652" s="21" t="str">
        <f t="shared" si="20"/>
        <v>Aug-2025</v>
      </c>
      <c r="C652" s="2" t="str">
        <f t="shared" si="21"/>
        <v>Q2</v>
      </c>
      <c r="D652" s="2" t="s">
        <v>31</v>
      </c>
      <c r="E652" s="13">
        <v>45894</v>
      </c>
      <c r="F652" s="14" t="s">
        <v>197</v>
      </c>
      <c r="G652" s="14" t="s">
        <v>19</v>
      </c>
      <c r="H652" s="14" t="s">
        <v>123</v>
      </c>
      <c r="I652" s="15">
        <v>1</v>
      </c>
      <c r="J652" s="15">
        <v>20</v>
      </c>
      <c r="K652" s="15">
        <v>175.05</v>
      </c>
      <c r="L652" s="15">
        <v>3500.9999999999995</v>
      </c>
      <c r="M652" s="15">
        <v>-269.23</v>
      </c>
      <c r="N652" s="15">
        <v>0</v>
      </c>
      <c r="O652" s="15">
        <v>420.129907</v>
      </c>
      <c r="P652" s="15">
        <v>3651.899907</v>
      </c>
    </row>
    <row r="653" spans="1:16" ht="15" x14ac:dyDescent="0.2">
      <c r="A653" s="4" t="s">
        <v>576</v>
      </c>
      <c r="B653" s="21" t="str">
        <f t="shared" si="20"/>
        <v>Aug-2025</v>
      </c>
      <c r="C653" s="2" t="str">
        <f t="shared" si="21"/>
        <v>Q2</v>
      </c>
      <c r="D653" s="2" t="s">
        <v>31</v>
      </c>
      <c r="E653" s="13">
        <v>45894</v>
      </c>
      <c r="F653" s="14" t="s">
        <v>197</v>
      </c>
      <c r="G653" s="14" t="s">
        <v>19</v>
      </c>
      <c r="H653" s="14" t="s">
        <v>110</v>
      </c>
      <c r="I653" s="15">
        <v>2</v>
      </c>
      <c r="J653" s="15">
        <v>40</v>
      </c>
      <c r="K653" s="15">
        <v>175.05</v>
      </c>
      <c r="L653" s="15">
        <v>7001.9999999999991</v>
      </c>
      <c r="M653" s="15">
        <v>-538.45000000000005</v>
      </c>
      <c r="N653" s="15">
        <v>0</v>
      </c>
      <c r="O653" s="15">
        <v>840.2611149999999</v>
      </c>
      <c r="P653" s="15">
        <v>7303.8111150000004</v>
      </c>
    </row>
    <row r="654" spans="1:16" ht="15" x14ac:dyDescent="0.2">
      <c r="A654" s="4" t="s">
        <v>581</v>
      </c>
      <c r="B654" s="21" t="str">
        <f t="shared" si="20"/>
        <v>Aug-2025</v>
      </c>
      <c r="C654" s="2" t="str">
        <f t="shared" si="21"/>
        <v>Q2</v>
      </c>
      <c r="D654" s="2" t="s">
        <v>31</v>
      </c>
      <c r="E654" s="13">
        <v>45894</v>
      </c>
      <c r="F654" s="14" t="s">
        <v>197</v>
      </c>
      <c r="G654" s="14" t="s">
        <v>19</v>
      </c>
      <c r="H654" s="14" t="s">
        <v>125</v>
      </c>
      <c r="I654" s="15">
        <v>1</v>
      </c>
      <c r="J654" s="15">
        <v>800</v>
      </c>
      <c r="K654" s="15">
        <v>7.45</v>
      </c>
      <c r="L654" s="15">
        <v>5960</v>
      </c>
      <c r="M654" s="15">
        <v>-458.32</v>
      </c>
      <c r="N654" s="15">
        <v>0</v>
      </c>
      <c r="O654" s="15">
        <v>715.21807200000001</v>
      </c>
      <c r="P654" s="15">
        <v>6216.898072</v>
      </c>
    </row>
    <row r="655" spans="1:16" ht="15" x14ac:dyDescent="0.2">
      <c r="A655" s="4" t="s">
        <v>581</v>
      </c>
      <c r="B655" s="21" t="str">
        <f t="shared" si="20"/>
        <v>Aug-2025</v>
      </c>
      <c r="C655" s="2" t="str">
        <f t="shared" si="21"/>
        <v>Q2</v>
      </c>
      <c r="D655" s="2" t="s">
        <v>31</v>
      </c>
      <c r="E655" s="13">
        <v>45894</v>
      </c>
      <c r="F655" s="14" t="s">
        <v>197</v>
      </c>
      <c r="G655" s="14" t="s">
        <v>19</v>
      </c>
      <c r="H655" s="14" t="s">
        <v>66</v>
      </c>
      <c r="I655" s="15">
        <v>5</v>
      </c>
      <c r="J655" s="15">
        <v>120</v>
      </c>
      <c r="K655" s="15">
        <v>141.53</v>
      </c>
      <c r="L655" s="15">
        <v>16983.600000000002</v>
      </c>
      <c r="M655" s="15">
        <v>-1306.04</v>
      </c>
      <c r="N655" s="15">
        <v>0</v>
      </c>
      <c r="O655" s="15">
        <v>2038.081866</v>
      </c>
      <c r="P655" s="15">
        <v>17715.641866000002</v>
      </c>
    </row>
    <row r="656" spans="1:16" ht="15" x14ac:dyDescent="0.2">
      <c r="A656" s="4" t="s">
        <v>576</v>
      </c>
      <c r="B656" s="21" t="str">
        <f t="shared" si="20"/>
        <v>Aug-2025</v>
      </c>
      <c r="C656" s="2" t="str">
        <f t="shared" si="21"/>
        <v>Q2</v>
      </c>
      <c r="D656" s="2" t="s">
        <v>31</v>
      </c>
      <c r="E656" s="13">
        <v>45894</v>
      </c>
      <c r="F656" s="14" t="s">
        <v>197</v>
      </c>
      <c r="G656" s="14" t="s">
        <v>19</v>
      </c>
      <c r="H656" s="14" t="s">
        <v>124</v>
      </c>
      <c r="I656" s="15">
        <v>2</v>
      </c>
      <c r="J656" s="15">
        <v>40</v>
      </c>
      <c r="K656" s="15">
        <v>175.05</v>
      </c>
      <c r="L656" s="15">
        <v>7001.9999999999991</v>
      </c>
      <c r="M656" s="15">
        <v>-538.45000000000005</v>
      </c>
      <c r="N656" s="15">
        <v>0</v>
      </c>
      <c r="O656" s="15">
        <v>840.2611149999999</v>
      </c>
      <c r="P656" s="15">
        <v>7303.8111150000004</v>
      </c>
    </row>
    <row r="657" spans="1:16" ht="15" x14ac:dyDescent="0.2">
      <c r="A657" s="4" t="s">
        <v>588</v>
      </c>
      <c r="B657" s="21" t="str">
        <f t="shared" si="20"/>
        <v>Aug-2025</v>
      </c>
      <c r="C657" s="2" t="str">
        <f t="shared" si="21"/>
        <v>Q2</v>
      </c>
      <c r="D657" s="2" t="s">
        <v>31</v>
      </c>
      <c r="E657" s="13">
        <v>45896</v>
      </c>
      <c r="F657" s="14" t="s">
        <v>198</v>
      </c>
      <c r="G657" s="14" t="s">
        <v>12</v>
      </c>
      <c r="H657" s="14" t="s">
        <v>95</v>
      </c>
      <c r="I657" s="15">
        <v>3</v>
      </c>
      <c r="J657" s="15">
        <v>180</v>
      </c>
      <c r="K657" s="15">
        <v>111.74</v>
      </c>
      <c r="L657" s="15">
        <v>20113.2</v>
      </c>
      <c r="M657" s="15">
        <v>-1546.71</v>
      </c>
      <c r="N657" s="15">
        <v>0</v>
      </c>
      <c r="O657" s="15">
        <v>2413.6443689999996</v>
      </c>
      <c r="P657" s="15">
        <v>20980.134368999999</v>
      </c>
    </row>
    <row r="658" spans="1:16" ht="15" x14ac:dyDescent="0.2">
      <c r="A658" s="4" t="s">
        <v>590</v>
      </c>
      <c r="B658" s="21" t="str">
        <f t="shared" si="20"/>
        <v>Aug-2025</v>
      </c>
      <c r="C658" s="2" t="str">
        <f t="shared" si="21"/>
        <v>Q2</v>
      </c>
      <c r="D658" s="2" t="s">
        <v>31</v>
      </c>
      <c r="E658" s="13">
        <v>45896</v>
      </c>
      <c r="F658" s="14" t="s">
        <v>198</v>
      </c>
      <c r="G658" s="14" t="s">
        <v>12</v>
      </c>
      <c r="H658" s="14" t="s">
        <v>102</v>
      </c>
      <c r="I658" s="15">
        <v>5</v>
      </c>
      <c r="J658" s="15">
        <v>100</v>
      </c>
      <c r="K658" s="15">
        <v>249.55</v>
      </c>
      <c r="L658" s="15">
        <v>24955</v>
      </c>
      <c r="M658" s="15">
        <v>-1919.04</v>
      </c>
      <c r="N658" s="15">
        <v>0</v>
      </c>
      <c r="O658" s="15">
        <v>2994.6756310000001</v>
      </c>
      <c r="P658" s="15">
        <v>26030.635631000001</v>
      </c>
    </row>
    <row r="659" spans="1:16" ht="15" x14ac:dyDescent="0.2">
      <c r="A659" s="4" t="s">
        <v>580</v>
      </c>
      <c r="B659" s="21" t="str">
        <f t="shared" si="20"/>
        <v>Aug-2025</v>
      </c>
      <c r="C659" s="2" t="str">
        <f t="shared" si="21"/>
        <v>Q2</v>
      </c>
      <c r="D659" s="2" t="s">
        <v>31</v>
      </c>
      <c r="E659" s="13">
        <v>45897</v>
      </c>
      <c r="F659" s="14" t="s">
        <v>199</v>
      </c>
      <c r="G659" s="14" t="s">
        <v>12</v>
      </c>
      <c r="H659" s="14" t="s">
        <v>89</v>
      </c>
      <c r="I659" s="15">
        <v>5</v>
      </c>
      <c r="J659" s="15">
        <v>350</v>
      </c>
      <c r="K659" s="15">
        <v>32.78</v>
      </c>
      <c r="L659" s="15">
        <v>11473</v>
      </c>
      <c r="M659" s="15">
        <v>-882.2700000000001</v>
      </c>
      <c r="N659" s="15">
        <v>0</v>
      </c>
      <c r="O659" s="15">
        <v>1376.7941970000002</v>
      </c>
      <c r="P659" s="15">
        <v>11967.524197000001</v>
      </c>
    </row>
    <row r="660" spans="1:16" ht="15" x14ac:dyDescent="0.2">
      <c r="A660" s="4" t="s">
        <v>581</v>
      </c>
      <c r="B660" s="21" t="str">
        <f t="shared" si="20"/>
        <v>Aug-2025</v>
      </c>
      <c r="C660" s="2" t="str">
        <f t="shared" si="21"/>
        <v>Q2</v>
      </c>
      <c r="D660" s="2" t="s">
        <v>31</v>
      </c>
      <c r="E660" s="13">
        <v>45897</v>
      </c>
      <c r="F660" s="14" t="s">
        <v>199</v>
      </c>
      <c r="G660" s="14" t="s">
        <v>12</v>
      </c>
      <c r="H660" s="14" t="s">
        <v>96</v>
      </c>
      <c r="I660" s="15">
        <v>2</v>
      </c>
      <c r="J660" s="15">
        <v>80</v>
      </c>
      <c r="K660" s="15">
        <v>67.040000000000006</v>
      </c>
      <c r="L660" s="15">
        <v>5363.2</v>
      </c>
      <c r="M660" s="15">
        <v>-412.43</v>
      </c>
      <c r="N660" s="15">
        <v>0</v>
      </c>
      <c r="O660" s="15">
        <v>643.59977200000003</v>
      </c>
      <c r="P660" s="15">
        <v>5594.369772</v>
      </c>
    </row>
    <row r="661" spans="1:16" ht="15" x14ac:dyDescent="0.2">
      <c r="A661" s="4" t="s">
        <v>592</v>
      </c>
      <c r="B661" s="21" t="str">
        <f t="shared" si="20"/>
        <v>Aug-2025</v>
      </c>
      <c r="C661" s="2" t="str">
        <f t="shared" si="21"/>
        <v>Q2</v>
      </c>
      <c r="D661" s="2" t="s">
        <v>31</v>
      </c>
      <c r="E661" s="13">
        <v>45897</v>
      </c>
      <c r="F661" s="14" t="s">
        <v>199</v>
      </c>
      <c r="G661" s="14" t="s">
        <v>12</v>
      </c>
      <c r="H661" s="14" t="s">
        <v>115</v>
      </c>
      <c r="I661" s="15">
        <v>5</v>
      </c>
      <c r="J661" s="15">
        <v>250</v>
      </c>
      <c r="K661" s="15">
        <v>89.39</v>
      </c>
      <c r="L661" s="15">
        <v>22347.5</v>
      </c>
      <c r="M661" s="15">
        <v>-1718.52</v>
      </c>
      <c r="N661" s="15">
        <v>0</v>
      </c>
      <c r="O661" s="15">
        <v>2681.7660309999997</v>
      </c>
      <c r="P661" s="15">
        <v>23310.746030999999</v>
      </c>
    </row>
    <row r="662" spans="1:16" ht="15" x14ac:dyDescent="0.2">
      <c r="A662" s="4" t="s">
        <v>576</v>
      </c>
      <c r="B662" s="21" t="str">
        <f t="shared" si="20"/>
        <v>Aug-2025</v>
      </c>
      <c r="C662" s="2" t="str">
        <f t="shared" si="21"/>
        <v>Q2</v>
      </c>
      <c r="D662" s="2" t="s">
        <v>31</v>
      </c>
      <c r="E662" s="13">
        <v>45897</v>
      </c>
      <c r="F662" s="14" t="s">
        <v>200</v>
      </c>
      <c r="G662" s="14" t="s">
        <v>187</v>
      </c>
      <c r="H662" s="14" t="s">
        <v>110</v>
      </c>
      <c r="I662" s="15">
        <v>5</v>
      </c>
      <c r="J662" s="15">
        <v>100</v>
      </c>
      <c r="K662" s="15">
        <v>175.06</v>
      </c>
      <c r="L662" s="15">
        <v>17506</v>
      </c>
      <c r="M662" s="15">
        <v>-1346.21</v>
      </c>
      <c r="N662" s="15">
        <v>0</v>
      </c>
      <c r="O662" s="15">
        <v>2100.772371</v>
      </c>
      <c r="P662" s="15">
        <v>18260.562371</v>
      </c>
    </row>
    <row r="663" spans="1:16" ht="15" x14ac:dyDescent="0.2">
      <c r="A663" s="4" t="s">
        <v>580</v>
      </c>
      <c r="B663" s="21" t="str">
        <f t="shared" si="20"/>
        <v>Aug-2025</v>
      </c>
      <c r="C663" s="2" t="str">
        <f t="shared" si="21"/>
        <v>Q2</v>
      </c>
      <c r="D663" s="2" t="s">
        <v>31</v>
      </c>
      <c r="E663" s="13">
        <v>45897</v>
      </c>
      <c r="F663" s="14" t="s">
        <v>200</v>
      </c>
      <c r="G663" s="14" t="s">
        <v>187</v>
      </c>
      <c r="H663" s="14" t="s">
        <v>89</v>
      </c>
      <c r="I663" s="15">
        <v>1</v>
      </c>
      <c r="J663" s="15">
        <v>70</v>
      </c>
      <c r="K663" s="15">
        <v>32.78</v>
      </c>
      <c r="L663" s="15">
        <v>2294.6</v>
      </c>
      <c r="M663" s="15">
        <v>-176.45</v>
      </c>
      <c r="N663" s="15">
        <v>0</v>
      </c>
      <c r="O663" s="15">
        <v>275.35945700000002</v>
      </c>
      <c r="P663" s="15">
        <v>2393.5094570000001</v>
      </c>
    </row>
    <row r="664" spans="1:16" ht="15" x14ac:dyDescent="0.2">
      <c r="A664" s="4" t="s">
        <v>583</v>
      </c>
      <c r="B664" s="21" t="str">
        <f t="shared" si="20"/>
        <v>Aug-2025</v>
      </c>
      <c r="C664" s="2" t="str">
        <f t="shared" si="21"/>
        <v>Q2</v>
      </c>
      <c r="D664" s="2" t="s">
        <v>31</v>
      </c>
      <c r="E664" s="13">
        <v>45897</v>
      </c>
      <c r="F664" s="14" t="s">
        <v>200</v>
      </c>
      <c r="G664" s="14" t="s">
        <v>187</v>
      </c>
      <c r="H664" s="14" t="s">
        <v>113</v>
      </c>
      <c r="I664" s="15">
        <v>5</v>
      </c>
      <c r="J664" s="15">
        <v>75</v>
      </c>
      <c r="K664" s="15">
        <v>260.72000000000003</v>
      </c>
      <c r="L664" s="15">
        <v>19554</v>
      </c>
      <c r="M664" s="15">
        <v>-1503.6999999999998</v>
      </c>
      <c r="N664" s="15">
        <v>0</v>
      </c>
      <c r="O664" s="15">
        <v>2346.5386330000001</v>
      </c>
      <c r="P664" s="15">
        <v>20396.838632999999</v>
      </c>
    </row>
    <row r="665" spans="1:16" ht="15" x14ac:dyDescent="0.2">
      <c r="A665" s="4" t="s">
        <v>590</v>
      </c>
      <c r="B665" s="21" t="str">
        <f t="shared" si="20"/>
        <v>Aug-2025</v>
      </c>
      <c r="C665" s="2" t="str">
        <f t="shared" si="21"/>
        <v>Q2</v>
      </c>
      <c r="D665" s="2" t="s">
        <v>31</v>
      </c>
      <c r="E665" s="13">
        <v>45897</v>
      </c>
      <c r="F665" s="14" t="s">
        <v>200</v>
      </c>
      <c r="G665" s="14" t="s">
        <v>187</v>
      </c>
      <c r="H665" s="14" t="s">
        <v>102</v>
      </c>
      <c r="I665" s="15">
        <v>2</v>
      </c>
      <c r="J665" s="15">
        <v>40</v>
      </c>
      <c r="K665" s="15">
        <v>249.55</v>
      </c>
      <c r="L665" s="15">
        <v>9982</v>
      </c>
      <c r="M665" s="15">
        <v>-767.62</v>
      </c>
      <c r="N665" s="15">
        <v>0</v>
      </c>
      <c r="O665" s="15">
        <v>1197.8692130000002</v>
      </c>
      <c r="P665" s="15">
        <v>10412.249212999999</v>
      </c>
    </row>
    <row r="666" spans="1:16" ht="15" x14ac:dyDescent="0.2">
      <c r="A666" s="4" t="s">
        <v>593</v>
      </c>
      <c r="B666" s="21" t="str">
        <f t="shared" si="20"/>
        <v>Aug-2025</v>
      </c>
      <c r="C666" s="2" t="str">
        <f t="shared" si="21"/>
        <v>Q2</v>
      </c>
      <c r="D666" s="2" t="s">
        <v>31</v>
      </c>
      <c r="E666" s="13">
        <v>45897</v>
      </c>
      <c r="F666" s="14" t="s">
        <v>200</v>
      </c>
      <c r="G666" s="14" t="s">
        <v>187</v>
      </c>
      <c r="H666" s="14" t="s">
        <v>117</v>
      </c>
      <c r="I666" s="15">
        <v>5</v>
      </c>
      <c r="J666" s="15">
        <v>20</v>
      </c>
      <c r="K666" s="15">
        <v>595.94000000000005</v>
      </c>
      <c r="L666" s="15">
        <v>11918.8</v>
      </c>
      <c r="M666" s="15">
        <v>-916.56</v>
      </c>
      <c r="N666" s="15">
        <v>0</v>
      </c>
      <c r="O666" s="15">
        <v>1430.2909759999998</v>
      </c>
      <c r="P666" s="15">
        <v>12432.530976</v>
      </c>
    </row>
    <row r="667" spans="1:16" ht="15" x14ac:dyDescent="0.2">
      <c r="A667" s="4" t="s">
        <v>581</v>
      </c>
      <c r="B667" s="21" t="str">
        <f t="shared" si="20"/>
        <v>Aug-2025</v>
      </c>
      <c r="C667" s="2" t="str">
        <f t="shared" si="21"/>
        <v>Q2</v>
      </c>
      <c r="D667" s="2" t="s">
        <v>31</v>
      </c>
      <c r="E667" s="13">
        <v>45897</v>
      </c>
      <c r="F667" s="14" t="s">
        <v>200</v>
      </c>
      <c r="G667" s="14" t="s">
        <v>187</v>
      </c>
      <c r="H667" s="14" t="s">
        <v>96</v>
      </c>
      <c r="I667" s="15">
        <v>1</v>
      </c>
      <c r="J667" s="15">
        <v>40</v>
      </c>
      <c r="K667" s="15">
        <v>67.040000000000006</v>
      </c>
      <c r="L667" s="15">
        <v>2681.6</v>
      </c>
      <c r="M667" s="15">
        <v>-206.22</v>
      </c>
      <c r="N667" s="15">
        <v>0</v>
      </c>
      <c r="O667" s="15">
        <v>321.79934999999995</v>
      </c>
      <c r="P667" s="15">
        <v>2797.1793499999999</v>
      </c>
    </row>
    <row r="668" spans="1:16" ht="15" x14ac:dyDescent="0.2">
      <c r="A668" s="4" t="s">
        <v>580</v>
      </c>
      <c r="B668" s="21" t="str">
        <f t="shared" si="20"/>
        <v>Aug-2025</v>
      </c>
      <c r="C668" s="2" t="str">
        <f t="shared" si="21"/>
        <v>Q2</v>
      </c>
      <c r="D668" s="2" t="s">
        <v>31</v>
      </c>
      <c r="E668" s="13">
        <v>45898</v>
      </c>
      <c r="F668" s="14" t="s">
        <v>201</v>
      </c>
      <c r="G668" s="14" t="s">
        <v>15</v>
      </c>
      <c r="H668" s="14" t="s">
        <v>89</v>
      </c>
      <c r="I668" s="15">
        <v>2</v>
      </c>
      <c r="J668" s="15">
        <v>140</v>
      </c>
      <c r="K668" s="15">
        <v>32.78</v>
      </c>
      <c r="L668" s="15">
        <v>4589.2</v>
      </c>
      <c r="M668" s="15">
        <v>-352.91</v>
      </c>
      <c r="N668" s="15">
        <v>0</v>
      </c>
      <c r="O668" s="15">
        <v>550.71767699999998</v>
      </c>
      <c r="P668" s="15">
        <v>4787.0076769999996</v>
      </c>
    </row>
    <row r="669" spans="1:16" ht="15" x14ac:dyDescent="0.2">
      <c r="A669" s="4" t="s">
        <v>581</v>
      </c>
      <c r="B669" s="21" t="str">
        <f t="shared" si="20"/>
        <v>Aug-2025</v>
      </c>
      <c r="C669" s="2" t="str">
        <f t="shared" si="21"/>
        <v>Q2</v>
      </c>
      <c r="D669" s="2" t="s">
        <v>31</v>
      </c>
      <c r="E669" s="13">
        <v>45898</v>
      </c>
      <c r="F669" s="14" t="s">
        <v>201</v>
      </c>
      <c r="G669" s="14" t="s">
        <v>15</v>
      </c>
      <c r="H669" s="14" t="s">
        <v>96</v>
      </c>
      <c r="I669" s="15">
        <v>2</v>
      </c>
      <c r="J669" s="15">
        <v>80</v>
      </c>
      <c r="K669" s="15">
        <v>67.040000000000006</v>
      </c>
      <c r="L669" s="15">
        <v>5363.2</v>
      </c>
      <c r="M669" s="15">
        <v>-412.43</v>
      </c>
      <c r="N669" s="15">
        <v>0</v>
      </c>
      <c r="O669" s="15">
        <v>643.60007300000007</v>
      </c>
      <c r="P669" s="15">
        <v>5594.370073</v>
      </c>
    </row>
    <row r="670" spans="1:16" ht="15" x14ac:dyDescent="0.2">
      <c r="A670" s="4" t="s">
        <v>574</v>
      </c>
      <c r="B670" s="21" t="str">
        <f t="shared" si="20"/>
        <v>Aug-2025</v>
      </c>
      <c r="C670" s="2" t="str">
        <f t="shared" si="21"/>
        <v>Q2</v>
      </c>
      <c r="D670" s="2" t="s">
        <v>31</v>
      </c>
      <c r="E670" s="13">
        <v>45898</v>
      </c>
      <c r="F670" s="14" t="s">
        <v>201</v>
      </c>
      <c r="G670" s="14" t="s">
        <v>15</v>
      </c>
      <c r="H670" s="14" t="s">
        <v>86</v>
      </c>
      <c r="I670" s="15">
        <v>1</v>
      </c>
      <c r="J670" s="15">
        <v>18</v>
      </c>
      <c r="K670" s="15">
        <v>178.78</v>
      </c>
      <c r="L670" s="15">
        <v>3218.0400000000004</v>
      </c>
      <c r="M670" s="15">
        <v>-247.47</v>
      </c>
      <c r="N670" s="15">
        <v>0</v>
      </c>
      <c r="O670" s="15">
        <v>386.17408399999999</v>
      </c>
      <c r="P670" s="15">
        <v>3356.7440839999999</v>
      </c>
    </row>
    <row r="671" spans="1:16" ht="15" x14ac:dyDescent="0.2">
      <c r="A671" s="4" t="s">
        <v>574</v>
      </c>
      <c r="B671" s="21" t="str">
        <f t="shared" si="20"/>
        <v>Aug-2025</v>
      </c>
      <c r="C671" s="2" t="str">
        <f t="shared" si="21"/>
        <v>Q2</v>
      </c>
      <c r="D671" s="2" t="s">
        <v>31</v>
      </c>
      <c r="E671" s="13">
        <v>45898</v>
      </c>
      <c r="F671" s="14" t="s">
        <v>201</v>
      </c>
      <c r="G671" s="14" t="s">
        <v>15</v>
      </c>
      <c r="H671" s="14" t="s">
        <v>85</v>
      </c>
      <c r="I671" s="15">
        <v>1</v>
      </c>
      <c r="J671" s="15">
        <v>18</v>
      </c>
      <c r="K671" s="15">
        <v>178.78</v>
      </c>
      <c r="L671" s="15">
        <v>3218.0400000000004</v>
      </c>
      <c r="M671" s="15">
        <v>-247.47</v>
      </c>
      <c r="N671" s="15">
        <v>0</v>
      </c>
      <c r="O671" s="15">
        <v>386.17408399999999</v>
      </c>
      <c r="P671" s="15">
        <v>3356.7440839999999</v>
      </c>
    </row>
    <row r="672" spans="1:16" ht="15" x14ac:dyDescent="0.2">
      <c r="A672" s="4" t="s">
        <v>574</v>
      </c>
      <c r="B672" s="21" t="str">
        <f t="shared" si="20"/>
        <v>Aug-2025</v>
      </c>
      <c r="C672" s="2" t="str">
        <f t="shared" si="21"/>
        <v>Q2</v>
      </c>
      <c r="D672" s="2" t="s">
        <v>31</v>
      </c>
      <c r="E672" s="13">
        <v>45898</v>
      </c>
      <c r="F672" s="14" t="s">
        <v>201</v>
      </c>
      <c r="G672" s="14" t="s">
        <v>15</v>
      </c>
      <c r="H672" s="14" t="s">
        <v>52</v>
      </c>
      <c r="I672" s="15">
        <v>1</v>
      </c>
      <c r="J672" s="15">
        <v>18</v>
      </c>
      <c r="K672" s="15">
        <v>178.78</v>
      </c>
      <c r="L672" s="15">
        <v>3218.0400000000004</v>
      </c>
      <c r="M672" s="15">
        <v>-247.47</v>
      </c>
      <c r="N672" s="15">
        <v>0</v>
      </c>
      <c r="O672" s="15">
        <v>386.17408399999999</v>
      </c>
      <c r="P672" s="15">
        <v>3356.7440839999999</v>
      </c>
    </row>
    <row r="673" spans="1:16" ht="15" x14ac:dyDescent="0.2">
      <c r="A673" s="4" t="s">
        <v>579</v>
      </c>
      <c r="B673" s="21" t="str">
        <f t="shared" si="20"/>
        <v>Aug-2025</v>
      </c>
      <c r="C673" s="2" t="str">
        <f t="shared" si="21"/>
        <v>Q2</v>
      </c>
      <c r="D673" s="2" t="s">
        <v>31</v>
      </c>
      <c r="E673" s="13">
        <v>45900</v>
      </c>
      <c r="F673" s="14" t="s">
        <v>202</v>
      </c>
      <c r="G673" s="14" t="s">
        <v>14</v>
      </c>
      <c r="H673" s="14" t="s">
        <v>112</v>
      </c>
      <c r="I673" s="15">
        <v>1</v>
      </c>
      <c r="J673" s="15">
        <v>20</v>
      </c>
      <c r="K673" s="15">
        <v>204.85</v>
      </c>
      <c r="L673" s="15">
        <v>4097</v>
      </c>
      <c r="M673" s="15">
        <v>-315.06</v>
      </c>
      <c r="N673" s="15">
        <v>0</v>
      </c>
      <c r="O673" s="15">
        <v>491.65192000000002</v>
      </c>
      <c r="P673" s="15">
        <v>4273.5919199999998</v>
      </c>
    </row>
    <row r="674" spans="1:16" ht="15" x14ac:dyDescent="0.2">
      <c r="A674" s="4" t="s">
        <v>581</v>
      </c>
      <c r="B674" s="21" t="str">
        <f t="shared" si="20"/>
        <v>Aug-2025</v>
      </c>
      <c r="C674" s="2" t="str">
        <f t="shared" si="21"/>
        <v>Q2</v>
      </c>
      <c r="D674" s="2" t="s">
        <v>31</v>
      </c>
      <c r="E674" s="13">
        <v>45900</v>
      </c>
      <c r="F674" s="14" t="s">
        <v>202</v>
      </c>
      <c r="G674" s="14" t="s">
        <v>14</v>
      </c>
      <c r="H674" s="14" t="s">
        <v>96</v>
      </c>
      <c r="I674" s="15">
        <v>1</v>
      </c>
      <c r="J674" s="15">
        <v>40</v>
      </c>
      <c r="K674" s="15">
        <v>67.040000000000006</v>
      </c>
      <c r="L674" s="15">
        <v>2681.6</v>
      </c>
      <c r="M674" s="15">
        <v>-206.22</v>
      </c>
      <c r="N674" s="15">
        <v>0</v>
      </c>
      <c r="O674" s="15">
        <v>321.799216</v>
      </c>
      <c r="P674" s="15">
        <v>2797.179216</v>
      </c>
    </row>
    <row r="675" spans="1:16" ht="15" x14ac:dyDescent="0.2">
      <c r="A675" s="4" t="s">
        <v>580</v>
      </c>
      <c r="B675" s="21" t="str">
        <f t="shared" si="20"/>
        <v>Aug-2025</v>
      </c>
      <c r="C675" s="2" t="str">
        <f t="shared" si="21"/>
        <v>Q2</v>
      </c>
      <c r="D675" s="2" t="s">
        <v>31</v>
      </c>
      <c r="E675" s="13">
        <v>45900</v>
      </c>
      <c r="F675" s="14" t="s">
        <v>202</v>
      </c>
      <c r="G675" s="14" t="s">
        <v>14</v>
      </c>
      <c r="H675" s="14" t="s">
        <v>89</v>
      </c>
      <c r="I675" s="15">
        <v>1</v>
      </c>
      <c r="J675" s="15">
        <v>70</v>
      </c>
      <c r="K675" s="15">
        <v>32.78</v>
      </c>
      <c r="L675" s="15">
        <v>2294.6</v>
      </c>
      <c r="M675" s="15">
        <v>-176.45</v>
      </c>
      <c r="N675" s="15">
        <v>0</v>
      </c>
      <c r="O675" s="15">
        <v>275.35934300000002</v>
      </c>
      <c r="P675" s="15">
        <v>2393.5093430000002</v>
      </c>
    </row>
    <row r="676" spans="1:16" ht="15" x14ac:dyDescent="0.2">
      <c r="A676" s="4" t="s">
        <v>584</v>
      </c>
      <c r="B676" s="21" t="str">
        <f t="shared" si="20"/>
        <v>Aug-2025</v>
      </c>
      <c r="C676" s="2" t="str">
        <f t="shared" si="21"/>
        <v>Q2</v>
      </c>
      <c r="D676" s="2" t="s">
        <v>31</v>
      </c>
      <c r="E676" s="13">
        <v>45900</v>
      </c>
      <c r="F676" s="14" t="s">
        <v>202</v>
      </c>
      <c r="G676" s="14" t="s">
        <v>14</v>
      </c>
      <c r="H676" s="14" t="s">
        <v>100</v>
      </c>
      <c r="I676" s="15">
        <v>1</v>
      </c>
      <c r="J676" s="15">
        <v>40</v>
      </c>
      <c r="K676" s="15">
        <v>81.94</v>
      </c>
      <c r="L676" s="15">
        <v>3277.6</v>
      </c>
      <c r="M676" s="15">
        <v>-252.05</v>
      </c>
      <c r="N676" s="15">
        <v>0</v>
      </c>
      <c r="O676" s="15">
        <v>393.32127600000001</v>
      </c>
      <c r="P676" s="15">
        <v>3418.8712759999999</v>
      </c>
    </row>
    <row r="677" spans="1:16" ht="15" x14ac:dyDescent="0.2">
      <c r="A677" s="4" t="s">
        <v>584</v>
      </c>
      <c r="B677" s="21" t="str">
        <f t="shared" si="20"/>
        <v>Aug-2025</v>
      </c>
      <c r="C677" s="2" t="str">
        <f t="shared" si="21"/>
        <v>Q2</v>
      </c>
      <c r="D677" s="2" t="s">
        <v>31</v>
      </c>
      <c r="E677" s="13">
        <v>45900</v>
      </c>
      <c r="F677" s="14" t="s">
        <v>202</v>
      </c>
      <c r="G677" s="14" t="s">
        <v>14</v>
      </c>
      <c r="H677" s="14" t="s">
        <v>99</v>
      </c>
      <c r="I677" s="15">
        <v>1</v>
      </c>
      <c r="J677" s="15">
        <v>40</v>
      </c>
      <c r="K677" s="15">
        <v>81.94</v>
      </c>
      <c r="L677" s="15">
        <v>3277.6</v>
      </c>
      <c r="M677" s="15">
        <v>-252.05</v>
      </c>
      <c r="N677" s="15">
        <v>0</v>
      </c>
      <c r="O677" s="15">
        <v>393.32127600000001</v>
      </c>
      <c r="P677" s="15">
        <v>3418.8712759999999</v>
      </c>
    </row>
    <row r="678" spans="1:16" ht="15" x14ac:dyDescent="0.2">
      <c r="A678" s="4" t="s">
        <v>590</v>
      </c>
      <c r="B678" s="21" t="str">
        <f t="shared" si="20"/>
        <v>Aug-2025</v>
      </c>
      <c r="C678" s="2" t="str">
        <f t="shared" si="21"/>
        <v>Q2</v>
      </c>
      <c r="D678" s="2" t="s">
        <v>31</v>
      </c>
      <c r="E678" s="13">
        <v>45900</v>
      </c>
      <c r="F678" s="14" t="s">
        <v>202</v>
      </c>
      <c r="G678" s="14" t="s">
        <v>14</v>
      </c>
      <c r="H678" s="14" t="s">
        <v>102</v>
      </c>
      <c r="I678" s="15">
        <v>1</v>
      </c>
      <c r="J678" s="15">
        <v>20</v>
      </c>
      <c r="K678" s="15">
        <v>249.55</v>
      </c>
      <c r="L678" s="15">
        <v>4991</v>
      </c>
      <c r="M678" s="15">
        <v>-383.81</v>
      </c>
      <c r="N678" s="15">
        <v>0</v>
      </c>
      <c r="O678" s="15">
        <v>598.93435800000009</v>
      </c>
      <c r="P678" s="15">
        <v>5206.124358</v>
      </c>
    </row>
    <row r="679" spans="1:16" ht="15" x14ac:dyDescent="0.2">
      <c r="A679" s="4" t="s">
        <v>575</v>
      </c>
      <c r="B679" s="21" t="str">
        <f t="shared" si="20"/>
        <v>Aug-2025</v>
      </c>
      <c r="C679" s="2" t="str">
        <f t="shared" si="21"/>
        <v>Q2</v>
      </c>
      <c r="D679" s="2" t="s">
        <v>31</v>
      </c>
      <c r="E679" s="13">
        <v>45900</v>
      </c>
      <c r="F679" s="14" t="s">
        <v>202</v>
      </c>
      <c r="G679" s="14" t="s">
        <v>14</v>
      </c>
      <c r="H679" s="14" t="s">
        <v>55</v>
      </c>
      <c r="I679" s="15">
        <v>1</v>
      </c>
      <c r="J679" s="15">
        <v>20</v>
      </c>
      <c r="K679" s="15">
        <v>186.23</v>
      </c>
      <c r="L679" s="15">
        <v>3724.6000000000004</v>
      </c>
      <c r="M679" s="15">
        <v>-286.42</v>
      </c>
      <c r="N679" s="15">
        <v>0</v>
      </c>
      <c r="O679" s="15">
        <v>446.96314500000005</v>
      </c>
      <c r="P679" s="15">
        <v>3885.143145</v>
      </c>
    </row>
    <row r="680" spans="1:16" ht="15" x14ac:dyDescent="0.2">
      <c r="A680" s="4" t="s">
        <v>581</v>
      </c>
      <c r="B680" s="21" t="str">
        <f t="shared" si="20"/>
        <v>Aug-2025</v>
      </c>
      <c r="C680" s="2" t="str">
        <f t="shared" si="21"/>
        <v>Q2</v>
      </c>
      <c r="D680" s="2" t="s">
        <v>31</v>
      </c>
      <c r="E680" s="13">
        <v>45900</v>
      </c>
      <c r="F680" s="14" t="s">
        <v>202</v>
      </c>
      <c r="G680" s="14" t="s">
        <v>14</v>
      </c>
      <c r="H680" s="14" t="s">
        <v>97</v>
      </c>
      <c r="I680" s="15">
        <v>2</v>
      </c>
      <c r="J680" s="15">
        <v>80</v>
      </c>
      <c r="K680" s="15">
        <v>67.040000000000006</v>
      </c>
      <c r="L680" s="15">
        <v>5363.2</v>
      </c>
      <c r="M680" s="15">
        <v>-412.43</v>
      </c>
      <c r="N680" s="15">
        <v>0</v>
      </c>
      <c r="O680" s="15">
        <v>643.59973300000001</v>
      </c>
      <c r="P680" s="15">
        <v>5594.3697330000005</v>
      </c>
    </row>
    <row r="681" spans="1:16" ht="15" x14ac:dyDescent="0.2">
      <c r="A681" s="4" t="s">
        <v>581</v>
      </c>
      <c r="B681" s="21" t="str">
        <f t="shared" si="20"/>
        <v>Aug-2025</v>
      </c>
      <c r="C681" s="2" t="str">
        <f t="shared" si="21"/>
        <v>Q2</v>
      </c>
      <c r="D681" s="2" t="s">
        <v>31</v>
      </c>
      <c r="E681" s="13">
        <v>45900</v>
      </c>
      <c r="F681" s="14" t="s">
        <v>202</v>
      </c>
      <c r="G681" s="14" t="s">
        <v>14</v>
      </c>
      <c r="H681" s="14" t="s">
        <v>104</v>
      </c>
      <c r="I681" s="15">
        <v>2</v>
      </c>
      <c r="J681" s="15">
        <v>80</v>
      </c>
      <c r="K681" s="15">
        <v>67.040000000000006</v>
      </c>
      <c r="L681" s="15">
        <v>5363.2</v>
      </c>
      <c r="M681" s="15">
        <v>-412.43</v>
      </c>
      <c r="N681" s="15">
        <v>0</v>
      </c>
      <c r="O681" s="15">
        <v>643.59973300000001</v>
      </c>
      <c r="P681" s="15">
        <v>5594.3697330000005</v>
      </c>
    </row>
    <row r="682" spans="1:16" ht="15" x14ac:dyDescent="0.2">
      <c r="A682" s="4" t="s">
        <v>588</v>
      </c>
      <c r="B682" s="21" t="str">
        <f t="shared" si="20"/>
        <v>Aug-2025</v>
      </c>
      <c r="C682" s="2" t="str">
        <f t="shared" si="21"/>
        <v>Q2</v>
      </c>
      <c r="D682" s="2" t="s">
        <v>31</v>
      </c>
      <c r="E682" s="13">
        <v>45900</v>
      </c>
      <c r="F682" s="14" t="s">
        <v>203</v>
      </c>
      <c r="G682" s="14" t="s">
        <v>12</v>
      </c>
      <c r="H682" s="14" t="s">
        <v>95</v>
      </c>
      <c r="I682" s="15">
        <v>2</v>
      </c>
      <c r="J682" s="15">
        <v>120</v>
      </c>
      <c r="K682" s="15">
        <v>111.74</v>
      </c>
      <c r="L682" s="15">
        <v>13408.8</v>
      </c>
      <c r="M682" s="15">
        <v>-1031.1400000000001</v>
      </c>
      <c r="N682" s="15">
        <v>0</v>
      </c>
      <c r="O682" s="15">
        <v>1609.0956120000001</v>
      </c>
      <c r="P682" s="15">
        <v>13986.755612000001</v>
      </c>
    </row>
    <row r="683" spans="1:16" ht="15" x14ac:dyDescent="0.2">
      <c r="A683" s="4" t="s">
        <v>583</v>
      </c>
      <c r="B683" s="21" t="str">
        <f t="shared" si="20"/>
        <v>Aug-2025</v>
      </c>
      <c r="C683" s="2" t="str">
        <f t="shared" si="21"/>
        <v>Q2</v>
      </c>
      <c r="D683" s="2" t="s">
        <v>31</v>
      </c>
      <c r="E683" s="13">
        <v>45900</v>
      </c>
      <c r="F683" s="14" t="s">
        <v>203</v>
      </c>
      <c r="G683" s="14" t="s">
        <v>12</v>
      </c>
      <c r="H683" s="14" t="s">
        <v>113</v>
      </c>
      <c r="I683" s="15">
        <v>3</v>
      </c>
      <c r="J683" s="15">
        <v>45</v>
      </c>
      <c r="K683" s="15">
        <v>260.72000000000003</v>
      </c>
      <c r="L683" s="15">
        <v>11732.4</v>
      </c>
      <c r="M683" s="15">
        <v>-902.22</v>
      </c>
      <c r="N683" s="15">
        <v>0</v>
      </c>
      <c r="O683" s="15">
        <v>1407.9232360000001</v>
      </c>
      <c r="P683" s="15">
        <v>12238.103236000001</v>
      </c>
    </row>
    <row r="684" spans="1:16" ht="15" x14ac:dyDescent="0.2">
      <c r="A684" s="4" t="s">
        <v>582</v>
      </c>
      <c r="B684" s="21" t="str">
        <f t="shared" si="20"/>
        <v>Aug-2025</v>
      </c>
      <c r="C684" s="2" t="str">
        <f t="shared" si="21"/>
        <v>Q2</v>
      </c>
      <c r="D684" s="2" t="s">
        <v>31</v>
      </c>
      <c r="E684" s="13">
        <v>45900</v>
      </c>
      <c r="F684" s="14" t="s">
        <v>203</v>
      </c>
      <c r="G684" s="14" t="s">
        <v>12</v>
      </c>
      <c r="H684" s="14" t="s">
        <v>77</v>
      </c>
      <c r="I684" s="15">
        <v>2</v>
      </c>
      <c r="J684" s="15">
        <v>48</v>
      </c>
      <c r="K684" s="15">
        <v>204.85</v>
      </c>
      <c r="L684" s="15">
        <v>9832.8000000000011</v>
      </c>
      <c r="M684" s="15">
        <v>-756.14</v>
      </c>
      <c r="N684" s="15">
        <v>0</v>
      </c>
      <c r="O684" s="15">
        <v>1179.9656620000001</v>
      </c>
      <c r="P684" s="15">
        <v>10256.625662</v>
      </c>
    </row>
    <row r="685" spans="1:16" ht="15" x14ac:dyDescent="0.2">
      <c r="A685" s="4" t="s">
        <v>583</v>
      </c>
      <c r="B685" s="21" t="str">
        <f t="shared" si="20"/>
        <v>Aug-2025</v>
      </c>
      <c r="C685" s="2" t="str">
        <f t="shared" si="21"/>
        <v>Q2</v>
      </c>
      <c r="D685" s="2" t="s">
        <v>31</v>
      </c>
      <c r="E685" s="13">
        <v>45900</v>
      </c>
      <c r="F685" s="14" t="s">
        <v>203</v>
      </c>
      <c r="G685" s="14" t="s">
        <v>12</v>
      </c>
      <c r="H685" s="14" t="s">
        <v>109</v>
      </c>
      <c r="I685" s="15">
        <v>2</v>
      </c>
      <c r="J685" s="15">
        <v>30</v>
      </c>
      <c r="K685" s="15">
        <v>260.72000000000003</v>
      </c>
      <c r="L685" s="15">
        <v>7821.6</v>
      </c>
      <c r="M685" s="15">
        <v>-601.48</v>
      </c>
      <c r="N685" s="15">
        <v>0</v>
      </c>
      <c r="O685" s="15">
        <v>938.61549000000002</v>
      </c>
      <c r="P685" s="15">
        <v>8158.73549</v>
      </c>
    </row>
    <row r="686" spans="1:16" ht="15" x14ac:dyDescent="0.2">
      <c r="A686" s="4" t="s">
        <v>573</v>
      </c>
      <c r="B686" s="21" t="str">
        <f t="shared" si="20"/>
        <v>Aug-2025</v>
      </c>
      <c r="C686" s="2" t="str">
        <f t="shared" si="21"/>
        <v>Q2</v>
      </c>
      <c r="D686" s="2" t="s">
        <v>31</v>
      </c>
      <c r="E686" s="13">
        <v>45900</v>
      </c>
      <c r="F686" s="14" t="s">
        <v>204</v>
      </c>
      <c r="G686" s="14" t="s">
        <v>119</v>
      </c>
      <c r="H686" s="14" t="s">
        <v>111</v>
      </c>
      <c r="I686" s="15">
        <v>1</v>
      </c>
      <c r="J686" s="15">
        <v>40</v>
      </c>
      <c r="K686" s="15">
        <v>111.74</v>
      </c>
      <c r="L686" s="15">
        <v>4469.6000000000004</v>
      </c>
      <c r="M686" s="15">
        <v>-343.71</v>
      </c>
      <c r="N686" s="15">
        <v>0</v>
      </c>
      <c r="O686" s="15">
        <v>536.36596899999995</v>
      </c>
      <c r="P686" s="15">
        <v>4662.2559689999998</v>
      </c>
    </row>
    <row r="687" spans="1:16" ht="15" x14ac:dyDescent="0.2">
      <c r="A687" s="4" t="s">
        <v>589</v>
      </c>
      <c r="B687" s="21" t="str">
        <f t="shared" si="20"/>
        <v>Aug-2025</v>
      </c>
      <c r="C687" s="2" t="str">
        <f t="shared" si="21"/>
        <v>Q2</v>
      </c>
      <c r="D687" s="2" t="s">
        <v>31</v>
      </c>
      <c r="E687" s="13">
        <v>45900</v>
      </c>
      <c r="F687" s="14" t="s">
        <v>204</v>
      </c>
      <c r="G687" s="14" t="s">
        <v>119</v>
      </c>
      <c r="H687" s="14" t="s">
        <v>98</v>
      </c>
      <c r="I687" s="15">
        <v>1</v>
      </c>
      <c r="J687" s="15">
        <v>60</v>
      </c>
      <c r="K687" s="15">
        <v>145.26</v>
      </c>
      <c r="L687" s="15">
        <v>8715.6</v>
      </c>
      <c r="M687" s="15">
        <v>-670.23</v>
      </c>
      <c r="N687" s="15">
        <v>0</v>
      </c>
      <c r="O687" s="15">
        <v>1045.8986239999999</v>
      </c>
      <c r="P687" s="15">
        <v>9091.2686240000003</v>
      </c>
    </row>
    <row r="688" spans="1:16" ht="15" x14ac:dyDescent="0.2">
      <c r="A688" s="4" t="s">
        <v>573</v>
      </c>
      <c r="B688" s="21" t="str">
        <f t="shared" si="20"/>
        <v>Aug-2025</v>
      </c>
      <c r="C688" s="2" t="str">
        <f t="shared" si="21"/>
        <v>Q2</v>
      </c>
      <c r="D688" s="2" t="s">
        <v>31</v>
      </c>
      <c r="E688" s="13">
        <v>45900</v>
      </c>
      <c r="F688" s="14" t="s">
        <v>204</v>
      </c>
      <c r="G688" s="14" t="s">
        <v>119</v>
      </c>
      <c r="H688" s="14" t="s">
        <v>136</v>
      </c>
      <c r="I688" s="15">
        <v>1</v>
      </c>
      <c r="J688" s="15">
        <v>40</v>
      </c>
      <c r="K688" s="15">
        <v>111.74</v>
      </c>
      <c r="L688" s="15">
        <v>4469.6000000000004</v>
      </c>
      <c r="M688" s="15">
        <v>-343.71</v>
      </c>
      <c r="N688" s="15">
        <v>0</v>
      </c>
      <c r="O688" s="15">
        <v>536.36596899999995</v>
      </c>
      <c r="P688" s="15">
        <v>4662.2559689999998</v>
      </c>
    </row>
    <row r="689" spans="1:16" ht="15" x14ac:dyDescent="0.2">
      <c r="A689" s="4" t="s">
        <v>589</v>
      </c>
      <c r="B689" s="21" t="str">
        <f t="shared" si="20"/>
        <v>Aug-2025</v>
      </c>
      <c r="C689" s="2" t="str">
        <f t="shared" si="21"/>
        <v>Q2</v>
      </c>
      <c r="D689" s="2" t="s">
        <v>31</v>
      </c>
      <c r="E689" s="13">
        <v>45900</v>
      </c>
      <c r="F689" s="14" t="s">
        <v>204</v>
      </c>
      <c r="G689" s="14" t="s">
        <v>119</v>
      </c>
      <c r="H689" s="14" t="s">
        <v>105</v>
      </c>
      <c r="I689" s="15">
        <v>1</v>
      </c>
      <c r="J689" s="15">
        <v>30</v>
      </c>
      <c r="K689" s="15">
        <v>316.58999999999997</v>
      </c>
      <c r="L689" s="15">
        <v>9497.6999999999989</v>
      </c>
      <c r="M689" s="15">
        <v>-730.36999999999989</v>
      </c>
      <c r="N689" s="15">
        <v>0</v>
      </c>
      <c r="O689" s="15">
        <v>1139.753471</v>
      </c>
      <c r="P689" s="15">
        <v>9907.0834709999999</v>
      </c>
    </row>
    <row r="690" spans="1:16" ht="15" x14ac:dyDescent="0.2">
      <c r="A690" s="4" t="s">
        <v>573</v>
      </c>
      <c r="B690" s="21" t="str">
        <f t="shared" si="20"/>
        <v>Aug-2025</v>
      </c>
      <c r="C690" s="2" t="str">
        <f t="shared" si="21"/>
        <v>Q2</v>
      </c>
      <c r="D690" s="2" t="s">
        <v>31</v>
      </c>
      <c r="E690" s="13">
        <v>45900</v>
      </c>
      <c r="F690" s="14" t="s">
        <v>204</v>
      </c>
      <c r="G690" s="14" t="s">
        <v>119</v>
      </c>
      <c r="H690" s="14" t="s">
        <v>47</v>
      </c>
      <c r="I690" s="15">
        <v>1</v>
      </c>
      <c r="J690" s="15">
        <v>40</v>
      </c>
      <c r="K690" s="15">
        <v>111.74</v>
      </c>
      <c r="L690" s="15">
        <v>4469.6000000000004</v>
      </c>
      <c r="M690" s="15">
        <v>-343.71</v>
      </c>
      <c r="N690" s="15">
        <v>0</v>
      </c>
      <c r="O690" s="15">
        <v>536.36596899999995</v>
      </c>
      <c r="P690" s="15">
        <v>4662.2559689999998</v>
      </c>
    </row>
    <row r="691" spans="1:16" ht="15" x14ac:dyDescent="0.2">
      <c r="A691" s="4" t="s">
        <v>573</v>
      </c>
      <c r="B691" s="21" t="str">
        <f t="shared" si="20"/>
        <v>Aug-2025</v>
      </c>
      <c r="C691" s="2" t="str">
        <f t="shared" si="21"/>
        <v>Q2</v>
      </c>
      <c r="D691" s="2" t="s">
        <v>31</v>
      </c>
      <c r="E691" s="13">
        <v>45900</v>
      </c>
      <c r="F691" s="14" t="s">
        <v>205</v>
      </c>
      <c r="G691" s="14" t="s">
        <v>206</v>
      </c>
      <c r="H691" s="14" t="s">
        <v>111</v>
      </c>
      <c r="I691" s="15">
        <v>2</v>
      </c>
      <c r="J691" s="15">
        <v>80</v>
      </c>
      <c r="K691" s="15">
        <v>111.74</v>
      </c>
      <c r="L691" s="15">
        <v>8939.2000000000007</v>
      </c>
      <c r="M691" s="15">
        <v>-687.42</v>
      </c>
      <c r="N691" s="15">
        <v>0</v>
      </c>
      <c r="O691" s="15">
        <v>1072.7310499999999</v>
      </c>
      <c r="P691" s="15">
        <v>9324.5110499999992</v>
      </c>
    </row>
    <row r="692" spans="1:16" ht="15" x14ac:dyDescent="0.2">
      <c r="A692" s="4" t="s">
        <v>579</v>
      </c>
      <c r="B692" s="21" t="str">
        <f t="shared" si="20"/>
        <v>Aug-2025</v>
      </c>
      <c r="C692" s="2" t="str">
        <f t="shared" si="21"/>
        <v>Q2</v>
      </c>
      <c r="D692" s="2" t="s">
        <v>31</v>
      </c>
      <c r="E692" s="13">
        <v>45900</v>
      </c>
      <c r="F692" s="14" t="s">
        <v>205</v>
      </c>
      <c r="G692" s="14" t="s">
        <v>206</v>
      </c>
      <c r="H692" s="14" t="s">
        <v>112</v>
      </c>
      <c r="I692" s="15">
        <v>1</v>
      </c>
      <c r="J692" s="15">
        <v>20</v>
      </c>
      <c r="K692" s="15">
        <v>204.85</v>
      </c>
      <c r="L692" s="15">
        <v>4097</v>
      </c>
      <c r="M692" s="15">
        <v>-315.06</v>
      </c>
      <c r="N692" s="15">
        <v>0</v>
      </c>
      <c r="O692" s="15">
        <v>491.65203899999995</v>
      </c>
      <c r="P692" s="15">
        <v>4273.5920390000001</v>
      </c>
    </row>
    <row r="693" spans="1:16" ht="15" x14ac:dyDescent="0.2">
      <c r="A693" s="4" t="s">
        <v>575</v>
      </c>
      <c r="B693" s="21" t="str">
        <f t="shared" si="20"/>
        <v>Aug-2025</v>
      </c>
      <c r="C693" s="2" t="str">
        <f t="shared" si="21"/>
        <v>Q2</v>
      </c>
      <c r="D693" s="2" t="s">
        <v>31</v>
      </c>
      <c r="E693" s="13">
        <v>45900</v>
      </c>
      <c r="F693" s="14" t="s">
        <v>205</v>
      </c>
      <c r="G693" s="14" t="s">
        <v>206</v>
      </c>
      <c r="H693" s="14" t="s">
        <v>55</v>
      </c>
      <c r="I693" s="15">
        <v>2</v>
      </c>
      <c r="J693" s="15">
        <v>40</v>
      </c>
      <c r="K693" s="15">
        <v>186.23</v>
      </c>
      <c r="L693" s="15">
        <v>7449.2000000000007</v>
      </c>
      <c r="M693" s="15">
        <v>-572.84</v>
      </c>
      <c r="N693" s="15">
        <v>0</v>
      </c>
      <c r="O693" s="15">
        <v>893.9265079999999</v>
      </c>
      <c r="P693" s="15">
        <v>7770.2865080000001</v>
      </c>
    </row>
    <row r="694" spans="1:16" ht="15" x14ac:dyDescent="0.2">
      <c r="A694" s="4" t="s">
        <v>582</v>
      </c>
      <c r="B694" s="21" t="str">
        <f t="shared" si="20"/>
        <v>Aug-2025</v>
      </c>
      <c r="C694" s="2" t="str">
        <f t="shared" si="21"/>
        <v>Q2</v>
      </c>
      <c r="D694" s="2" t="s">
        <v>31</v>
      </c>
      <c r="E694" s="13">
        <v>45900</v>
      </c>
      <c r="F694" s="14" t="s">
        <v>205</v>
      </c>
      <c r="G694" s="14" t="s">
        <v>206</v>
      </c>
      <c r="H694" s="14" t="s">
        <v>108</v>
      </c>
      <c r="I694" s="15">
        <v>1</v>
      </c>
      <c r="J694" s="15">
        <v>24</v>
      </c>
      <c r="K694" s="15">
        <v>186.23</v>
      </c>
      <c r="L694" s="15">
        <v>4469.5200000000004</v>
      </c>
      <c r="M694" s="15">
        <v>-343.71</v>
      </c>
      <c r="N694" s="15">
        <v>0</v>
      </c>
      <c r="O694" s="15">
        <v>536.35512499999993</v>
      </c>
      <c r="P694" s="15">
        <v>4662.1651250000004</v>
      </c>
    </row>
    <row r="695" spans="1:16" ht="15" x14ac:dyDescent="0.2">
      <c r="A695" s="4" t="s">
        <v>574</v>
      </c>
      <c r="B695" s="21" t="str">
        <f t="shared" si="20"/>
        <v>Aug-2025</v>
      </c>
      <c r="C695" s="2" t="str">
        <f t="shared" si="21"/>
        <v>Q2</v>
      </c>
      <c r="D695" s="2" t="s">
        <v>31</v>
      </c>
      <c r="E695" s="13">
        <v>45900</v>
      </c>
      <c r="F695" s="14" t="s">
        <v>205</v>
      </c>
      <c r="G695" s="14" t="s">
        <v>206</v>
      </c>
      <c r="H695" s="14" t="s">
        <v>84</v>
      </c>
      <c r="I695" s="15">
        <v>1</v>
      </c>
      <c r="J695" s="15">
        <v>18</v>
      </c>
      <c r="K695" s="15">
        <v>178.78</v>
      </c>
      <c r="L695" s="15">
        <v>3218.0400000000004</v>
      </c>
      <c r="M695" s="15">
        <v>-247.47</v>
      </c>
      <c r="N695" s="15">
        <v>0</v>
      </c>
      <c r="O695" s="15">
        <v>386.17397399999999</v>
      </c>
      <c r="P695" s="15">
        <v>3356.743974</v>
      </c>
    </row>
    <row r="696" spans="1:16" ht="15" x14ac:dyDescent="0.2">
      <c r="A696" s="4" t="s">
        <v>582</v>
      </c>
      <c r="B696" s="21" t="str">
        <f t="shared" si="20"/>
        <v>Aug-2025</v>
      </c>
      <c r="C696" s="2" t="str">
        <f t="shared" si="21"/>
        <v>Q2</v>
      </c>
      <c r="D696" s="2" t="s">
        <v>31</v>
      </c>
      <c r="E696" s="13">
        <v>45900</v>
      </c>
      <c r="F696" s="14" t="s">
        <v>205</v>
      </c>
      <c r="G696" s="14" t="s">
        <v>206</v>
      </c>
      <c r="H696" s="14" t="s">
        <v>77</v>
      </c>
      <c r="I696" s="15">
        <v>1</v>
      </c>
      <c r="J696" s="15">
        <v>24</v>
      </c>
      <c r="K696" s="15">
        <v>204.85</v>
      </c>
      <c r="L696" s="15">
        <v>4916.4000000000005</v>
      </c>
      <c r="M696" s="15">
        <v>-378.07</v>
      </c>
      <c r="N696" s="15">
        <v>0</v>
      </c>
      <c r="O696" s="15">
        <v>589.982707</v>
      </c>
      <c r="P696" s="15">
        <v>5128.312707</v>
      </c>
    </row>
    <row r="697" spans="1:16" ht="15" x14ac:dyDescent="0.2">
      <c r="A697" s="4" t="s">
        <v>583</v>
      </c>
      <c r="B697" s="21" t="str">
        <f t="shared" si="20"/>
        <v>Aug-2025</v>
      </c>
      <c r="C697" s="2" t="str">
        <f t="shared" si="21"/>
        <v>Q2</v>
      </c>
      <c r="D697" s="2" t="s">
        <v>31</v>
      </c>
      <c r="E697" s="13">
        <v>45900</v>
      </c>
      <c r="F697" s="14" t="s">
        <v>205</v>
      </c>
      <c r="G697" s="14" t="s">
        <v>206</v>
      </c>
      <c r="H697" s="14" t="s">
        <v>113</v>
      </c>
      <c r="I697" s="15">
        <v>2</v>
      </c>
      <c r="J697" s="15">
        <v>30</v>
      </c>
      <c r="K697" s="15">
        <v>260.72000000000003</v>
      </c>
      <c r="L697" s="15">
        <v>7821.6</v>
      </c>
      <c r="M697" s="15">
        <v>-601.48</v>
      </c>
      <c r="N697" s="15">
        <v>0</v>
      </c>
      <c r="O697" s="15">
        <v>938.61529400000006</v>
      </c>
      <c r="P697" s="15">
        <v>8158.7352940000001</v>
      </c>
    </row>
    <row r="698" spans="1:16" ht="15" x14ac:dyDescent="0.2">
      <c r="A698" s="4" t="s">
        <v>579</v>
      </c>
      <c r="B698" s="21" t="str">
        <f t="shared" si="20"/>
        <v>Aug-2025</v>
      </c>
      <c r="C698" s="2" t="str">
        <f t="shared" si="21"/>
        <v>Q2</v>
      </c>
      <c r="D698" s="2" t="s">
        <v>31</v>
      </c>
      <c r="E698" s="13">
        <v>45900</v>
      </c>
      <c r="F698" s="14" t="s">
        <v>205</v>
      </c>
      <c r="G698" s="14" t="s">
        <v>206</v>
      </c>
      <c r="H698" s="14" t="s">
        <v>140</v>
      </c>
      <c r="I698" s="15">
        <v>1</v>
      </c>
      <c r="J698" s="15">
        <v>20</v>
      </c>
      <c r="K698" s="15">
        <v>204.85</v>
      </c>
      <c r="L698" s="15">
        <v>4097</v>
      </c>
      <c r="M698" s="15">
        <v>-315.06</v>
      </c>
      <c r="N698" s="15">
        <v>0</v>
      </c>
      <c r="O698" s="15">
        <v>491.65203899999995</v>
      </c>
      <c r="P698" s="15">
        <v>4273.5920390000001</v>
      </c>
    </row>
    <row r="699" spans="1:16" ht="15" x14ac:dyDescent="0.2">
      <c r="A699" s="4" t="s">
        <v>573</v>
      </c>
      <c r="B699" s="21" t="str">
        <f t="shared" si="20"/>
        <v>Aug-2025</v>
      </c>
      <c r="C699" s="2" t="str">
        <f t="shared" si="21"/>
        <v>Q2</v>
      </c>
      <c r="D699" s="2" t="s">
        <v>31</v>
      </c>
      <c r="E699" s="13">
        <v>45900</v>
      </c>
      <c r="F699" s="14" t="s">
        <v>205</v>
      </c>
      <c r="G699" s="14" t="s">
        <v>206</v>
      </c>
      <c r="H699" s="14" t="s">
        <v>136</v>
      </c>
      <c r="I699" s="15">
        <v>1</v>
      </c>
      <c r="J699" s="15">
        <v>40</v>
      </c>
      <c r="K699" s="15">
        <v>111.74</v>
      </c>
      <c r="L699" s="15">
        <v>4469.6000000000004</v>
      </c>
      <c r="M699" s="15">
        <v>-343.71</v>
      </c>
      <c r="N699" s="15">
        <v>0</v>
      </c>
      <c r="O699" s="15">
        <v>536.36552499999993</v>
      </c>
      <c r="P699" s="15">
        <v>4662.2555249999996</v>
      </c>
    </row>
    <row r="700" spans="1:16" ht="15" x14ac:dyDescent="0.2">
      <c r="A700" s="4" t="s">
        <v>583</v>
      </c>
      <c r="B700" s="21" t="str">
        <f t="shared" si="20"/>
        <v>Aug-2025</v>
      </c>
      <c r="C700" s="2" t="str">
        <f t="shared" si="21"/>
        <v>Q2</v>
      </c>
      <c r="D700" s="2" t="s">
        <v>31</v>
      </c>
      <c r="E700" s="13">
        <v>45900</v>
      </c>
      <c r="F700" s="14" t="s">
        <v>205</v>
      </c>
      <c r="G700" s="14" t="s">
        <v>206</v>
      </c>
      <c r="H700" s="14" t="s">
        <v>109</v>
      </c>
      <c r="I700" s="15">
        <v>1</v>
      </c>
      <c r="J700" s="15">
        <v>15</v>
      </c>
      <c r="K700" s="15">
        <v>260.72000000000003</v>
      </c>
      <c r="L700" s="15">
        <v>3910.8</v>
      </c>
      <c r="M700" s="15">
        <v>-300.74</v>
      </c>
      <c r="N700" s="15">
        <v>0</v>
      </c>
      <c r="O700" s="15">
        <v>469.30764700000003</v>
      </c>
      <c r="P700" s="15">
        <v>4079.367647</v>
      </c>
    </row>
    <row r="701" spans="1:16" ht="15" x14ac:dyDescent="0.2">
      <c r="A701" s="4" t="s">
        <v>576</v>
      </c>
      <c r="B701" s="21" t="str">
        <f t="shared" si="20"/>
        <v>Aug-2025</v>
      </c>
      <c r="C701" s="2" t="str">
        <f t="shared" si="21"/>
        <v>Q2</v>
      </c>
      <c r="D701" s="2" t="s">
        <v>31</v>
      </c>
      <c r="E701" s="13">
        <v>45900</v>
      </c>
      <c r="F701" s="14" t="s">
        <v>205</v>
      </c>
      <c r="G701" s="14" t="s">
        <v>206</v>
      </c>
      <c r="H701" s="14" t="s">
        <v>123</v>
      </c>
      <c r="I701" s="15">
        <v>1</v>
      </c>
      <c r="J701" s="15">
        <v>20</v>
      </c>
      <c r="K701" s="15">
        <v>175.05</v>
      </c>
      <c r="L701" s="15">
        <v>3500.9999999999995</v>
      </c>
      <c r="M701" s="15">
        <v>-269.23</v>
      </c>
      <c r="N701" s="15">
        <v>0</v>
      </c>
      <c r="O701" s="15">
        <v>420.12996300000003</v>
      </c>
      <c r="P701" s="15">
        <v>3651.8999629999998</v>
      </c>
    </row>
    <row r="702" spans="1:16" ht="15" x14ac:dyDescent="0.2">
      <c r="A702" s="4" t="s">
        <v>576</v>
      </c>
      <c r="B702" s="21" t="str">
        <f t="shared" si="20"/>
        <v>Aug-2025</v>
      </c>
      <c r="C702" s="2" t="str">
        <f t="shared" si="21"/>
        <v>Q2</v>
      </c>
      <c r="D702" s="2" t="s">
        <v>31</v>
      </c>
      <c r="E702" s="13">
        <v>45900</v>
      </c>
      <c r="F702" s="14" t="s">
        <v>205</v>
      </c>
      <c r="G702" s="14" t="s">
        <v>206</v>
      </c>
      <c r="H702" s="14" t="s">
        <v>124</v>
      </c>
      <c r="I702" s="15">
        <v>1</v>
      </c>
      <c r="J702" s="15">
        <v>20</v>
      </c>
      <c r="K702" s="15">
        <v>175.05</v>
      </c>
      <c r="L702" s="15">
        <v>3500.9999999999995</v>
      </c>
      <c r="M702" s="15">
        <v>-269.23</v>
      </c>
      <c r="N702" s="15">
        <v>0</v>
      </c>
      <c r="O702" s="15">
        <v>420.12996300000003</v>
      </c>
      <c r="P702" s="15">
        <v>3651.8999629999998</v>
      </c>
    </row>
    <row r="703" spans="1:16" ht="15" x14ac:dyDescent="0.2">
      <c r="A703" s="4" t="s">
        <v>579</v>
      </c>
      <c r="B703" s="21" t="str">
        <f t="shared" si="20"/>
        <v>Aug-2025</v>
      </c>
      <c r="C703" s="2" t="str">
        <f t="shared" si="21"/>
        <v>Q2</v>
      </c>
      <c r="D703" s="2" t="s">
        <v>31</v>
      </c>
      <c r="E703" s="13">
        <v>45900</v>
      </c>
      <c r="F703" s="14" t="s">
        <v>205</v>
      </c>
      <c r="G703" s="14" t="s">
        <v>206</v>
      </c>
      <c r="H703" s="14" t="s">
        <v>90</v>
      </c>
      <c r="I703" s="15">
        <v>2</v>
      </c>
      <c r="J703" s="15">
        <v>40</v>
      </c>
      <c r="K703" s="15">
        <v>204.85</v>
      </c>
      <c r="L703" s="15">
        <v>8194</v>
      </c>
      <c r="M703" s="15">
        <v>-630.12</v>
      </c>
      <c r="N703" s="15">
        <v>0</v>
      </c>
      <c r="O703" s="15">
        <v>983.304079</v>
      </c>
      <c r="P703" s="15">
        <v>8547.1840790000006</v>
      </c>
    </row>
    <row r="704" spans="1:16" ht="15" x14ac:dyDescent="0.2">
      <c r="A704" s="4" t="s">
        <v>585</v>
      </c>
      <c r="B704" s="21" t="str">
        <f t="shared" si="20"/>
        <v>Aug-2025</v>
      </c>
      <c r="C704" s="2" t="str">
        <f t="shared" si="21"/>
        <v>Q2</v>
      </c>
      <c r="D704" s="2" t="s">
        <v>31</v>
      </c>
      <c r="E704" s="13">
        <v>45900</v>
      </c>
      <c r="F704" s="14" t="s">
        <v>205</v>
      </c>
      <c r="G704" s="14" t="s">
        <v>206</v>
      </c>
      <c r="H704" s="14" t="s">
        <v>180</v>
      </c>
      <c r="I704" s="15">
        <v>1</v>
      </c>
      <c r="J704" s="15">
        <v>1000</v>
      </c>
      <c r="K704" s="15">
        <v>1.86</v>
      </c>
      <c r="L704" s="15">
        <v>1860</v>
      </c>
      <c r="M704" s="15">
        <v>-143.03</v>
      </c>
      <c r="N704" s="15">
        <v>0</v>
      </c>
      <c r="O704" s="15">
        <v>223.20602699999998</v>
      </c>
      <c r="P704" s="15">
        <v>1940.176027</v>
      </c>
    </row>
    <row r="705" spans="1:16" ht="15" x14ac:dyDescent="0.2">
      <c r="A705" s="4" t="s">
        <v>576</v>
      </c>
      <c r="B705" s="21" t="str">
        <f t="shared" si="20"/>
        <v>Aug-2025</v>
      </c>
      <c r="C705" s="2" t="str">
        <f t="shared" si="21"/>
        <v>Q2</v>
      </c>
      <c r="D705" s="2" t="s">
        <v>31</v>
      </c>
      <c r="E705" s="13">
        <v>45900</v>
      </c>
      <c r="F705" s="14" t="s">
        <v>205</v>
      </c>
      <c r="G705" s="14" t="s">
        <v>206</v>
      </c>
      <c r="H705" s="14" t="s">
        <v>110</v>
      </c>
      <c r="I705" s="15">
        <v>2</v>
      </c>
      <c r="J705" s="15">
        <v>40</v>
      </c>
      <c r="K705" s="15">
        <v>175.05</v>
      </c>
      <c r="L705" s="15">
        <v>7001.9999999999991</v>
      </c>
      <c r="M705" s="15">
        <v>-538.45000000000005</v>
      </c>
      <c r="N705" s="15">
        <v>0</v>
      </c>
      <c r="O705" s="15">
        <v>840.26122599999997</v>
      </c>
      <c r="P705" s="15">
        <v>7303.8112259999998</v>
      </c>
    </row>
    <row r="706" spans="1:16" ht="15" x14ac:dyDescent="0.2">
      <c r="A706" s="4" t="s">
        <v>586</v>
      </c>
      <c r="B706" s="21" t="str">
        <f t="shared" si="20"/>
        <v>Aug-2025</v>
      </c>
      <c r="C706" s="2" t="str">
        <f t="shared" si="21"/>
        <v>Q2</v>
      </c>
      <c r="D706" s="2" t="s">
        <v>31</v>
      </c>
      <c r="E706" s="13">
        <v>45900</v>
      </c>
      <c r="F706" s="14" t="s">
        <v>205</v>
      </c>
      <c r="G706" s="14" t="s">
        <v>206</v>
      </c>
      <c r="H706" s="14" t="s">
        <v>114</v>
      </c>
      <c r="I706" s="15">
        <v>1</v>
      </c>
      <c r="J706" s="15">
        <v>240</v>
      </c>
      <c r="K706" s="15">
        <v>14.9</v>
      </c>
      <c r="L706" s="15">
        <v>3576</v>
      </c>
      <c r="M706" s="15">
        <v>-274.99</v>
      </c>
      <c r="N706" s="15">
        <v>0</v>
      </c>
      <c r="O706" s="15">
        <v>429.13116000000002</v>
      </c>
      <c r="P706" s="15">
        <v>3730.1411600000001</v>
      </c>
    </row>
    <row r="707" spans="1:16" ht="15" x14ac:dyDescent="0.2">
      <c r="A707" s="4" t="s">
        <v>586</v>
      </c>
      <c r="B707" s="21" t="str">
        <f t="shared" ref="B707:B770" si="22">+TEXT(E707,"MMM-yyy")</f>
        <v>Aug-2025</v>
      </c>
      <c r="C707" s="2" t="str">
        <f t="shared" ref="C707:C770" si="23">"Q" &amp; CHOOSE(MONTH(E707),4,4,4,1,1,1,2,2,2,3,3,3)</f>
        <v>Q2</v>
      </c>
      <c r="D707" s="2" t="s">
        <v>31</v>
      </c>
      <c r="E707" s="13">
        <v>45900</v>
      </c>
      <c r="F707" s="14" t="s">
        <v>205</v>
      </c>
      <c r="G707" s="14" t="s">
        <v>206</v>
      </c>
      <c r="H707" s="14" t="s">
        <v>76</v>
      </c>
      <c r="I707" s="15">
        <v>1</v>
      </c>
      <c r="J707" s="15">
        <v>240</v>
      </c>
      <c r="K707" s="15">
        <v>18.62</v>
      </c>
      <c r="L707" s="15">
        <v>4468.8</v>
      </c>
      <c r="M707" s="15">
        <v>-343.65</v>
      </c>
      <c r="N707" s="15">
        <v>0</v>
      </c>
      <c r="O707" s="15">
        <v>536.26932499999998</v>
      </c>
      <c r="P707" s="15">
        <v>4661.4193249999998</v>
      </c>
    </row>
    <row r="708" spans="1:16" ht="15" x14ac:dyDescent="0.2">
      <c r="A708" s="4" t="s">
        <v>579</v>
      </c>
      <c r="B708" s="21" t="str">
        <f t="shared" si="22"/>
        <v>Aug-2025</v>
      </c>
      <c r="C708" s="2" t="str">
        <f t="shared" si="23"/>
        <v>Q2</v>
      </c>
      <c r="D708" s="2" t="s">
        <v>31</v>
      </c>
      <c r="E708" s="13">
        <v>45900</v>
      </c>
      <c r="F708" s="14" t="s">
        <v>205</v>
      </c>
      <c r="G708" s="14" t="s">
        <v>206</v>
      </c>
      <c r="H708" s="14" t="s">
        <v>92</v>
      </c>
      <c r="I708" s="15">
        <v>1</v>
      </c>
      <c r="J708" s="15">
        <v>20</v>
      </c>
      <c r="K708" s="15">
        <v>242.1</v>
      </c>
      <c r="L708" s="15">
        <v>4841.9999999999991</v>
      </c>
      <c r="M708" s="15">
        <v>-372.35</v>
      </c>
      <c r="N708" s="15">
        <v>0</v>
      </c>
      <c r="O708" s="15">
        <v>581.05430999999999</v>
      </c>
      <c r="P708" s="15">
        <v>5050.7043100000001</v>
      </c>
    </row>
    <row r="709" spans="1:16" ht="15" x14ac:dyDescent="0.2">
      <c r="A709" s="4" t="s">
        <v>579</v>
      </c>
      <c r="B709" s="21" t="str">
        <f t="shared" si="22"/>
        <v>Aug-2025</v>
      </c>
      <c r="C709" s="2" t="str">
        <f t="shared" si="23"/>
        <v>Q2</v>
      </c>
      <c r="D709" s="2" t="s">
        <v>31</v>
      </c>
      <c r="E709" s="13">
        <v>45900</v>
      </c>
      <c r="F709" s="14" t="s">
        <v>205</v>
      </c>
      <c r="G709" s="14" t="s">
        <v>206</v>
      </c>
      <c r="H709" s="14" t="s">
        <v>91</v>
      </c>
      <c r="I709" s="15">
        <v>1</v>
      </c>
      <c r="J709" s="15">
        <v>20</v>
      </c>
      <c r="K709" s="15">
        <v>204.85</v>
      </c>
      <c r="L709" s="15">
        <v>4097</v>
      </c>
      <c r="M709" s="15">
        <v>-315.06</v>
      </c>
      <c r="N709" s="15">
        <v>0</v>
      </c>
      <c r="O709" s="15">
        <v>491.65203899999995</v>
      </c>
      <c r="P709" s="15">
        <v>4273.5920390000001</v>
      </c>
    </row>
    <row r="710" spans="1:16" ht="15" x14ac:dyDescent="0.2">
      <c r="A710" s="4" t="s">
        <v>586</v>
      </c>
      <c r="B710" s="21" t="str">
        <f t="shared" si="22"/>
        <v>Aug-2025</v>
      </c>
      <c r="C710" s="2" t="str">
        <f t="shared" si="23"/>
        <v>Q2</v>
      </c>
      <c r="D710" s="2" t="s">
        <v>31</v>
      </c>
      <c r="E710" s="13">
        <v>45900</v>
      </c>
      <c r="F710" s="14" t="s">
        <v>207</v>
      </c>
      <c r="G710" s="14" t="s">
        <v>206</v>
      </c>
      <c r="H710" s="14" t="s">
        <v>103</v>
      </c>
      <c r="I710" s="15">
        <v>1</v>
      </c>
      <c r="J710" s="15">
        <v>600</v>
      </c>
      <c r="K710" s="15">
        <v>7.45</v>
      </c>
      <c r="L710" s="15">
        <v>4470</v>
      </c>
      <c r="M710" s="15">
        <v>-343.74</v>
      </c>
      <c r="N710" s="15">
        <v>0</v>
      </c>
      <c r="O710" s="15">
        <v>536.413995</v>
      </c>
      <c r="P710" s="15">
        <v>4662.6739950000001</v>
      </c>
    </row>
    <row r="711" spans="1:16" ht="15" x14ac:dyDescent="0.2">
      <c r="A711" s="4" t="s">
        <v>593</v>
      </c>
      <c r="B711" s="21" t="str">
        <f t="shared" si="22"/>
        <v>Aug-2025</v>
      </c>
      <c r="C711" s="2" t="str">
        <f t="shared" si="23"/>
        <v>Q2</v>
      </c>
      <c r="D711" s="2" t="s">
        <v>31</v>
      </c>
      <c r="E711" s="13">
        <v>45900</v>
      </c>
      <c r="F711" s="14" t="s">
        <v>207</v>
      </c>
      <c r="G711" s="14" t="s">
        <v>206</v>
      </c>
      <c r="H711" s="14" t="s">
        <v>117</v>
      </c>
      <c r="I711" s="15">
        <v>5</v>
      </c>
      <c r="J711" s="15">
        <v>20</v>
      </c>
      <c r="K711" s="15">
        <v>595.92999999999995</v>
      </c>
      <c r="L711" s="15">
        <v>11918.6</v>
      </c>
      <c r="M711" s="15">
        <v>-916.54</v>
      </c>
      <c r="N711" s="15">
        <v>0</v>
      </c>
      <c r="O711" s="15">
        <v>1430.268321</v>
      </c>
      <c r="P711" s="15">
        <v>12432.328321000001</v>
      </c>
    </row>
    <row r="712" spans="1:16" ht="15" x14ac:dyDescent="0.2">
      <c r="A712" s="4" t="s">
        <v>581</v>
      </c>
      <c r="B712" s="21" t="str">
        <f t="shared" si="22"/>
        <v>Aug-2025</v>
      </c>
      <c r="C712" s="2" t="str">
        <f t="shared" si="23"/>
        <v>Q2</v>
      </c>
      <c r="D712" s="2" t="s">
        <v>31</v>
      </c>
      <c r="E712" s="13">
        <v>45900</v>
      </c>
      <c r="F712" s="14" t="s">
        <v>207</v>
      </c>
      <c r="G712" s="14" t="s">
        <v>206</v>
      </c>
      <c r="H712" s="14" t="s">
        <v>97</v>
      </c>
      <c r="I712" s="15">
        <v>1</v>
      </c>
      <c r="J712" s="15">
        <v>40</v>
      </c>
      <c r="K712" s="15">
        <v>67.040000000000006</v>
      </c>
      <c r="L712" s="15">
        <v>2681.6</v>
      </c>
      <c r="M712" s="15">
        <v>-206.22</v>
      </c>
      <c r="N712" s="15">
        <v>0</v>
      </c>
      <c r="O712" s="15">
        <v>321.79951700000004</v>
      </c>
      <c r="P712" s="15">
        <v>2797.179517</v>
      </c>
    </row>
    <row r="713" spans="1:16" ht="15" x14ac:dyDescent="0.2">
      <c r="A713" s="4" t="s">
        <v>577</v>
      </c>
      <c r="B713" s="21" t="str">
        <f t="shared" si="22"/>
        <v>Aug-2025</v>
      </c>
      <c r="C713" s="2" t="str">
        <f t="shared" si="23"/>
        <v>Q2</v>
      </c>
      <c r="D713" s="2" t="s">
        <v>31</v>
      </c>
      <c r="E713" s="13">
        <v>45900</v>
      </c>
      <c r="F713" s="14" t="s">
        <v>207</v>
      </c>
      <c r="G713" s="14" t="s">
        <v>206</v>
      </c>
      <c r="H713" s="14" t="s">
        <v>57</v>
      </c>
      <c r="I713" s="15">
        <v>1</v>
      </c>
      <c r="J713" s="15">
        <v>180</v>
      </c>
      <c r="K713" s="15">
        <v>18.62</v>
      </c>
      <c r="L713" s="15">
        <v>3351.6</v>
      </c>
      <c r="M713" s="15">
        <v>-257.74</v>
      </c>
      <c r="N713" s="15">
        <v>0</v>
      </c>
      <c r="O713" s="15">
        <v>402.20194600000002</v>
      </c>
      <c r="P713" s="15">
        <v>3496.0619459999998</v>
      </c>
    </row>
    <row r="714" spans="1:16" ht="15" x14ac:dyDescent="0.2">
      <c r="A714" s="4" t="s">
        <v>589</v>
      </c>
      <c r="B714" s="21" t="str">
        <f t="shared" si="22"/>
        <v>Aug-2025</v>
      </c>
      <c r="C714" s="2" t="str">
        <f t="shared" si="23"/>
        <v>Q2</v>
      </c>
      <c r="D714" s="2" t="s">
        <v>31</v>
      </c>
      <c r="E714" s="13">
        <v>45900</v>
      </c>
      <c r="F714" s="14" t="s">
        <v>207</v>
      </c>
      <c r="G714" s="14" t="s">
        <v>206</v>
      </c>
      <c r="H714" s="14" t="s">
        <v>105</v>
      </c>
      <c r="I714" s="15">
        <v>2</v>
      </c>
      <c r="J714" s="15">
        <v>60</v>
      </c>
      <c r="K714" s="15">
        <v>316.58999999999997</v>
      </c>
      <c r="L714" s="15">
        <v>18995.399999999998</v>
      </c>
      <c r="M714" s="15">
        <v>-1460.75</v>
      </c>
      <c r="N714" s="15">
        <v>0</v>
      </c>
      <c r="O714" s="15">
        <v>2279.50533</v>
      </c>
      <c r="P714" s="15">
        <v>19814.155330000001</v>
      </c>
    </row>
    <row r="715" spans="1:16" ht="15" x14ac:dyDescent="0.2">
      <c r="A715" s="4" t="s">
        <v>590</v>
      </c>
      <c r="B715" s="21" t="str">
        <f t="shared" si="22"/>
        <v>Aug-2025</v>
      </c>
      <c r="C715" s="2" t="str">
        <f t="shared" si="23"/>
        <v>Q2</v>
      </c>
      <c r="D715" s="2" t="s">
        <v>31</v>
      </c>
      <c r="E715" s="13">
        <v>45900</v>
      </c>
      <c r="F715" s="14" t="s">
        <v>207</v>
      </c>
      <c r="G715" s="14" t="s">
        <v>206</v>
      </c>
      <c r="H715" s="14" t="s">
        <v>102</v>
      </c>
      <c r="I715" s="15">
        <v>1</v>
      </c>
      <c r="J715" s="15">
        <v>20</v>
      </c>
      <c r="K715" s="15">
        <v>249.55</v>
      </c>
      <c r="L715" s="15">
        <v>4991</v>
      </c>
      <c r="M715" s="15">
        <v>-383.81</v>
      </c>
      <c r="N715" s="15">
        <v>0</v>
      </c>
      <c r="O715" s="15">
        <v>598.93491799999993</v>
      </c>
      <c r="P715" s="15">
        <v>5206.1249180000004</v>
      </c>
    </row>
    <row r="716" spans="1:16" ht="15" x14ac:dyDescent="0.2">
      <c r="A716" s="4" t="s">
        <v>573</v>
      </c>
      <c r="B716" s="21" t="str">
        <f t="shared" si="22"/>
        <v>Aug-2025</v>
      </c>
      <c r="C716" s="2" t="str">
        <f t="shared" si="23"/>
        <v>Q2</v>
      </c>
      <c r="D716" s="2" t="s">
        <v>31</v>
      </c>
      <c r="E716" s="13">
        <v>45900</v>
      </c>
      <c r="F716" s="14" t="s">
        <v>207</v>
      </c>
      <c r="G716" s="14" t="s">
        <v>206</v>
      </c>
      <c r="H716" s="14" t="s">
        <v>47</v>
      </c>
      <c r="I716" s="15">
        <v>1</v>
      </c>
      <c r="J716" s="15">
        <v>40</v>
      </c>
      <c r="K716" s="15">
        <v>111.74</v>
      </c>
      <c r="L716" s="15">
        <v>4469.6000000000004</v>
      </c>
      <c r="M716" s="15">
        <v>-343.71</v>
      </c>
      <c r="N716" s="15">
        <v>0</v>
      </c>
      <c r="O716" s="15">
        <v>536.36589500000002</v>
      </c>
      <c r="P716" s="15">
        <v>4662.2558950000002</v>
      </c>
    </row>
    <row r="717" spans="1:16" ht="15" x14ac:dyDescent="0.2">
      <c r="A717" s="4" t="s">
        <v>584</v>
      </c>
      <c r="B717" s="21" t="str">
        <f t="shared" si="22"/>
        <v>Aug-2025</v>
      </c>
      <c r="C717" s="2" t="str">
        <f t="shared" si="23"/>
        <v>Q2</v>
      </c>
      <c r="D717" s="2" t="s">
        <v>31</v>
      </c>
      <c r="E717" s="13">
        <v>45900</v>
      </c>
      <c r="F717" s="14" t="s">
        <v>207</v>
      </c>
      <c r="G717" s="14" t="s">
        <v>206</v>
      </c>
      <c r="H717" s="14" t="s">
        <v>100</v>
      </c>
      <c r="I717" s="15">
        <v>1</v>
      </c>
      <c r="J717" s="15">
        <v>40</v>
      </c>
      <c r="K717" s="15">
        <v>81.94</v>
      </c>
      <c r="L717" s="15">
        <v>3277.6</v>
      </c>
      <c r="M717" s="15">
        <v>-252.05</v>
      </c>
      <c r="N717" s="15">
        <v>0</v>
      </c>
      <c r="O717" s="15">
        <v>393.32164299999999</v>
      </c>
      <c r="P717" s="15">
        <v>3418.8716429999999</v>
      </c>
    </row>
    <row r="718" spans="1:16" ht="15" x14ac:dyDescent="0.2">
      <c r="A718" s="4" t="s">
        <v>581</v>
      </c>
      <c r="B718" s="21" t="str">
        <f t="shared" si="22"/>
        <v>Aug-2025</v>
      </c>
      <c r="C718" s="2" t="str">
        <f t="shared" si="23"/>
        <v>Q2</v>
      </c>
      <c r="D718" s="2" t="s">
        <v>31</v>
      </c>
      <c r="E718" s="13">
        <v>45900</v>
      </c>
      <c r="F718" s="14" t="s">
        <v>207</v>
      </c>
      <c r="G718" s="14" t="s">
        <v>206</v>
      </c>
      <c r="H718" s="14" t="s">
        <v>104</v>
      </c>
      <c r="I718" s="15">
        <v>1</v>
      </c>
      <c r="J718" s="15">
        <v>40</v>
      </c>
      <c r="K718" s="15">
        <v>67.040000000000006</v>
      </c>
      <c r="L718" s="15">
        <v>2681.6</v>
      </c>
      <c r="M718" s="15">
        <v>-206.22</v>
      </c>
      <c r="N718" s="15">
        <v>0</v>
      </c>
      <c r="O718" s="15">
        <v>321.79951700000004</v>
      </c>
      <c r="P718" s="15">
        <v>2797.179517</v>
      </c>
    </row>
    <row r="719" spans="1:16" ht="15" x14ac:dyDescent="0.2">
      <c r="A719" s="4" t="s">
        <v>589</v>
      </c>
      <c r="B719" s="21" t="str">
        <f t="shared" si="22"/>
        <v>Aug-2025</v>
      </c>
      <c r="C719" s="2" t="str">
        <f t="shared" si="23"/>
        <v>Q2</v>
      </c>
      <c r="D719" s="2" t="s">
        <v>31</v>
      </c>
      <c r="E719" s="13">
        <v>45900</v>
      </c>
      <c r="F719" s="14" t="s">
        <v>207</v>
      </c>
      <c r="G719" s="14" t="s">
        <v>206</v>
      </c>
      <c r="H719" s="14" t="s">
        <v>98</v>
      </c>
      <c r="I719" s="15">
        <v>2</v>
      </c>
      <c r="J719" s="15">
        <v>120</v>
      </c>
      <c r="K719" s="15">
        <v>145.26</v>
      </c>
      <c r="L719" s="15">
        <v>17431.2</v>
      </c>
      <c r="M719" s="15">
        <v>-1340.46</v>
      </c>
      <c r="N719" s="15">
        <v>0</v>
      </c>
      <c r="O719" s="15">
        <v>2091.7969619999999</v>
      </c>
      <c r="P719" s="15">
        <v>18182.536961999998</v>
      </c>
    </row>
    <row r="720" spans="1:16" ht="15" x14ac:dyDescent="0.2">
      <c r="A720" s="4" t="s">
        <v>580</v>
      </c>
      <c r="B720" s="21" t="str">
        <f t="shared" si="22"/>
        <v>Aug-2025</v>
      </c>
      <c r="C720" s="2" t="str">
        <f t="shared" si="23"/>
        <v>Q2</v>
      </c>
      <c r="D720" s="2" t="s">
        <v>31</v>
      </c>
      <c r="E720" s="13">
        <v>45900</v>
      </c>
      <c r="F720" s="14" t="s">
        <v>207</v>
      </c>
      <c r="G720" s="14" t="s">
        <v>206</v>
      </c>
      <c r="H720" s="14" t="s">
        <v>65</v>
      </c>
      <c r="I720" s="15">
        <v>1</v>
      </c>
      <c r="J720" s="15">
        <v>130</v>
      </c>
      <c r="K720" s="15">
        <v>37.25</v>
      </c>
      <c r="L720" s="15">
        <v>4842.5</v>
      </c>
      <c r="M720" s="15">
        <v>-372.39</v>
      </c>
      <c r="N720" s="15">
        <v>0</v>
      </c>
      <c r="O720" s="15">
        <v>581.11451199999999</v>
      </c>
      <c r="P720" s="15">
        <v>5051.2245119999998</v>
      </c>
    </row>
    <row r="721" spans="1:16" ht="15" x14ac:dyDescent="0.2">
      <c r="A721" s="4" t="s">
        <v>584</v>
      </c>
      <c r="B721" s="21" t="str">
        <f t="shared" si="22"/>
        <v>Aug-2025</v>
      </c>
      <c r="C721" s="2" t="str">
        <f t="shared" si="23"/>
        <v>Q2</v>
      </c>
      <c r="D721" s="2" t="s">
        <v>31</v>
      </c>
      <c r="E721" s="13">
        <v>45900</v>
      </c>
      <c r="F721" s="14" t="s">
        <v>207</v>
      </c>
      <c r="G721" s="14" t="s">
        <v>206</v>
      </c>
      <c r="H721" s="14" t="s">
        <v>99</v>
      </c>
      <c r="I721" s="15">
        <v>1</v>
      </c>
      <c r="J721" s="15">
        <v>40</v>
      </c>
      <c r="K721" s="15">
        <v>81.94</v>
      </c>
      <c r="L721" s="15">
        <v>3277.6</v>
      </c>
      <c r="M721" s="15">
        <v>-252.05</v>
      </c>
      <c r="N721" s="15">
        <v>0</v>
      </c>
      <c r="O721" s="15">
        <v>393.32164299999999</v>
      </c>
      <c r="P721" s="15">
        <v>3418.8716429999999</v>
      </c>
    </row>
    <row r="722" spans="1:16" ht="15" x14ac:dyDescent="0.2">
      <c r="A722" s="4" t="s">
        <v>581</v>
      </c>
      <c r="B722" s="21" t="str">
        <f t="shared" si="22"/>
        <v>Aug-2025</v>
      </c>
      <c r="C722" s="2" t="str">
        <f t="shared" si="23"/>
        <v>Q2</v>
      </c>
      <c r="D722" s="2" t="s">
        <v>31</v>
      </c>
      <c r="E722" s="13">
        <v>45900</v>
      </c>
      <c r="F722" s="14" t="s">
        <v>207</v>
      </c>
      <c r="G722" s="14" t="s">
        <v>206</v>
      </c>
      <c r="H722" s="14" t="s">
        <v>125</v>
      </c>
      <c r="I722" s="15">
        <v>1</v>
      </c>
      <c r="J722" s="15">
        <v>800</v>
      </c>
      <c r="K722" s="15">
        <v>7.45</v>
      </c>
      <c r="L722" s="15">
        <v>5960</v>
      </c>
      <c r="M722" s="15">
        <v>-458.32</v>
      </c>
      <c r="N722" s="15">
        <v>0</v>
      </c>
      <c r="O722" s="15">
        <v>715.21866</v>
      </c>
      <c r="P722" s="15">
        <v>6216.8986599999998</v>
      </c>
    </row>
    <row r="723" spans="1:16" ht="15" x14ac:dyDescent="0.2">
      <c r="A723" s="4" t="s">
        <v>584</v>
      </c>
      <c r="B723" s="21" t="str">
        <f t="shared" si="22"/>
        <v>Aug-2025</v>
      </c>
      <c r="C723" s="2" t="str">
        <f t="shared" si="23"/>
        <v>Q2</v>
      </c>
      <c r="D723" s="2" t="s">
        <v>31</v>
      </c>
      <c r="E723" s="13">
        <v>45900</v>
      </c>
      <c r="F723" s="14" t="s">
        <v>207</v>
      </c>
      <c r="G723" s="14" t="s">
        <v>206</v>
      </c>
      <c r="H723" s="14" t="s">
        <v>120</v>
      </c>
      <c r="I723" s="15">
        <v>1</v>
      </c>
      <c r="J723" s="15">
        <v>40</v>
      </c>
      <c r="K723" s="15">
        <v>81.94</v>
      </c>
      <c r="L723" s="15">
        <v>3277.6</v>
      </c>
      <c r="M723" s="15">
        <v>-252.05</v>
      </c>
      <c r="N723" s="15">
        <v>0</v>
      </c>
      <c r="O723" s="15">
        <v>393.32164299999999</v>
      </c>
      <c r="P723" s="15">
        <v>3418.8716429999999</v>
      </c>
    </row>
    <row r="724" spans="1:16" ht="15" x14ac:dyDescent="0.2">
      <c r="A724" s="4" t="s">
        <v>582</v>
      </c>
      <c r="B724" s="21" t="str">
        <f t="shared" si="22"/>
        <v>Aug-2025</v>
      </c>
      <c r="C724" s="2" t="str">
        <f t="shared" si="23"/>
        <v>Q2</v>
      </c>
      <c r="D724" s="2" t="s">
        <v>31</v>
      </c>
      <c r="E724" s="13">
        <v>45900</v>
      </c>
      <c r="F724" s="14" t="s">
        <v>207</v>
      </c>
      <c r="G724" s="14" t="s">
        <v>206</v>
      </c>
      <c r="H724" s="14" t="s">
        <v>101</v>
      </c>
      <c r="I724" s="15">
        <v>1</v>
      </c>
      <c r="J724" s="15">
        <v>24</v>
      </c>
      <c r="K724" s="15">
        <v>186.23</v>
      </c>
      <c r="L724" s="15">
        <v>4469.5200000000004</v>
      </c>
      <c r="M724" s="15">
        <v>-343.71</v>
      </c>
      <c r="N724" s="15">
        <v>0</v>
      </c>
      <c r="O724" s="15">
        <v>536.35549500000002</v>
      </c>
      <c r="P724" s="15">
        <v>4662.1654950000002</v>
      </c>
    </row>
    <row r="725" spans="1:16" ht="15" x14ac:dyDescent="0.2">
      <c r="A725" s="4" t="s">
        <v>579</v>
      </c>
      <c r="B725" s="21" t="str">
        <f t="shared" si="22"/>
        <v>Aug-2025</v>
      </c>
      <c r="C725" s="2" t="str">
        <f t="shared" si="23"/>
        <v>Q2</v>
      </c>
      <c r="D725" s="2" t="s">
        <v>31</v>
      </c>
      <c r="E725" s="13">
        <v>45900</v>
      </c>
      <c r="F725" s="14" t="s">
        <v>208</v>
      </c>
      <c r="G725" s="14" t="s">
        <v>88</v>
      </c>
      <c r="H725" s="14" t="s">
        <v>92</v>
      </c>
      <c r="I725" s="15">
        <v>2</v>
      </c>
      <c r="J725" s="15">
        <v>40</v>
      </c>
      <c r="K725" s="15">
        <v>242.1</v>
      </c>
      <c r="L725" s="15">
        <v>9683.9999999999982</v>
      </c>
      <c r="M725" s="15">
        <v>-744.7</v>
      </c>
      <c r="N725" s="15">
        <v>0</v>
      </c>
      <c r="O725" s="15">
        <v>1162.1085579999999</v>
      </c>
      <c r="P725" s="15">
        <v>10101.408557999999</v>
      </c>
    </row>
    <row r="726" spans="1:16" ht="15" x14ac:dyDescent="0.2">
      <c r="A726" s="4" t="s">
        <v>590</v>
      </c>
      <c r="B726" s="21" t="str">
        <f t="shared" si="22"/>
        <v>Aug-2025</v>
      </c>
      <c r="C726" s="2" t="str">
        <f t="shared" si="23"/>
        <v>Q2</v>
      </c>
      <c r="D726" s="2" t="s">
        <v>31</v>
      </c>
      <c r="E726" s="13">
        <v>45900</v>
      </c>
      <c r="F726" s="14" t="s">
        <v>208</v>
      </c>
      <c r="G726" s="14" t="s">
        <v>88</v>
      </c>
      <c r="H726" s="14" t="s">
        <v>102</v>
      </c>
      <c r="I726" s="15">
        <v>2</v>
      </c>
      <c r="J726" s="15">
        <v>40</v>
      </c>
      <c r="K726" s="15">
        <v>249.55</v>
      </c>
      <c r="L726" s="15">
        <v>9982</v>
      </c>
      <c r="M726" s="15">
        <v>-767.62</v>
      </c>
      <c r="N726" s="15">
        <v>0</v>
      </c>
      <c r="O726" s="15">
        <v>1197.8689439999998</v>
      </c>
      <c r="P726" s="15">
        <v>10412.248944000001</v>
      </c>
    </row>
    <row r="727" spans="1:16" ht="15" x14ac:dyDescent="0.2">
      <c r="A727" s="4" t="s">
        <v>583</v>
      </c>
      <c r="B727" s="21" t="str">
        <f t="shared" si="22"/>
        <v>Aug-2025</v>
      </c>
      <c r="C727" s="2" t="str">
        <f t="shared" si="23"/>
        <v>Q2</v>
      </c>
      <c r="D727" s="2" t="s">
        <v>31</v>
      </c>
      <c r="E727" s="13">
        <v>45900</v>
      </c>
      <c r="F727" s="14" t="s">
        <v>208</v>
      </c>
      <c r="G727" s="14" t="s">
        <v>88</v>
      </c>
      <c r="H727" s="14" t="s">
        <v>113</v>
      </c>
      <c r="I727" s="15">
        <v>2</v>
      </c>
      <c r="J727" s="15">
        <v>30</v>
      </c>
      <c r="K727" s="15">
        <v>260.72000000000003</v>
      </c>
      <c r="L727" s="15">
        <v>7821.6</v>
      </c>
      <c r="M727" s="15">
        <v>-601.48</v>
      </c>
      <c r="N727" s="15">
        <v>0</v>
      </c>
      <c r="O727" s="15">
        <v>938.61524299999996</v>
      </c>
      <c r="P727" s="15">
        <v>8158.7352430000001</v>
      </c>
    </row>
    <row r="728" spans="1:16" ht="15" x14ac:dyDescent="0.2">
      <c r="A728" s="4" t="s">
        <v>593</v>
      </c>
      <c r="B728" s="21" t="str">
        <f t="shared" si="22"/>
        <v>Aug-2025</v>
      </c>
      <c r="C728" s="2" t="str">
        <f t="shared" si="23"/>
        <v>Q2</v>
      </c>
      <c r="D728" s="2" t="s">
        <v>31</v>
      </c>
      <c r="E728" s="13">
        <v>45900</v>
      </c>
      <c r="F728" s="14" t="s">
        <v>208</v>
      </c>
      <c r="G728" s="14" t="s">
        <v>88</v>
      </c>
      <c r="H728" s="14" t="s">
        <v>117</v>
      </c>
      <c r="I728" s="15">
        <v>5</v>
      </c>
      <c r="J728" s="15">
        <v>20</v>
      </c>
      <c r="K728" s="15">
        <v>595.92999999999995</v>
      </c>
      <c r="L728" s="15">
        <v>11918.6</v>
      </c>
      <c r="M728" s="15">
        <v>-916.54</v>
      </c>
      <c r="N728" s="15">
        <v>0</v>
      </c>
      <c r="O728" s="15">
        <v>1430.2672560000001</v>
      </c>
      <c r="P728" s="15">
        <v>12432.327256</v>
      </c>
    </row>
    <row r="729" spans="1:16" ht="15" x14ac:dyDescent="0.2">
      <c r="A729" s="4" t="s">
        <v>581</v>
      </c>
      <c r="B729" s="21" t="str">
        <f t="shared" si="22"/>
        <v>Aug-2025</v>
      </c>
      <c r="C729" s="2" t="str">
        <f t="shared" si="23"/>
        <v>Q2</v>
      </c>
      <c r="D729" s="2" t="s">
        <v>31</v>
      </c>
      <c r="E729" s="13">
        <v>45900</v>
      </c>
      <c r="F729" s="14" t="s">
        <v>209</v>
      </c>
      <c r="G729" s="14" t="s">
        <v>130</v>
      </c>
      <c r="H729" s="14" t="s">
        <v>96</v>
      </c>
      <c r="I729" s="15">
        <v>4</v>
      </c>
      <c r="J729" s="15">
        <v>160</v>
      </c>
      <c r="K729" s="15">
        <v>67.040000000000006</v>
      </c>
      <c r="L729" s="15">
        <v>10726.4</v>
      </c>
      <c r="M729" s="15">
        <v>-824.86</v>
      </c>
      <c r="N729" s="15">
        <v>0</v>
      </c>
      <c r="O729" s="15">
        <v>1287.2</v>
      </c>
      <c r="P729" s="15">
        <v>11188.74</v>
      </c>
    </row>
    <row r="730" spans="1:16" ht="15" x14ac:dyDescent="0.2">
      <c r="A730" s="4" t="s">
        <v>574</v>
      </c>
      <c r="B730" s="21" t="str">
        <f t="shared" si="22"/>
        <v>Aug-2025</v>
      </c>
      <c r="C730" s="2" t="str">
        <f t="shared" si="23"/>
        <v>Q2</v>
      </c>
      <c r="D730" s="2" t="s">
        <v>31</v>
      </c>
      <c r="E730" s="13">
        <v>45900</v>
      </c>
      <c r="F730" s="14" t="s">
        <v>210</v>
      </c>
      <c r="G730" s="14" t="s">
        <v>51</v>
      </c>
      <c r="H730" s="14" t="s">
        <v>86</v>
      </c>
      <c r="I730" s="15">
        <v>4</v>
      </c>
      <c r="J730" s="15">
        <v>72</v>
      </c>
      <c r="K730" s="15">
        <v>178.78</v>
      </c>
      <c r="L730" s="15">
        <v>12872.160000000002</v>
      </c>
      <c r="M730" s="15">
        <v>-989.87000000000012</v>
      </c>
      <c r="N730" s="15">
        <v>0</v>
      </c>
      <c r="O730" s="15">
        <v>1544.6977530000001</v>
      </c>
      <c r="P730" s="15">
        <v>13426.987752999999</v>
      </c>
    </row>
    <row r="731" spans="1:16" ht="15" x14ac:dyDescent="0.2">
      <c r="A731" s="4" t="s">
        <v>574</v>
      </c>
      <c r="B731" s="21" t="str">
        <f t="shared" si="22"/>
        <v>Aug-2025</v>
      </c>
      <c r="C731" s="2" t="str">
        <f t="shared" si="23"/>
        <v>Q2</v>
      </c>
      <c r="D731" s="2" t="s">
        <v>31</v>
      </c>
      <c r="E731" s="13">
        <v>45900</v>
      </c>
      <c r="F731" s="14" t="s">
        <v>210</v>
      </c>
      <c r="G731" s="14" t="s">
        <v>51</v>
      </c>
      <c r="H731" s="14" t="s">
        <v>52</v>
      </c>
      <c r="I731" s="15">
        <v>4</v>
      </c>
      <c r="J731" s="15">
        <v>72</v>
      </c>
      <c r="K731" s="15">
        <v>178.78</v>
      </c>
      <c r="L731" s="15">
        <v>12872.160000000002</v>
      </c>
      <c r="M731" s="15">
        <v>-989.87000000000012</v>
      </c>
      <c r="N731" s="15">
        <v>0</v>
      </c>
      <c r="O731" s="15">
        <v>1544.6977530000001</v>
      </c>
      <c r="P731" s="15">
        <v>13426.987752999999</v>
      </c>
    </row>
    <row r="732" spans="1:16" ht="15" x14ac:dyDescent="0.2">
      <c r="A732" s="4" t="s">
        <v>574</v>
      </c>
      <c r="B732" s="21" t="str">
        <f t="shared" si="22"/>
        <v>Aug-2025</v>
      </c>
      <c r="C732" s="2" t="str">
        <f t="shared" si="23"/>
        <v>Q2</v>
      </c>
      <c r="D732" s="2" t="s">
        <v>31</v>
      </c>
      <c r="E732" s="13">
        <v>45900</v>
      </c>
      <c r="F732" s="14" t="s">
        <v>210</v>
      </c>
      <c r="G732" s="14" t="s">
        <v>51</v>
      </c>
      <c r="H732" s="14" t="s">
        <v>84</v>
      </c>
      <c r="I732" s="15">
        <v>349</v>
      </c>
      <c r="J732" s="15">
        <v>6282</v>
      </c>
      <c r="K732" s="15">
        <v>178.78</v>
      </c>
      <c r="L732" s="15">
        <v>1123095.96</v>
      </c>
      <c r="M732" s="15">
        <v>-86366.080000000002</v>
      </c>
      <c r="N732" s="15">
        <v>0</v>
      </c>
      <c r="O732" s="15">
        <v>134774.88899000001</v>
      </c>
      <c r="P732" s="15">
        <v>1171504.76899</v>
      </c>
    </row>
    <row r="733" spans="1:16" ht="15" x14ac:dyDescent="0.2">
      <c r="A733" s="4" t="s">
        <v>574</v>
      </c>
      <c r="B733" s="21" t="str">
        <f t="shared" si="22"/>
        <v>Aug-2025</v>
      </c>
      <c r="C733" s="2" t="str">
        <f t="shared" si="23"/>
        <v>Q2</v>
      </c>
      <c r="D733" s="2" t="s">
        <v>31</v>
      </c>
      <c r="E733" s="13">
        <v>45900</v>
      </c>
      <c r="F733" s="14" t="s">
        <v>210</v>
      </c>
      <c r="G733" s="14" t="s">
        <v>51</v>
      </c>
      <c r="H733" s="14" t="s">
        <v>85</v>
      </c>
      <c r="I733" s="15">
        <v>8</v>
      </c>
      <c r="J733" s="15">
        <v>144</v>
      </c>
      <c r="K733" s="15">
        <v>178.78</v>
      </c>
      <c r="L733" s="15">
        <v>25744.320000000003</v>
      </c>
      <c r="M733" s="15">
        <v>-1979.7400000000002</v>
      </c>
      <c r="N733" s="15">
        <v>0</v>
      </c>
      <c r="O733" s="15">
        <v>3089.395505</v>
      </c>
      <c r="P733" s="15">
        <v>26853.975504999999</v>
      </c>
    </row>
    <row r="734" spans="1:16" ht="15" x14ac:dyDescent="0.2">
      <c r="A734" s="4" t="s">
        <v>593</v>
      </c>
      <c r="B734" s="21" t="str">
        <f t="shared" si="22"/>
        <v>Aug-2025</v>
      </c>
      <c r="C734" s="2" t="str">
        <f t="shared" si="23"/>
        <v>Q2</v>
      </c>
      <c r="D734" s="2" t="s">
        <v>31</v>
      </c>
      <c r="E734" s="13">
        <v>45900</v>
      </c>
      <c r="F734" s="14" t="s">
        <v>211</v>
      </c>
      <c r="G734" s="14" t="s">
        <v>51</v>
      </c>
      <c r="H734" s="14" t="s">
        <v>117</v>
      </c>
      <c r="I734" s="15">
        <v>10</v>
      </c>
      <c r="J734" s="15">
        <v>40</v>
      </c>
      <c r="K734" s="15">
        <v>595.92999999999995</v>
      </c>
      <c r="L734" s="15">
        <v>23837.200000000001</v>
      </c>
      <c r="M734" s="15">
        <v>-1833.08</v>
      </c>
      <c r="N734" s="15">
        <v>0</v>
      </c>
      <c r="O734" s="15">
        <v>2860.54</v>
      </c>
      <c r="P734" s="15">
        <v>24864.66</v>
      </c>
    </row>
    <row r="735" spans="1:16" ht="15" x14ac:dyDescent="0.2">
      <c r="A735" s="4" t="s">
        <v>589</v>
      </c>
      <c r="B735" s="21" t="str">
        <f t="shared" si="22"/>
        <v>Aug-2025</v>
      </c>
      <c r="C735" s="2" t="str">
        <f t="shared" si="23"/>
        <v>Q2</v>
      </c>
      <c r="D735" s="2" t="s">
        <v>31</v>
      </c>
      <c r="E735" s="13">
        <v>45900</v>
      </c>
      <c r="F735" s="14" t="s">
        <v>212</v>
      </c>
      <c r="G735" s="14" t="s">
        <v>22</v>
      </c>
      <c r="H735" s="14" t="s">
        <v>98</v>
      </c>
      <c r="I735" s="15">
        <v>2</v>
      </c>
      <c r="J735" s="15">
        <v>120</v>
      </c>
      <c r="K735" s="15">
        <v>145.26</v>
      </c>
      <c r="L735" s="15">
        <v>17431.2</v>
      </c>
      <c r="M735" s="15">
        <v>-1340.46</v>
      </c>
      <c r="N735" s="15">
        <v>0</v>
      </c>
      <c r="O735" s="15">
        <v>2091.7945629999999</v>
      </c>
      <c r="P735" s="15">
        <v>18182.534563000001</v>
      </c>
    </row>
    <row r="736" spans="1:16" ht="15" x14ac:dyDescent="0.2">
      <c r="A736" s="4" t="s">
        <v>593</v>
      </c>
      <c r="B736" s="21" t="str">
        <f t="shared" si="22"/>
        <v>Aug-2025</v>
      </c>
      <c r="C736" s="2" t="str">
        <f t="shared" si="23"/>
        <v>Q2</v>
      </c>
      <c r="D736" s="2" t="s">
        <v>31</v>
      </c>
      <c r="E736" s="13">
        <v>45900</v>
      </c>
      <c r="F736" s="14" t="s">
        <v>212</v>
      </c>
      <c r="G736" s="14" t="s">
        <v>22</v>
      </c>
      <c r="H736" s="14" t="s">
        <v>117</v>
      </c>
      <c r="I736" s="15">
        <v>2</v>
      </c>
      <c r="J736" s="15">
        <v>8</v>
      </c>
      <c r="K736" s="15">
        <v>595.92999999999995</v>
      </c>
      <c r="L736" s="15">
        <v>4767.4399999999996</v>
      </c>
      <c r="M736" s="15">
        <v>-366.62</v>
      </c>
      <c r="N736" s="15">
        <v>0</v>
      </c>
      <c r="O736" s="15">
        <v>572.10615199999995</v>
      </c>
      <c r="P736" s="15">
        <v>4972.926152</v>
      </c>
    </row>
    <row r="737" spans="1:16" ht="15" x14ac:dyDescent="0.2">
      <c r="A737" s="4" t="s">
        <v>580</v>
      </c>
      <c r="B737" s="21" t="str">
        <f t="shared" si="22"/>
        <v>Aug-2025</v>
      </c>
      <c r="C737" s="2" t="str">
        <f t="shared" si="23"/>
        <v>Q2</v>
      </c>
      <c r="D737" s="2" t="s">
        <v>31</v>
      </c>
      <c r="E737" s="13">
        <v>45900</v>
      </c>
      <c r="F737" s="14" t="s">
        <v>212</v>
      </c>
      <c r="G737" s="14" t="s">
        <v>22</v>
      </c>
      <c r="H737" s="14" t="s">
        <v>89</v>
      </c>
      <c r="I737" s="15">
        <v>1</v>
      </c>
      <c r="J737" s="15">
        <v>70</v>
      </c>
      <c r="K737" s="15">
        <v>32.78</v>
      </c>
      <c r="L737" s="15">
        <v>2294.6</v>
      </c>
      <c r="M737" s="15">
        <v>-176.45</v>
      </c>
      <c r="N737" s="15">
        <v>0</v>
      </c>
      <c r="O737" s="15">
        <v>275.359285</v>
      </c>
      <c r="P737" s="15">
        <v>2393.5092850000001</v>
      </c>
    </row>
    <row r="738" spans="1:16" ht="15" x14ac:dyDescent="0.2">
      <c r="A738" s="4" t="s">
        <v>585</v>
      </c>
      <c r="B738" s="21" t="str">
        <f t="shared" si="22"/>
        <v>Aug-2025</v>
      </c>
      <c r="C738" s="2" t="str">
        <f t="shared" si="23"/>
        <v>Q2</v>
      </c>
      <c r="D738" s="2" t="s">
        <v>31</v>
      </c>
      <c r="E738" s="13">
        <v>45900</v>
      </c>
      <c r="F738" s="14" t="s">
        <v>213</v>
      </c>
      <c r="G738" s="14" t="s">
        <v>12</v>
      </c>
      <c r="H738" s="14" t="s">
        <v>180</v>
      </c>
      <c r="I738" s="15">
        <v>2</v>
      </c>
      <c r="J738" s="15">
        <v>2000</v>
      </c>
      <c r="K738" s="15">
        <v>1.86</v>
      </c>
      <c r="L738" s="15">
        <v>3720</v>
      </c>
      <c r="M738" s="15">
        <v>-286.07</v>
      </c>
      <c r="N738" s="15">
        <v>0</v>
      </c>
      <c r="O738" s="15">
        <v>446.41</v>
      </c>
      <c r="P738" s="15">
        <v>3880.34</v>
      </c>
    </row>
    <row r="739" spans="1:16" ht="15" x14ac:dyDescent="0.2">
      <c r="A739" s="4" t="s">
        <v>589</v>
      </c>
      <c r="B739" s="21" t="str">
        <f t="shared" si="22"/>
        <v>Aug-2025</v>
      </c>
      <c r="C739" s="2" t="str">
        <f t="shared" si="23"/>
        <v>Q2</v>
      </c>
      <c r="D739" s="2" t="s">
        <v>31</v>
      </c>
      <c r="E739" s="13">
        <v>45900</v>
      </c>
      <c r="F739" s="14" t="s">
        <v>214</v>
      </c>
      <c r="G739" s="14" t="s">
        <v>215</v>
      </c>
      <c r="H739" s="14" t="s">
        <v>105</v>
      </c>
      <c r="I739" s="15">
        <v>2</v>
      </c>
      <c r="J739" s="15">
        <v>60</v>
      </c>
      <c r="K739" s="15">
        <v>316.58999999999997</v>
      </c>
      <c r="L739" s="15">
        <v>18995.399999999998</v>
      </c>
      <c r="M739" s="15">
        <v>-1460.75</v>
      </c>
      <c r="N739" s="15">
        <v>0</v>
      </c>
      <c r="O739" s="15">
        <v>2279.5035550000002</v>
      </c>
      <c r="P739" s="15">
        <v>19814.153555000001</v>
      </c>
    </row>
    <row r="740" spans="1:16" ht="15" x14ac:dyDescent="0.2">
      <c r="A740" s="4" t="s">
        <v>590</v>
      </c>
      <c r="B740" s="21" t="str">
        <f t="shared" si="22"/>
        <v>Aug-2025</v>
      </c>
      <c r="C740" s="2" t="str">
        <f t="shared" si="23"/>
        <v>Q2</v>
      </c>
      <c r="D740" s="2" t="s">
        <v>31</v>
      </c>
      <c r="E740" s="13">
        <v>45900</v>
      </c>
      <c r="F740" s="14" t="s">
        <v>214</v>
      </c>
      <c r="G740" s="14" t="s">
        <v>215</v>
      </c>
      <c r="H740" s="14" t="s">
        <v>102</v>
      </c>
      <c r="I740" s="15">
        <v>1</v>
      </c>
      <c r="J740" s="15">
        <v>20</v>
      </c>
      <c r="K740" s="15">
        <v>249.55</v>
      </c>
      <c r="L740" s="15">
        <v>4991</v>
      </c>
      <c r="M740" s="15">
        <v>-383.81</v>
      </c>
      <c r="N740" s="15">
        <v>0</v>
      </c>
      <c r="O740" s="15">
        <v>598.93445200000008</v>
      </c>
      <c r="P740" s="15">
        <v>5206.124452</v>
      </c>
    </row>
    <row r="741" spans="1:16" ht="15" x14ac:dyDescent="0.2">
      <c r="A741" s="4" t="s">
        <v>584</v>
      </c>
      <c r="B741" s="21" t="str">
        <f t="shared" si="22"/>
        <v>Aug-2025</v>
      </c>
      <c r="C741" s="2" t="str">
        <f t="shared" si="23"/>
        <v>Q2</v>
      </c>
      <c r="D741" s="2" t="s">
        <v>31</v>
      </c>
      <c r="E741" s="13">
        <v>45900</v>
      </c>
      <c r="F741" s="14" t="s">
        <v>214</v>
      </c>
      <c r="G741" s="14" t="s">
        <v>215</v>
      </c>
      <c r="H741" s="14" t="s">
        <v>99</v>
      </c>
      <c r="I741" s="15">
        <v>1</v>
      </c>
      <c r="J741" s="15">
        <v>40</v>
      </c>
      <c r="K741" s="15">
        <v>81.94</v>
      </c>
      <c r="L741" s="15">
        <v>3277.6</v>
      </c>
      <c r="M741" s="15">
        <v>-252.05</v>
      </c>
      <c r="N741" s="15">
        <v>0</v>
      </c>
      <c r="O741" s="15">
        <v>393.32133700000003</v>
      </c>
      <c r="P741" s="15">
        <v>3418.871337</v>
      </c>
    </row>
    <row r="742" spans="1:16" ht="15" x14ac:dyDescent="0.2">
      <c r="A742" s="4" t="s">
        <v>586</v>
      </c>
      <c r="B742" s="21" t="str">
        <f t="shared" si="22"/>
        <v>Aug-2025</v>
      </c>
      <c r="C742" s="2" t="str">
        <f t="shared" si="23"/>
        <v>Q2</v>
      </c>
      <c r="D742" s="2" t="s">
        <v>31</v>
      </c>
      <c r="E742" s="13">
        <v>45900</v>
      </c>
      <c r="F742" s="14" t="s">
        <v>214</v>
      </c>
      <c r="G742" s="14" t="s">
        <v>215</v>
      </c>
      <c r="H742" s="14" t="s">
        <v>103</v>
      </c>
      <c r="I742" s="15">
        <v>1</v>
      </c>
      <c r="J742" s="15">
        <v>600</v>
      </c>
      <c r="K742" s="15">
        <v>7.45</v>
      </c>
      <c r="L742" s="15">
        <v>4470</v>
      </c>
      <c r="M742" s="15">
        <v>-343.74</v>
      </c>
      <c r="N742" s="15">
        <v>0</v>
      </c>
      <c r="O742" s="15">
        <v>536.41357800000003</v>
      </c>
      <c r="P742" s="15">
        <v>4662.6735779999999</v>
      </c>
    </row>
    <row r="743" spans="1:16" ht="15" x14ac:dyDescent="0.2">
      <c r="A743" s="4" t="s">
        <v>589</v>
      </c>
      <c r="B743" s="21" t="str">
        <f t="shared" si="22"/>
        <v>Aug-2025</v>
      </c>
      <c r="C743" s="2" t="str">
        <f t="shared" si="23"/>
        <v>Q2</v>
      </c>
      <c r="D743" s="2" t="s">
        <v>31</v>
      </c>
      <c r="E743" s="13">
        <v>45900</v>
      </c>
      <c r="F743" s="14" t="s">
        <v>214</v>
      </c>
      <c r="G743" s="14" t="s">
        <v>215</v>
      </c>
      <c r="H743" s="14" t="s">
        <v>98</v>
      </c>
      <c r="I743" s="15">
        <v>2</v>
      </c>
      <c r="J743" s="15">
        <v>120</v>
      </c>
      <c r="K743" s="15">
        <v>145.26</v>
      </c>
      <c r="L743" s="15">
        <v>17431.2</v>
      </c>
      <c r="M743" s="15">
        <v>-1340.46</v>
      </c>
      <c r="N743" s="15">
        <v>0</v>
      </c>
      <c r="O743" s="15">
        <v>2091.795333</v>
      </c>
      <c r="P743" s="15">
        <v>18182.535333</v>
      </c>
    </row>
    <row r="744" spans="1:16" ht="15" x14ac:dyDescent="0.2">
      <c r="A744" s="4" t="s">
        <v>584</v>
      </c>
      <c r="B744" s="21" t="str">
        <f t="shared" si="22"/>
        <v>Aug-2025</v>
      </c>
      <c r="C744" s="2" t="str">
        <f t="shared" si="23"/>
        <v>Q2</v>
      </c>
      <c r="D744" s="2" t="s">
        <v>31</v>
      </c>
      <c r="E744" s="13">
        <v>45900</v>
      </c>
      <c r="F744" s="14" t="s">
        <v>214</v>
      </c>
      <c r="G744" s="14" t="s">
        <v>215</v>
      </c>
      <c r="H744" s="14" t="s">
        <v>100</v>
      </c>
      <c r="I744" s="15">
        <v>1</v>
      </c>
      <c r="J744" s="15">
        <v>40</v>
      </c>
      <c r="K744" s="15">
        <v>81.94</v>
      </c>
      <c r="L744" s="15">
        <v>3277.6</v>
      </c>
      <c r="M744" s="15">
        <v>-252.05</v>
      </c>
      <c r="N744" s="15">
        <v>0</v>
      </c>
      <c r="O744" s="15">
        <v>393.32133700000003</v>
      </c>
      <c r="P744" s="15">
        <v>3418.871337</v>
      </c>
    </row>
    <row r="745" spans="1:16" ht="15" x14ac:dyDescent="0.2">
      <c r="A745" s="4" t="s">
        <v>584</v>
      </c>
      <c r="B745" s="21" t="str">
        <f t="shared" si="22"/>
        <v>Aug-2025</v>
      </c>
      <c r="C745" s="2" t="str">
        <f t="shared" si="23"/>
        <v>Q2</v>
      </c>
      <c r="D745" s="2" t="s">
        <v>31</v>
      </c>
      <c r="E745" s="13">
        <v>45900</v>
      </c>
      <c r="F745" s="14" t="s">
        <v>214</v>
      </c>
      <c r="G745" s="14" t="s">
        <v>215</v>
      </c>
      <c r="H745" s="14" t="s">
        <v>120</v>
      </c>
      <c r="I745" s="15">
        <v>1</v>
      </c>
      <c r="J745" s="15">
        <v>40</v>
      </c>
      <c r="K745" s="15">
        <v>81.94</v>
      </c>
      <c r="L745" s="15">
        <v>3277.6</v>
      </c>
      <c r="M745" s="15">
        <v>-252.05</v>
      </c>
      <c r="N745" s="15">
        <v>0</v>
      </c>
      <c r="O745" s="15">
        <v>393.32133700000003</v>
      </c>
      <c r="P745" s="15">
        <v>3418.871337</v>
      </c>
    </row>
    <row r="746" spans="1:16" ht="15" x14ac:dyDescent="0.2">
      <c r="A746" s="4" t="s">
        <v>581</v>
      </c>
      <c r="B746" s="21" t="str">
        <f t="shared" si="22"/>
        <v>Aug-2025</v>
      </c>
      <c r="C746" s="2" t="str">
        <f t="shared" si="23"/>
        <v>Q2</v>
      </c>
      <c r="D746" s="2" t="s">
        <v>31</v>
      </c>
      <c r="E746" s="13">
        <v>45900</v>
      </c>
      <c r="F746" s="14" t="s">
        <v>214</v>
      </c>
      <c r="G746" s="14" t="s">
        <v>215</v>
      </c>
      <c r="H746" s="14" t="s">
        <v>97</v>
      </c>
      <c r="I746" s="15">
        <v>1</v>
      </c>
      <c r="J746" s="15">
        <v>40</v>
      </c>
      <c r="K746" s="15">
        <v>67.040000000000006</v>
      </c>
      <c r="L746" s="15">
        <v>2681.6</v>
      </c>
      <c r="M746" s="15">
        <v>-206.22</v>
      </c>
      <c r="N746" s="15">
        <v>0</v>
      </c>
      <c r="O746" s="15">
        <v>321.79926699999999</v>
      </c>
      <c r="P746" s="15">
        <v>2797.179267</v>
      </c>
    </row>
    <row r="747" spans="1:16" ht="15" x14ac:dyDescent="0.2">
      <c r="A747" s="4" t="s">
        <v>573</v>
      </c>
      <c r="B747" s="21" t="str">
        <f t="shared" si="22"/>
        <v>Aug-2025</v>
      </c>
      <c r="C747" s="2" t="str">
        <f t="shared" si="23"/>
        <v>Q2</v>
      </c>
      <c r="D747" s="2" t="s">
        <v>31</v>
      </c>
      <c r="E747" s="13">
        <v>45900</v>
      </c>
      <c r="F747" s="14" t="s">
        <v>214</v>
      </c>
      <c r="G747" s="14" t="s">
        <v>215</v>
      </c>
      <c r="H747" s="14" t="s">
        <v>47</v>
      </c>
      <c r="I747" s="15">
        <v>1</v>
      </c>
      <c r="J747" s="15">
        <v>40</v>
      </c>
      <c r="K747" s="15">
        <v>111.74</v>
      </c>
      <c r="L747" s="15">
        <v>4469.6000000000004</v>
      </c>
      <c r="M747" s="15">
        <v>-343.71</v>
      </c>
      <c r="N747" s="15">
        <v>0</v>
      </c>
      <c r="O747" s="15">
        <v>536.36547799999994</v>
      </c>
      <c r="P747" s="15">
        <v>4662.255478</v>
      </c>
    </row>
    <row r="748" spans="1:16" ht="15" x14ac:dyDescent="0.2">
      <c r="A748" s="4" t="s">
        <v>577</v>
      </c>
      <c r="B748" s="21" t="str">
        <f t="shared" si="22"/>
        <v>Aug-2025</v>
      </c>
      <c r="C748" s="2" t="str">
        <f t="shared" si="23"/>
        <v>Q2</v>
      </c>
      <c r="D748" s="2" t="s">
        <v>31</v>
      </c>
      <c r="E748" s="13">
        <v>45900</v>
      </c>
      <c r="F748" s="14" t="s">
        <v>214</v>
      </c>
      <c r="G748" s="14" t="s">
        <v>215</v>
      </c>
      <c r="H748" s="14" t="s">
        <v>57</v>
      </c>
      <c r="I748" s="15">
        <v>1</v>
      </c>
      <c r="J748" s="15">
        <v>180</v>
      </c>
      <c r="K748" s="15">
        <v>18.62</v>
      </c>
      <c r="L748" s="15">
        <v>3351.6</v>
      </c>
      <c r="M748" s="15">
        <v>-257.74</v>
      </c>
      <c r="N748" s="15">
        <v>0</v>
      </c>
      <c r="O748" s="15">
        <v>402.20163300000002</v>
      </c>
      <c r="P748" s="15">
        <v>3496.0616329999998</v>
      </c>
    </row>
    <row r="749" spans="1:16" ht="15" x14ac:dyDescent="0.2">
      <c r="A749" s="4" t="s">
        <v>593</v>
      </c>
      <c r="B749" s="21" t="str">
        <f t="shared" si="22"/>
        <v>Aug-2025</v>
      </c>
      <c r="C749" s="2" t="str">
        <f t="shared" si="23"/>
        <v>Q2</v>
      </c>
      <c r="D749" s="2" t="s">
        <v>31</v>
      </c>
      <c r="E749" s="13">
        <v>45900</v>
      </c>
      <c r="F749" s="14" t="s">
        <v>214</v>
      </c>
      <c r="G749" s="14" t="s">
        <v>215</v>
      </c>
      <c r="H749" s="14" t="s">
        <v>117</v>
      </c>
      <c r="I749" s="15">
        <v>5</v>
      </c>
      <c r="J749" s="15">
        <v>20</v>
      </c>
      <c r="K749" s="15">
        <v>595.92999999999995</v>
      </c>
      <c r="L749" s="15">
        <v>11918.6</v>
      </c>
      <c r="M749" s="15">
        <v>-916.54</v>
      </c>
      <c r="N749" s="15">
        <v>0</v>
      </c>
      <c r="O749" s="15">
        <v>1430.2672070000001</v>
      </c>
      <c r="P749" s="15">
        <v>12432.327207</v>
      </c>
    </row>
    <row r="750" spans="1:16" ht="15" x14ac:dyDescent="0.2">
      <c r="A750" s="4" t="s">
        <v>580</v>
      </c>
      <c r="B750" s="21" t="str">
        <f t="shared" si="22"/>
        <v>Aug-2025</v>
      </c>
      <c r="C750" s="2" t="str">
        <f t="shared" si="23"/>
        <v>Q2</v>
      </c>
      <c r="D750" s="2" t="s">
        <v>31</v>
      </c>
      <c r="E750" s="13">
        <v>45900</v>
      </c>
      <c r="F750" s="14" t="s">
        <v>214</v>
      </c>
      <c r="G750" s="14" t="s">
        <v>215</v>
      </c>
      <c r="H750" s="14" t="s">
        <v>65</v>
      </c>
      <c r="I750" s="15">
        <v>2</v>
      </c>
      <c r="J750" s="15">
        <v>260</v>
      </c>
      <c r="K750" s="15">
        <v>37.25</v>
      </c>
      <c r="L750" s="15">
        <v>9685</v>
      </c>
      <c r="M750" s="15">
        <v>-744.78</v>
      </c>
      <c r="N750" s="15">
        <v>0</v>
      </c>
      <c r="O750" s="15">
        <v>1162.228118</v>
      </c>
      <c r="P750" s="15">
        <v>10102.448118</v>
      </c>
    </row>
    <row r="751" spans="1:16" ht="15" x14ac:dyDescent="0.2">
      <c r="A751" s="4" t="s">
        <v>581</v>
      </c>
      <c r="B751" s="21" t="str">
        <f t="shared" si="22"/>
        <v>Aug-2025</v>
      </c>
      <c r="C751" s="2" t="str">
        <f t="shared" si="23"/>
        <v>Q2</v>
      </c>
      <c r="D751" s="2" t="s">
        <v>31</v>
      </c>
      <c r="E751" s="13">
        <v>45900</v>
      </c>
      <c r="F751" s="14" t="s">
        <v>214</v>
      </c>
      <c r="G751" s="14" t="s">
        <v>215</v>
      </c>
      <c r="H751" s="14" t="s">
        <v>125</v>
      </c>
      <c r="I751" s="15">
        <v>1</v>
      </c>
      <c r="J751" s="15">
        <v>800</v>
      </c>
      <c r="K751" s="15">
        <v>7.45</v>
      </c>
      <c r="L751" s="15">
        <v>5960</v>
      </c>
      <c r="M751" s="15">
        <v>-458.32</v>
      </c>
      <c r="N751" s="15">
        <v>0</v>
      </c>
      <c r="O751" s="15">
        <v>715.21810299999993</v>
      </c>
      <c r="P751" s="15">
        <v>6216.8981030000004</v>
      </c>
    </row>
    <row r="752" spans="1:16" ht="15" x14ac:dyDescent="0.2">
      <c r="A752" s="4" t="s">
        <v>581</v>
      </c>
      <c r="B752" s="21" t="str">
        <f t="shared" si="22"/>
        <v>Aug-2025</v>
      </c>
      <c r="C752" s="2" t="str">
        <f t="shared" si="23"/>
        <v>Q2</v>
      </c>
      <c r="D752" s="2" t="s">
        <v>31</v>
      </c>
      <c r="E752" s="13">
        <v>45900</v>
      </c>
      <c r="F752" s="14" t="s">
        <v>214</v>
      </c>
      <c r="G752" s="14" t="s">
        <v>215</v>
      </c>
      <c r="H752" s="14" t="s">
        <v>104</v>
      </c>
      <c r="I752" s="15">
        <v>1</v>
      </c>
      <c r="J752" s="15">
        <v>40</v>
      </c>
      <c r="K752" s="15">
        <v>67.040000000000006</v>
      </c>
      <c r="L752" s="15">
        <v>2681.6</v>
      </c>
      <c r="M752" s="15">
        <v>-206.22</v>
      </c>
      <c r="N752" s="15">
        <v>0</v>
      </c>
      <c r="O752" s="15">
        <v>321.79926699999999</v>
      </c>
      <c r="P752" s="15">
        <v>2797.179267</v>
      </c>
    </row>
    <row r="753" spans="1:16" ht="15" x14ac:dyDescent="0.2">
      <c r="A753" s="4" t="s">
        <v>573</v>
      </c>
      <c r="B753" s="21" t="str">
        <f t="shared" si="22"/>
        <v>Aug-2025</v>
      </c>
      <c r="C753" s="2" t="str">
        <f t="shared" si="23"/>
        <v>Q2</v>
      </c>
      <c r="D753" s="2" t="s">
        <v>31</v>
      </c>
      <c r="E753" s="13">
        <v>45900</v>
      </c>
      <c r="F753" s="14" t="s">
        <v>216</v>
      </c>
      <c r="G753" s="14" t="s">
        <v>215</v>
      </c>
      <c r="H753" s="14" t="s">
        <v>136</v>
      </c>
      <c r="I753" s="15">
        <v>1</v>
      </c>
      <c r="J753" s="15">
        <v>40</v>
      </c>
      <c r="K753" s="15">
        <v>111.74</v>
      </c>
      <c r="L753" s="15">
        <v>4469.6000000000004</v>
      </c>
      <c r="M753" s="15">
        <v>-343.71</v>
      </c>
      <c r="N753" s="15">
        <v>0</v>
      </c>
      <c r="O753" s="15">
        <v>536.365588</v>
      </c>
      <c r="P753" s="15">
        <v>4662.255588</v>
      </c>
    </row>
    <row r="754" spans="1:16" ht="15" x14ac:dyDescent="0.2">
      <c r="A754" s="4" t="s">
        <v>576</v>
      </c>
      <c r="B754" s="21" t="str">
        <f t="shared" si="22"/>
        <v>Aug-2025</v>
      </c>
      <c r="C754" s="2" t="str">
        <f t="shared" si="23"/>
        <v>Q2</v>
      </c>
      <c r="D754" s="2" t="s">
        <v>31</v>
      </c>
      <c r="E754" s="13">
        <v>45900</v>
      </c>
      <c r="F754" s="14" t="s">
        <v>216</v>
      </c>
      <c r="G754" s="14" t="s">
        <v>215</v>
      </c>
      <c r="H754" s="14" t="s">
        <v>123</v>
      </c>
      <c r="I754" s="15">
        <v>1</v>
      </c>
      <c r="J754" s="15">
        <v>20</v>
      </c>
      <c r="K754" s="15">
        <v>175.05</v>
      </c>
      <c r="L754" s="15">
        <v>3500.9999999999995</v>
      </c>
      <c r="M754" s="15">
        <v>-269.23</v>
      </c>
      <c r="N754" s="15">
        <v>0</v>
      </c>
      <c r="O754" s="15">
        <v>420.13001300000002</v>
      </c>
      <c r="P754" s="15">
        <v>3651.9000129999999</v>
      </c>
    </row>
    <row r="755" spans="1:16" ht="15" x14ac:dyDescent="0.2">
      <c r="A755" s="4" t="s">
        <v>583</v>
      </c>
      <c r="B755" s="21" t="str">
        <f t="shared" si="22"/>
        <v>Aug-2025</v>
      </c>
      <c r="C755" s="2" t="str">
        <f t="shared" si="23"/>
        <v>Q2</v>
      </c>
      <c r="D755" s="2" t="s">
        <v>31</v>
      </c>
      <c r="E755" s="13">
        <v>45900</v>
      </c>
      <c r="F755" s="14" t="s">
        <v>216</v>
      </c>
      <c r="G755" s="14" t="s">
        <v>215</v>
      </c>
      <c r="H755" s="14" t="s">
        <v>113</v>
      </c>
      <c r="I755" s="15">
        <v>2</v>
      </c>
      <c r="J755" s="15">
        <v>30</v>
      </c>
      <c r="K755" s="15">
        <v>260.72000000000003</v>
      </c>
      <c r="L755" s="15">
        <v>7821.6</v>
      </c>
      <c r="M755" s="15">
        <v>-601.48</v>
      </c>
      <c r="N755" s="15">
        <v>0</v>
      </c>
      <c r="O755" s="15">
        <v>938.61540500000001</v>
      </c>
      <c r="P755" s="15">
        <v>8158.7354050000004</v>
      </c>
    </row>
    <row r="756" spans="1:16" ht="15" x14ac:dyDescent="0.2">
      <c r="A756" s="4" t="s">
        <v>582</v>
      </c>
      <c r="B756" s="21" t="str">
        <f t="shared" si="22"/>
        <v>Aug-2025</v>
      </c>
      <c r="C756" s="2" t="str">
        <f t="shared" si="23"/>
        <v>Q2</v>
      </c>
      <c r="D756" s="2" t="s">
        <v>31</v>
      </c>
      <c r="E756" s="13">
        <v>45900</v>
      </c>
      <c r="F756" s="14" t="s">
        <v>216</v>
      </c>
      <c r="G756" s="14" t="s">
        <v>215</v>
      </c>
      <c r="H756" s="14" t="s">
        <v>77</v>
      </c>
      <c r="I756" s="15">
        <v>1</v>
      </c>
      <c r="J756" s="15">
        <v>24</v>
      </c>
      <c r="K756" s="15">
        <v>204.85</v>
      </c>
      <c r="L756" s="15">
        <v>4916.4000000000005</v>
      </c>
      <c r="M756" s="15">
        <v>-378.07</v>
      </c>
      <c r="N756" s="15">
        <v>0</v>
      </c>
      <c r="O756" s="15">
        <v>589.98277700000006</v>
      </c>
      <c r="P756" s="15">
        <v>5128.3127770000001</v>
      </c>
    </row>
    <row r="757" spans="1:16" ht="15" x14ac:dyDescent="0.2">
      <c r="A757" s="4" t="s">
        <v>575</v>
      </c>
      <c r="B757" s="21" t="str">
        <f t="shared" si="22"/>
        <v>Aug-2025</v>
      </c>
      <c r="C757" s="2" t="str">
        <f t="shared" si="23"/>
        <v>Q2</v>
      </c>
      <c r="D757" s="2" t="s">
        <v>31</v>
      </c>
      <c r="E757" s="13">
        <v>45900</v>
      </c>
      <c r="F757" s="14" t="s">
        <v>216</v>
      </c>
      <c r="G757" s="14" t="s">
        <v>215</v>
      </c>
      <c r="H757" s="14" t="s">
        <v>55</v>
      </c>
      <c r="I757" s="15">
        <v>1</v>
      </c>
      <c r="J757" s="15">
        <v>20</v>
      </c>
      <c r="K757" s="15">
        <v>186.23</v>
      </c>
      <c r="L757" s="15">
        <v>3724.6000000000004</v>
      </c>
      <c r="M757" s="15">
        <v>-286.42</v>
      </c>
      <c r="N757" s="15">
        <v>0</v>
      </c>
      <c r="O757" s="15">
        <v>446.96330700000004</v>
      </c>
      <c r="P757" s="15">
        <v>3885.1433069999998</v>
      </c>
    </row>
    <row r="758" spans="1:16" ht="15" x14ac:dyDescent="0.2">
      <c r="A758" s="4" t="s">
        <v>581</v>
      </c>
      <c r="B758" s="21" t="str">
        <f t="shared" si="22"/>
        <v>Aug-2025</v>
      </c>
      <c r="C758" s="2" t="str">
        <f t="shared" si="23"/>
        <v>Q2</v>
      </c>
      <c r="D758" s="2" t="s">
        <v>31</v>
      </c>
      <c r="E758" s="13">
        <v>45900</v>
      </c>
      <c r="F758" s="14" t="s">
        <v>216</v>
      </c>
      <c r="G758" s="14" t="s">
        <v>215</v>
      </c>
      <c r="H758" s="14" t="s">
        <v>66</v>
      </c>
      <c r="I758" s="15">
        <v>1</v>
      </c>
      <c r="J758" s="15">
        <v>24</v>
      </c>
      <c r="K758" s="15">
        <v>141.53</v>
      </c>
      <c r="L758" s="15">
        <v>3396.72</v>
      </c>
      <c r="M758" s="15">
        <v>-261.20999999999998</v>
      </c>
      <c r="N758" s="15">
        <v>0</v>
      </c>
      <c r="O758" s="15">
        <v>407.61621499999995</v>
      </c>
      <c r="P758" s="15">
        <v>3543.1262149999998</v>
      </c>
    </row>
    <row r="759" spans="1:16" ht="15" x14ac:dyDescent="0.2">
      <c r="A759" s="4" t="s">
        <v>579</v>
      </c>
      <c r="B759" s="21" t="str">
        <f t="shared" si="22"/>
        <v>Aug-2025</v>
      </c>
      <c r="C759" s="2" t="str">
        <f t="shared" si="23"/>
        <v>Q2</v>
      </c>
      <c r="D759" s="2" t="s">
        <v>31</v>
      </c>
      <c r="E759" s="13">
        <v>45900</v>
      </c>
      <c r="F759" s="14" t="s">
        <v>216</v>
      </c>
      <c r="G759" s="14" t="s">
        <v>215</v>
      </c>
      <c r="H759" s="14" t="s">
        <v>112</v>
      </c>
      <c r="I759" s="15">
        <v>1</v>
      </c>
      <c r="J759" s="15">
        <v>20</v>
      </c>
      <c r="K759" s="15">
        <v>204.85</v>
      </c>
      <c r="L759" s="15">
        <v>4097</v>
      </c>
      <c r="M759" s="15">
        <v>-315.06</v>
      </c>
      <c r="N759" s="15">
        <v>0</v>
      </c>
      <c r="O759" s="15">
        <v>491.65209799999997</v>
      </c>
      <c r="P759" s="15">
        <v>4273.5920980000001</v>
      </c>
    </row>
    <row r="760" spans="1:16" ht="15" x14ac:dyDescent="0.2">
      <c r="A760" s="4" t="s">
        <v>576</v>
      </c>
      <c r="B760" s="21" t="str">
        <f t="shared" si="22"/>
        <v>Aug-2025</v>
      </c>
      <c r="C760" s="2" t="str">
        <f t="shared" si="23"/>
        <v>Q2</v>
      </c>
      <c r="D760" s="2" t="s">
        <v>31</v>
      </c>
      <c r="E760" s="13">
        <v>45900</v>
      </c>
      <c r="F760" s="14" t="s">
        <v>216</v>
      </c>
      <c r="G760" s="14" t="s">
        <v>215</v>
      </c>
      <c r="H760" s="14" t="s">
        <v>110</v>
      </c>
      <c r="I760" s="15">
        <v>2</v>
      </c>
      <c r="J760" s="15">
        <v>40</v>
      </c>
      <c r="K760" s="15">
        <v>175.05</v>
      </c>
      <c r="L760" s="15">
        <v>7001.9999999999991</v>
      </c>
      <c r="M760" s="15">
        <v>-538.45000000000005</v>
      </c>
      <c r="N760" s="15">
        <v>0</v>
      </c>
      <c r="O760" s="15">
        <v>840.26132500000006</v>
      </c>
      <c r="P760" s="15">
        <v>7303.8113249999997</v>
      </c>
    </row>
    <row r="761" spans="1:16" ht="15" x14ac:dyDescent="0.2">
      <c r="A761" s="4" t="s">
        <v>576</v>
      </c>
      <c r="B761" s="21" t="str">
        <f t="shared" si="22"/>
        <v>Aug-2025</v>
      </c>
      <c r="C761" s="2" t="str">
        <f t="shared" si="23"/>
        <v>Q2</v>
      </c>
      <c r="D761" s="2" t="s">
        <v>31</v>
      </c>
      <c r="E761" s="13">
        <v>45900</v>
      </c>
      <c r="F761" s="14" t="s">
        <v>216</v>
      </c>
      <c r="G761" s="14" t="s">
        <v>215</v>
      </c>
      <c r="H761" s="14" t="s">
        <v>124</v>
      </c>
      <c r="I761" s="15">
        <v>1</v>
      </c>
      <c r="J761" s="15">
        <v>20</v>
      </c>
      <c r="K761" s="15">
        <v>175.05</v>
      </c>
      <c r="L761" s="15">
        <v>3500.9999999999995</v>
      </c>
      <c r="M761" s="15">
        <v>-269.23</v>
      </c>
      <c r="N761" s="15">
        <v>0</v>
      </c>
      <c r="O761" s="15">
        <v>420.13001300000002</v>
      </c>
      <c r="P761" s="15">
        <v>3651.9000129999999</v>
      </c>
    </row>
    <row r="762" spans="1:16" ht="15" x14ac:dyDescent="0.2">
      <c r="A762" s="4" t="s">
        <v>573</v>
      </c>
      <c r="B762" s="21" t="str">
        <f t="shared" si="22"/>
        <v>Aug-2025</v>
      </c>
      <c r="C762" s="2" t="str">
        <f t="shared" si="23"/>
        <v>Q2</v>
      </c>
      <c r="D762" s="2" t="s">
        <v>31</v>
      </c>
      <c r="E762" s="13">
        <v>45900</v>
      </c>
      <c r="F762" s="14" t="s">
        <v>216</v>
      </c>
      <c r="G762" s="14" t="s">
        <v>215</v>
      </c>
      <c r="H762" s="14" t="s">
        <v>111</v>
      </c>
      <c r="I762" s="15">
        <v>2</v>
      </c>
      <c r="J762" s="15">
        <v>80</v>
      </c>
      <c r="K762" s="15">
        <v>111.74</v>
      </c>
      <c r="L762" s="15">
        <v>8939.2000000000007</v>
      </c>
      <c r="M762" s="15">
        <v>-687.42</v>
      </c>
      <c r="N762" s="15">
        <v>0</v>
      </c>
      <c r="O762" s="15">
        <v>1072.7311770000001</v>
      </c>
      <c r="P762" s="15">
        <v>9324.5111770000003</v>
      </c>
    </row>
    <row r="763" spans="1:16" ht="15" x14ac:dyDescent="0.2">
      <c r="A763" s="4" t="s">
        <v>583</v>
      </c>
      <c r="B763" s="21" t="str">
        <f t="shared" si="22"/>
        <v>Aug-2025</v>
      </c>
      <c r="C763" s="2" t="str">
        <f t="shared" si="23"/>
        <v>Q2</v>
      </c>
      <c r="D763" s="2" t="s">
        <v>31</v>
      </c>
      <c r="E763" s="13">
        <v>45900</v>
      </c>
      <c r="F763" s="14" t="s">
        <v>216</v>
      </c>
      <c r="G763" s="14" t="s">
        <v>215</v>
      </c>
      <c r="H763" s="14" t="s">
        <v>109</v>
      </c>
      <c r="I763" s="15">
        <v>1</v>
      </c>
      <c r="J763" s="15">
        <v>15</v>
      </c>
      <c r="K763" s="15">
        <v>260.72000000000003</v>
      </c>
      <c r="L763" s="15">
        <v>3910.8</v>
      </c>
      <c r="M763" s="15">
        <v>-300.74</v>
      </c>
      <c r="N763" s="15">
        <v>0</v>
      </c>
      <c r="O763" s="15">
        <v>469.30770199999995</v>
      </c>
      <c r="P763" s="15">
        <v>4079.367702</v>
      </c>
    </row>
    <row r="764" spans="1:16" ht="15" x14ac:dyDescent="0.2">
      <c r="A764" s="4" t="s">
        <v>579</v>
      </c>
      <c r="B764" s="21" t="str">
        <f t="shared" si="22"/>
        <v>Aug-2025</v>
      </c>
      <c r="C764" s="2" t="str">
        <f t="shared" si="23"/>
        <v>Q2</v>
      </c>
      <c r="D764" s="2" t="s">
        <v>31</v>
      </c>
      <c r="E764" s="13">
        <v>45900</v>
      </c>
      <c r="F764" s="14" t="s">
        <v>216</v>
      </c>
      <c r="G764" s="14" t="s">
        <v>215</v>
      </c>
      <c r="H764" s="14" t="s">
        <v>92</v>
      </c>
      <c r="I764" s="15">
        <v>1</v>
      </c>
      <c r="J764" s="15">
        <v>20</v>
      </c>
      <c r="K764" s="15">
        <v>242.1</v>
      </c>
      <c r="L764" s="15">
        <v>4841.9999999999991</v>
      </c>
      <c r="M764" s="15">
        <v>-372.35</v>
      </c>
      <c r="N764" s="15">
        <v>0</v>
      </c>
      <c r="O764" s="15">
        <v>581.05437900000004</v>
      </c>
      <c r="P764" s="15">
        <v>5050.7043789999998</v>
      </c>
    </row>
    <row r="765" spans="1:16" ht="15" x14ac:dyDescent="0.2">
      <c r="A765" s="4" t="s">
        <v>593</v>
      </c>
      <c r="B765" s="21" t="str">
        <f t="shared" si="22"/>
        <v>Aug-2025</v>
      </c>
      <c r="C765" s="2" t="str">
        <f t="shared" si="23"/>
        <v>Q2</v>
      </c>
      <c r="D765" s="2" t="s">
        <v>31</v>
      </c>
      <c r="E765" s="13">
        <v>45900</v>
      </c>
      <c r="F765" s="14" t="s">
        <v>217</v>
      </c>
      <c r="G765" s="14" t="s">
        <v>130</v>
      </c>
      <c r="H765" s="14" t="s">
        <v>117</v>
      </c>
      <c r="I765" s="15">
        <v>50</v>
      </c>
      <c r="J765" s="15">
        <v>200</v>
      </c>
      <c r="K765" s="15">
        <v>595.92999999999995</v>
      </c>
      <c r="L765" s="15">
        <v>119186</v>
      </c>
      <c r="M765" s="15">
        <v>-9165.4</v>
      </c>
      <c r="N765" s="15">
        <v>0</v>
      </c>
      <c r="O765" s="15">
        <v>14302.68</v>
      </c>
      <c r="P765" s="15">
        <v>124323.28</v>
      </c>
    </row>
    <row r="766" spans="1:16" ht="15" x14ac:dyDescent="0.2">
      <c r="A766" s="4" t="s">
        <v>573</v>
      </c>
      <c r="B766" s="21" t="str">
        <f t="shared" si="22"/>
        <v>Aug-2025</v>
      </c>
      <c r="C766" s="2" t="str">
        <f t="shared" si="23"/>
        <v>Q2</v>
      </c>
      <c r="D766" s="2" t="s">
        <v>31</v>
      </c>
      <c r="E766" s="13">
        <v>45900</v>
      </c>
      <c r="F766" s="14" t="s">
        <v>218</v>
      </c>
      <c r="G766" s="14" t="s">
        <v>54</v>
      </c>
      <c r="H766" s="14" t="s">
        <v>136</v>
      </c>
      <c r="I766" s="15">
        <v>3</v>
      </c>
      <c r="J766" s="15">
        <v>120</v>
      </c>
      <c r="K766" s="15">
        <v>111.74</v>
      </c>
      <c r="L766" s="15">
        <v>13408.8</v>
      </c>
      <c r="M766" s="15">
        <v>-1031.1400000000001</v>
      </c>
      <c r="N766" s="15">
        <v>0</v>
      </c>
      <c r="O766" s="15">
        <v>1609.096648</v>
      </c>
      <c r="P766" s="15">
        <v>13986.756648</v>
      </c>
    </row>
    <row r="767" spans="1:16" ht="15" x14ac:dyDescent="0.2">
      <c r="A767" s="4" t="s">
        <v>576</v>
      </c>
      <c r="B767" s="21" t="str">
        <f t="shared" si="22"/>
        <v>Aug-2025</v>
      </c>
      <c r="C767" s="2" t="str">
        <f t="shared" si="23"/>
        <v>Q2</v>
      </c>
      <c r="D767" s="2" t="s">
        <v>31</v>
      </c>
      <c r="E767" s="13">
        <v>45900</v>
      </c>
      <c r="F767" s="14" t="s">
        <v>218</v>
      </c>
      <c r="G767" s="14" t="s">
        <v>54</v>
      </c>
      <c r="H767" s="14" t="s">
        <v>124</v>
      </c>
      <c r="I767" s="15">
        <v>2</v>
      </c>
      <c r="J767" s="15">
        <v>40</v>
      </c>
      <c r="K767" s="15">
        <v>175.05</v>
      </c>
      <c r="L767" s="15">
        <v>7001.9999999999991</v>
      </c>
      <c r="M767" s="15">
        <v>-538.45000000000005</v>
      </c>
      <c r="N767" s="15">
        <v>0</v>
      </c>
      <c r="O767" s="15">
        <v>840.26194299999997</v>
      </c>
      <c r="P767" s="15">
        <v>7303.8119429999997</v>
      </c>
    </row>
    <row r="768" spans="1:16" ht="15" x14ac:dyDescent="0.2">
      <c r="A768" s="4" t="s">
        <v>573</v>
      </c>
      <c r="B768" s="21" t="str">
        <f t="shared" si="22"/>
        <v>Aug-2025</v>
      </c>
      <c r="C768" s="2" t="str">
        <f t="shared" si="23"/>
        <v>Q2</v>
      </c>
      <c r="D768" s="2" t="s">
        <v>31</v>
      </c>
      <c r="E768" s="13">
        <v>45900</v>
      </c>
      <c r="F768" s="14" t="s">
        <v>218</v>
      </c>
      <c r="G768" s="14" t="s">
        <v>54</v>
      </c>
      <c r="H768" s="14" t="s">
        <v>111</v>
      </c>
      <c r="I768" s="15">
        <v>4</v>
      </c>
      <c r="J768" s="15">
        <v>160</v>
      </c>
      <c r="K768" s="15">
        <v>111.74</v>
      </c>
      <c r="L768" s="15">
        <v>17878.400000000001</v>
      </c>
      <c r="M768" s="15">
        <v>-1374.85</v>
      </c>
      <c r="N768" s="15">
        <v>0</v>
      </c>
      <c r="O768" s="15">
        <v>2145.4626309999999</v>
      </c>
      <c r="P768" s="15">
        <v>18649.012631000001</v>
      </c>
    </row>
    <row r="769" spans="1:16" ht="15" x14ac:dyDescent="0.2">
      <c r="A769" s="4" t="s">
        <v>581</v>
      </c>
      <c r="B769" s="21" t="str">
        <f t="shared" si="22"/>
        <v>Aug-2025</v>
      </c>
      <c r="C769" s="2" t="str">
        <f t="shared" si="23"/>
        <v>Q2</v>
      </c>
      <c r="D769" s="2" t="s">
        <v>31</v>
      </c>
      <c r="E769" s="13">
        <v>45900</v>
      </c>
      <c r="F769" s="14" t="s">
        <v>218</v>
      </c>
      <c r="G769" s="14" t="s">
        <v>54</v>
      </c>
      <c r="H769" s="14" t="s">
        <v>125</v>
      </c>
      <c r="I769" s="15">
        <v>1</v>
      </c>
      <c r="J769" s="15">
        <v>800</v>
      </c>
      <c r="K769" s="15">
        <v>7.45</v>
      </c>
      <c r="L769" s="15">
        <v>5960</v>
      </c>
      <c r="M769" s="15">
        <v>-458.32</v>
      </c>
      <c r="N769" s="15">
        <v>0</v>
      </c>
      <c r="O769" s="15">
        <v>715.21877699999993</v>
      </c>
      <c r="P769" s="15">
        <v>6216.8987770000003</v>
      </c>
    </row>
    <row r="770" spans="1:16" ht="15" x14ac:dyDescent="0.2">
      <c r="A770" s="4" t="s">
        <v>590</v>
      </c>
      <c r="B770" s="21" t="str">
        <f t="shared" si="22"/>
        <v>Sep-2025</v>
      </c>
      <c r="C770" s="2" t="str">
        <f t="shared" si="23"/>
        <v>Q2</v>
      </c>
      <c r="D770" s="2" t="s">
        <v>31</v>
      </c>
      <c r="E770" s="13">
        <v>45901</v>
      </c>
      <c r="F770" s="14" t="s">
        <v>219</v>
      </c>
      <c r="G770" s="14" t="s">
        <v>21</v>
      </c>
      <c r="H770" s="14" t="s">
        <v>102</v>
      </c>
      <c r="I770" s="15">
        <v>15</v>
      </c>
      <c r="J770" s="15">
        <v>300</v>
      </c>
      <c r="K770" s="15">
        <v>249.55</v>
      </c>
      <c r="L770" s="15">
        <v>74865</v>
      </c>
      <c r="M770" s="15">
        <v>-5757.12</v>
      </c>
      <c r="N770" s="15">
        <v>0</v>
      </c>
      <c r="O770" s="15">
        <v>8984.02</v>
      </c>
      <c r="P770" s="15">
        <v>78091.899999999994</v>
      </c>
    </row>
    <row r="771" spans="1:16" ht="15" x14ac:dyDescent="0.2">
      <c r="A771" s="4" t="s">
        <v>584</v>
      </c>
      <c r="B771" s="21" t="str">
        <f t="shared" ref="B771:B834" si="24">+TEXT(E771,"MMM-yyy")</f>
        <v>Sep-2025</v>
      </c>
      <c r="C771" s="2" t="str">
        <f t="shared" ref="C771:C834" si="25">"Q" &amp; CHOOSE(MONTH(E771),4,4,4,1,1,1,2,2,2,3,3,3)</f>
        <v>Q2</v>
      </c>
      <c r="D771" s="2" t="s">
        <v>31</v>
      </c>
      <c r="E771" s="13">
        <v>45904</v>
      </c>
      <c r="F771" s="14" t="s">
        <v>220</v>
      </c>
      <c r="G771" s="14" t="s">
        <v>159</v>
      </c>
      <c r="H771" s="14" t="s">
        <v>99</v>
      </c>
      <c r="I771" s="15">
        <v>1</v>
      </c>
      <c r="J771" s="15">
        <v>40</v>
      </c>
      <c r="K771" s="15">
        <v>81.94</v>
      </c>
      <c r="L771" s="15">
        <v>3277.6</v>
      </c>
      <c r="M771" s="15">
        <v>-252.05</v>
      </c>
      <c r="N771" s="15">
        <v>0</v>
      </c>
      <c r="O771" s="15">
        <v>393.32166100000001</v>
      </c>
      <c r="P771" s="15">
        <v>3418.8716610000001</v>
      </c>
    </row>
    <row r="772" spans="1:16" ht="15" x14ac:dyDescent="0.2">
      <c r="A772" s="4" t="s">
        <v>589</v>
      </c>
      <c r="B772" s="21" t="str">
        <f t="shared" si="24"/>
        <v>Sep-2025</v>
      </c>
      <c r="C772" s="2" t="str">
        <f t="shared" si="25"/>
        <v>Q2</v>
      </c>
      <c r="D772" s="2" t="s">
        <v>31</v>
      </c>
      <c r="E772" s="13">
        <v>45904</v>
      </c>
      <c r="F772" s="14" t="s">
        <v>220</v>
      </c>
      <c r="G772" s="14" t="s">
        <v>159</v>
      </c>
      <c r="H772" s="14" t="s">
        <v>98</v>
      </c>
      <c r="I772" s="15">
        <v>1</v>
      </c>
      <c r="J772" s="15">
        <v>60</v>
      </c>
      <c r="K772" s="15">
        <v>145.26</v>
      </c>
      <c r="L772" s="15">
        <v>8715.6</v>
      </c>
      <c r="M772" s="15">
        <v>-670.23</v>
      </c>
      <c r="N772" s="15">
        <v>0</v>
      </c>
      <c r="O772" s="15">
        <v>1045.8985269999998</v>
      </c>
      <c r="P772" s="15">
        <v>9091.2685270000002</v>
      </c>
    </row>
    <row r="773" spans="1:16" ht="15" x14ac:dyDescent="0.2">
      <c r="A773" s="4" t="s">
        <v>581</v>
      </c>
      <c r="B773" s="21" t="str">
        <f t="shared" si="24"/>
        <v>Sep-2025</v>
      </c>
      <c r="C773" s="2" t="str">
        <f t="shared" si="25"/>
        <v>Q2</v>
      </c>
      <c r="D773" s="2" t="s">
        <v>31</v>
      </c>
      <c r="E773" s="13">
        <v>45904</v>
      </c>
      <c r="F773" s="14" t="s">
        <v>220</v>
      </c>
      <c r="G773" s="14" t="s">
        <v>159</v>
      </c>
      <c r="H773" s="14" t="s">
        <v>97</v>
      </c>
      <c r="I773" s="15">
        <v>1</v>
      </c>
      <c r="J773" s="15">
        <v>40</v>
      </c>
      <c r="K773" s="15">
        <v>67.040000000000006</v>
      </c>
      <c r="L773" s="15">
        <v>2681.6</v>
      </c>
      <c r="M773" s="15">
        <v>-206.22</v>
      </c>
      <c r="N773" s="15">
        <v>0</v>
      </c>
      <c r="O773" s="15">
        <v>321.799531</v>
      </c>
      <c r="P773" s="15">
        <v>2797.1795310000002</v>
      </c>
    </row>
    <row r="774" spans="1:16" ht="15" x14ac:dyDescent="0.2">
      <c r="A774" s="4" t="s">
        <v>584</v>
      </c>
      <c r="B774" s="21" t="str">
        <f t="shared" si="24"/>
        <v>Sep-2025</v>
      </c>
      <c r="C774" s="2" t="str">
        <f t="shared" si="25"/>
        <v>Q2</v>
      </c>
      <c r="D774" s="2" t="s">
        <v>31</v>
      </c>
      <c r="E774" s="13">
        <v>45904</v>
      </c>
      <c r="F774" s="14" t="s">
        <v>220</v>
      </c>
      <c r="G774" s="14" t="s">
        <v>159</v>
      </c>
      <c r="H774" s="14" t="s">
        <v>100</v>
      </c>
      <c r="I774" s="15">
        <v>1</v>
      </c>
      <c r="J774" s="15">
        <v>40</v>
      </c>
      <c r="K774" s="15">
        <v>81.94</v>
      </c>
      <c r="L774" s="15">
        <v>3277.6</v>
      </c>
      <c r="M774" s="15">
        <v>-252.05</v>
      </c>
      <c r="N774" s="15">
        <v>0</v>
      </c>
      <c r="O774" s="15">
        <v>393.32166100000001</v>
      </c>
      <c r="P774" s="15">
        <v>3418.8716610000001</v>
      </c>
    </row>
    <row r="775" spans="1:16" ht="15" x14ac:dyDescent="0.2">
      <c r="A775" s="4" t="s">
        <v>573</v>
      </c>
      <c r="B775" s="21" t="str">
        <f t="shared" si="24"/>
        <v>Sep-2025</v>
      </c>
      <c r="C775" s="2" t="str">
        <f t="shared" si="25"/>
        <v>Q2</v>
      </c>
      <c r="D775" s="2" t="s">
        <v>31</v>
      </c>
      <c r="E775" s="13">
        <v>45904</v>
      </c>
      <c r="F775" s="14" t="s">
        <v>220</v>
      </c>
      <c r="G775" s="14" t="s">
        <v>159</v>
      </c>
      <c r="H775" s="14" t="s">
        <v>47</v>
      </c>
      <c r="I775" s="15">
        <v>1</v>
      </c>
      <c r="J775" s="15">
        <v>40</v>
      </c>
      <c r="K775" s="15">
        <v>111.74</v>
      </c>
      <c r="L775" s="15">
        <v>4469.6000000000004</v>
      </c>
      <c r="M775" s="15">
        <v>-343.71</v>
      </c>
      <c r="N775" s="15">
        <v>0</v>
      </c>
      <c r="O775" s="15">
        <v>536.36591899999996</v>
      </c>
      <c r="P775" s="15">
        <v>4662.2559190000002</v>
      </c>
    </row>
    <row r="776" spans="1:16" ht="15" x14ac:dyDescent="0.2">
      <c r="A776" s="4" t="s">
        <v>591</v>
      </c>
      <c r="B776" s="21" t="str">
        <f t="shared" si="24"/>
        <v>Sep-2025</v>
      </c>
      <c r="C776" s="2" t="str">
        <f t="shared" si="25"/>
        <v>Q2</v>
      </c>
      <c r="D776" s="2" t="s">
        <v>31</v>
      </c>
      <c r="E776" s="13">
        <v>45904</v>
      </c>
      <c r="F776" s="14" t="s">
        <v>220</v>
      </c>
      <c r="G776" s="14" t="s">
        <v>159</v>
      </c>
      <c r="H776" s="14" t="s">
        <v>106</v>
      </c>
      <c r="I776" s="15">
        <v>1</v>
      </c>
      <c r="J776" s="15">
        <v>60</v>
      </c>
      <c r="K776" s="15">
        <v>111.74</v>
      </c>
      <c r="L776" s="15">
        <v>6704.4</v>
      </c>
      <c r="M776" s="15">
        <v>-515.57000000000005</v>
      </c>
      <c r="N776" s="15">
        <v>0</v>
      </c>
      <c r="O776" s="15">
        <v>804.54822799999999</v>
      </c>
      <c r="P776" s="15">
        <v>6993.3782279999996</v>
      </c>
    </row>
    <row r="777" spans="1:16" ht="15" x14ac:dyDescent="0.2">
      <c r="A777" s="4" t="s">
        <v>582</v>
      </c>
      <c r="B777" s="21" t="str">
        <f t="shared" si="24"/>
        <v>Sep-2025</v>
      </c>
      <c r="C777" s="2" t="str">
        <f t="shared" si="25"/>
        <v>Q2</v>
      </c>
      <c r="D777" s="2" t="s">
        <v>31</v>
      </c>
      <c r="E777" s="13">
        <v>45904</v>
      </c>
      <c r="F777" s="14" t="s">
        <v>220</v>
      </c>
      <c r="G777" s="14" t="s">
        <v>159</v>
      </c>
      <c r="H777" s="14" t="s">
        <v>101</v>
      </c>
      <c r="I777" s="15">
        <v>1</v>
      </c>
      <c r="J777" s="15">
        <v>24</v>
      </c>
      <c r="K777" s="15">
        <v>186.23</v>
      </c>
      <c r="L777" s="15">
        <v>4469.5200000000004</v>
      </c>
      <c r="M777" s="15">
        <v>-343.71</v>
      </c>
      <c r="N777" s="15">
        <v>0</v>
      </c>
      <c r="O777" s="15">
        <v>536.35551899999996</v>
      </c>
      <c r="P777" s="15">
        <v>4662.1655190000001</v>
      </c>
    </row>
    <row r="778" spans="1:16" ht="15" x14ac:dyDescent="0.2">
      <c r="A778" s="4" t="s">
        <v>580</v>
      </c>
      <c r="B778" s="21" t="str">
        <f t="shared" si="24"/>
        <v>Sep-2025</v>
      </c>
      <c r="C778" s="2" t="str">
        <f t="shared" si="25"/>
        <v>Q2</v>
      </c>
      <c r="D778" s="2" t="s">
        <v>31</v>
      </c>
      <c r="E778" s="13">
        <v>45904</v>
      </c>
      <c r="F778" s="14" t="s">
        <v>220</v>
      </c>
      <c r="G778" s="14" t="s">
        <v>159</v>
      </c>
      <c r="H778" s="14" t="s">
        <v>65</v>
      </c>
      <c r="I778" s="15">
        <v>1</v>
      </c>
      <c r="J778" s="15">
        <v>130</v>
      </c>
      <c r="K778" s="15">
        <v>37.25</v>
      </c>
      <c r="L778" s="15">
        <v>4842.5</v>
      </c>
      <c r="M778" s="15">
        <v>-372.39</v>
      </c>
      <c r="N778" s="15">
        <v>0</v>
      </c>
      <c r="O778" s="15">
        <v>581.11453700000004</v>
      </c>
      <c r="P778" s="15">
        <v>5051.2245370000001</v>
      </c>
    </row>
    <row r="779" spans="1:16" ht="15" x14ac:dyDescent="0.2">
      <c r="A779" s="4" t="s">
        <v>584</v>
      </c>
      <c r="B779" s="21" t="str">
        <f t="shared" si="24"/>
        <v>Sep-2025</v>
      </c>
      <c r="C779" s="2" t="str">
        <f t="shared" si="25"/>
        <v>Q2</v>
      </c>
      <c r="D779" s="2" t="s">
        <v>31</v>
      </c>
      <c r="E779" s="13">
        <v>45904</v>
      </c>
      <c r="F779" s="14" t="s">
        <v>220</v>
      </c>
      <c r="G779" s="14" t="s">
        <v>159</v>
      </c>
      <c r="H779" s="14" t="s">
        <v>120</v>
      </c>
      <c r="I779" s="15">
        <v>1</v>
      </c>
      <c r="J779" s="15">
        <v>40</v>
      </c>
      <c r="K779" s="15">
        <v>81.94</v>
      </c>
      <c r="L779" s="15">
        <v>3277.6</v>
      </c>
      <c r="M779" s="15">
        <v>-252.05</v>
      </c>
      <c r="N779" s="15">
        <v>0</v>
      </c>
      <c r="O779" s="15">
        <v>393.32166100000001</v>
      </c>
      <c r="P779" s="15">
        <v>3418.8716610000001</v>
      </c>
    </row>
    <row r="780" spans="1:16" ht="15" x14ac:dyDescent="0.2">
      <c r="A780" s="4" t="s">
        <v>593</v>
      </c>
      <c r="B780" s="21" t="str">
        <f t="shared" si="24"/>
        <v>Sep-2025</v>
      </c>
      <c r="C780" s="2" t="str">
        <f t="shared" si="25"/>
        <v>Q2</v>
      </c>
      <c r="D780" s="2" t="s">
        <v>31</v>
      </c>
      <c r="E780" s="13">
        <v>45904</v>
      </c>
      <c r="F780" s="14" t="s">
        <v>220</v>
      </c>
      <c r="G780" s="14" t="s">
        <v>159</v>
      </c>
      <c r="H780" s="14" t="s">
        <v>117</v>
      </c>
      <c r="I780" s="15">
        <v>10</v>
      </c>
      <c r="J780" s="15">
        <v>40</v>
      </c>
      <c r="K780" s="15">
        <v>595.92999999999995</v>
      </c>
      <c r="L780" s="15">
        <v>23837.200000000001</v>
      </c>
      <c r="M780" s="15">
        <v>-1833.08</v>
      </c>
      <c r="N780" s="15">
        <v>0</v>
      </c>
      <c r="O780" s="15">
        <v>2860.5367680000004</v>
      </c>
      <c r="P780" s="15">
        <v>24864.656768000001</v>
      </c>
    </row>
    <row r="781" spans="1:16" ht="15" x14ac:dyDescent="0.2">
      <c r="A781" s="4" t="s">
        <v>587</v>
      </c>
      <c r="B781" s="21" t="str">
        <f t="shared" si="24"/>
        <v>Sep-2025</v>
      </c>
      <c r="C781" s="2" t="str">
        <f t="shared" si="25"/>
        <v>Q2</v>
      </c>
      <c r="D781" s="2" t="s">
        <v>31</v>
      </c>
      <c r="E781" s="13">
        <v>45904</v>
      </c>
      <c r="F781" s="14" t="s">
        <v>220</v>
      </c>
      <c r="G781" s="14" t="s">
        <v>159</v>
      </c>
      <c r="H781" s="14" t="s">
        <v>94</v>
      </c>
      <c r="I781" s="15">
        <v>1</v>
      </c>
      <c r="J781" s="15">
        <v>60</v>
      </c>
      <c r="K781" s="15">
        <v>111.74</v>
      </c>
      <c r="L781" s="15">
        <v>6704.4</v>
      </c>
      <c r="M781" s="15">
        <v>-515.57000000000005</v>
      </c>
      <c r="N781" s="15">
        <v>0</v>
      </c>
      <c r="O781" s="15">
        <v>804.54822799999999</v>
      </c>
      <c r="P781" s="15">
        <v>6993.3782279999996</v>
      </c>
    </row>
    <row r="782" spans="1:16" ht="15" x14ac:dyDescent="0.2">
      <c r="A782" s="4" t="s">
        <v>581</v>
      </c>
      <c r="B782" s="21" t="str">
        <f t="shared" si="24"/>
        <v>Sep-2025</v>
      </c>
      <c r="C782" s="2" t="str">
        <f t="shared" si="25"/>
        <v>Q2</v>
      </c>
      <c r="D782" s="2" t="s">
        <v>31</v>
      </c>
      <c r="E782" s="13">
        <v>45904</v>
      </c>
      <c r="F782" s="14" t="s">
        <v>220</v>
      </c>
      <c r="G782" s="14" t="s">
        <v>159</v>
      </c>
      <c r="H782" s="14" t="s">
        <v>104</v>
      </c>
      <c r="I782" s="15">
        <v>1</v>
      </c>
      <c r="J782" s="15">
        <v>40</v>
      </c>
      <c r="K782" s="15">
        <v>67.040000000000006</v>
      </c>
      <c r="L782" s="15">
        <v>2681.6</v>
      </c>
      <c r="M782" s="15">
        <v>-206.22</v>
      </c>
      <c r="N782" s="15">
        <v>0</v>
      </c>
      <c r="O782" s="15">
        <v>321.799531</v>
      </c>
      <c r="P782" s="15">
        <v>2797.1795310000002</v>
      </c>
    </row>
    <row r="783" spans="1:16" ht="15" x14ac:dyDescent="0.2">
      <c r="A783" s="4" t="s">
        <v>588</v>
      </c>
      <c r="B783" s="21" t="str">
        <f t="shared" si="24"/>
        <v>Sep-2025</v>
      </c>
      <c r="C783" s="2" t="str">
        <f t="shared" si="25"/>
        <v>Q2</v>
      </c>
      <c r="D783" s="2" t="s">
        <v>31</v>
      </c>
      <c r="E783" s="13">
        <v>45904</v>
      </c>
      <c r="F783" s="14" t="s">
        <v>220</v>
      </c>
      <c r="G783" s="14" t="s">
        <v>159</v>
      </c>
      <c r="H783" s="14" t="s">
        <v>95</v>
      </c>
      <c r="I783" s="15">
        <v>1</v>
      </c>
      <c r="J783" s="15">
        <v>60</v>
      </c>
      <c r="K783" s="15">
        <v>111.74</v>
      </c>
      <c r="L783" s="15">
        <v>6704.4</v>
      </c>
      <c r="M783" s="15">
        <v>-515.57000000000005</v>
      </c>
      <c r="N783" s="15">
        <v>0</v>
      </c>
      <c r="O783" s="15">
        <v>804.54822799999999</v>
      </c>
      <c r="P783" s="15">
        <v>6993.3782279999996</v>
      </c>
    </row>
    <row r="784" spans="1:16" ht="15" x14ac:dyDescent="0.2">
      <c r="A784" s="4" t="s">
        <v>583</v>
      </c>
      <c r="B784" s="21" t="str">
        <f t="shared" si="24"/>
        <v>Sep-2025</v>
      </c>
      <c r="C784" s="2" t="str">
        <f t="shared" si="25"/>
        <v>Q2</v>
      </c>
      <c r="D784" s="2" t="s">
        <v>31</v>
      </c>
      <c r="E784" s="13">
        <v>45904</v>
      </c>
      <c r="F784" s="14" t="s">
        <v>221</v>
      </c>
      <c r="G784" s="14" t="s">
        <v>159</v>
      </c>
      <c r="H784" s="14" t="s">
        <v>113</v>
      </c>
      <c r="I784" s="15">
        <v>1</v>
      </c>
      <c r="J784" s="15">
        <v>15</v>
      </c>
      <c r="K784" s="15">
        <v>260.72000000000003</v>
      </c>
      <c r="L784" s="15">
        <v>3910.8</v>
      </c>
      <c r="M784" s="15">
        <v>-300.74</v>
      </c>
      <c r="N784" s="15">
        <v>0</v>
      </c>
      <c r="O784" s="15">
        <v>469.30803499999996</v>
      </c>
      <c r="P784" s="15">
        <v>4079.368035</v>
      </c>
    </row>
    <row r="785" spans="1:16" ht="15" x14ac:dyDescent="0.2">
      <c r="A785" s="4" t="s">
        <v>579</v>
      </c>
      <c r="B785" s="21" t="str">
        <f t="shared" si="24"/>
        <v>Sep-2025</v>
      </c>
      <c r="C785" s="2" t="str">
        <f t="shared" si="25"/>
        <v>Q2</v>
      </c>
      <c r="D785" s="2" t="s">
        <v>31</v>
      </c>
      <c r="E785" s="13">
        <v>45904</v>
      </c>
      <c r="F785" s="14" t="s">
        <v>221</v>
      </c>
      <c r="G785" s="14" t="s">
        <v>159</v>
      </c>
      <c r="H785" s="14" t="s">
        <v>91</v>
      </c>
      <c r="I785" s="15">
        <v>1</v>
      </c>
      <c r="J785" s="15">
        <v>20</v>
      </c>
      <c r="K785" s="15">
        <v>204.85</v>
      </c>
      <c r="L785" s="15">
        <v>4097</v>
      </c>
      <c r="M785" s="15">
        <v>-315.06</v>
      </c>
      <c r="N785" s="15">
        <v>0</v>
      </c>
      <c r="O785" s="15">
        <v>491.652446</v>
      </c>
      <c r="P785" s="15">
        <v>4273.5924459999997</v>
      </c>
    </row>
    <row r="786" spans="1:16" ht="15" x14ac:dyDescent="0.2">
      <c r="A786" s="4" t="s">
        <v>579</v>
      </c>
      <c r="B786" s="21" t="str">
        <f t="shared" si="24"/>
        <v>Sep-2025</v>
      </c>
      <c r="C786" s="2" t="str">
        <f t="shared" si="25"/>
        <v>Q2</v>
      </c>
      <c r="D786" s="2" t="s">
        <v>31</v>
      </c>
      <c r="E786" s="13">
        <v>45904</v>
      </c>
      <c r="F786" s="14" t="s">
        <v>221</v>
      </c>
      <c r="G786" s="14" t="s">
        <v>159</v>
      </c>
      <c r="H786" s="14" t="s">
        <v>112</v>
      </c>
      <c r="I786" s="15">
        <v>1</v>
      </c>
      <c r="J786" s="15">
        <v>20</v>
      </c>
      <c r="K786" s="15">
        <v>204.85</v>
      </c>
      <c r="L786" s="15">
        <v>4097</v>
      </c>
      <c r="M786" s="15">
        <v>-315.06</v>
      </c>
      <c r="N786" s="15">
        <v>0</v>
      </c>
      <c r="O786" s="15">
        <v>491.652446</v>
      </c>
      <c r="P786" s="15">
        <v>4273.5924459999997</v>
      </c>
    </row>
    <row r="787" spans="1:16" ht="15" x14ac:dyDescent="0.2">
      <c r="A787" s="4" t="s">
        <v>576</v>
      </c>
      <c r="B787" s="21" t="str">
        <f t="shared" si="24"/>
        <v>Sep-2025</v>
      </c>
      <c r="C787" s="2" t="str">
        <f t="shared" si="25"/>
        <v>Q2</v>
      </c>
      <c r="D787" s="2" t="s">
        <v>31</v>
      </c>
      <c r="E787" s="13">
        <v>45904</v>
      </c>
      <c r="F787" s="14" t="s">
        <v>221</v>
      </c>
      <c r="G787" s="14" t="s">
        <v>159</v>
      </c>
      <c r="H787" s="14" t="s">
        <v>110</v>
      </c>
      <c r="I787" s="15">
        <v>1</v>
      </c>
      <c r="J787" s="15">
        <v>20</v>
      </c>
      <c r="K787" s="15">
        <v>175.06</v>
      </c>
      <c r="L787" s="15">
        <v>3501.2</v>
      </c>
      <c r="M787" s="15">
        <v>-269.24</v>
      </c>
      <c r="N787" s="15">
        <v>0</v>
      </c>
      <c r="O787" s="15">
        <v>420.15501</v>
      </c>
      <c r="P787" s="15">
        <v>3652.11501</v>
      </c>
    </row>
    <row r="788" spans="1:16" ht="15" x14ac:dyDescent="0.2">
      <c r="A788" s="4" t="s">
        <v>575</v>
      </c>
      <c r="B788" s="21" t="str">
        <f t="shared" si="24"/>
        <v>Sep-2025</v>
      </c>
      <c r="C788" s="2" t="str">
        <f t="shared" si="25"/>
        <v>Q2</v>
      </c>
      <c r="D788" s="2" t="s">
        <v>31</v>
      </c>
      <c r="E788" s="13">
        <v>45904</v>
      </c>
      <c r="F788" s="14" t="s">
        <v>221</v>
      </c>
      <c r="G788" s="14" t="s">
        <v>159</v>
      </c>
      <c r="H788" s="14" t="s">
        <v>55</v>
      </c>
      <c r="I788" s="15">
        <v>1</v>
      </c>
      <c r="J788" s="15">
        <v>20</v>
      </c>
      <c r="K788" s="15">
        <v>186.23</v>
      </c>
      <c r="L788" s="15">
        <v>3724.6000000000004</v>
      </c>
      <c r="M788" s="15">
        <v>-286.42</v>
      </c>
      <c r="N788" s="15">
        <v>0</v>
      </c>
      <c r="O788" s="15">
        <v>446.96362399999998</v>
      </c>
      <c r="P788" s="15">
        <v>3885.1436239999998</v>
      </c>
    </row>
    <row r="789" spans="1:16" ht="15" x14ac:dyDescent="0.2">
      <c r="A789" s="4" t="s">
        <v>582</v>
      </c>
      <c r="B789" s="21" t="str">
        <f t="shared" si="24"/>
        <v>Sep-2025</v>
      </c>
      <c r="C789" s="2" t="str">
        <f t="shared" si="25"/>
        <v>Q2</v>
      </c>
      <c r="D789" s="2" t="s">
        <v>31</v>
      </c>
      <c r="E789" s="13">
        <v>45904</v>
      </c>
      <c r="F789" s="14" t="s">
        <v>221</v>
      </c>
      <c r="G789" s="14" t="s">
        <v>159</v>
      </c>
      <c r="H789" s="14" t="s">
        <v>108</v>
      </c>
      <c r="I789" s="15">
        <v>1</v>
      </c>
      <c r="J789" s="15">
        <v>24</v>
      </c>
      <c r="K789" s="15">
        <v>186.23</v>
      </c>
      <c r="L789" s="15">
        <v>4469.5200000000004</v>
      </c>
      <c r="M789" s="15">
        <v>-343.71</v>
      </c>
      <c r="N789" s="15">
        <v>0</v>
      </c>
      <c r="O789" s="15">
        <v>536.35556799999995</v>
      </c>
      <c r="P789" s="15">
        <v>4662.1655680000003</v>
      </c>
    </row>
    <row r="790" spans="1:16" ht="15" x14ac:dyDescent="0.2">
      <c r="A790" s="4" t="s">
        <v>579</v>
      </c>
      <c r="B790" s="21" t="str">
        <f t="shared" si="24"/>
        <v>Sep-2025</v>
      </c>
      <c r="C790" s="2" t="str">
        <f t="shared" si="25"/>
        <v>Q2</v>
      </c>
      <c r="D790" s="2" t="s">
        <v>31</v>
      </c>
      <c r="E790" s="13">
        <v>45904</v>
      </c>
      <c r="F790" s="14" t="s">
        <v>221</v>
      </c>
      <c r="G790" s="14" t="s">
        <v>159</v>
      </c>
      <c r="H790" s="14" t="s">
        <v>92</v>
      </c>
      <c r="I790" s="15">
        <v>1</v>
      </c>
      <c r="J790" s="15">
        <v>20</v>
      </c>
      <c r="K790" s="15">
        <v>242.1</v>
      </c>
      <c r="L790" s="15">
        <v>4841.9999999999991</v>
      </c>
      <c r="M790" s="15">
        <v>-372.35</v>
      </c>
      <c r="N790" s="15">
        <v>0</v>
      </c>
      <c r="O790" s="15">
        <v>581.05479100000002</v>
      </c>
      <c r="P790" s="15">
        <v>5050.7047910000001</v>
      </c>
    </row>
    <row r="791" spans="1:16" ht="15" x14ac:dyDescent="0.2">
      <c r="A791" s="4" t="s">
        <v>573</v>
      </c>
      <c r="B791" s="21" t="str">
        <f t="shared" si="24"/>
        <v>Sep-2025</v>
      </c>
      <c r="C791" s="2" t="str">
        <f t="shared" si="25"/>
        <v>Q2</v>
      </c>
      <c r="D791" s="2" t="s">
        <v>31</v>
      </c>
      <c r="E791" s="13">
        <v>45904</v>
      </c>
      <c r="F791" s="14" t="s">
        <v>221</v>
      </c>
      <c r="G791" s="14" t="s">
        <v>159</v>
      </c>
      <c r="H791" s="14" t="s">
        <v>111</v>
      </c>
      <c r="I791" s="15">
        <v>1</v>
      </c>
      <c r="J791" s="15">
        <v>40</v>
      </c>
      <c r="K791" s="15">
        <v>111.74</v>
      </c>
      <c r="L791" s="15">
        <v>4469.6000000000004</v>
      </c>
      <c r="M791" s="15">
        <v>-343.71</v>
      </c>
      <c r="N791" s="15">
        <v>0</v>
      </c>
      <c r="O791" s="15">
        <v>536.36596799999995</v>
      </c>
      <c r="P791" s="15">
        <v>4662.2559680000004</v>
      </c>
    </row>
    <row r="792" spans="1:16" ht="15" x14ac:dyDescent="0.2">
      <c r="A792" s="4" t="s">
        <v>579</v>
      </c>
      <c r="B792" s="21" t="str">
        <f t="shared" si="24"/>
        <v>Sep-2025</v>
      </c>
      <c r="C792" s="2" t="str">
        <f t="shared" si="25"/>
        <v>Q2</v>
      </c>
      <c r="D792" s="2" t="s">
        <v>31</v>
      </c>
      <c r="E792" s="13">
        <v>45904</v>
      </c>
      <c r="F792" s="14" t="s">
        <v>221</v>
      </c>
      <c r="G792" s="14" t="s">
        <v>159</v>
      </c>
      <c r="H792" s="14" t="s">
        <v>90</v>
      </c>
      <c r="I792" s="15">
        <v>1</v>
      </c>
      <c r="J792" s="15">
        <v>20</v>
      </c>
      <c r="K792" s="15">
        <v>204.85</v>
      </c>
      <c r="L792" s="15">
        <v>4097</v>
      </c>
      <c r="M792" s="15">
        <v>-315.06</v>
      </c>
      <c r="N792" s="15">
        <v>0</v>
      </c>
      <c r="O792" s="15">
        <v>491.652446</v>
      </c>
      <c r="P792" s="15">
        <v>4273.5924459999997</v>
      </c>
    </row>
    <row r="793" spans="1:16" ht="15" x14ac:dyDescent="0.2">
      <c r="A793" s="4" t="s">
        <v>576</v>
      </c>
      <c r="B793" s="21" t="str">
        <f t="shared" si="24"/>
        <v>Sep-2025</v>
      </c>
      <c r="C793" s="2" t="str">
        <f t="shared" si="25"/>
        <v>Q2</v>
      </c>
      <c r="D793" s="2" t="s">
        <v>31</v>
      </c>
      <c r="E793" s="13">
        <v>45904</v>
      </c>
      <c r="F793" s="14" t="s">
        <v>221</v>
      </c>
      <c r="G793" s="14" t="s">
        <v>159</v>
      </c>
      <c r="H793" s="14" t="s">
        <v>123</v>
      </c>
      <c r="I793" s="15">
        <v>1</v>
      </c>
      <c r="J793" s="15">
        <v>20</v>
      </c>
      <c r="K793" s="15">
        <v>175.06</v>
      </c>
      <c r="L793" s="15">
        <v>3501.2</v>
      </c>
      <c r="M793" s="15">
        <v>-269.24</v>
      </c>
      <c r="N793" s="15">
        <v>0</v>
      </c>
      <c r="O793" s="15">
        <v>420.15501</v>
      </c>
      <c r="P793" s="15">
        <v>3652.11501</v>
      </c>
    </row>
    <row r="794" spans="1:16" ht="15" x14ac:dyDescent="0.2">
      <c r="A794" s="4" t="s">
        <v>573</v>
      </c>
      <c r="B794" s="21" t="str">
        <f t="shared" si="24"/>
        <v>Sep-2025</v>
      </c>
      <c r="C794" s="2" t="str">
        <f t="shared" si="25"/>
        <v>Q2</v>
      </c>
      <c r="D794" s="2" t="s">
        <v>31</v>
      </c>
      <c r="E794" s="13">
        <v>45904</v>
      </c>
      <c r="F794" s="14" t="s">
        <v>221</v>
      </c>
      <c r="G794" s="14" t="s">
        <v>159</v>
      </c>
      <c r="H794" s="14" t="s">
        <v>136</v>
      </c>
      <c r="I794" s="15">
        <v>1</v>
      </c>
      <c r="J794" s="15">
        <v>40</v>
      </c>
      <c r="K794" s="15">
        <v>111.74</v>
      </c>
      <c r="L794" s="15">
        <v>4469.6000000000004</v>
      </c>
      <c r="M794" s="15">
        <v>-343.71</v>
      </c>
      <c r="N794" s="15">
        <v>0</v>
      </c>
      <c r="O794" s="15">
        <v>536.36596799999995</v>
      </c>
      <c r="P794" s="15">
        <v>4662.2559680000004</v>
      </c>
    </row>
    <row r="795" spans="1:16" ht="15" x14ac:dyDescent="0.2">
      <c r="A795" s="4" t="s">
        <v>582</v>
      </c>
      <c r="B795" s="21" t="str">
        <f t="shared" si="24"/>
        <v>Sep-2025</v>
      </c>
      <c r="C795" s="2" t="str">
        <f t="shared" si="25"/>
        <v>Q2</v>
      </c>
      <c r="D795" s="2" t="s">
        <v>31</v>
      </c>
      <c r="E795" s="13">
        <v>45904</v>
      </c>
      <c r="F795" s="14" t="s">
        <v>221</v>
      </c>
      <c r="G795" s="14" t="s">
        <v>159</v>
      </c>
      <c r="H795" s="14" t="s">
        <v>77</v>
      </c>
      <c r="I795" s="15">
        <v>1</v>
      </c>
      <c r="J795" s="15">
        <v>24</v>
      </c>
      <c r="K795" s="15">
        <v>204.85</v>
      </c>
      <c r="L795" s="15">
        <v>4916.4000000000005</v>
      </c>
      <c r="M795" s="15">
        <v>-378.07</v>
      </c>
      <c r="N795" s="15">
        <v>0</v>
      </c>
      <c r="O795" s="15">
        <v>589.98319500000002</v>
      </c>
      <c r="P795" s="15">
        <v>5128.3131949999997</v>
      </c>
    </row>
    <row r="796" spans="1:16" ht="15" x14ac:dyDescent="0.2">
      <c r="A796" s="4" t="s">
        <v>579</v>
      </c>
      <c r="B796" s="21" t="str">
        <f t="shared" si="24"/>
        <v>Sep-2025</v>
      </c>
      <c r="C796" s="2" t="str">
        <f t="shared" si="25"/>
        <v>Q2</v>
      </c>
      <c r="D796" s="2" t="s">
        <v>31</v>
      </c>
      <c r="E796" s="13">
        <v>45904</v>
      </c>
      <c r="F796" s="14" t="s">
        <v>221</v>
      </c>
      <c r="G796" s="14" t="s">
        <v>159</v>
      </c>
      <c r="H796" s="14" t="s">
        <v>140</v>
      </c>
      <c r="I796" s="15">
        <v>1</v>
      </c>
      <c r="J796" s="15">
        <v>20</v>
      </c>
      <c r="K796" s="15">
        <v>204.85</v>
      </c>
      <c r="L796" s="15">
        <v>4097</v>
      </c>
      <c r="M796" s="15">
        <v>-315.06</v>
      </c>
      <c r="N796" s="15">
        <v>0</v>
      </c>
      <c r="O796" s="15">
        <v>491.652446</v>
      </c>
      <c r="P796" s="15">
        <v>4273.5924459999997</v>
      </c>
    </row>
    <row r="797" spans="1:16" ht="15" x14ac:dyDescent="0.2">
      <c r="A797" s="4" t="s">
        <v>576</v>
      </c>
      <c r="B797" s="21" t="str">
        <f t="shared" si="24"/>
        <v>Sep-2025</v>
      </c>
      <c r="C797" s="2" t="str">
        <f t="shared" si="25"/>
        <v>Q2</v>
      </c>
      <c r="D797" s="2" t="s">
        <v>31</v>
      </c>
      <c r="E797" s="13">
        <v>45904</v>
      </c>
      <c r="F797" s="14" t="s">
        <v>221</v>
      </c>
      <c r="G797" s="14" t="s">
        <v>159</v>
      </c>
      <c r="H797" s="14" t="s">
        <v>124</v>
      </c>
      <c r="I797" s="15">
        <v>1</v>
      </c>
      <c r="J797" s="15">
        <v>20</v>
      </c>
      <c r="K797" s="15">
        <v>175.06</v>
      </c>
      <c r="L797" s="15">
        <v>3501.2</v>
      </c>
      <c r="M797" s="15">
        <v>-269.24</v>
      </c>
      <c r="N797" s="15">
        <v>0</v>
      </c>
      <c r="O797" s="15">
        <v>420.15501</v>
      </c>
      <c r="P797" s="15">
        <v>3652.11501</v>
      </c>
    </row>
    <row r="798" spans="1:16" ht="15" x14ac:dyDescent="0.2">
      <c r="A798" s="4" t="s">
        <v>583</v>
      </c>
      <c r="B798" s="21" t="str">
        <f t="shared" si="24"/>
        <v>Sep-2025</v>
      </c>
      <c r="C798" s="2" t="str">
        <f t="shared" si="25"/>
        <v>Q2</v>
      </c>
      <c r="D798" s="2" t="s">
        <v>31</v>
      </c>
      <c r="E798" s="13">
        <v>45904</v>
      </c>
      <c r="F798" s="14" t="s">
        <v>221</v>
      </c>
      <c r="G798" s="14" t="s">
        <v>159</v>
      </c>
      <c r="H798" s="14" t="s">
        <v>109</v>
      </c>
      <c r="I798" s="15">
        <v>1</v>
      </c>
      <c r="J798" s="15">
        <v>15</v>
      </c>
      <c r="K798" s="15">
        <v>260.72000000000003</v>
      </c>
      <c r="L798" s="15">
        <v>3910.8</v>
      </c>
      <c r="M798" s="15">
        <v>-300.74</v>
      </c>
      <c r="N798" s="15">
        <v>0</v>
      </c>
      <c r="O798" s="15">
        <v>469.30803499999996</v>
      </c>
      <c r="P798" s="15">
        <v>4079.368035</v>
      </c>
    </row>
    <row r="799" spans="1:16" ht="15" x14ac:dyDescent="0.2">
      <c r="A799" s="4" t="s">
        <v>575</v>
      </c>
      <c r="B799" s="21" t="str">
        <f t="shared" si="24"/>
        <v>Sep-2025</v>
      </c>
      <c r="C799" s="2" t="str">
        <f t="shared" si="25"/>
        <v>Q2</v>
      </c>
      <c r="D799" s="2" t="s">
        <v>31</v>
      </c>
      <c r="E799" s="13">
        <v>45905</v>
      </c>
      <c r="F799" s="14" t="s">
        <v>222</v>
      </c>
      <c r="G799" s="14" t="s">
        <v>171</v>
      </c>
      <c r="H799" s="14" t="s">
        <v>55</v>
      </c>
      <c r="I799" s="15">
        <v>3</v>
      </c>
      <c r="J799" s="15">
        <v>60</v>
      </c>
      <c r="K799" s="15">
        <v>186.23</v>
      </c>
      <c r="L799" s="15">
        <v>11173.8</v>
      </c>
      <c r="M799" s="15">
        <v>-859.2700000000001</v>
      </c>
      <c r="N799" s="15">
        <v>0</v>
      </c>
      <c r="O799" s="15">
        <v>1340.8881249999999</v>
      </c>
      <c r="P799" s="15">
        <v>11655.418125</v>
      </c>
    </row>
    <row r="800" spans="1:16" ht="15" x14ac:dyDescent="0.2">
      <c r="A800" s="4" t="s">
        <v>593</v>
      </c>
      <c r="B800" s="21" t="str">
        <f t="shared" si="24"/>
        <v>Sep-2025</v>
      </c>
      <c r="C800" s="2" t="str">
        <f t="shared" si="25"/>
        <v>Q2</v>
      </c>
      <c r="D800" s="2" t="s">
        <v>31</v>
      </c>
      <c r="E800" s="13">
        <v>45905</v>
      </c>
      <c r="F800" s="14" t="s">
        <v>222</v>
      </c>
      <c r="G800" s="14" t="s">
        <v>171</v>
      </c>
      <c r="H800" s="14" t="s">
        <v>117</v>
      </c>
      <c r="I800" s="15">
        <v>10</v>
      </c>
      <c r="J800" s="15">
        <v>40</v>
      </c>
      <c r="K800" s="15">
        <v>595.92999999999995</v>
      </c>
      <c r="L800" s="15">
        <v>23837.200000000001</v>
      </c>
      <c r="M800" s="15">
        <v>-1833.08</v>
      </c>
      <c r="N800" s="15">
        <v>0</v>
      </c>
      <c r="O800" s="15">
        <v>2860.5339469999999</v>
      </c>
      <c r="P800" s="15">
        <v>24864.653946999999</v>
      </c>
    </row>
    <row r="801" spans="1:16" ht="15" x14ac:dyDescent="0.2">
      <c r="A801" s="4" t="s">
        <v>580</v>
      </c>
      <c r="B801" s="21" t="str">
        <f t="shared" si="24"/>
        <v>Sep-2025</v>
      </c>
      <c r="C801" s="2" t="str">
        <f t="shared" si="25"/>
        <v>Q2</v>
      </c>
      <c r="D801" s="2" t="s">
        <v>31</v>
      </c>
      <c r="E801" s="13">
        <v>45905</v>
      </c>
      <c r="F801" s="14" t="s">
        <v>222</v>
      </c>
      <c r="G801" s="14" t="s">
        <v>171</v>
      </c>
      <c r="H801" s="14" t="s">
        <v>65</v>
      </c>
      <c r="I801" s="15">
        <v>2</v>
      </c>
      <c r="J801" s="15">
        <v>260</v>
      </c>
      <c r="K801" s="15">
        <v>37.25</v>
      </c>
      <c r="L801" s="15">
        <v>9685</v>
      </c>
      <c r="M801" s="15">
        <v>-744.78</v>
      </c>
      <c r="N801" s="15">
        <v>0</v>
      </c>
      <c r="O801" s="15">
        <v>1162.227928</v>
      </c>
      <c r="P801" s="15">
        <v>10102.447928</v>
      </c>
    </row>
    <row r="802" spans="1:16" ht="15" x14ac:dyDescent="0.2">
      <c r="A802" s="4" t="s">
        <v>593</v>
      </c>
      <c r="B802" s="21" t="str">
        <f t="shared" si="24"/>
        <v>Sep-2025</v>
      </c>
      <c r="C802" s="2" t="str">
        <f t="shared" si="25"/>
        <v>Q2</v>
      </c>
      <c r="D802" s="2" t="s">
        <v>31</v>
      </c>
      <c r="E802" s="13">
        <v>45908</v>
      </c>
      <c r="F802" s="14" t="s">
        <v>223</v>
      </c>
      <c r="G802" s="14" t="s">
        <v>80</v>
      </c>
      <c r="H802" s="14" t="s">
        <v>117</v>
      </c>
      <c r="I802" s="15">
        <v>1</v>
      </c>
      <c r="J802" s="15">
        <v>4</v>
      </c>
      <c r="K802" s="15">
        <v>378.91</v>
      </c>
      <c r="L802" s="15">
        <v>1515.64</v>
      </c>
      <c r="M802" s="15">
        <v>0</v>
      </c>
      <c r="N802" s="15">
        <v>0</v>
      </c>
      <c r="O802" s="15">
        <v>197.03479899999999</v>
      </c>
      <c r="P802" s="15">
        <v>1712.6747989999999</v>
      </c>
    </row>
    <row r="803" spans="1:16" ht="15" x14ac:dyDescent="0.2">
      <c r="A803" s="4" t="s">
        <v>579</v>
      </c>
      <c r="B803" s="21" t="str">
        <f t="shared" si="24"/>
        <v>Sep-2025</v>
      </c>
      <c r="C803" s="2" t="str">
        <f t="shared" si="25"/>
        <v>Q2</v>
      </c>
      <c r="D803" s="2" t="s">
        <v>31</v>
      </c>
      <c r="E803" s="13">
        <v>45908</v>
      </c>
      <c r="F803" s="14" t="s">
        <v>223</v>
      </c>
      <c r="G803" s="14" t="s">
        <v>80</v>
      </c>
      <c r="H803" s="14" t="s">
        <v>92</v>
      </c>
      <c r="I803" s="15">
        <v>1</v>
      </c>
      <c r="J803" s="15">
        <v>20</v>
      </c>
      <c r="K803" s="15">
        <v>151.66999999999999</v>
      </c>
      <c r="L803" s="15">
        <v>3033.4</v>
      </c>
      <c r="M803" s="15">
        <v>0</v>
      </c>
      <c r="N803" s="15">
        <v>0</v>
      </c>
      <c r="O803" s="15">
        <v>394.34520099999997</v>
      </c>
      <c r="P803" s="15">
        <v>3427.7452010000002</v>
      </c>
    </row>
    <row r="804" spans="1:16" ht="15" x14ac:dyDescent="0.2">
      <c r="A804" s="4" t="s">
        <v>579</v>
      </c>
      <c r="B804" s="21" t="str">
        <f t="shared" si="24"/>
        <v>Sep-2025</v>
      </c>
      <c r="C804" s="2" t="str">
        <f t="shared" si="25"/>
        <v>Q2</v>
      </c>
      <c r="D804" s="2" t="s">
        <v>31</v>
      </c>
      <c r="E804" s="13">
        <v>45908</v>
      </c>
      <c r="F804" s="14" t="s">
        <v>224</v>
      </c>
      <c r="G804" s="14" t="s">
        <v>80</v>
      </c>
      <c r="H804" s="14" t="s">
        <v>92</v>
      </c>
      <c r="I804" s="15">
        <v>0.1</v>
      </c>
      <c r="J804" s="15">
        <v>2</v>
      </c>
      <c r="K804" s="15">
        <v>151.66999999999999</v>
      </c>
      <c r="L804" s="15">
        <v>303.33999999999997</v>
      </c>
      <c r="M804" s="15">
        <v>0</v>
      </c>
      <c r="N804" s="15">
        <v>0</v>
      </c>
      <c r="O804" s="15">
        <v>39.433816999999998</v>
      </c>
      <c r="P804" s="15">
        <v>342.77381700000001</v>
      </c>
    </row>
    <row r="805" spans="1:16" ht="15" x14ac:dyDescent="0.2">
      <c r="A805" s="4" t="s">
        <v>593</v>
      </c>
      <c r="B805" s="21" t="str">
        <f t="shared" si="24"/>
        <v>Sep-2025</v>
      </c>
      <c r="C805" s="2" t="str">
        <f t="shared" si="25"/>
        <v>Q2</v>
      </c>
      <c r="D805" s="2" t="s">
        <v>31</v>
      </c>
      <c r="E805" s="13">
        <v>45908</v>
      </c>
      <c r="F805" s="14" t="s">
        <v>224</v>
      </c>
      <c r="G805" s="14" t="s">
        <v>80</v>
      </c>
      <c r="H805" s="14" t="s">
        <v>117</v>
      </c>
      <c r="I805" s="15">
        <v>1</v>
      </c>
      <c r="J805" s="15">
        <v>4</v>
      </c>
      <c r="K805" s="15">
        <v>378.91</v>
      </c>
      <c r="L805" s="15">
        <v>1515.64</v>
      </c>
      <c r="M805" s="15">
        <v>0</v>
      </c>
      <c r="N805" s="15">
        <v>0</v>
      </c>
      <c r="O805" s="15">
        <v>197.03128699999999</v>
      </c>
      <c r="P805" s="15">
        <v>1712.6712869999999</v>
      </c>
    </row>
    <row r="806" spans="1:16" ht="15" x14ac:dyDescent="0.2">
      <c r="A806" s="4" t="s">
        <v>581</v>
      </c>
      <c r="B806" s="21" t="str">
        <f t="shared" si="24"/>
        <v>Sep-2025</v>
      </c>
      <c r="C806" s="2" t="str">
        <f t="shared" si="25"/>
        <v>Q2</v>
      </c>
      <c r="D806" s="2" t="s">
        <v>31</v>
      </c>
      <c r="E806" s="13">
        <v>45908</v>
      </c>
      <c r="F806" s="14" t="s">
        <v>224</v>
      </c>
      <c r="G806" s="14" t="s">
        <v>80</v>
      </c>
      <c r="H806" s="14" t="s">
        <v>96</v>
      </c>
      <c r="I806" s="15">
        <v>0.05</v>
      </c>
      <c r="J806" s="15">
        <v>2</v>
      </c>
      <c r="K806" s="15">
        <v>41.25</v>
      </c>
      <c r="L806" s="15">
        <v>82.5</v>
      </c>
      <c r="M806" s="15">
        <v>0</v>
      </c>
      <c r="N806" s="15">
        <v>0</v>
      </c>
      <c r="O806" s="15">
        <v>10.724895999999999</v>
      </c>
      <c r="P806" s="15">
        <v>93.224896000000001</v>
      </c>
    </row>
    <row r="807" spans="1:16" ht="15" x14ac:dyDescent="0.2">
      <c r="A807" s="4" t="s">
        <v>593</v>
      </c>
      <c r="B807" s="21" t="str">
        <f t="shared" si="24"/>
        <v>Sep-2025</v>
      </c>
      <c r="C807" s="2" t="str">
        <f t="shared" si="25"/>
        <v>Q2</v>
      </c>
      <c r="D807" s="2" t="s">
        <v>31</v>
      </c>
      <c r="E807" s="13">
        <v>45908</v>
      </c>
      <c r="F807" s="14" t="s">
        <v>225</v>
      </c>
      <c r="G807" s="14" t="s">
        <v>80</v>
      </c>
      <c r="H807" s="14" t="s">
        <v>117</v>
      </c>
      <c r="I807" s="15">
        <v>1</v>
      </c>
      <c r="J807" s="15">
        <v>4</v>
      </c>
      <c r="K807" s="15">
        <v>378.91</v>
      </c>
      <c r="L807" s="15">
        <v>1515.64</v>
      </c>
      <c r="M807" s="15">
        <v>0</v>
      </c>
      <c r="N807" s="15">
        <v>0</v>
      </c>
      <c r="O807" s="15">
        <v>197.03537699999998</v>
      </c>
      <c r="P807" s="15">
        <v>1712.675377</v>
      </c>
    </row>
    <row r="808" spans="1:16" ht="15" x14ac:dyDescent="0.2">
      <c r="A808" s="4" t="s">
        <v>590</v>
      </c>
      <c r="B808" s="21" t="str">
        <f t="shared" si="24"/>
        <v>Sep-2025</v>
      </c>
      <c r="C808" s="2" t="str">
        <f t="shared" si="25"/>
        <v>Q2</v>
      </c>
      <c r="D808" s="2" t="s">
        <v>31</v>
      </c>
      <c r="E808" s="13">
        <v>45908</v>
      </c>
      <c r="F808" s="14" t="s">
        <v>225</v>
      </c>
      <c r="G808" s="14" t="s">
        <v>80</v>
      </c>
      <c r="H808" s="14" t="s">
        <v>102</v>
      </c>
      <c r="I808" s="15">
        <v>0.1</v>
      </c>
      <c r="J808" s="15">
        <v>2</v>
      </c>
      <c r="K808" s="15">
        <v>216.9</v>
      </c>
      <c r="L808" s="15">
        <v>433.8</v>
      </c>
      <c r="M808" s="15">
        <v>0</v>
      </c>
      <c r="N808" s="15">
        <v>0</v>
      </c>
      <c r="O808" s="15">
        <v>56.394623000000003</v>
      </c>
      <c r="P808" s="15">
        <v>490.19462299999998</v>
      </c>
    </row>
    <row r="809" spans="1:16" ht="15" x14ac:dyDescent="0.2">
      <c r="A809" s="4" t="s">
        <v>581</v>
      </c>
      <c r="B809" s="21" t="str">
        <f t="shared" si="24"/>
        <v>Sep-2025</v>
      </c>
      <c r="C809" s="2" t="str">
        <f t="shared" si="25"/>
        <v>Q2</v>
      </c>
      <c r="D809" s="2" t="s">
        <v>31</v>
      </c>
      <c r="E809" s="13">
        <v>45908</v>
      </c>
      <c r="F809" s="14" t="s">
        <v>226</v>
      </c>
      <c r="G809" s="14" t="s">
        <v>142</v>
      </c>
      <c r="H809" s="14" t="s">
        <v>97</v>
      </c>
      <c r="I809" s="15">
        <v>1</v>
      </c>
      <c r="J809" s="15">
        <v>40</v>
      </c>
      <c r="K809" s="15">
        <v>67.040000000000006</v>
      </c>
      <c r="L809" s="15">
        <v>2681.6</v>
      </c>
      <c r="M809" s="15">
        <v>-206.22</v>
      </c>
      <c r="N809" s="15">
        <v>0</v>
      </c>
      <c r="O809" s="15">
        <v>321.79945500000002</v>
      </c>
      <c r="P809" s="15">
        <v>2797.179455</v>
      </c>
    </row>
    <row r="810" spans="1:16" ht="15" x14ac:dyDescent="0.2">
      <c r="A810" s="4" t="s">
        <v>580</v>
      </c>
      <c r="B810" s="21" t="str">
        <f t="shared" si="24"/>
        <v>Sep-2025</v>
      </c>
      <c r="C810" s="2" t="str">
        <f t="shared" si="25"/>
        <v>Q2</v>
      </c>
      <c r="D810" s="2" t="s">
        <v>31</v>
      </c>
      <c r="E810" s="13">
        <v>45908</v>
      </c>
      <c r="F810" s="14" t="s">
        <v>226</v>
      </c>
      <c r="G810" s="14" t="s">
        <v>142</v>
      </c>
      <c r="H810" s="14" t="s">
        <v>89</v>
      </c>
      <c r="I810" s="15">
        <v>10</v>
      </c>
      <c r="J810" s="15">
        <v>700</v>
      </c>
      <c r="K810" s="15">
        <v>32.78</v>
      </c>
      <c r="L810" s="15">
        <v>22946</v>
      </c>
      <c r="M810" s="15">
        <v>-1764.55</v>
      </c>
      <c r="N810" s="15">
        <v>0</v>
      </c>
      <c r="O810" s="15">
        <v>2753.5889749999997</v>
      </c>
      <c r="P810" s="15">
        <v>23935.038974999999</v>
      </c>
    </row>
    <row r="811" spans="1:16" ht="15" x14ac:dyDescent="0.2">
      <c r="A811" s="4" t="s">
        <v>580</v>
      </c>
      <c r="B811" s="21" t="str">
        <f t="shared" si="24"/>
        <v>Sep-2025</v>
      </c>
      <c r="C811" s="2" t="str">
        <f t="shared" si="25"/>
        <v>Q2</v>
      </c>
      <c r="D811" s="2" t="s">
        <v>31</v>
      </c>
      <c r="E811" s="13">
        <v>45908</v>
      </c>
      <c r="F811" s="14" t="s">
        <v>226</v>
      </c>
      <c r="G811" s="14" t="s">
        <v>142</v>
      </c>
      <c r="H811" s="14" t="s">
        <v>65</v>
      </c>
      <c r="I811" s="15">
        <v>1</v>
      </c>
      <c r="J811" s="15">
        <v>130</v>
      </c>
      <c r="K811" s="15">
        <v>37.25</v>
      </c>
      <c r="L811" s="15">
        <v>4842.5</v>
      </c>
      <c r="M811" s="15">
        <v>-372.39</v>
      </c>
      <c r="N811" s="15">
        <v>0</v>
      </c>
      <c r="O811" s="15">
        <v>581.11440000000005</v>
      </c>
      <c r="P811" s="15">
        <v>5051.2244000000001</v>
      </c>
    </row>
    <row r="812" spans="1:16" ht="15" x14ac:dyDescent="0.2">
      <c r="A812" s="4" t="s">
        <v>581</v>
      </c>
      <c r="B812" s="21" t="str">
        <f t="shared" si="24"/>
        <v>Sep-2025</v>
      </c>
      <c r="C812" s="2" t="str">
        <f t="shared" si="25"/>
        <v>Q2</v>
      </c>
      <c r="D812" s="2" t="s">
        <v>31</v>
      </c>
      <c r="E812" s="13">
        <v>45908</v>
      </c>
      <c r="F812" s="14" t="s">
        <v>226</v>
      </c>
      <c r="G812" s="14" t="s">
        <v>142</v>
      </c>
      <c r="H812" s="14" t="s">
        <v>104</v>
      </c>
      <c r="I812" s="15">
        <v>1</v>
      </c>
      <c r="J812" s="15">
        <v>40</v>
      </c>
      <c r="K812" s="15">
        <v>67.040000000000006</v>
      </c>
      <c r="L812" s="15">
        <v>2681.6</v>
      </c>
      <c r="M812" s="15">
        <v>-206.22</v>
      </c>
      <c r="N812" s="15">
        <v>0</v>
      </c>
      <c r="O812" s="15">
        <v>321.79945500000002</v>
      </c>
      <c r="P812" s="15">
        <v>2797.179455</v>
      </c>
    </row>
    <row r="813" spans="1:16" ht="15" x14ac:dyDescent="0.2">
      <c r="A813" s="4" t="s">
        <v>581</v>
      </c>
      <c r="B813" s="21" t="str">
        <f t="shared" si="24"/>
        <v>Sep-2025</v>
      </c>
      <c r="C813" s="2" t="str">
        <f t="shared" si="25"/>
        <v>Q2</v>
      </c>
      <c r="D813" s="2" t="s">
        <v>31</v>
      </c>
      <c r="E813" s="13">
        <v>45908</v>
      </c>
      <c r="F813" s="14" t="s">
        <v>226</v>
      </c>
      <c r="G813" s="14" t="s">
        <v>142</v>
      </c>
      <c r="H813" s="14" t="s">
        <v>125</v>
      </c>
      <c r="I813" s="15">
        <v>1</v>
      </c>
      <c r="J813" s="15">
        <v>800</v>
      </c>
      <c r="K813" s="15">
        <v>7.45</v>
      </c>
      <c r="L813" s="15">
        <v>5960</v>
      </c>
      <c r="M813" s="15">
        <v>-458.32</v>
      </c>
      <c r="N813" s="15">
        <v>0</v>
      </c>
      <c r="O813" s="15">
        <v>715.218523</v>
      </c>
      <c r="P813" s="15">
        <v>6216.8985229999998</v>
      </c>
    </row>
    <row r="814" spans="1:16" ht="15" x14ac:dyDescent="0.2">
      <c r="A814" s="4" t="s">
        <v>589</v>
      </c>
      <c r="B814" s="21" t="str">
        <f t="shared" si="24"/>
        <v>Sep-2025</v>
      </c>
      <c r="C814" s="2" t="str">
        <f t="shared" si="25"/>
        <v>Q2</v>
      </c>
      <c r="D814" s="2" t="s">
        <v>31</v>
      </c>
      <c r="E814" s="13">
        <v>45908</v>
      </c>
      <c r="F814" s="14" t="s">
        <v>226</v>
      </c>
      <c r="G814" s="14" t="s">
        <v>142</v>
      </c>
      <c r="H814" s="14" t="s">
        <v>105</v>
      </c>
      <c r="I814" s="15">
        <v>2</v>
      </c>
      <c r="J814" s="15">
        <v>60</v>
      </c>
      <c r="K814" s="15">
        <v>316.58999999999997</v>
      </c>
      <c r="L814" s="15">
        <v>18995.399999999998</v>
      </c>
      <c r="M814" s="15">
        <v>-1460.75</v>
      </c>
      <c r="N814" s="15">
        <v>0</v>
      </c>
      <c r="O814" s="15">
        <v>2279.5048929999998</v>
      </c>
      <c r="P814" s="15">
        <v>19814.154892999999</v>
      </c>
    </row>
    <row r="815" spans="1:16" ht="15" x14ac:dyDescent="0.2">
      <c r="A815" s="4" t="s">
        <v>576</v>
      </c>
      <c r="B815" s="21" t="str">
        <f t="shared" si="24"/>
        <v>Sep-2025</v>
      </c>
      <c r="C815" s="2" t="str">
        <f t="shared" si="25"/>
        <v>Q2</v>
      </c>
      <c r="D815" s="2" t="s">
        <v>31</v>
      </c>
      <c r="E815" s="13">
        <v>45908</v>
      </c>
      <c r="F815" s="14" t="s">
        <v>226</v>
      </c>
      <c r="G815" s="14" t="s">
        <v>142</v>
      </c>
      <c r="H815" s="14" t="s">
        <v>110</v>
      </c>
      <c r="I815" s="15">
        <v>10</v>
      </c>
      <c r="J815" s="15">
        <v>200</v>
      </c>
      <c r="K815" s="15">
        <v>175.06</v>
      </c>
      <c r="L815" s="15">
        <v>35012</v>
      </c>
      <c r="M815" s="15">
        <v>-2692.42</v>
      </c>
      <c r="N815" s="15">
        <v>0</v>
      </c>
      <c r="O815" s="15">
        <v>4201.5461240000004</v>
      </c>
      <c r="P815" s="15">
        <v>36521.126124000002</v>
      </c>
    </row>
    <row r="816" spans="1:16" ht="15" x14ac:dyDescent="0.2">
      <c r="A816" s="4" t="s">
        <v>593</v>
      </c>
      <c r="B816" s="21" t="str">
        <f t="shared" si="24"/>
        <v>Sep-2025</v>
      </c>
      <c r="C816" s="2" t="str">
        <f t="shared" si="25"/>
        <v>Q2</v>
      </c>
      <c r="D816" s="2" t="s">
        <v>31</v>
      </c>
      <c r="E816" s="13">
        <v>45908</v>
      </c>
      <c r="F816" s="14" t="s">
        <v>226</v>
      </c>
      <c r="G816" s="14" t="s">
        <v>142</v>
      </c>
      <c r="H816" s="14" t="s">
        <v>117</v>
      </c>
      <c r="I816" s="15">
        <v>5</v>
      </c>
      <c r="J816" s="15">
        <v>20</v>
      </c>
      <c r="K816" s="15">
        <v>595.92999999999995</v>
      </c>
      <c r="L816" s="15">
        <v>11918.6</v>
      </c>
      <c r="M816" s="15">
        <v>-916.54</v>
      </c>
      <c r="N816" s="15">
        <v>0</v>
      </c>
      <c r="O816" s="15">
        <v>1430.268047</v>
      </c>
      <c r="P816" s="15">
        <v>12432.328047000001</v>
      </c>
    </row>
    <row r="817" spans="1:16" ht="15" x14ac:dyDescent="0.2">
      <c r="A817" s="4" t="s">
        <v>573</v>
      </c>
      <c r="B817" s="21" t="str">
        <f t="shared" si="24"/>
        <v>Sep-2025</v>
      </c>
      <c r="C817" s="2" t="str">
        <f t="shared" si="25"/>
        <v>Q2</v>
      </c>
      <c r="D817" s="2" t="s">
        <v>31</v>
      </c>
      <c r="E817" s="13">
        <v>45908</v>
      </c>
      <c r="F817" s="14" t="s">
        <v>226</v>
      </c>
      <c r="G817" s="14" t="s">
        <v>142</v>
      </c>
      <c r="H817" s="14" t="s">
        <v>111</v>
      </c>
      <c r="I817" s="15">
        <v>15</v>
      </c>
      <c r="J817" s="15">
        <v>600</v>
      </c>
      <c r="K817" s="15">
        <v>111.74</v>
      </c>
      <c r="L817" s="15">
        <v>67044</v>
      </c>
      <c r="M817" s="15">
        <v>-5155.68</v>
      </c>
      <c r="N817" s="15">
        <v>0</v>
      </c>
      <c r="O817" s="15">
        <v>8045.4829869999994</v>
      </c>
      <c r="P817" s="15">
        <v>69933.802987000003</v>
      </c>
    </row>
    <row r="818" spans="1:16" ht="15" x14ac:dyDescent="0.2">
      <c r="A818" s="4" t="s">
        <v>583</v>
      </c>
      <c r="B818" s="21" t="str">
        <f t="shared" si="24"/>
        <v>Sep-2025</v>
      </c>
      <c r="C818" s="2" t="str">
        <f t="shared" si="25"/>
        <v>Q2</v>
      </c>
      <c r="D818" s="2" t="s">
        <v>31</v>
      </c>
      <c r="E818" s="13">
        <v>45908</v>
      </c>
      <c r="F818" s="14" t="s">
        <v>226</v>
      </c>
      <c r="G818" s="14" t="s">
        <v>142</v>
      </c>
      <c r="H818" s="14" t="s">
        <v>113</v>
      </c>
      <c r="I818" s="15">
        <v>5</v>
      </c>
      <c r="J818" s="15">
        <v>75</v>
      </c>
      <c r="K818" s="15">
        <v>260.72000000000003</v>
      </c>
      <c r="L818" s="15">
        <v>19554</v>
      </c>
      <c r="M818" s="15">
        <v>-1503.6999999999998</v>
      </c>
      <c r="N818" s="15">
        <v>0</v>
      </c>
      <c r="O818" s="15">
        <v>2346.539405</v>
      </c>
      <c r="P818" s="15">
        <v>20396.839404999999</v>
      </c>
    </row>
    <row r="819" spans="1:16" ht="15" x14ac:dyDescent="0.2">
      <c r="A819" s="4" t="s">
        <v>581</v>
      </c>
      <c r="B819" s="21" t="str">
        <f t="shared" si="24"/>
        <v>Sep-2025</v>
      </c>
      <c r="C819" s="2" t="str">
        <f t="shared" si="25"/>
        <v>Q2</v>
      </c>
      <c r="D819" s="2" t="s">
        <v>31</v>
      </c>
      <c r="E819" s="13">
        <v>45908</v>
      </c>
      <c r="F819" s="14" t="s">
        <v>226</v>
      </c>
      <c r="G819" s="14" t="s">
        <v>142</v>
      </c>
      <c r="H819" s="14" t="s">
        <v>96</v>
      </c>
      <c r="I819" s="15">
        <v>1</v>
      </c>
      <c r="J819" s="15">
        <v>40</v>
      </c>
      <c r="K819" s="15">
        <v>67.040000000000006</v>
      </c>
      <c r="L819" s="15">
        <v>2681.6</v>
      </c>
      <c r="M819" s="15">
        <v>-206.22</v>
      </c>
      <c r="N819" s="15">
        <v>0</v>
      </c>
      <c r="O819" s="15">
        <v>321.79945500000002</v>
      </c>
      <c r="P819" s="15">
        <v>2797.179455</v>
      </c>
    </row>
    <row r="820" spans="1:16" ht="15" x14ac:dyDescent="0.2">
      <c r="A820" s="4" t="s">
        <v>589</v>
      </c>
      <c r="B820" s="21" t="str">
        <f t="shared" si="24"/>
        <v>Sep-2025</v>
      </c>
      <c r="C820" s="2" t="str">
        <f t="shared" si="25"/>
        <v>Q2</v>
      </c>
      <c r="D820" s="2" t="s">
        <v>31</v>
      </c>
      <c r="E820" s="13">
        <v>45908</v>
      </c>
      <c r="F820" s="14" t="s">
        <v>226</v>
      </c>
      <c r="G820" s="14" t="s">
        <v>142</v>
      </c>
      <c r="H820" s="14" t="s">
        <v>98</v>
      </c>
      <c r="I820" s="15">
        <v>1</v>
      </c>
      <c r="J820" s="15">
        <v>60</v>
      </c>
      <c r="K820" s="15">
        <v>145.26</v>
      </c>
      <c r="L820" s="15">
        <v>8715.6</v>
      </c>
      <c r="M820" s="15">
        <v>-670.23</v>
      </c>
      <c r="N820" s="15">
        <v>0</v>
      </c>
      <c r="O820" s="15">
        <v>1045.8982799999999</v>
      </c>
      <c r="P820" s="15">
        <v>9091.2682800000002</v>
      </c>
    </row>
    <row r="821" spans="1:16" ht="15" x14ac:dyDescent="0.2">
      <c r="A821" s="4" t="s">
        <v>586</v>
      </c>
      <c r="B821" s="21" t="str">
        <f t="shared" si="24"/>
        <v>Sep-2025</v>
      </c>
      <c r="C821" s="2" t="str">
        <f t="shared" si="25"/>
        <v>Q2</v>
      </c>
      <c r="D821" s="2" t="s">
        <v>31</v>
      </c>
      <c r="E821" s="13">
        <v>45908</v>
      </c>
      <c r="F821" s="14" t="s">
        <v>227</v>
      </c>
      <c r="G821" s="14" t="s">
        <v>15</v>
      </c>
      <c r="H821" s="14" t="s">
        <v>78</v>
      </c>
      <c r="I821" s="15">
        <v>1</v>
      </c>
      <c r="J821" s="15">
        <v>600</v>
      </c>
      <c r="K821" s="15">
        <v>7.46</v>
      </c>
      <c r="L821" s="15">
        <v>4476</v>
      </c>
      <c r="M821" s="15">
        <v>-344.2</v>
      </c>
      <c r="N821" s="15">
        <v>0</v>
      </c>
      <c r="O821" s="15">
        <v>537.13405699999998</v>
      </c>
      <c r="P821" s="15">
        <v>4668.9340570000004</v>
      </c>
    </row>
    <row r="822" spans="1:16" ht="15" x14ac:dyDescent="0.2">
      <c r="A822" s="4" t="s">
        <v>581</v>
      </c>
      <c r="B822" s="21" t="str">
        <f t="shared" si="24"/>
        <v>Sep-2025</v>
      </c>
      <c r="C822" s="2" t="str">
        <f t="shared" si="25"/>
        <v>Q2</v>
      </c>
      <c r="D822" s="2" t="s">
        <v>31</v>
      </c>
      <c r="E822" s="13">
        <v>45908</v>
      </c>
      <c r="F822" s="14" t="s">
        <v>227</v>
      </c>
      <c r="G822" s="14" t="s">
        <v>15</v>
      </c>
      <c r="H822" s="14" t="s">
        <v>97</v>
      </c>
      <c r="I822" s="15">
        <v>3</v>
      </c>
      <c r="J822" s="15">
        <v>120</v>
      </c>
      <c r="K822" s="15">
        <v>67.040000000000006</v>
      </c>
      <c r="L822" s="15">
        <v>8044.8</v>
      </c>
      <c r="M822" s="15">
        <v>-618.65</v>
      </c>
      <c r="N822" s="15">
        <v>0</v>
      </c>
      <c r="O822" s="15">
        <v>965.39960299999996</v>
      </c>
      <c r="P822" s="15">
        <v>8391.5496029999995</v>
      </c>
    </row>
    <row r="823" spans="1:16" ht="15" x14ac:dyDescent="0.2">
      <c r="A823" s="4" t="s">
        <v>584</v>
      </c>
      <c r="B823" s="21" t="str">
        <f t="shared" si="24"/>
        <v>Sep-2025</v>
      </c>
      <c r="C823" s="2" t="str">
        <f t="shared" si="25"/>
        <v>Q2</v>
      </c>
      <c r="D823" s="2" t="s">
        <v>31</v>
      </c>
      <c r="E823" s="13">
        <v>45908</v>
      </c>
      <c r="F823" s="14" t="s">
        <v>227</v>
      </c>
      <c r="G823" s="14" t="s">
        <v>15</v>
      </c>
      <c r="H823" s="14" t="s">
        <v>100</v>
      </c>
      <c r="I823" s="15">
        <v>2</v>
      </c>
      <c r="J823" s="15">
        <v>80</v>
      </c>
      <c r="K823" s="15">
        <v>81.94</v>
      </c>
      <c r="L823" s="15">
        <v>6555.2</v>
      </c>
      <c r="M823" s="15">
        <v>-504.09</v>
      </c>
      <c r="N823" s="15">
        <v>0</v>
      </c>
      <c r="O823" s="15">
        <v>786.64438399999995</v>
      </c>
      <c r="P823" s="15">
        <v>6837.7543839999998</v>
      </c>
    </row>
    <row r="824" spans="1:16" ht="15" x14ac:dyDescent="0.2">
      <c r="A824" s="4" t="s">
        <v>576</v>
      </c>
      <c r="B824" s="21" t="str">
        <f t="shared" si="24"/>
        <v>Sep-2025</v>
      </c>
      <c r="C824" s="2" t="str">
        <f t="shared" si="25"/>
        <v>Q2</v>
      </c>
      <c r="D824" s="2" t="s">
        <v>31</v>
      </c>
      <c r="E824" s="13">
        <v>45908</v>
      </c>
      <c r="F824" s="14" t="s">
        <v>227</v>
      </c>
      <c r="G824" s="14" t="s">
        <v>15</v>
      </c>
      <c r="H824" s="14" t="s">
        <v>124</v>
      </c>
      <c r="I824" s="15">
        <v>1</v>
      </c>
      <c r="J824" s="15">
        <v>20</v>
      </c>
      <c r="K824" s="15">
        <v>175.06</v>
      </c>
      <c r="L824" s="15">
        <v>3501.2</v>
      </c>
      <c r="M824" s="15">
        <v>-269.24</v>
      </c>
      <c r="N824" s="15">
        <v>0</v>
      </c>
      <c r="O824" s="15">
        <v>420.15484500000002</v>
      </c>
      <c r="P824" s="15">
        <v>3652.1148450000001</v>
      </c>
    </row>
    <row r="825" spans="1:16" ht="15" x14ac:dyDescent="0.2">
      <c r="A825" s="4" t="s">
        <v>586</v>
      </c>
      <c r="B825" s="21" t="str">
        <f t="shared" si="24"/>
        <v>Sep-2025</v>
      </c>
      <c r="C825" s="2" t="str">
        <f t="shared" si="25"/>
        <v>Q2</v>
      </c>
      <c r="D825" s="2" t="s">
        <v>31</v>
      </c>
      <c r="E825" s="13">
        <v>45908</v>
      </c>
      <c r="F825" s="14" t="s">
        <v>227</v>
      </c>
      <c r="G825" s="14" t="s">
        <v>15</v>
      </c>
      <c r="H825" s="14" t="s">
        <v>114</v>
      </c>
      <c r="I825" s="15">
        <v>2</v>
      </c>
      <c r="J825" s="15">
        <v>480</v>
      </c>
      <c r="K825" s="15">
        <v>14.9</v>
      </c>
      <c r="L825" s="15">
        <v>7152</v>
      </c>
      <c r="M825" s="15">
        <v>-549.99</v>
      </c>
      <c r="N825" s="15">
        <v>0</v>
      </c>
      <c r="O825" s="15">
        <v>858.26139199999989</v>
      </c>
      <c r="P825" s="15">
        <v>7460.2713919999997</v>
      </c>
    </row>
    <row r="826" spans="1:16" ht="15" x14ac:dyDescent="0.2">
      <c r="A826" s="4" t="s">
        <v>575</v>
      </c>
      <c r="B826" s="21" t="str">
        <f t="shared" si="24"/>
        <v>Sep-2025</v>
      </c>
      <c r="C826" s="2" t="str">
        <f t="shared" si="25"/>
        <v>Q2</v>
      </c>
      <c r="D826" s="2" t="s">
        <v>31</v>
      </c>
      <c r="E826" s="13">
        <v>45908</v>
      </c>
      <c r="F826" s="14" t="s">
        <v>227</v>
      </c>
      <c r="G826" s="14" t="s">
        <v>15</v>
      </c>
      <c r="H826" s="14" t="s">
        <v>55</v>
      </c>
      <c r="I826" s="15">
        <v>3</v>
      </c>
      <c r="J826" s="15">
        <v>60</v>
      </c>
      <c r="K826" s="15">
        <v>186.23</v>
      </c>
      <c r="L826" s="15">
        <v>11173.8</v>
      </c>
      <c r="M826" s="15">
        <v>-859.2700000000001</v>
      </c>
      <c r="N826" s="15">
        <v>0</v>
      </c>
      <c r="O826" s="15">
        <v>1340.8890429999999</v>
      </c>
      <c r="P826" s="15">
        <v>11655.419043</v>
      </c>
    </row>
    <row r="827" spans="1:16" ht="15" x14ac:dyDescent="0.2">
      <c r="A827" s="4" t="s">
        <v>582</v>
      </c>
      <c r="B827" s="21" t="str">
        <f t="shared" si="24"/>
        <v>Sep-2025</v>
      </c>
      <c r="C827" s="2" t="str">
        <f t="shared" si="25"/>
        <v>Q2</v>
      </c>
      <c r="D827" s="2" t="s">
        <v>31</v>
      </c>
      <c r="E827" s="13">
        <v>45908</v>
      </c>
      <c r="F827" s="14" t="s">
        <v>227</v>
      </c>
      <c r="G827" s="14" t="s">
        <v>15</v>
      </c>
      <c r="H827" s="14" t="s">
        <v>77</v>
      </c>
      <c r="I827" s="15">
        <v>3</v>
      </c>
      <c r="J827" s="15">
        <v>72</v>
      </c>
      <c r="K827" s="15">
        <v>204.85</v>
      </c>
      <c r="L827" s="15">
        <v>14749.199999999999</v>
      </c>
      <c r="M827" s="15">
        <v>-1134.21</v>
      </c>
      <c r="N827" s="15">
        <v>0</v>
      </c>
      <c r="O827" s="15">
        <v>1769.948889</v>
      </c>
      <c r="P827" s="15">
        <v>15384.938888999999</v>
      </c>
    </row>
    <row r="828" spans="1:16" ht="15" x14ac:dyDescent="0.2">
      <c r="A828" s="4" t="s">
        <v>581</v>
      </c>
      <c r="B828" s="21" t="str">
        <f t="shared" si="24"/>
        <v>Sep-2025</v>
      </c>
      <c r="C828" s="2" t="str">
        <f t="shared" si="25"/>
        <v>Q2</v>
      </c>
      <c r="D828" s="2" t="s">
        <v>31</v>
      </c>
      <c r="E828" s="13">
        <v>45908</v>
      </c>
      <c r="F828" s="14" t="s">
        <v>227</v>
      </c>
      <c r="G828" s="14" t="s">
        <v>15</v>
      </c>
      <c r="H828" s="14" t="s">
        <v>104</v>
      </c>
      <c r="I828" s="15">
        <v>3</v>
      </c>
      <c r="J828" s="15">
        <v>120</v>
      </c>
      <c r="K828" s="15">
        <v>67.040000000000006</v>
      </c>
      <c r="L828" s="15">
        <v>8044.8</v>
      </c>
      <c r="M828" s="15">
        <v>-618.65</v>
      </c>
      <c r="N828" s="15">
        <v>0</v>
      </c>
      <c r="O828" s="15">
        <v>965.39960299999996</v>
      </c>
      <c r="P828" s="15">
        <v>8391.5496029999995</v>
      </c>
    </row>
    <row r="829" spans="1:16" ht="15" x14ac:dyDescent="0.2">
      <c r="A829" s="4" t="s">
        <v>581</v>
      </c>
      <c r="B829" s="21" t="str">
        <f t="shared" si="24"/>
        <v>Sep-2025</v>
      </c>
      <c r="C829" s="2" t="str">
        <f t="shared" si="25"/>
        <v>Q2</v>
      </c>
      <c r="D829" s="2" t="s">
        <v>31</v>
      </c>
      <c r="E829" s="13">
        <v>45908</v>
      </c>
      <c r="F829" s="14" t="s">
        <v>227</v>
      </c>
      <c r="G829" s="14" t="s">
        <v>15</v>
      </c>
      <c r="H829" s="14" t="s">
        <v>96</v>
      </c>
      <c r="I829" s="15">
        <v>3</v>
      </c>
      <c r="J829" s="15">
        <v>120</v>
      </c>
      <c r="K829" s="15">
        <v>67.040000000000006</v>
      </c>
      <c r="L829" s="15">
        <v>8044.8</v>
      </c>
      <c r="M829" s="15">
        <v>-618.65</v>
      </c>
      <c r="N829" s="15">
        <v>0</v>
      </c>
      <c r="O829" s="15">
        <v>965.39960299999996</v>
      </c>
      <c r="P829" s="15">
        <v>8391.5496029999995</v>
      </c>
    </row>
    <row r="830" spans="1:16" ht="15" x14ac:dyDescent="0.2">
      <c r="A830" s="4" t="s">
        <v>582</v>
      </c>
      <c r="B830" s="21" t="str">
        <f t="shared" si="24"/>
        <v>Sep-2025</v>
      </c>
      <c r="C830" s="2" t="str">
        <f t="shared" si="25"/>
        <v>Q2</v>
      </c>
      <c r="D830" s="2" t="s">
        <v>31</v>
      </c>
      <c r="E830" s="13">
        <v>45908</v>
      </c>
      <c r="F830" s="14" t="s">
        <v>227</v>
      </c>
      <c r="G830" s="14" t="s">
        <v>15</v>
      </c>
      <c r="H830" s="14" t="s">
        <v>101</v>
      </c>
      <c r="I830" s="15">
        <v>1</v>
      </c>
      <c r="J830" s="15">
        <v>24</v>
      </c>
      <c r="K830" s="15">
        <v>186.23</v>
      </c>
      <c r="L830" s="15">
        <v>4469.5200000000004</v>
      </c>
      <c r="M830" s="15">
        <v>-343.71</v>
      </c>
      <c r="N830" s="15">
        <v>0</v>
      </c>
      <c r="O830" s="15">
        <v>536.35535700000003</v>
      </c>
      <c r="P830" s="15">
        <v>4662.1653569999999</v>
      </c>
    </row>
    <row r="831" spans="1:16" ht="15" x14ac:dyDescent="0.2">
      <c r="A831" s="4" t="s">
        <v>584</v>
      </c>
      <c r="B831" s="21" t="str">
        <f t="shared" si="24"/>
        <v>Sep-2025</v>
      </c>
      <c r="C831" s="2" t="str">
        <f t="shared" si="25"/>
        <v>Q2</v>
      </c>
      <c r="D831" s="2" t="s">
        <v>31</v>
      </c>
      <c r="E831" s="13">
        <v>45908</v>
      </c>
      <c r="F831" s="14" t="s">
        <v>227</v>
      </c>
      <c r="G831" s="14" t="s">
        <v>15</v>
      </c>
      <c r="H831" s="14" t="s">
        <v>99</v>
      </c>
      <c r="I831" s="15">
        <v>2</v>
      </c>
      <c r="J831" s="15">
        <v>80</v>
      </c>
      <c r="K831" s="15">
        <v>81.94</v>
      </c>
      <c r="L831" s="15">
        <v>6555.2</v>
      </c>
      <c r="M831" s="15">
        <v>-504.09</v>
      </c>
      <c r="N831" s="15">
        <v>0</v>
      </c>
      <c r="O831" s="15">
        <v>786.64438399999995</v>
      </c>
      <c r="P831" s="15">
        <v>6837.7543839999998</v>
      </c>
    </row>
    <row r="832" spans="1:16" ht="15" x14ac:dyDescent="0.2">
      <c r="A832" s="4" t="s">
        <v>584</v>
      </c>
      <c r="B832" s="21" t="str">
        <f t="shared" si="24"/>
        <v>Sep-2025</v>
      </c>
      <c r="C832" s="2" t="str">
        <f t="shared" si="25"/>
        <v>Q2</v>
      </c>
      <c r="D832" s="2" t="s">
        <v>31</v>
      </c>
      <c r="E832" s="13">
        <v>45908</v>
      </c>
      <c r="F832" s="14" t="s">
        <v>227</v>
      </c>
      <c r="G832" s="14" t="s">
        <v>15</v>
      </c>
      <c r="H832" s="14" t="s">
        <v>120</v>
      </c>
      <c r="I832" s="15">
        <v>2</v>
      </c>
      <c r="J832" s="15">
        <v>80</v>
      </c>
      <c r="K832" s="15">
        <v>81.94</v>
      </c>
      <c r="L832" s="15">
        <v>6555.2</v>
      </c>
      <c r="M832" s="15">
        <v>-504.09</v>
      </c>
      <c r="N832" s="15">
        <v>0</v>
      </c>
      <c r="O832" s="15">
        <v>786.64438399999995</v>
      </c>
      <c r="P832" s="15">
        <v>6837.7543839999998</v>
      </c>
    </row>
    <row r="833" spans="1:16" ht="15" x14ac:dyDescent="0.2">
      <c r="A833" s="4" t="s">
        <v>576</v>
      </c>
      <c r="B833" s="21" t="str">
        <f t="shared" si="24"/>
        <v>Sep-2025</v>
      </c>
      <c r="C833" s="2" t="str">
        <f t="shared" si="25"/>
        <v>Q2</v>
      </c>
      <c r="D833" s="2" t="s">
        <v>31</v>
      </c>
      <c r="E833" s="13">
        <v>45908</v>
      </c>
      <c r="F833" s="14" t="s">
        <v>227</v>
      </c>
      <c r="G833" s="14" t="s">
        <v>15</v>
      </c>
      <c r="H833" s="14" t="s">
        <v>110</v>
      </c>
      <c r="I833" s="15">
        <v>1</v>
      </c>
      <c r="J833" s="15">
        <v>20</v>
      </c>
      <c r="K833" s="15">
        <v>175.06</v>
      </c>
      <c r="L833" s="15">
        <v>3501.2</v>
      </c>
      <c r="M833" s="15">
        <v>-269.24</v>
      </c>
      <c r="N833" s="15">
        <v>0</v>
      </c>
      <c r="O833" s="15">
        <v>420.15484500000002</v>
      </c>
      <c r="P833" s="15">
        <v>3652.1148450000001</v>
      </c>
    </row>
    <row r="834" spans="1:16" ht="15" x14ac:dyDescent="0.2">
      <c r="A834" s="4" t="s">
        <v>590</v>
      </c>
      <c r="B834" s="21" t="str">
        <f t="shared" si="24"/>
        <v>Sep-2025</v>
      </c>
      <c r="C834" s="2" t="str">
        <f t="shared" si="25"/>
        <v>Q2</v>
      </c>
      <c r="D834" s="2" t="s">
        <v>31</v>
      </c>
      <c r="E834" s="13">
        <v>45908</v>
      </c>
      <c r="F834" s="14" t="s">
        <v>227</v>
      </c>
      <c r="G834" s="14" t="s">
        <v>15</v>
      </c>
      <c r="H834" s="14" t="s">
        <v>102</v>
      </c>
      <c r="I834" s="15">
        <v>1</v>
      </c>
      <c r="J834" s="15">
        <v>20</v>
      </c>
      <c r="K834" s="15">
        <v>249.55</v>
      </c>
      <c r="L834" s="15">
        <v>4991</v>
      </c>
      <c r="M834" s="15">
        <v>-383.81</v>
      </c>
      <c r="N834" s="15">
        <v>0</v>
      </c>
      <c r="O834" s="15">
        <v>598.93476399999997</v>
      </c>
      <c r="P834" s="15">
        <v>5206.1247640000001</v>
      </c>
    </row>
    <row r="835" spans="1:16" ht="15" x14ac:dyDescent="0.2">
      <c r="A835" s="4" t="s">
        <v>576</v>
      </c>
      <c r="B835" s="21" t="str">
        <f t="shared" ref="B835:B898" si="26">+TEXT(E835,"MMM-yyy")</f>
        <v>Sep-2025</v>
      </c>
      <c r="C835" s="2" t="str">
        <f t="shared" ref="C835:C898" si="27">"Q" &amp; CHOOSE(MONTH(E835),4,4,4,1,1,1,2,2,2,3,3,3)</f>
        <v>Q2</v>
      </c>
      <c r="D835" s="2" t="s">
        <v>31</v>
      </c>
      <c r="E835" s="13">
        <v>45908</v>
      </c>
      <c r="F835" s="14" t="s">
        <v>227</v>
      </c>
      <c r="G835" s="14" t="s">
        <v>15</v>
      </c>
      <c r="H835" s="14" t="s">
        <v>123</v>
      </c>
      <c r="I835" s="15">
        <v>1</v>
      </c>
      <c r="J835" s="15">
        <v>20</v>
      </c>
      <c r="K835" s="15">
        <v>175.06</v>
      </c>
      <c r="L835" s="15">
        <v>3501.2</v>
      </c>
      <c r="M835" s="15">
        <v>-269.24</v>
      </c>
      <c r="N835" s="15">
        <v>0</v>
      </c>
      <c r="O835" s="15">
        <v>420.15484500000002</v>
      </c>
      <c r="P835" s="15">
        <v>3652.1148450000001</v>
      </c>
    </row>
    <row r="836" spans="1:16" ht="15" x14ac:dyDescent="0.2">
      <c r="A836" s="4" t="s">
        <v>579</v>
      </c>
      <c r="B836" s="21" t="str">
        <f t="shared" si="26"/>
        <v>Sep-2025</v>
      </c>
      <c r="C836" s="2" t="str">
        <f t="shared" si="27"/>
        <v>Q2</v>
      </c>
      <c r="D836" s="2" t="s">
        <v>31</v>
      </c>
      <c r="E836" s="13">
        <v>45908</v>
      </c>
      <c r="F836" s="14" t="s">
        <v>228</v>
      </c>
      <c r="G836" s="14" t="s">
        <v>15</v>
      </c>
      <c r="H836" s="14" t="s">
        <v>112</v>
      </c>
      <c r="I836" s="15">
        <v>1</v>
      </c>
      <c r="J836" s="15">
        <v>20</v>
      </c>
      <c r="K836" s="15">
        <v>204.85</v>
      </c>
      <c r="L836" s="15">
        <v>4097</v>
      </c>
      <c r="M836" s="15">
        <v>-315.06</v>
      </c>
      <c r="N836" s="15">
        <v>0</v>
      </c>
      <c r="O836" s="15">
        <v>491.65198400000003</v>
      </c>
      <c r="P836" s="15">
        <v>4273.5919839999997</v>
      </c>
    </row>
    <row r="837" spans="1:16" ht="15" x14ac:dyDescent="0.2">
      <c r="A837" s="4" t="s">
        <v>581</v>
      </c>
      <c r="B837" s="21" t="str">
        <f t="shared" si="26"/>
        <v>Sep-2025</v>
      </c>
      <c r="C837" s="2" t="str">
        <f t="shared" si="27"/>
        <v>Q2</v>
      </c>
      <c r="D837" s="2" t="s">
        <v>31</v>
      </c>
      <c r="E837" s="13">
        <v>45908</v>
      </c>
      <c r="F837" s="14" t="s">
        <v>228</v>
      </c>
      <c r="G837" s="14" t="s">
        <v>15</v>
      </c>
      <c r="H837" s="14" t="s">
        <v>66</v>
      </c>
      <c r="I837" s="15">
        <v>3</v>
      </c>
      <c r="J837" s="15">
        <v>72</v>
      </c>
      <c r="K837" s="15">
        <v>141.54</v>
      </c>
      <c r="L837" s="15">
        <v>10190.879999999999</v>
      </c>
      <c r="M837" s="15">
        <v>-783.68</v>
      </c>
      <c r="N837" s="15">
        <v>0</v>
      </c>
      <c r="O837" s="15">
        <v>1222.9354640000001</v>
      </c>
      <c r="P837" s="15">
        <v>10630.135464000001</v>
      </c>
    </row>
    <row r="838" spans="1:16" ht="15" x14ac:dyDescent="0.2">
      <c r="A838" s="4" t="s">
        <v>579</v>
      </c>
      <c r="B838" s="21" t="str">
        <f t="shared" si="26"/>
        <v>Sep-2025</v>
      </c>
      <c r="C838" s="2" t="str">
        <f t="shared" si="27"/>
        <v>Q2</v>
      </c>
      <c r="D838" s="2" t="s">
        <v>31</v>
      </c>
      <c r="E838" s="13">
        <v>45908</v>
      </c>
      <c r="F838" s="14" t="s">
        <v>228</v>
      </c>
      <c r="G838" s="14" t="s">
        <v>15</v>
      </c>
      <c r="H838" s="14" t="s">
        <v>140</v>
      </c>
      <c r="I838" s="15">
        <v>1</v>
      </c>
      <c r="J838" s="15">
        <v>20</v>
      </c>
      <c r="K838" s="15">
        <v>204.85</v>
      </c>
      <c r="L838" s="15">
        <v>4097</v>
      </c>
      <c r="M838" s="15">
        <v>-315.06</v>
      </c>
      <c r="N838" s="15">
        <v>0</v>
      </c>
      <c r="O838" s="15">
        <v>491.65198400000003</v>
      </c>
      <c r="P838" s="15">
        <v>4273.5919839999997</v>
      </c>
    </row>
    <row r="839" spans="1:16" ht="15" x14ac:dyDescent="0.2">
      <c r="A839" s="4" t="s">
        <v>586</v>
      </c>
      <c r="B839" s="21" t="str">
        <f t="shared" si="26"/>
        <v>Sep-2025</v>
      </c>
      <c r="C839" s="2" t="str">
        <f t="shared" si="27"/>
        <v>Q2</v>
      </c>
      <c r="D839" s="2" t="s">
        <v>31</v>
      </c>
      <c r="E839" s="13">
        <v>45908</v>
      </c>
      <c r="F839" s="14" t="s">
        <v>228</v>
      </c>
      <c r="G839" s="14" t="s">
        <v>15</v>
      </c>
      <c r="H839" s="14" t="s">
        <v>76</v>
      </c>
      <c r="I839" s="15">
        <v>2</v>
      </c>
      <c r="J839" s="15">
        <v>480</v>
      </c>
      <c r="K839" s="15">
        <v>14.9</v>
      </c>
      <c r="L839" s="15">
        <v>7152</v>
      </c>
      <c r="M839" s="15">
        <v>-549.99</v>
      </c>
      <c r="N839" s="15">
        <v>0</v>
      </c>
      <c r="O839" s="15">
        <v>858.26092400000005</v>
      </c>
      <c r="P839" s="15">
        <v>7460.2709240000004</v>
      </c>
    </row>
    <row r="840" spans="1:16" ht="15" x14ac:dyDescent="0.2">
      <c r="A840" s="4" t="s">
        <v>579</v>
      </c>
      <c r="B840" s="21" t="str">
        <f t="shared" si="26"/>
        <v>Sep-2025</v>
      </c>
      <c r="C840" s="2" t="str">
        <f t="shared" si="27"/>
        <v>Q2</v>
      </c>
      <c r="D840" s="2" t="s">
        <v>31</v>
      </c>
      <c r="E840" s="13">
        <v>45908</v>
      </c>
      <c r="F840" s="14" t="s">
        <v>228</v>
      </c>
      <c r="G840" s="14" t="s">
        <v>15</v>
      </c>
      <c r="H840" s="14" t="s">
        <v>90</v>
      </c>
      <c r="I840" s="15">
        <v>1</v>
      </c>
      <c r="J840" s="15">
        <v>20</v>
      </c>
      <c r="K840" s="15">
        <v>204.85</v>
      </c>
      <c r="L840" s="15">
        <v>4097</v>
      </c>
      <c r="M840" s="15">
        <v>-315.06</v>
      </c>
      <c r="N840" s="15">
        <v>0</v>
      </c>
      <c r="O840" s="15">
        <v>491.65198400000003</v>
      </c>
      <c r="P840" s="15">
        <v>4273.5919839999997</v>
      </c>
    </row>
    <row r="841" spans="1:16" ht="15" x14ac:dyDescent="0.2">
      <c r="A841" s="4" t="s">
        <v>579</v>
      </c>
      <c r="B841" s="21" t="str">
        <f t="shared" si="26"/>
        <v>Sep-2025</v>
      </c>
      <c r="C841" s="2" t="str">
        <f t="shared" si="27"/>
        <v>Q2</v>
      </c>
      <c r="D841" s="2" t="s">
        <v>31</v>
      </c>
      <c r="E841" s="13">
        <v>45908</v>
      </c>
      <c r="F841" s="14" t="s">
        <v>228</v>
      </c>
      <c r="G841" s="14" t="s">
        <v>15</v>
      </c>
      <c r="H841" s="14" t="s">
        <v>91</v>
      </c>
      <c r="I841" s="15">
        <v>1</v>
      </c>
      <c r="J841" s="15">
        <v>20</v>
      </c>
      <c r="K841" s="15">
        <v>204.85</v>
      </c>
      <c r="L841" s="15">
        <v>4097</v>
      </c>
      <c r="M841" s="15">
        <v>-315.06</v>
      </c>
      <c r="N841" s="15">
        <v>0</v>
      </c>
      <c r="O841" s="15">
        <v>491.65198400000003</v>
      </c>
      <c r="P841" s="15">
        <v>4273.5919839999997</v>
      </c>
    </row>
    <row r="842" spans="1:16" ht="15" x14ac:dyDescent="0.2">
      <c r="A842" s="4" t="s">
        <v>582</v>
      </c>
      <c r="B842" s="21" t="str">
        <f t="shared" si="26"/>
        <v>Sep-2025</v>
      </c>
      <c r="C842" s="2" t="str">
        <f t="shared" si="27"/>
        <v>Q2</v>
      </c>
      <c r="D842" s="2" t="s">
        <v>31</v>
      </c>
      <c r="E842" s="13">
        <v>45908</v>
      </c>
      <c r="F842" s="14" t="s">
        <v>228</v>
      </c>
      <c r="G842" s="14" t="s">
        <v>15</v>
      </c>
      <c r="H842" s="14" t="s">
        <v>108</v>
      </c>
      <c r="I842" s="15">
        <v>2</v>
      </c>
      <c r="J842" s="15">
        <v>48</v>
      </c>
      <c r="K842" s="15">
        <v>186.23</v>
      </c>
      <c r="L842" s="15">
        <v>8939.0400000000009</v>
      </c>
      <c r="M842" s="15">
        <v>-687.41</v>
      </c>
      <c r="N842" s="15">
        <v>0</v>
      </c>
      <c r="O842" s="15">
        <v>1072.7114300000001</v>
      </c>
      <c r="P842" s="15">
        <v>9324.3414300000004</v>
      </c>
    </row>
    <row r="843" spans="1:16" ht="15" x14ac:dyDescent="0.2">
      <c r="A843" s="4" t="s">
        <v>579</v>
      </c>
      <c r="B843" s="21" t="str">
        <f t="shared" si="26"/>
        <v>Sep-2025</v>
      </c>
      <c r="C843" s="2" t="str">
        <f t="shared" si="27"/>
        <v>Q2</v>
      </c>
      <c r="D843" s="2" t="s">
        <v>31</v>
      </c>
      <c r="E843" s="13">
        <v>45908</v>
      </c>
      <c r="F843" s="14" t="s">
        <v>228</v>
      </c>
      <c r="G843" s="14" t="s">
        <v>15</v>
      </c>
      <c r="H843" s="14" t="s">
        <v>92</v>
      </c>
      <c r="I843" s="15">
        <v>1</v>
      </c>
      <c r="J843" s="15">
        <v>20</v>
      </c>
      <c r="K843" s="15">
        <v>242.1</v>
      </c>
      <c r="L843" s="15">
        <v>4841.9999999999991</v>
      </c>
      <c r="M843" s="15">
        <v>-372.35</v>
      </c>
      <c r="N843" s="15">
        <v>0</v>
      </c>
      <c r="O843" s="15">
        <v>581.05424499999992</v>
      </c>
      <c r="P843" s="15">
        <v>5050.7042449999999</v>
      </c>
    </row>
    <row r="844" spans="1:16" ht="15" x14ac:dyDescent="0.2">
      <c r="A844" s="4" t="s">
        <v>584</v>
      </c>
      <c r="B844" s="21" t="str">
        <f t="shared" si="26"/>
        <v>Sep-2025</v>
      </c>
      <c r="C844" s="2" t="str">
        <f t="shared" si="27"/>
        <v>Q2</v>
      </c>
      <c r="D844" s="2" t="s">
        <v>31</v>
      </c>
      <c r="E844" s="13">
        <v>45908</v>
      </c>
      <c r="F844" s="14" t="s">
        <v>229</v>
      </c>
      <c r="G844" s="14" t="s">
        <v>23</v>
      </c>
      <c r="H844" s="14" t="s">
        <v>99</v>
      </c>
      <c r="I844" s="15">
        <v>5</v>
      </c>
      <c r="J844" s="15">
        <v>200</v>
      </c>
      <c r="K844" s="15">
        <v>81.94</v>
      </c>
      <c r="L844" s="15">
        <v>16388</v>
      </c>
      <c r="M844" s="15">
        <v>-1260.24</v>
      </c>
      <c r="N844" s="15">
        <v>0</v>
      </c>
      <c r="O844" s="15">
        <v>1966.6065859999999</v>
      </c>
      <c r="P844" s="15">
        <v>17094.366586</v>
      </c>
    </row>
    <row r="845" spans="1:16" ht="15" x14ac:dyDescent="0.2">
      <c r="A845" s="4" t="s">
        <v>584</v>
      </c>
      <c r="B845" s="21" t="str">
        <f t="shared" si="26"/>
        <v>Sep-2025</v>
      </c>
      <c r="C845" s="2" t="str">
        <f t="shared" si="27"/>
        <v>Q2</v>
      </c>
      <c r="D845" s="2" t="s">
        <v>31</v>
      </c>
      <c r="E845" s="13">
        <v>45908</v>
      </c>
      <c r="F845" s="14" t="s">
        <v>229</v>
      </c>
      <c r="G845" s="14" t="s">
        <v>23</v>
      </c>
      <c r="H845" s="14" t="s">
        <v>100</v>
      </c>
      <c r="I845" s="15">
        <v>2</v>
      </c>
      <c r="J845" s="15">
        <v>80</v>
      </c>
      <c r="K845" s="15">
        <v>81.94</v>
      </c>
      <c r="L845" s="15">
        <v>6555.2</v>
      </c>
      <c r="M845" s="15">
        <v>-504.09</v>
      </c>
      <c r="N845" s="15">
        <v>0</v>
      </c>
      <c r="O845" s="15">
        <v>786.64341400000001</v>
      </c>
      <c r="P845" s="15">
        <v>6837.7534139999998</v>
      </c>
    </row>
    <row r="846" spans="1:16" ht="15" x14ac:dyDescent="0.2">
      <c r="A846" s="4" t="s">
        <v>584</v>
      </c>
      <c r="B846" s="21" t="str">
        <f t="shared" si="26"/>
        <v>Sep-2025</v>
      </c>
      <c r="C846" s="2" t="str">
        <f t="shared" si="27"/>
        <v>Q2</v>
      </c>
      <c r="D846" s="2" t="s">
        <v>31</v>
      </c>
      <c r="E846" s="13">
        <v>45908</v>
      </c>
      <c r="F846" s="14" t="s">
        <v>230</v>
      </c>
      <c r="G846" s="14" t="s">
        <v>21</v>
      </c>
      <c r="H846" s="14" t="s">
        <v>100</v>
      </c>
      <c r="I846" s="15">
        <v>2</v>
      </c>
      <c r="J846" s="15">
        <v>80</v>
      </c>
      <c r="K846" s="15">
        <v>81.94</v>
      </c>
      <c r="L846" s="15">
        <v>6555.2</v>
      </c>
      <c r="M846" s="15">
        <v>-504.09</v>
      </c>
      <c r="N846" s="15">
        <v>0</v>
      </c>
      <c r="O846" s="15">
        <v>786.644136</v>
      </c>
      <c r="P846" s="15">
        <v>6837.7541359999996</v>
      </c>
    </row>
    <row r="847" spans="1:16" ht="15" x14ac:dyDescent="0.2">
      <c r="A847" s="4" t="s">
        <v>580</v>
      </c>
      <c r="B847" s="21" t="str">
        <f t="shared" si="26"/>
        <v>Sep-2025</v>
      </c>
      <c r="C847" s="2" t="str">
        <f t="shared" si="27"/>
        <v>Q2</v>
      </c>
      <c r="D847" s="2" t="s">
        <v>31</v>
      </c>
      <c r="E847" s="13">
        <v>45908</v>
      </c>
      <c r="F847" s="14" t="s">
        <v>230</v>
      </c>
      <c r="G847" s="14" t="s">
        <v>21</v>
      </c>
      <c r="H847" s="14" t="s">
        <v>65</v>
      </c>
      <c r="I847" s="15">
        <v>1</v>
      </c>
      <c r="J847" s="15">
        <v>130</v>
      </c>
      <c r="K847" s="15">
        <v>37.25</v>
      </c>
      <c r="L847" s="15">
        <v>4842.5</v>
      </c>
      <c r="M847" s="15">
        <v>-372.39</v>
      </c>
      <c r="N847" s="15">
        <v>0</v>
      </c>
      <c r="O847" s="15">
        <v>581.11417900000004</v>
      </c>
      <c r="P847" s="15">
        <v>5051.2241789999998</v>
      </c>
    </row>
    <row r="848" spans="1:16" ht="15" x14ac:dyDescent="0.2">
      <c r="A848" s="4" t="s">
        <v>575</v>
      </c>
      <c r="B848" s="21" t="str">
        <f t="shared" si="26"/>
        <v>Sep-2025</v>
      </c>
      <c r="C848" s="2" t="str">
        <f t="shared" si="27"/>
        <v>Q2</v>
      </c>
      <c r="D848" s="2" t="s">
        <v>31</v>
      </c>
      <c r="E848" s="13">
        <v>45908</v>
      </c>
      <c r="F848" s="14" t="s">
        <v>230</v>
      </c>
      <c r="G848" s="14" t="s">
        <v>21</v>
      </c>
      <c r="H848" s="14" t="s">
        <v>55</v>
      </c>
      <c r="I848" s="15">
        <v>3</v>
      </c>
      <c r="J848" s="15">
        <v>60</v>
      </c>
      <c r="K848" s="15">
        <v>186.23</v>
      </c>
      <c r="L848" s="15">
        <v>11173.8</v>
      </c>
      <c r="M848" s="15">
        <v>-859.2700000000001</v>
      </c>
      <c r="N848" s="15">
        <v>0</v>
      </c>
      <c r="O848" s="15">
        <v>1340.8886200000002</v>
      </c>
      <c r="P848" s="15">
        <v>11655.41862</v>
      </c>
    </row>
    <row r="849" spans="1:16" ht="15" x14ac:dyDescent="0.2">
      <c r="A849" s="4" t="s">
        <v>586</v>
      </c>
      <c r="B849" s="21" t="str">
        <f t="shared" si="26"/>
        <v>Sep-2025</v>
      </c>
      <c r="C849" s="2" t="str">
        <f t="shared" si="27"/>
        <v>Q2</v>
      </c>
      <c r="D849" s="2" t="s">
        <v>31</v>
      </c>
      <c r="E849" s="13">
        <v>45908</v>
      </c>
      <c r="F849" s="14" t="s">
        <v>230</v>
      </c>
      <c r="G849" s="14" t="s">
        <v>21</v>
      </c>
      <c r="H849" s="14" t="s">
        <v>78</v>
      </c>
      <c r="I849" s="15">
        <v>2</v>
      </c>
      <c r="J849" s="15">
        <v>1200</v>
      </c>
      <c r="K849" s="15">
        <v>7.46</v>
      </c>
      <c r="L849" s="15">
        <v>8952</v>
      </c>
      <c r="M849" s="15">
        <v>-688.41</v>
      </c>
      <c r="N849" s="15">
        <v>0</v>
      </c>
      <c r="O849" s="15">
        <v>1074.266476</v>
      </c>
      <c r="P849" s="15">
        <v>9337.8564760000008</v>
      </c>
    </row>
    <row r="850" spans="1:16" ht="15" x14ac:dyDescent="0.2">
      <c r="A850" s="4" t="s">
        <v>576</v>
      </c>
      <c r="B850" s="21" t="str">
        <f t="shared" si="26"/>
        <v>Sep-2025</v>
      </c>
      <c r="C850" s="2" t="str">
        <f t="shared" si="27"/>
        <v>Q2</v>
      </c>
      <c r="D850" s="2" t="s">
        <v>31</v>
      </c>
      <c r="E850" s="13">
        <v>45908</v>
      </c>
      <c r="F850" s="14" t="s">
        <v>230</v>
      </c>
      <c r="G850" s="14" t="s">
        <v>21</v>
      </c>
      <c r="H850" s="14" t="s">
        <v>124</v>
      </c>
      <c r="I850" s="15">
        <v>2</v>
      </c>
      <c r="J850" s="15">
        <v>40</v>
      </c>
      <c r="K850" s="15">
        <v>175.06</v>
      </c>
      <c r="L850" s="15">
        <v>7002.4</v>
      </c>
      <c r="M850" s="15">
        <v>-538.48</v>
      </c>
      <c r="N850" s="15">
        <v>0</v>
      </c>
      <c r="O850" s="15">
        <v>840.30942500000003</v>
      </c>
      <c r="P850" s="15">
        <v>7304.2294250000004</v>
      </c>
    </row>
    <row r="851" spans="1:16" ht="15" x14ac:dyDescent="0.2">
      <c r="A851" s="4" t="s">
        <v>574</v>
      </c>
      <c r="B851" s="21" t="str">
        <f t="shared" si="26"/>
        <v>Sep-2025</v>
      </c>
      <c r="C851" s="2" t="str">
        <f t="shared" si="27"/>
        <v>Q2</v>
      </c>
      <c r="D851" s="2" t="s">
        <v>31</v>
      </c>
      <c r="E851" s="13">
        <v>45908</v>
      </c>
      <c r="F851" s="14" t="s">
        <v>230</v>
      </c>
      <c r="G851" s="14" t="s">
        <v>21</v>
      </c>
      <c r="H851" s="14" t="s">
        <v>84</v>
      </c>
      <c r="I851" s="15">
        <v>1</v>
      </c>
      <c r="J851" s="15">
        <v>18</v>
      </c>
      <c r="K851" s="15">
        <v>178.78</v>
      </c>
      <c r="L851" s="15">
        <v>3218.0400000000004</v>
      </c>
      <c r="M851" s="15">
        <v>-247.47</v>
      </c>
      <c r="N851" s="15">
        <v>0</v>
      </c>
      <c r="O851" s="15">
        <v>386.17401899999999</v>
      </c>
      <c r="P851" s="15">
        <v>3356.7440190000002</v>
      </c>
    </row>
    <row r="852" spans="1:16" ht="15" x14ac:dyDescent="0.2">
      <c r="A852" s="4" t="s">
        <v>581</v>
      </c>
      <c r="B852" s="21" t="str">
        <f t="shared" si="26"/>
        <v>Sep-2025</v>
      </c>
      <c r="C852" s="2" t="str">
        <f t="shared" si="27"/>
        <v>Q2</v>
      </c>
      <c r="D852" s="2" t="s">
        <v>31</v>
      </c>
      <c r="E852" s="13">
        <v>45908</v>
      </c>
      <c r="F852" s="14" t="s">
        <v>230</v>
      </c>
      <c r="G852" s="14" t="s">
        <v>21</v>
      </c>
      <c r="H852" s="14" t="s">
        <v>66</v>
      </c>
      <c r="I852" s="15">
        <v>1</v>
      </c>
      <c r="J852" s="15">
        <v>24</v>
      </c>
      <c r="K852" s="15">
        <v>141.54</v>
      </c>
      <c r="L852" s="15">
        <v>3396.96</v>
      </c>
      <c r="M852" s="15">
        <v>-261.23</v>
      </c>
      <c r="N852" s="15">
        <v>0</v>
      </c>
      <c r="O852" s="15">
        <v>407.64481499999999</v>
      </c>
      <c r="P852" s="15">
        <v>3543.3748150000001</v>
      </c>
    </row>
    <row r="853" spans="1:16" ht="15" x14ac:dyDescent="0.2">
      <c r="A853" s="4" t="s">
        <v>584</v>
      </c>
      <c r="B853" s="21" t="str">
        <f t="shared" si="26"/>
        <v>Sep-2025</v>
      </c>
      <c r="C853" s="2" t="str">
        <f t="shared" si="27"/>
        <v>Q2</v>
      </c>
      <c r="D853" s="2" t="s">
        <v>31</v>
      </c>
      <c r="E853" s="13">
        <v>45908</v>
      </c>
      <c r="F853" s="14" t="s">
        <v>230</v>
      </c>
      <c r="G853" s="14" t="s">
        <v>21</v>
      </c>
      <c r="H853" s="14" t="s">
        <v>99</v>
      </c>
      <c r="I853" s="15">
        <v>2</v>
      </c>
      <c r="J853" s="15">
        <v>80</v>
      </c>
      <c r="K853" s="15">
        <v>81.94</v>
      </c>
      <c r="L853" s="15">
        <v>6555.2</v>
      </c>
      <c r="M853" s="15">
        <v>-504.09</v>
      </c>
      <c r="N853" s="15">
        <v>0</v>
      </c>
      <c r="O853" s="15">
        <v>786.644136</v>
      </c>
      <c r="P853" s="15">
        <v>6837.7541359999996</v>
      </c>
    </row>
    <row r="854" spans="1:16" ht="15" x14ac:dyDescent="0.2">
      <c r="A854" s="4" t="s">
        <v>579</v>
      </c>
      <c r="B854" s="21" t="str">
        <f t="shared" si="26"/>
        <v>Sep-2025</v>
      </c>
      <c r="C854" s="2" t="str">
        <f t="shared" si="27"/>
        <v>Q2</v>
      </c>
      <c r="D854" s="2" t="s">
        <v>31</v>
      </c>
      <c r="E854" s="13">
        <v>45908</v>
      </c>
      <c r="F854" s="14" t="s">
        <v>230</v>
      </c>
      <c r="G854" s="14" t="s">
        <v>21</v>
      </c>
      <c r="H854" s="14" t="s">
        <v>112</v>
      </c>
      <c r="I854" s="15">
        <v>1</v>
      </c>
      <c r="J854" s="15">
        <v>20</v>
      </c>
      <c r="K854" s="15">
        <v>204.85</v>
      </c>
      <c r="L854" s="15">
        <v>4097</v>
      </c>
      <c r="M854" s="15">
        <v>-315.06</v>
      </c>
      <c r="N854" s="15">
        <v>0</v>
      </c>
      <c r="O854" s="15">
        <v>491.65209699999997</v>
      </c>
      <c r="P854" s="15">
        <v>4273.5920969999997</v>
      </c>
    </row>
    <row r="855" spans="1:16" ht="15" x14ac:dyDescent="0.2">
      <c r="A855" s="4" t="s">
        <v>579</v>
      </c>
      <c r="B855" s="21" t="str">
        <f t="shared" si="26"/>
        <v>Sep-2025</v>
      </c>
      <c r="C855" s="2" t="str">
        <f t="shared" si="27"/>
        <v>Q2</v>
      </c>
      <c r="D855" s="2" t="s">
        <v>31</v>
      </c>
      <c r="E855" s="13">
        <v>45908</v>
      </c>
      <c r="F855" s="14" t="s">
        <v>230</v>
      </c>
      <c r="G855" s="14" t="s">
        <v>21</v>
      </c>
      <c r="H855" s="14" t="s">
        <v>90</v>
      </c>
      <c r="I855" s="15">
        <v>1</v>
      </c>
      <c r="J855" s="15">
        <v>20</v>
      </c>
      <c r="K855" s="15">
        <v>204.85</v>
      </c>
      <c r="L855" s="15">
        <v>4097</v>
      </c>
      <c r="M855" s="15">
        <v>-315.06</v>
      </c>
      <c r="N855" s="15">
        <v>0</v>
      </c>
      <c r="O855" s="15">
        <v>491.65209699999997</v>
      </c>
      <c r="P855" s="15">
        <v>4273.5920969999997</v>
      </c>
    </row>
    <row r="856" spans="1:16" ht="15" x14ac:dyDescent="0.2">
      <c r="A856" s="4" t="s">
        <v>584</v>
      </c>
      <c r="B856" s="21" t="str">
        <f t="shared" si="26"/>
        <v>Sep-2025</v>
      </c>
      <c r="C856" s="2" t="str">
        <f t="shared" si="27"/>
        <v>Q2</v>
      </c>
      <c r="D856" s="2" t="s">
        <v>31</v>
      </c>
      <c r="E856" s="13">
        <v>45908</v>
      </c>
      <c r="F856" s="14" t="s">
        <v>231</v>
      </c>
      <c r="G856" s="14" t="s">
        <v>171</v>
      </c>
      <c r="H856" s="14" t="s">
        <v>99</v>
      </c>
      <c r="I856" s="15">
        <v>2</v>
      </c>
      <c r="J856" s="15">
        <v>80</v>
      </c>
      <c r="K856" s="15">
        <v>81.94</v>
      </c>
      <c r="L856" s="15">
        <v>6555.2</v>
      </c>
      <c r="M856" s="15">
        <v>-504.09</v>
      </c>
      <c r="N856" s="15">
        <v>0</v>
      </c>
      <c r="O856" s="15">
        <v>786.64321199999995</v>
      </c>
      <c r="P856" s="15">
        <v>6837.7532119999996</v>
      </c>
    </row>
    <row r="857" spans="1:16" ht="15" x14ac:dyDescent="0.2">
      <c r="A857" s="4" t="s">
        <v>588</v>
      </c>
      <c r="B857" s="21" t="str">
        <f t="shared" si="26"/>
        <v>Sep-2025</v>
      </c>
      <c r="C857" s="2" t="str">
        <f t="shared" si="27"/>
        <v>Q2</v>
      </c>
      <c r="D857" s="2" t="s">
        <v>31</v>
      </c>
      <c r="E857" s="13">
        <v>45908</v>
      </c>
      <c r="F857" s="14" t="s">
        <v>231</v>
      </c>
      <c r="G857" s="14" t="s">
        <v>171</v>
      </c>
      <c r="H857" s="14" t="s">
        <v>95</v>
      </c>
      <c r="I857" s="15">
        <v>1</v>
      </c>
      <c r="J857" s="15">
        <v>60</v>
      </c>
      <c r="K857" s="15">
        <v>111.74</v>
      </c>
      <c r="L857" s="15">
        <v>6704.4</v>
      </c>
      <c r="M857" s="15">
        <v>-515.57000000000005</v>
      </c>
      <c r="N857" s="15">
        <v>0</v>
      </c>
      <c r="O857" s="15">
        <v>804.54678799999999</v>
      </c>
      <c r="P857" s="15">
        <v>6993.3767879999996</v>
      </c>
    </row>
    <row r="858" spans="1:16" ht="15" x14ac:dyDescent="0.2">
      <c r="A858" s="4" t="s">
        <v>590</v>
      </c>
      <c r="B858" s="21" t="str">
        <f t="shared" si="26"/>
        <v>Sep-2025</v>
      </c>
      <c r="C858" s="2" t="str">
        <f t="shared" si="27"/>
        <v>Q2</v>
      </c>
      <c r="D858" s="2" t="s">
        <v>31</v>
      </c>
      <c r="E858" s="13">
        <v>45908</v>
      </c>
      <c r="F858" s="14" t="s">
        <v>232</v>
      </c>
      <c r="G858" s="14" t="s">
        <v>159</v>
      </c>
      <c r="H858" s="14" t="s">
        <v>102</v>
      </c>
      <c r="I858" s="15">
        <v>10</v>
      </c>
      <c r="J858" s="15">
        <v>200</v>
      </c>
      <c r="K858" s="15">
        <v>249.55</v>
      </c>
      <c r="L858" s="15">
        <v>49910</v>
      </c>
      <c r="M858" s="15">
        <v>-3838.08</v>
      </c>
      <c r="N858" s="15">
        <v>0</v>
      </c>
      <c r="O858" s="15">
        <v>5989.3499999999995</v>
      </c>
      <c r="P858" s="15">
        <v>52061.27</v>
      </c>
    </row>
    <row r="859" spans="1:16" ht="15" x14ac:dyDescent="0.2">
      <c r="A859" s="4" t="s">
        <v>589</v>
      </c>
      <c r="B859" s="21" t="str">
        <f t="shared" si="26"/>
        <v>Sep-2025</v>
      </c>
      <c r="C859" s="2" t="str">
        <f t="shared" si="27"/>
        <v>Q2</v>
      </c>
      <c r="D859" s="2" t="s">
        <v>31</v>
      </c>
      <c r="E859" s="13">
        <v>45914</v>
      </c>
      <c r="F859" s="14" t="s">
        <v>233</v>
      </c>
      <c r="G859" s="14" t="s">
        <v>25</v>
      </c>
      <c r="H859" s="14" t="s">
        <v>105</v>
      </c>
      <c r="I859" s="15">
        <v>9</v>
      </c>
      <c r="J859" s="15">
        <v>270</v>
      </c>
      <c r="K859" s="15">
        <v>282.08</v>
      </c>
      <c r="L859" s="15">
        <v>76161.600000000006</v>
      </c>
      <c r="M859" s="15">
        <v>0</v>
      </c>
      <c r="N859" s="15">
        <v>0</v>
      </c>
      <c r="O859" s="15">
        <v>9901.0087909999984</v>
      </c>
      <c r="P859" s="15">
        <v>86062.608791000006</v>
      </c>
    </row>
    <row r="860" spans="1:16" ht="15" x14ac:dyDescent="0.2">
      <c r="A860" s="4" t="s">
        <v>589</v>
      </c>
      <c r="B860" s="21" t="str">
        <f t="shared" si="26"/>
        <v>Sep-2025</v>
      </c>
      <c r="C860" s="2" t="str">
        <f t="shared" si="27"/>
        <v>Q2</v>
      </c>
      <c r="D860" s="2" t="s">
        <v>31</v>
      </c>
      <c r="E860" s="13">
        <v>45914</v>
      </c>
      <c r="F860" s="14" t="s">
        <v>233</v>
      </c>
      <c r="G860" s="14" t="s">
        <v>25</v>
      </c>
      <c r="H860" s="14" t="s">
        <v>98</v>
      </c>
      <c r="I860" s="15">
        <v>15</v>
      </c>
      <c r="J860" s="15">
        <v>900</v>
      </c>
      <c r="K860" s="15">
        <v>129.41999999999999</v>
      </c>
      <c r="L860" s="15">
        <v>116478</v>
      </c>
      <c r="M860" s="15">
        <v>0</v>
      </c>
      <c r="N860" s="15">
        <v>0</v>
      </c>
      <c r="O860" s="15">
        <v>15142.141208999999</v>
      </c>
      <c r="P860" s="15">
        <v>131620.14120899999</v>
      </c>
    </row>
    <row r="861" spans="1:16" ht="15" x14ac:dyDescent="0.2">
      <c r="A861" s="4" t="s">
        <v>573</v>
      </c>
      <c r="B861" s="21" t="str">
        <f t="shared" si="26"/>
        <v>Sep-2025</v>
      </c>
      <c r="C861" s="2" t="str">
        <f t="shared" si="27"/>
        <v>Q2</v>
      </c>
      <c r="D861" s="2" t="s">
        <v>31</v>
      </c>
      <c r="E861" s="13">
        <v>45915</v>
      </c>
      <c r="F861" s="14" t="s">
        <v>234</v>
      </c>
      <c r="G861" s="14" t="s">
        <v>235</v>
      </c>
      <c r="H861" s="14" t="s">
        <v>111</v>
      </c>
      <c r="I861" s="15">
        <v>1</v>
      </c>
      <c r="J861" s="15">
        <v>40</v>
      </c>
      <c r="K861" s="15">
        <v>111.74</v>
      </c>
      <c r="L861" s="15">
        <v>4469.6000000000004</v>
      </c>
      <c r="M861" s="15">
        <v>-343.71</v>
      </c>
      <c r="N861" s="15">
        <v>0</v>
      </c>
      <c r="O861" s="15">
        <v>536.36584300000004</v>
      </c>
      <c r="P861" s="15">
        <v>4662.2558429999999</v>
      </c>
    </row>
    <row r="862" spans="1:16" ht="15" x14ac:dyDescent="0.2">
      <c r="A862" s="4" t="s">
        <v>586</v>
      </c>
      <c r="B862" s="21" t="str">
        <f t="shared" si="26"/>
        <v>Sep-2025</v>
      </c>
      <c r="C862" s="2" t="str">
        <f t="shared" si="27"/>
        <v>Q2</v>
      </c>
      <c r="D862" s="2" t="s">
        <v>31</v>
      </c>
      <c r="E862" s="13">
        <v>45915</v>
      </c>
      <c r="F862" s="14" t="s">
        <v>234</v>
      </c>
      <c r="G862" s="14" t="s">
        <v>235</v>
      </c>
      <c r="H862" s="14" t="s">
        <v>76</v>
      </c>
      <c r="I862" s="15">
        <v>1</v>
      </c>
      <c r="J862" s="15">
        <v>240</v>
      </c>
      <c r="K862" s="15">
        <v>14.9</v>
      </c>
      <c r="L862" s="15">
        <v>3576</v>
      </c>
      <c r="M862" s="15">
        <v>-274.99</v>
      </c>
      <c r="N862" s="15">
        <v>0</v>
      </c>
      <c r="O862" s="15">
        <v>429.13141399999995</v>
      </c>
      <c r="P862" s="15">
        <v>3730.1414140000002</v>
      </c>
    </row>
    <row r="863" spans="1:16" ht="15" x14ac:dyDescent="0.2">
      <c r="A863" s="4" t="s">
        <v>583</v>
      </c>
      <c r="B863" s="21" t="str">
        <f t="shared" si="26"/>
        <v>Sep-2025</v>
      </c>
      <c r="C863" s="2" t="str">
        <f t="shared" si="27"/>
        <v>Q2</v>
      </c>
      <c r="D863" s="2" t="s">
        <v>31</v>
      </c>
      <c r="E863" s="13">
        <v>45915</v>
      </c>
      <c r="F863" s="14" t="s">
        <v>234</v>
      </c>
      <c r="G863" s="14" t="s">
        <v>235</v>
      </c>
      <c r="H863" s="14" t="s">
        <v>113</v>
      </c>
      <c r="I863" s="15">
        <v>1</v>
      </c>
      <c r="J863" s="15">
        <v>15</v>
      </c>
      <c r="K863" s="15">
        <v>260.72000000000003</v>
      </c>
      <c r="L863" s="15">
        <v>3910.8</v>
      </c>
      <c r="M863" s="15">
        <v>-300.74</v>
      </c>
      <c r="N863" s="15">
        <v>0</v>
      </c>
      <c r="O863" s="15">
        <v>469.30792499999995</v>
      </c>
      <c r="P863" s="15">
        <v>4079.367925</v>
      </c>
    </row>
    <row r="864" spans="1:16" ht="15" x14ac:dyDescent="0.2">
      <c r="A864" s="4" t="s">
        <v>582</v>
      </c>
      <c r="B864" s="21" t="str">
        <f t="shared" si="26"/>
        <v>Sep-2025</v>
      </c>
      <c r="C864" s="2" t="str">
        <f t="shared" si="27"/>
        <v>Q2</v>
      </c>
      <c r="D864" s="2" t="s">
        <v>31</v>
      </c>
      <c r="E864" s="13">
        <v>45915</v>
      </c>
      <c r="F864" s="14" t="s">
        <v>234</v>
      </c>
      <c r="G864" s="14" t="s">
        <v>235</v>
      </c>
      <c r="H864" s="14" t="s">
        <v>77</v>
      </c>
      <c r="I864" s="15">
        <v>1</v>
      </c>
      <c r="J864" s="15">
        <v>24</v>
      </c>
      <c r="K864" s="15">
        <v>204.85</v>
      </c>
      <c r="L864" s="15">
        <v>4916.4000000000005</v>
      </c>
      <c r="M864" s="15">
        <v>-378.07</v>
      </c>
      <c r="N864" s="15">
        <v>0</v>
      </c>
      <c r="O864" s="15">
        <v>589.98305700000003</v>
      </c>
      <c r="P864" s="15">
        <v>5128.3130570000003</v>
      </c>
    </row>
    <row r="865" spans="1:16" ht="15" x14ac:dyDescent="0.2">
      <c r="A865" s="4" t="s">
        <v>581</v>
      </c>
      <c r="B865" s="21" t="str">
        <f t="shared" si="26"/>
        <v>Sep-2025</v>
      </c>
      <c r="C865" s="2" t="str">
        <f t="shared" si="27"/>
        <v>Q2</v>
      </c>
      <c r="D865" s="2" t="s">
        <v>31</v>
      </c>
      <c r="E865" s="13">
        <v>45915</v>
      </c>
      <c r="F865" s="14" t="s">
        <v>234</v>
      </c>
      <c r="G865" s="14" t="s">
        <v>235</v>
      </c>
      <c r="H865" s="14" t="s">
        <v>66</v>
      </c>
      <c r="I865" s="15">
        <v>1</v>
      </c>
      <c r="J865" s="15">
        <v>24</v>
      </c>
      <c r="K865" s="15">
        <v>141.54</v>
      </c>
      <c r="L865" s="15">
        <v>3396.96</v>
      </c>
      <c r="M865" s="15">
        <v>-261.23</v>
      </c>
      <c r="N865" s="15">
        <v>0</v>
      </c>
      <c r="O865" s="15">
        <v>407.64500900000002</v>
      </c>
      <c r="P865" s="15">
        <v>3543.3750089999999</v>
      </c>
    </row>
    <row r="866" spans="1:16" ht="15" x14ac:dyDescent="0.2">
      <c r="A866" s="4" t="s">
        <v>583</v>
      </c>
      <c r="B866" s="21" t="str">
        <f t="shared" si="26"/>
        <v>Sep-2025</v>
      </c>
      <c r="C866" s="2" t="str">
        <f t="shared" si="27"/>
        <v>Q2</v>
      </c>
      <c r="D866" s="2" t="s">
        <v>31</v>
      </c>
      <c r="E866" s="13">
        <v>45915</v>
      </c>
      <c r="F866" s="14" t="s">
        <v>234</v>
      </c>
      <c r="G866" s="14" t="s">
        <v>235</v>
      </c>
      <c r="H866" s="14" t="s">
        <v>109</v>
      </c>
      <c r="I866" s="15">
        <v>1</v>
      </c>
      <c r="J866" s="15">
        <v>15</v>
      </c>
      <c r="K866" s="15">
        <v>260.72000000000003</v>
      </c>
      <c r="L866" s="15">
        <v>3910.8</v>
      </c>
      <c r="M866" s="15">
        <v>-300.74</v>
      </c>
      <c r="N866" s="15">
        <v>0</v>
      </c>
      <c r="O866" s="15">
        <v>469.30792499999995</v>
      </c>
      <c r="P866" s="15">
        <v>4079.367925</v>
      </c>
    </row>
    <row r="867" spans="1:16" ht="15" x14ac:dyDescent="0.2">
      <c r="A867" s="4" t="s">
        <v>576</v>
      </c>
      <c r="B867" s="21" t="str">
        <f t="shared" si="26"/>
        <v>Sep-2025</v>
      </c>
      <c r="C867" s="2" t="str">
        <f t="shared" si="27"/>
        <v>Q2</v>
      </c>
      <c r="D867" s="2" t="s">
        <v>31</v>
      </c>
      <c r="E867" s="13">
        <v>45915</v>
      </c>
      <c r="F867" s="14" t="s">
        <v>234</v>
      </c>
      <c r="G867" s="14" t="s">
        <v>235</v>
      </c>
      <c r="H867" s="14" t="s">
        <v>110</v>
      </c>
      <c r="I867" s="15">
        <v>1</v>
      </c>
      <c r="J867" s="15">
        <v>20</v>
      </c>
      <c r="K867" s="15">
        <v>175.06</v>
      </c>
      <c r="L867" s="15">
        <v>3501.2</v>
      </c>
      <c r="M867" s="15">
        <v>-269.24</v>
      </c>
      <c r="N867" s="15">
        <v>0</v>
      </c>
      <c r="O867" s="15">
        <v>420.15491200000002</v>
      </c>
      <c r="P867" s="15">
        <v>3652.114912</v>
      </c>
    </row>
    <row r="868" spans="1:16" ht="15" x14ac:dyDescent="0.2">
      <c r="A868" s="4" t="s">
        <v>582</v>
      </c>
      <c r="B868" s="21" t="str">
        <f t="shared" si="26"/>
        <v>Sep-2025</v>
      </c>
      <c r="C868" s="2" t="str">
        <f t="shared" si="27"/>
        <v>Q2</v>
      </c>
      <c r="D868" s="2" t="s">
        <v>31</v>
      </c>
      <c r="E868" s="13">
        <v>45915</v>
      </c>
      <c r="F868" s="14" t="s">
        <v>234</v>
      </c>
      <c r="G868" s="14" t="s">
        <v>235</v>
      </c>
      <c r="H868" s="14" t="s">
        <v>108</v>
      </c>
      <c r="I868" s="15">
        <v>1</v>
      </c>
      <c r="J868" s="15">
        <v>24</v>
      </c>
      <c r="K868" s="15">
        <v>186.23</v>
      </c>
      <c r="L868" s="15">
        <v>4469.5200000000004</v>
      </c>
      <c r="M868" s="15">
        <v>-343.71</v>
      </c>
      <c r="N868" s="15">
        <v>0</v>
      </c>
      <c r="O868" s="15">
        <v>536.35544300000004</v>
      </c>
      <c r="P868" s="15">
        <v>4662.1654429999999</v>
      </c>
    </row>
    <row r="869" spans="1:16" ht="15" x14ac:dyDescent="0.2">
      <c r="A869" s="4" t="s">
        <v>574</v>
      </c>
      <c r="B869" s="21" t="str">
        <f t="shared" si="26"/>
        <v>Sep-2025</v>
      </c>
      <c r="C869" s="2" t="str">
        <f t="shared" si="27"/>
        <v>Q2</v>
      </c>
      <c r="D869" s="2" t="s">
        <v>31</v>
      </c>
      <c r="E869" s="13">
        <v>45915</v>
      </c>
      <c r="F869" s="14" t="s">
        <v>234</v>
      </c>
      <c r="G869" s="14" t="s">
        <v>235</v>
      </c>
      <c r="H869" s="14" t="s">
        <v>86</v>
      </c>
      <c r="I869" s="15">
        <v>1</v>
      </c>
      <c r="J869" s="15">
        <v>18</v>
      </c>
      <c r="K869" s="15">
        <v>178.78</v>
      </c>
      <c r="L869" s="15">
        <v>3218.0400000000004</v>
      </c>
      <c r="M869" s="15">
        <v>-247.47</v>
      </c>
      <c r="N869" s="15">
        <v>0</v>
      </c>
      <c r="O869" s="15">
        <v>386.17420300000003</v>
      </c>
      <c r="P869" s="15">
        <v>3356.7442030000002</v>
      </c>
    </row>
    <row r="870" spans="1:16" ht="15" x14ac:dyDescent="0.2">
      <c r="A870" s="4" t="s">
        <v>574</v>
      </c>
      <c r="B870" s="21" t="str">
        <f t="shared" si="26"/>
        <v>Sep-2025</v>
      </c>
      <c r="C870" s="2" t="str">
        <f t="shared" si="27"/>
        <v>Q2</v>
      </c>
      <c r="D870" s="2" t="s">
        <v>31</v>
      </c>
      <c r="E870" s="13">
        <v>45915</v>
      </c>
      <c r="F870" s="14" t="s">
        <v>234</v>
      </c>
      <c r="G870" s="14" t="s">
        <v>235</v>
      </c>
      <c r="H870" s="14" t="s">
        <v>84</v>
      </c>
      <c r="I870" s="15">
        <v>1</v>
      </c>
      <c r="J870" s="15">
        <v>18</v>
      </c>
      <c r="K870" s="15">
        <v>178.78</v>
      </c>
      <c r="L870" s="15">
        <v>3218.0400000000004</v>
      </c>
      <c r="M870" s="15">
        <v>-247.47</v>
      </c>
      <c r="N870" s="15">
        <v>0</v>
      </c>
      <c r="O870" s="15">
        <v>386.17420300000003</v>
      </c>
      <c r="P870" s="15">
        <v>3356.7442030000002</v>
      </c>
    </row>
    <row r="871" spans="1:16" ht="15" x14ac:dyDescent="0.2">
      <c r="A871" s="4" t="s">
        <v>575</v>
      </c>
      <c r="B871" s="21" t="str">
        <f t="shared" si="26"/>
        <v>Sep-2025</v>
      </c>
      <c r="C871" s="2" t="str">
        <f t="shared" si="27"/>
        <v>Q2</v>
      </c>
      <c r="D871" s="2" t="s">
        <v>31</v>
      </c>
      <c r="E871" s="13">
        <v>45915</v>
      </c>
      <c r="F871" s="14" t="s">
        <v>234</v>
      </c>
      <c r="G871" s="14" t="s">
        <v>235</v>
      </c>
      <c r="H871" s="14" t="s">
        <v>55</v>
      </c>
      <c r="I871" s="15">
        <v>1</v>
      </c>
      <c r="J871" s="15">
        <v>20</v>
      </c>
      <c r="K871" s="15">
        <v>186.23</v>
      </c>
      <c r="L871" s="15">
        <v>3724.6000000000004</v>
      </c>
      <c r="M871" s="15">
        <v>-286.42</v>
      </c>
      <c r="N871" s="15">
        <v>0</v>
      </c>
      <c r="O871" s="15">
        <v>446.96351900000002</v>
      </c>
      <c r="P871" s="15">
        <v>3885.1435190000002</v>
      </c>
    </row>
    <row r="872" spans="1:16" ht="15" x14ac:dyDescent="0.2">
      <c r="A872" s="4" t="s">
        <v>586</v>
      </c>
      <c r="B872" s="21" t="str">
        <f t="shared" si="26"/>
        <v>Sep-2025</v>
      </c>
      <c r="C872" s="2" t="str">
        <f t="shared" si="27"/>
        <v>Q2</v>
      </c>
      <c r="D872" s="2" t="s">
        <v>31</v>
      </c>
      <c r="E872" s="13">
        <v>45915</v>
      </c>
      <c r="F872" s="14" t="s">
        <v>234</v>
      </c>
      <c r="G872" s="14" t="s">
        <v>235</v>
      </c>
      <c r="H872" s="14" t="s">
        <v>78</v>
      </c>
      <c r="I872" s="15">
        <v>1</v>
      </c>
      <c r="J872" s="15">
        <v>600</v>
      </c>
      <c r="K872" s="15">
        <v>7.46</v>
      </c>
      <c r="L872" s="15">
        <v>4476</v>
      </c>
      <c r="M872" s="15">
        <v>-344.2</v>
      </c>
      <c r="N872" s="15">
        <v>0</v>
      </c>
      <c r="O872" s="15">
        <v>537.13414299999999</v>
      </c>
      <c r="P872" s="15">
        <v>4668.9341430000004</v>
      </c>
    </row>
    <row r="873" spans="1:16" ht="15" x14ac:dyDescent="0.2">
      <c r="A873" s="4" t="s">
        <v>576</v>
      </c>
      <c r="B873" s="21" t="str">
        <f t="shared" si="26"/>
        <v>Sep-2025</v>
      </c>
      <c r="C873" s="2" t="str">
        <f t="shared" si="27"/>
        <v>Q2</v>
      </c>
      <c r="D873" s="2" t="s">
        <v>31</v>
      </c>
      <c r="E873" s="13">
        <v>45915</v>
      </c>
      <c r="F873" s="14" t="s">
        <v>234</v>
      </c>
      <c r="G873" s="14" t="s">
        <v>235</v>
      </c>
      <c r="H873" s="14" t="s">
        <v>124</v>
      </c>
      <c r="I873" s="15">
        <v>1</v>
      </c>
      <c r="J873" s="15">
        <v>20</v>
      </c>
      <c r="K873" s="15">
        <v>175.06</v>
      </c>
      <c r="L873" s="15">
        <v>3501.2</v>
      </c>
      <c r="M873" s="15">
        <v>-269.24</v>
      </c>
      <c r="N873" s="15">
        <v>0</v>
      </c>
      <c r="O873" s="15">
        <v>420.15491200000002</v>
      </c>
      <c r="P873" s="15">
        <v>3652.114912</v>
      </c>
    </row>
    <row r="874" spans="1:16" ht="15" x14ac:dyDescent="0.2">
      <c r="A874" s="4" t="s">
        <v>579</v>
      </c>
      <c r="B874" s="21" t="str">
        <f t="shared" si="26"/>
        <v>Sep-2025</v>
      </c>
      <c r="C874" s="2" t="str">
        <f t="shared" si="27"/>
        <v>Q2</v>
      </c>
      <c r="D874" s="2" t="s">
        <v>31</v>
      </c>
      <c r="E874" s="13">
        <v>45915</v>
      </c>
      <c r="F874" s="14" t="s">
        <v>234</v>
      </c>
      <c r="G874" s="14" t="s">
        <v>235</v>
      </c>
      <c r="H874" s="14" t="s">
        <v>140</v>
      </c>
      <c r="I874" s="15">
        <v>1</v>
      </c>
      <c r="J874" s="15">
        <v>20</v>
      </c>
      <c r="K874" s="15">
        <v>204.85</v>
      </c>
      <c r="L874" s="15">
        <v>4097</v>
      </c>
      <c r="M874" s="15">
        <v>-315.06</v>
      </c>
      <c r="N874" s="15">
        <v>0</v>
      </c>
      <c r="O874" s="15">
        <v>491.652331</v>
      </c>
      <c r="P874" s="15">
        <v>4273.5923309999998</v>
      </c>
    </row>
    <row r="875" spans="1:16" ht="15" x14ac:dyDescent="0.2">
      <c r="A875" s="4" t="s">
        <v>573</v>
      </c>
      <c r="B875" s="21" t="str">
        <f t="shared" si="26"/>
        <v>Sep-2025</v>
      </c>
      <c r="C875" s="2" t="str">
        <f t="shared" si="27"/>
        <v>Q2</v>
      </c>
      <c r="D875" s="2" t="s">
        <v>31</v>
      </c>
      <c r="E875" s="13">
        <v>45915</v>
      </c>
      <c r="F875" s="14" t="s">
        <v>234</v>
      </c>
      <c r="G875" s="14" t="s">
        <v>235</v>
      </c>
      <c r="H875" s="14" t="s">
        <v>136</v>
      </c>
      <c r="I875" s="15">
        <v>1</v>
      </c>
      <c r="J875" s="15">
        <v>40</v>
      </c>
      <c r="K875" s="15">
        <v>111.74</v>
      </c>
      <c r="L875" s="15">
        <v>4469.6000000000004</v>
      </c>
      <c r="M875" s="15">
        <v>-343.71</v>
      </c>
      <c r="N875" s="15">
        <v>0</v>
      </c>
      <c r="O875" s="15">
        <v>536.36584300000004</v>
      </c>
      <c r="P875" s="15">
        <v>4662.2558429999999</v>
      </c>
    </row>
    <row r="876" spans="1:16" ht="15" x14ac:dyDescent="0.2">
      <c r="A876" s="4" t="s">
        <v>579</v>
      </c>
      <c r="B876" s="21" t="str">
        <f t="shared" si="26"/>
        <v>Sep-2025</v>
      </c>
      <c r="C876" s="2" t="str">
        <f t="shared" si="27"/>
        <v>Q2</v>
      </c>
      <c r="D876" s="2" t="s">
        <v>31</v>
      </c>
      <c r="E876" s="13">
        <v>45915</v>
      </c>
      <c r="F876" s="14" t="s">
        <v>234</v>
      </c>
      <c r="G876" s="14" t="s">
        <v>235</v>
      </c>
      <c r="H876" s="14" t="s">
        <v>92</v>
      </c>
      <c r="I876" s="15">
        <v>1</v>
      </c>
      <c r="J876" s="15">
        <v>20</v>
      </c>
      <c r="K876" s="15">
        <v>242.1</v>
      </c>
      <c r="L876" s="15">
        <v>4841.9999999999991</v>
      </c>
      <c r="M876" s="15">
        <v>-372.35</v>
      </c>
      <c r="N876" s="15">
        <v>0</v>
      </c>
      <c r="O876" s="15">
        <v>581.05465500000003</v>
      </c>
      <c r="P876" s="15">
        <v>5050.7046549999995</v>
      </c>
    </row>
    <row r="877" spans="1:16" ht="15" x14ac:dyDescent="0.2">
      <c r="A877" s="4" t="s">
        <v>579</v>
      </c>
      <c r="B877" s="21" t="str">
        <f t="shared" si="26"/>
        <v>Sep-2025</v>
      </c>
      <c r="C877" s="2" t="str">
        <f t="shared" si="27"/>
        <v>Q2</v>
      </c>
      <c r="D877" s="2" t="s">
        <v>31</v>
      </c>
      <c r="E877" s="13">
        <v>45915</v>
      </c>
      <c r="F877" s="14" t="s">
        <v>234</v>
      </c>
      <c r="G877" s="14" t="s">
        <v>235</v>
      </c>
      <c r="H877" s="14" t="s">
        <v>91</v>
      </c>
      <c r="I877" s="15">
        <v>1</v>
      </c>
      <c r="J877" s="15">
        <v>20</v>
      </c>
      <c r="K877" s="15">
        <v>204.85</v>
      </c>
      <c r="L877" s="15">
        <v>4097</v>
      </c>
      <c r="M877" s="15">
        <v>-315.06</v>
      </c>
      <c r="N877" s="15">
        <v>0</v>
      </c>
      <c r="O877" s="15">
        <v>491.652331</v>
      </c>
      <c r="P877" s="15">
        <v>4273.5923309999998</v>
      </c>
    </row>
    <row r="878" spans="1:16" ht="15" x14ac:dyDescent="0.2">
      <c r="A878" s="4" t="s">
        <v>579</v>
      </c>
      <c r="B878" s="21" t="str">
        <f t="shared" si="26"/>
        <v>Sep-2025</v>
      </c>
      <c r="C878" s="2" t="str">
        <f t="shared" si="27"/>
        <v>Q2</v>
      </c>
      <c r="D878" s="2" t="s">
        <v>31</v>
      </c>
      <c r="E878" s="13">
        <v>45915</v>
      </c>
      <c r="F878" s="14" t="s">
        <v>234</v>
      </c>
      <c r="G878" s="14" t="s">
        <v>235</v>
      </c>
      <c r="H878" s="14" t="s">
        <v>112</v>
      </c>
      <c r="I878" s="15">
        <v>1</v>
      </c>
      <c r="J878" s="15">
        <v>20</v>
      </c>
      <c r="K878" s="15">
        <v>204.85</v>
      </c>
      <c r="L878" s="15">
        <v>4097</v>
      </c>
      <c r="M878" s="15">
        <v>-315.06</v>
      </c>
      <c r="N878" s="15">
        <v>0</v>
      </c>
      <c r="O878" s="15">
        <v>491.652331</v>
      </c>
      <c r="P878" s="15">
        <v>4273.5923309999998</v>
      </c>
    </row>
    <row r="879" spans="1:16" ht="15" x14ac:dyDescent="0.2">
      <c r="A879" s="4" t="s">
        <v>591</v>
      </c>
      <c r="B879" s="21" t="str">
        <f t="shared" si="26"/>
        <v>Sep-2025</v>
      </c>
      <c r="C879" s="2" t="str">
        <f t="shared" si="27"/>
        <v>Q2</v>
      </c>
      <c r="D879" s="2" t="s">
        <v>31</v>
      </c>
      <c r="E879" s="13">
        <v>45915</v>
      </c>
      <c r="F879" s="14" t="s">
        <v>236</v>
      </c>
      <c r="G879" s="14" t="s">
        <v>235</v>
      </c>
      <c r="H879" s="14" t="s">
        <v>106</v>
      </c>
      <c r="I879" s="15">
        <v>1</v>
      </c>
      <c r="J879" s="15">
        <v>60</v>
      </c>
      <c r="K879" s="15">
        <v>111.74</v>
      </c>
      <c r="L879" s="15">
        <v>6704.4</v>
      </c>
      <c r="M879" s="15">
        <v>-515.57000000000005</v>
      </c>
      <c r="N879" s="15">
        <v>0</v>
      </c>
      <c r="O879" s="15">
        <v>804.54807500000004</v>
      </c>
      <c r="P879" s="15">
        <v>6993.3780749999996</v>
      </c>
    </row>
    <row r="880" spans="1:16" ht="15" x14ac:dyDescent="0.2">
      <c r="A880" s="4" t="s">
        <v>579</v>
      </c>
      <c r="B880" s="21" t="str">
        <f t="shared" si="26"/>
        <v>Sep-2025</v>
      </c>
      <c r="C880" s="2" t="str">
        <f t="shared" si="27"/>
        <v>Q2</v>
      </c>
      <c r="D880" s="2" t="s">
        <v>31</v>
      </c>
      <c r="E880" s="13">
        <v>45915</v>
      </c>
      <c r="F880" s="14" t="s">
        <v>236</v>
      </c>
      <c r="G880" s="14" t="s">
        <v>235</v>
      </c>
      <c r="H880" s="14" t="s">
        <v>90</v>
      </c>
      <c r="I880" s="15">
        <v>1</v>
      </c>
      <c r="J880" s="15">
        <v>20</v>
      </c>
      <c r="K880" s="15">
        <v>204.85</v>
      </c>
      <c r="L880" s="15">
        <v>4097</v>
      </c>
      <c r="M880" s="15">
        <v>-315.06</v>
      </c>
      <c r="N880" s="15">
        <v>0</v>
      </c>
      <c r="O880" s="15">
        <v>491.65230700000001</v>
      </c>
      <c r="P880" s="15">
        <v>4273.5923069999999</v>
      </c>
    </row>
    <row r="881" spans="1:16" ht="15" x14ac:dyDescent="0.2">
      <c r="A881" s="4" t="s">
        <v>582</v>
      </c>
      <c r="B881" s="21" t="str">
        <f t="shared" si="26"/>
        <v>Sep-2025</v>
      </c>
      <c r="C881" s="2" t="str">
        <f t="shared" si="27"/>
        <v>Q2</v>
      </c>
      <c r="D881" s="2" t="s">
        <v>31</v>
      </c>
      <c r="E881" s="13">
        <v>45915</v>
      </c>
      <c r="F881" s="14" t="s">
        <v>236</v>
      </c>
      <c r="G881" s="14" t="s">
        <v>235</v>
      </c>
      <c r="H881" s="14" t="s">
        <v>101</v>
      </c>
      <c r="I881" s="15">
        <v>1</v>
      </c>
      <c r="J881" s="15">
        <v>24</v>
      </c>
      <c r="K881" s="15">
        <v>186.23</v>
      </c>
      <c r="L881" s="15">
        <v>4469.5200000000004</v>
      </c>
      <c r="M881" s="15">
        <v>-343.71</v>
      </c>
      <c r="N881" s="15">
        <v>0</v>
      </c>
      <c r="O881" s="15">
        <v>536.35541699999999</v>
      </c>
      <c r="P881" s="15">
        <v>4662.1654170000002</v>
      </c>
    </row>
    <row r="882" spans="1:16" ht="15" x14ac:dyDescent="0.2">
      <c r="A882" s="4" t="s">
        <v>573</v>
      </c>
      <c r="B882" s="21" t="str">
        <f t="shared" si="26"/>
        <v>Sep-2025</v>
      </c>
      <c r="C882" s="2" t="str">
        <f t="shared" si="27"/>
        <v>Q2</v>
      </c>
      <c r="D882" s="2" t="s">
        <v>31</v>
      </c>
      <c r="E882" s="13">
        <v>45915</v>
      </c>
      <c r="F882" s="14" t="s">
        <v>236</v>
      </c>
      <c r="G882" s="14" t="s">
        <v>235</v>
      </c>
      <c r="H882" s="14" t="s">
        <v>47</v>
      </c>
      <c r="I882" s="15">
        <v>1</v>
      </c>
      <c r="J882" s="15">
        <v>40</v>
      </c>
      <c r="K882" s="15">
        <v>111.74</v>
      </c>
      <c r="L882" s="15">
        <v>4469.6000000000004</v>
      </c>
      <c r="M882" s="15">
        <v>-343.71</v>
      </c>
      <c r="N882" s="15">
        <v>0</v>
      </c>
      <c r="O882" s="15">
        <v>536.36581699999999</v>
      </c>
      <c r="P882" s="15">
        <v>4662.2558170000002</v>
      </c>
    </row>
    <row r="883" spans="1:16" ht="15" x14ac:dyDescent="0.2">
      <c r="A883" s="4" t="s">
        <v>584</v>
      </c>
      <c r="B883" s="21" t="str">
        <f t="shared" si="26"/>
        <v>Sep-2025</v>
      </c>
      <c r="C883" s="2" t="str">
        <f t="shared" si="27"/>
        <v>Q2</v>
      </c>
      <c r="D883" s="2" t="s">
        <v>31</v>
      </c>
      <c r="E883" s="13">
        <v>45915</v>
      </c>
      <c r="F883" s="14" t="s">
        <v>236</v>
      </c>
      <c r="G883" s="14" t="s">
        <v>235</v>
      </c>
      <c r="H883" s="14" t="s">
        <v>100</v>
      </c>
      <c r="I883" s="15">
        <v>1</v>
      </c>
      <c r="J883" s="15">
        <v>40</v>
      </c>
      <c r="K883" s="15">
        <v>81.94</v>
      </c>
      <c r="L883" s="15">
        <v>3277.6</v>
      </c>
      <c r="M883" s="15">
        <v>-252.05</v>
      </c>
      <c r="N883" s="15">
        <v>0</v>
      </c>
      <c r="O883" s="15">
        <v>393.32158599999997</v>
      </c>
      <c r="P883" s="15">
        <v>3418.8715860000002</v>
      </c>
    </row>
    <row r="884" spans="1:16" ht="15" x14ac:dyDescent="0.2">
      <c r="A884" s="4" t="s">
        <v>581</v>
      </c>
      <c r="B884" s="21" t="str">
        <f t="shared" si="26"/>
        <v>Sep-2025</v>
      </c>
      <c r="C884" s="2" t="str">
        <f t="shared" si="27"/>
        <v>Q2</v>
      </c>
      <c r="D884" s="2" t="s">
        <v>31</v>
      </c>
      <c r="E884" s="13">
        <v>45915</v>
      </c>
      <c r="F884" s="14" t="s">
        <v>236</v>
      </c>
      <c r="G884" s="14" t="s">
        <v>235</v>
      </c>
      <c r="H884" s="14" t="s">
        <v>96</v>
      </c>
      <c r="I884" s="15">
        <v>0.95</v>
      </c>
      <c r="J884" s="15">
        <v>38</v>
      </c>
      <c r="K884" s="15">
        <v>67.040000000000006</v>
      </c>
      <c r="L884" s="15">
        <v>2547.52</v>
      </c>
      <c r="M884" s="15">
        <v>-195.9</v>
      </c>
      <c r="N884" s="15">
        <v>0</v>
      </c>
      <c r="O884" s="15">
        <v>305.710667</v>
      </c>
      <c r="P884" s="15">
        <v>2657.3306670000002</v>
      </c>
    </row>
    <row r="885" spans="1:16" ht="15" x14ac:dyDescent="0.2">
      <c r="A885" s="4" t="s">
        <v>580</v>
      </c>
      <c r="B885" s="21" t="str">
        <f t="shared" si="26"/>
        <v>Sep-2025</v>
      </c>
      <c r="C885" s="2" t="str">
        <f t="shared" si="27"/>
        <v>Q2</v>
      </c>
      <c r="D885" s="2" t="s">
        <v>31</v>
      </c>
      <c r="E885" s="13">
        <v>45915</v>
      </c>
      <c r="F885" s="14" t="s">
        <v>236</v>
      </c>
      <c r="G885" s="14" t="s">
        <v>235</v>
      </c>
      <c r="H885" s="14" t="s">
        <v>65</v>
      </c>
      <c r="I885" s="15">
        <v>1</v>
      </c>
      <c r="J885" s="15">
        <v>130</v>
      </c>
      <c r="K885" s="15">
        <v>33.520000000000003</v>
      </c>
      <c r="L885" s="15">
        <v>4357.6000000000004</v>
      </c>
      <c r="M885" s="15">
        <v>-335.1</v>
      </c>
      <c r="N885" s="15">
        <v>0</v>
      </c>
      <c r="O885" s="15">
        <v>522.92511400000001</v>
      </c>
      <c r="P885" s="15">
        <v>4545.4251139999997</v>
      </c>
    </row>
    <row r="886" spans="1:16" ht="15" x14ac:dyDescent="0.2">
      <c r="A886" s="4" t="s">
        <v>581</v>
      </c>
      <c r="B886" s="21" t="str">
        <f t="shared" si="26"/>
        <v>Sep-2025</v>
      </c>
      <c r="C886" s="2" t="str">
        <f t="shared" si="27"/>
        <v>Q2</v>
      </c>
      <c r="D886" s="2" t="s">
        <v>31</v>
      </c>
      <c r="E886" s="13">
        <v>45915</v>
      </c>
      <c r="F886" s="14" t="s">
        <v>236</v>
      </c>
      <c r="G886" s="14" t="s">
        <v>235</v>
      </c>
      <c r="H886" s="14" t="s">
        <v>97</v>
      </c>
      <c r="I886" s="15">
        <v>1</v>
      </c>
      <c r="J886" s="15">
        <v>40</v>
      </c>
      <c r="K886" s="15">
        <v>67.040000000000006</v>
      </c>
      <c r="L886" s="15">
        <v>2681.6</v>
      </c>
      <c r="M886" s="15">
        <v>-206.22</v>
      </c>
      <c r="N886" s="15">
        <v>0</v>
      </c>
      <c r="O886" s="15">
        <v>321.79946999999999</v>
      </c>
      <c r="P886" s="15">
        <v>2797.17947</v>
      </c>
    </row>
    <row r="887" spans="1:16" ht="15" x14ac:dyDescent="0.2">
      <c r="A887" s="4" t="s">
        <v>584</v>
      </c>
      <c r="B887" s="21" t="str">
        <f t="shared" si="26"/>
        <v>Sep-2025</v>
      </c>
      <c r="C887" s="2" t="str">
        <f t="shared" si="27"/>
        <v>Q2</v>
      </c>
      <c r="D887" s="2" t="s">
        <v>31</v>
      </c>
      <c r="E887" s="13">
        <v>45915</v>
      </c>
      <c r="F887" s="14" t="s">
        <v>236</v>
      </c>
      <c r="G887" s="14" t="s">
        <v>235</v>
      </c>
      <c r="H887" s="14" t="s">
        <v>99</v>
      </c>
      <c r="I887" s="15">
        <v>1</v>
      </c>
      <c r="J887" s="15">
        <v>40</v>
      </c>
      <c r="K887" s="15">
        <v>81.94</v>
      </c>
      <c r="L887" s="15">
        <v>3277.6</v>
      </c>
      <c r="M887" s="15">
        <v>-252.05</v>
      </c>
      <c r="N887" s="15">
        <v>0</v>
      </c>
      <c r="O887" s="15">
        <v>393.32158599999997</v>
      </c>
      <c r="P887" s="15">
        <v>3418.8715860000002</v>
      </c>
    </row>
    <row r="888" spans="1:16" ht="15" x14ac:dyDescent="0.2">
      <c r="A888" s="4" t="s">
        <v>581</v>
      </c>
      <c r="B888" s="21" t="str">
        <f t="shared" si="26"/>
        <v>Sep-2025</v>
      </c>
      <c r="C888" s="2" t="str">
        <f t="shared" si="27"/>
        <v>Q2</v>
      </c>
      <c r="D888" s="2" t="s">
        <v>31</v>
      </c>
      <c r="E888" s="13">
        <v>45915</v>
      </c>
      <c r="F888" s="14" t="s">
        <v>236</v>
      </c>
      <c r="G888" s="14" t="s">
        <v>235</v>
      </c>
      <c r="H888" s="14" t="s">
        <v>125</v>
      </c>
      <c r="I888" s="15">
        <v>1</v>
      </c>
      <c r="J888" s="15">
        <v>800</v>
      </c>
      <c r="K888" s="15">
        <v>7.45</v>
      </c>
      <c r="L888" s="15">
        <v>5960</v>
      </c>
      <c r="M888" s="15">
        <v>-458.32</v>
      </c>
      <c r="N888" s="15">
        <v>0</v>
      </c>
      <c r="O888" s="15">
        <v>715.21855600000004</v>
      </c>
      <c r="P888" s="15">
        <v>6216.8985560000001</v>
      </c>
    </row>
    <row r="889" spans="1:16" ht="15" x14ac:dyDescent="0.2">
      <c r="A889" s="4" t="s">
        <v>584</v>
      </c>
      <c r="B889" s="21" t="str">
        <f t="shared" si="26"/>
        <v>Sep-2025</v>
      </c>
      <c r="C889" s="2" t="str">
        <f t="shared" si="27"/>
        <v>Q2</v>
      </c>
      <c r="D889" s="2" t="s">
        <v>31</v>
      </c>
      <c r="E889" s="13">
        <v>45915</v>
      </c>
      <c r="F889" s="14" t="s">
        <v>236</v>
      </c>
      <c r="G889" s="14" t="s">
        <v>235</v>
      </c>
      <c r="H889" s="14" t="s">
        <v>120</v>
      </c>
      <c r="I889" s="15">
        <v>1</v>
      </c>
      <c r="J889" s="15">
        <v>40</v>
      </c>
      <c r="K889" s="15">
        <v>81.94</v>
      </c>
      <c r="L889" s="15">
        <v>3277.6</v>
      </c>
      <c r="M889" s="15">
        <v>-252.05</v>
      </c>
      <c r="N889" s="15">
        <v>0</v>
      </c>
      <c r="O889" s="15">
        <v>393.32158599999997</v>
      </c>
      <c r="P889" s="15">
        <v>3418.8715860000002</v>
      </c>
    </row>
    <row r="890" spans="1:16" ht="15" x14ac:dyDescent="0.2">
      <c r="A890" s="4" t="s">
        <v>588</v>
      </c>
      <c r="B890" s="21" t="str">
        <f t="shared" si="26"/>
        <v>Sep-2025</v>
      </c>
      <c r="C890" s="2" t="str">
        <f t="shared" si="27"/>
        <v>Q2</v>
      </c>
      <c r="D890" s="2" t="s">
        <v>31</v>
      </c>
      <c r="E890" s="13">
        <v>45915</v>
      </c>
      <c r="F890" s="14" t="s">
        <v>236</v>
      </c>
      <c r="G890" s="14" t="s">
        <v>235</v>
      </c>
      <c r="H890" s="14" t="s">
        <v>95</v>
      </c>
      <c r="I890" s="15">
        <v>1</v>
      </c>
      <c r="J890" s="15">
        <v>60</v>
      </c>
      <c r="K890" s="15">
        <v>111.74</v>
      </c>
      <c r="L890" s="15">
        <v>6704.4</v>
      </c>
      <c r="M890" s="15">
        <v>-515.57000000000005</v>
      </c>
      <c r="N890" s="15">
        <v>0</v>
      </c>
      <c r="O890" s="15">
        <v>804.54807500000004</v>
      </c>
      <c r="P890" s="15">
        <v>6993.3780749999996</v>
      </c>
    </row>
    <row r="891" spans="1:16" ht="15" x14ac:dyDescent="0.2">
      <c r="A891" s="4" t="s">
        <v>576</v>
      </c>
      <c r="B891" s="21" t="str">
        <f t="shared" si="26"/>
        <v>Sep-2025</v>
      </c>
      <c r="C891" s="2" t="str">
        <f t="shared" si="27"/>
        <v>Q2</v>
      </c>
      <c r="D891" s="2" t="s">
        <v>31</v>
      </c>
      <c r="E891" s="13">
        <v>45915</v>
      </c>
      <c r="F891" s="14" t="s">
        <v>236</v>
      </c>
      <c r="G891" s="14" t="s">
        <v>235</v>
      </c>
      <c r="H891" s="14" t="s">
        <v>123</v>
      </c>
      <c r="I891" s="15">
        <v>1</v>
      </c>
      <c r="J891" s="15">
        <v>20</v>
      </c>
      <c r="K891" s="15">
        <v>175.06</v>
      </c>
      <c r="L891" s="15">
        <v>3501.2</v>
      </c>
      <c r="M891" s="15">
        <v>-269.24</v>
      </c>
      <c r="N891" s="15">
        <v>0</v>
      </c>
      <c r="O891" s="15">
        <v>420.15489200000002</v>
      </c>
      <c r="P891" s="15">
        <v>3652.1148920000001</v>
      </c>
    </row>
    <row r="892" spans="1:16" ht="15" x14ac:dyDescent="0.2">
      <c r="A892" s="4" t="s">
        <v>587</v>
      </c>
      <c r="B892" s="21" t="str">
        <f t="shared" si="26"/>
        <v>Sep-2025</v>
      </c>
      <c r="C892" s="2" t="str">
        <f t="shared" si="27"/>
        <v>Q2</v>
      </c>
      <c r="D892" s="2" t="s">
        <v>31</v>
      </c>
      <c r="E892" s="13">
        <v>45915</v>
      </c>
      <c r="F892" s="14" t="s">
        <v>236</v>
      </c>
      <c r="G892" s="14" t="s">
        <v>235</v>
      </c>
      <c r="H892" s="14" t="s">
        <v>94</v>
      </c>
      <c r="I892" s="15">
        <v>1</v>
      </c>
      <c r="J892" s="15">
        <v>60</v>
      </c>
      <c r="K892" s="15">
        <v>111.74</v>
      </c>
      <c r="L892" s="15">
        <v>6704.4</v>
      </c>
      <c r="M892" s="15">
        <v>-515.57000000000005</v>
      </c>
      <c r="N892" s="15">
        <v>0</v>
      </c>
      <c r="O892" s="15">
        <v>804.54807500000004</v>
      </c>
      <c r="P892" s="15">
        <v>6993.3780749999996</v>
      </c>
    </row>
    <row r="893" spans="1:16" ht="15" x14ac:dyDescent="0.2">
      <c r="A893" s="4" t="s">
        <v>585</v>
      </c>
      <c r="B893" s="21" t="str">
        <f t="shared" si="26"/>
        <v>Sep-2025</v>
      </c>
      <c r="C893" s="2" t="str">
        <f t="shared" si="27"/>
        <v>Q2</v>
      </c>
      <c r="D893" s="2" t="s">
        <v>31</v>
      </c>
      <c r="E893" s="13">
        <v>45915</v>
      </c>
      <c r="F893" s="14" t="s">
        <v>236</v>
      </c>
      <c r="G893" s="14" t="s">
        <v>235</v>
      </c>
      <c r="H893" s="14" t="s">
        <v>180</v>
      </c>
      <c r="I893" s="15">
        <v>1</v>
      </c>
      <c r="J893" s="15">
        <v>1000</v>
      </c>
      <c r="K893" s="15">
        <v>1.86</v>
      </c>
      <c r="L893" s="15">
        <v>1860</v>
      </c>
      <c r="M893" s="15">
        <v>-143.03</v>
      </c>
      <c r="N893" s="15">
        <v>0</v>
      </c>
      <c r="O893" s="15">
        <v>223.20614900000001</v>
      </c>
      <c r="P893" s="15">
        <v>1940.1761489999999</v>
      </c>
    </row>
    <row r="894" spans="1:16" ht="15" x14ac:dyDescent="0.2">
      <c r="A894" s="4" t="s">
        <v>590</v>
      </c>
      <c r="B894" s="21" t="str">
        <f t="shared" si="26"/>
        <v>Sep-2025</v>
      </c>
      <c r="C894" s="2" t="str">
        <f t="shared" si="27"/>
        <v>Q2</v>
      </c>
      <c r="D894" s="2" t="s">
        <v>31</v>
      </c>
      <c r="E894" s="13">
        <v>45915</v>
      </c>
      <c r="F894" s="14" t="s">
        <v>236</v>
      </c>
      <c r="G894" s="14" t="s">
        <v>235</v>
      </c>
      <c r="H894" s="14" t="s">
        <v>102</v>
      </c>
      <c r="I894" s="15">
        <v>1</v>
      </c>
      <c r="J894" s="15">
        <v>20</v>
      </c>
      <c r="K894" s="15">
        <v>249.55</v>
      </c>
      <c r="L894" s="15">
        <v>4991</v>
      </c>
      <c r="M894" s="15">
        <v>-383.81</v>
      </c>
      <c r="N894" s="15">
        <v>0</v>
      </c>
      <c r="O894" s="15">
        <v>598.93483100000003</v>
      </c>
      <c r="P894" s="15">
        <v>5206.1248310000001</v>
      </c>
    </row>
    <row r="895" spans="1:16" ht="15" x14ac:dyDescent="0.2">
      <c r="A895" s="4" t="s">
        <v>581</v>
      </c>
      <c r="B895" s="21" t="str">
        <f t="shared" si="26"/>
        <v>Sep-2025</v>
      </c>
      <c r="C895" s="2" t="str">
        <f t="shared" si="27"/>
        <v>Q2</v>
      </c>
      <c r="D895" s="2" t="s">
        <v>31</v>
      </c>
      <c r="E895" s="13">
        <v>45915</v>
      </c>
      <c r="F895" s="14" t="s">
        <v>236</v>
      </c>
      <c r="G895" s="14" t="s">
        <v>235</v>
      </c>
      <c r="H895" s="14" t="s">
        <v>104</v>
      </c>
      <c r="I895" s="15">
        <v>1</v>
      </c>
      <c r="J895" s="15">
        <v>40</v>
      </c>
      <c r="K895" s="15">
        <v>67.040000000000006</v>
      </c>
      <c r="L895" s="15">
        <v>2681.6</v>
      </c>
      <c r="M895" s="15">
        <v>-206.22</v>
      </c>
      <c r="N895" s="15">
        <v>0</v>
      </c>
      <c r="O895" s="15">
        <v>321.79946999999999</v>
      </c>
      <c r="P895" s="15">
        <v>2797.17947</v>
      </c>
    </row>
    <row r="896" spans="1:16" ht="15" x14ac:dyDescent="0.2">
      <c r="A896" s="4" t="s">
        <v>589</v>
      </c>
      <c r="B896" s="21" t="str">
        <f t="shared" si="26"/>
        <v>Sep-2025</v>
      </c>
      <c r="C896" s="2" t="str">
        <f t="shared" si="27"/>
        <v>Q2</v>
      </c>
      <c r="D896" s="2" t="s">
        <v>31</v>
      </c>
      <c r="E896" s="13">
        <v>45915</v>
      </c>
      <c r="F896" s="14" t="s">
        <v>236</v>
      </c>
      <c r="G896" s="14" t="s">
        <v>235</v>
      </c>
      <c r="H896" s="14" t="s">
        <v>98</v>
      </c>
      <c r="I896" s="15">
        <v>1</v>
      </c>
      <c r="J896" s="15">
        <v>60</v>
      </c>
      <c r="K896" s="15">
        <v>145.26</v>
      </c>
      <c r="L896" s="15">
        <v>8715.6</v>
      </c>
      <c r="M896" s="15">
        <v>-670.23</v>
      </c>
      <c r="N896" s="15">
        <v>0</v>
      </c>
      <c r="O896" s="15">
        <v>1045.898328</v>
      </c>
      <c r="P896" s="15">
        <v>9091.2683280000001</v>
      </c>
    </row>
    <row r="897" spans="1:16" ht="15" x14ac:dyDescent="0.2">
      <c r="A897" s="4" t="s">
        <v>574</v>
      </c>
      <c r="B897" s="21" t="str">
        <f t="shared" si="26"/>
        <v>Sep-2025</v>
      </c>
      <c r="C897" s="2" t="str">
        <f t="shared" si="27"/>
        <v>Q2</v>
      </c>
      <c r="D897" s="2" t="s">
        <v>31</v>
      </c>
      <c r="E897" s="13">
        <v>45916</v>
      </c>
      <c r="F897" s="14" t="s">
        <v>237</v>
      </c>
      <c r="G897" s="14" t="s">
        <v>159</v>
      </c>
      <c r="H897" s="14" t="s">
        <v>84</v>
      </c>
      <c r="I897" s="15">
        <v>1</v>
      </c>
      <c r="J897" s="15">
        <v>18</v>
      </c>
      <c r="K897" s="15">
        <v>178.78</v>
      </c>
      <c r="L897" s="15">
        <v>3218.0400000000004</v>
      </c>
      <c r="M897" s="15">
        <v>-247.47</v>
      </c>
      <c r="N897" s="15">
        <v>0</v>
      </c>
      <c r="O897" s="15">
        <v>386.17500000000001</v>
      </c>
      <c r="P897" s="15">
        <v>3356.7449999999999</v>
      </c>
    </row>
    <row r="898" spans="1:16" ht="15" x14ac:dyDescent="0.2">
      <c r="A898" s="4" t="s">
        <v>574</v>
      </c>
      <c r="B898" s="21" t="str">
        <f t="shared" si="26"/>
        <v>Sep-2025</v>
      </c>
      <c r="C898" s="2" t="str">
        <f t="shared" si="27"/>
        <v>Q2</v>
      </c>
      <c r="D898" s="2" t="s">
        <v>31</v>
      </c>
      <c r="E898" s="13">
        <v>45916</v>
      </c>
      <c r="F898" s="14" t="s">
        <v>237</v>
      </c>
      <c r="G898" s="14" t="s">
        <v>159</v>
      </c>
      <c r="H898" s="14" t="s">
        <v>86</v>
      </c>
      <c r="I898" s="15">
        <v>1</v>
      </c>
      <c r="J898" s="15">
        <v>18</v>
      </c>
      <c r="K898" s="15">
        <v>178.78</v>
      </c>
      <c r="L898" s="15">
        <v>3218.0400000000004</v>
      </c>
      <c r="M898" s="15">
        <v>-247.47</v>
      </c>
      <c r="N898" s="15">
        <v>0</v>
      </c>
      <c r="O898" s="15">
        <v>386.17500000000001</v>
      </c>
      <c r="P898" s="15">
        <v>3356.7449999999999</v>
      </c>
    </row>
    <row r="899" spans="1:16" ht="15" x14ac:dyDescent="0.2">
      <c r="A899" s="4" t="s">
        <v>575</v>
      </c>
      <c r="B899" s="21" t="str">
        <f t="shared" ref="B899:B962" si="28">+TEXT(E899,"MMM-yyy")</f>
        <v>Sep-2025</v>
      </c>
      <c r="C899" s="2" t="str">
        <f t="shared" ref="C899:C962" si="29">"Q" &amp; CHOOSE(MONTH(E899),4,4,4,1,1,1,2,2,2,3,3,3)</f>
        <v>Q2</v>
      </c>
      <c r="D899" s="2" t="s">
        <v>31</v>
      </c>
      <c r="E899" s="13">
        <v>45916</v>
      </c>
      <c r="F899" s="14" t="s">
        <v>238</v>
      </c>
      <c r="G899" s="14" t="s">
        <v>187</v>
      </c>
      <c r="H899" s="14" t="s">
        <v>55</v>
      </c>
      <c r="I899" s="15">
        <v>2</v>
      </c>
      <c r="J899" s="15">
        <v>40</v>
      </c>
      <c r="K899" s="15">
        <v>186.23</v>
      </c>
      <c r="L899" s="15">
        <v>7449.2000000000007</v>
      </c>
      <c r="M899" s="15">
        <v>-572.84</v>
      </c>
      <c r="N899" s="15">
        <v>0</v>
      </c>
      <c r="O899" s="15">
        <v>893.9271</v>
      </c>
      <c r="P899" s="15">
        <v>7770.2870999999996</v>
      </c>
    </row>
    <row r="900" spans="1:16" ht="15" x14ac:dyDescent="0.2">
      <c r="A900" s="4" t="s">
        <v>593</v>
      </c>
      <c r="B900" s="21" t="str">
        <f t="shared" si="28"/>
        <v>Sep-2025</v>
      </c>
      <c r="C900" s="2" t="str">
        <f t="shared" si="29"/>
        <v>Q2</v>
      </c>
      <c r="D900" s="2" t="s">
        <v>31</v>
      </c>
      <c r="E900" s="13">
        <v>45916</v>
      </c>
      <c r="F900" s="14" t="s">
        <v>238</v>
      </c>
      <c r="G900" s="14" t="s">
        <v>187</v>
      </c>
      <c r="H900" s="14" t="s">
        <v>117</v>
      </c>
      <c r="I900" s="15">
        <v>10</v>
      </c>
      <c r="J900" s="15">
        <v>40</v>
      </c>
      <c r="K900" s="15">
        <v>595.92999999999995</v>
      </c>
      <c r="L900" s="15">
        <v>23837.200000000001</v>
      </c>
      <c r="M900" s="15">
        <v>-1833.08</v>
      </c>
      <c r="N900" s="15">
        <v>0</v>
      </c>
      <c r="O900" s="15">
        <v>2860.53656</v>
      </c>
      <c r="P900" s="15">
        <v>24864.656559999999</v>
      </c>
    </row>
    <row r="901" spans="1:16" ht="15" x14ac:dyDescent="0.2">
      <c r="A901" s="4" t="s">
        <v>573</v>
      </c>
      <c r="B901" s="21" t="str">
        <f t="shared" si="28"/>
        <v>Sep-2025</v>
      </c>
      <c r="C901" s="2" t="str">
        <f t="shared" si="29"/>
        <v>Q2</v>
      </c>
      <c r="D901" s="2" t="s">
        <v>31</v>
      </c>
      <c r="E901" s="13">
        <v>45916</v>
      </c>
      <c r="F901" s="14" t="s">
        <v>238</v>
      </c>
      <c r="G901" s="14" t="s">
        <v>187</v>
      </c>
      <c r="H901" s="14" t="s">
        <v>111</v>
      </c>
      <c r="I901" s="15">
        <v>3</v>
      </c>
      <c r="J901" s="15">
        <v>120</v>
      </c>
      <c r="K901" s="15">
        <v>111.74</v>
      </c>
      <c r="L901" s="15">
        <v>13408.8</v>
      </c>
      <c r="M901" s="15">
        <v>-1031.1400000000001</v>
      </c>
      <c r="N901" s="15">
        <v>0</v>
      </c>
      <c r="O901" s="15">
        <v>1609.0963399999998</v>
      </c>
      <c r="P901" s="15">
        <v>13986.75634</v>
      </c>
    </row>
    <row r="902" spans="1:16" ht="15" x14ac:dyDescent="0.2">
      <c r="A902" s="4" t="s">
        <v>579</v>
      </c>
      <c r="B902" s="21" t="str">
        <f t="shared" si="28"/>
        <v>Sep-2025</v>
      </c>
      <c r="C902" s="2" t="str">
        <f t="shared" si="29"/>
        <v>Q2</v>
      </c>
      <c r="D902" s="2" t="s">
        <v>31</v>
      </c>
      <c r="E902" s="13">
        <v>45916</v>
      </c>
      <c r="F902" s="14" t="s">
        <v>239</v>
      </c>
      <c r="G902" s="14" t="s">
        <v>12</v>
      </c>
      <c r="H902" s="14" t="s">
        <v>92</v>
      </c>
      <c r="I902" s="15">
        <v>2</v>
      </c>
      <c r="J902" s="15">
        <v>40</v>
      </c>
      <c r="K902" s="15">
        <v>242.1</v>
      </c>
      <c r="L902" s="15">
        <v>9683.9999999999982</v>
      </c>
      <c r="M902" s="15">
        <v>-744.7</v>
      </c>
      <c r="N902" s="15">
        <v>0</v>
      </c>
      <c r="O902" s="15">
        <v>1162.1091060000001</v>
      </c>
      <c r="P902" s="15">
        <v>10101.409105999999</v>
      </c>
    </row>
    <row r="903" spans="1:16" ht="15" x14ac:dyDescent="0.2">
      <c r="A903" s="4" t="s">
        <v>593</v>
      </c>
      <c r="B903" s="21" t="str">
        <f t="shared" si="28"/>
        <v>Sep-2025</v>
      </c>
      <c r="C903" s="2" t="str">
        <f t="shared" si="29"/>
        <v>Q2</v>
      </c>
      <c r="D903" s="2" t="s">
        <v>31</v>
      </c>
      <c r="E903" s="13">
        <v>45916</v>
      </c>
      <c r="F903" s="14" t="s">
        <v>239</v>
      </c>
      <c r="G903" s="14" t="s">
        <v>12</v>
      </c>
      <c r="H903" s="14" t="s">
        <v>117</v>
      </c>
      <c r="I903" s="15">
        <v>25</v>
      </c>
      <c r="J903" s="15">
        <v>100</v>
      </c>
      <c r="K903" s="15">
        <v>595.92999999999995</v>
      </c>
      <c r="L903" s="15">
        <v>59593</v>
      </c>
      <c r="M903" s="15">
        <v>-4582.7</v>
      </c>
      <c r="N903" s="15">
        <v>0</v>
      </c>
      <c r="O903" s="15">
        <v>7151.3396499999999</v>
      </c>
      <c r="P903" s="15">
        <v>62161.639649999997</v>
      </c>
    </row>
    <row r="904" spans="1:16" ht="15" x14ac:dyDescent="0.2">
      <c r="A904" s="4" t="s">
        <v>574</v>
      </c>
      <c r="B904" s="21" t="str">
        <f t="shared" si="28"/>
        <v>Sep-2025</v>
      </c>
      <c r="C904" s="2" t="str">
        <f t="shared" si="29"/>
        <v>Q2</v>
      </c>
      <c r="D904" s="2" t="s">
        <v>31</v>
      </c>
      <c r="E904" s="13">
        <v>45916</v>
      </c>
      <c r="F904" s="14" t="s">
        <v>239</v>
      </c>
      <c r="G904" s="14" t="s">
        <v>12</v>
      </c>
      <c r="H904" s="14" t="s">
        <v>86</v>
      </c>
      <c r="I904" s="15">
        <v>5</v>
      </c>
      <c r="J904" s="15">
        <v>90</v>
      </c>
      <c r="K904" s="15">
        <v>178.78</v>
      </c>
      <c r="L904" s="15">
        <v>16090.2</v>
      </c>
      <c r="M904" s="15">
        <v>-1237.3400000000001</v>
      </c>
      <c r="N904" s="15">
        <v>0</v>
      </c>
      <c r="O904" s="15">
        <v>1930.8719749999998</v>
      </c>
      <c r="P904" s="15">
        <v>16783.731974999999</v>
      </c>
    </row>
    <row r="905" spans="1:16" ht="15" x14ac:dyDescent="0.2">
      <c r="A905" s="4" t="s">
        <v>588</v>
      </c>
      <c r="B905" s="21" t="str">
        <f t="shared" si="28"/>
        <v>Sep-2025</v>
      </c>
      <c r="C905" s="2" t="str">
        <f t="shared" si="29"/>
        <v>Q2</v>
      </c>
      <c r="D905" s="2" t="s">
        <v>31</v>
      </c>
      <c r="E905" s="13">
        <v>45916</v>
      </c>
      <c r="F905" s="14" t="s">
        <v>239</v>
      </c>
      <c r="G905" s="14" t="s">
        <v>12</v>
      </c>
      <c r="H905" s="14" t="s">
        <v>95</v>
      </c>
      <c r="I905" s="15">
        <v>6</v>
      </c>
      <c r="J905" s="15">
        <v>360</v>
      </c>
      <c r="K905" s="15">
        <v>111.74</v>
      </c>
      <c r="L905" s="15">
        <v>40226.400000000001</v>
      </c>
      <c r="M905" s="15">
        <v>-3093.4100000000003</v>
      </c>
      <c r="N905" s="15">
        <v>0</v>
      </c>
      <c r="O905" s="15">
        <v>4827.2891380000001</v>
      </c>
      <c r="P905" s="15">
        <v>41960.279137999998</v>
      </c>
    </row>
    <row r="906" spans="1:16" ht="15" x14ac:dyDescent="0.2">
      <c r="A906" s="4" t="s">
        <v>583</v>
      </c>
      <c r="B906" s="21" t="str">
        <f t="shared" si="28"/>
        <v>Sep-2025</v>
      </c>
      <c r="C906" s="2" t="str">
        <f t="shared" si="29"/>
        <v>Q2</v>
      </c>
      <c r="D906" s="2" t="s">
        <v>31</v>
      </c>
      <c r="E906" s="13">
        <v>45916</v>
      </c>
      <c r="F906" s="14" t="s">
        <v>239</v>
      </c>
      <c r="G906" s="14" t="s">
        <v>12</v>
      </c>
      <c r="H906" s="14" t="s">
        <v>109</v>
      </c>
      <c r="I906" s="15">
        <v>2</v>
      </c>
      <c r="J906" s="15">
        <v>30</v>
      </c>
      <c r="K906" s="15">
        <v>260.72000000000003</v>
      </c>
      <c r="L906" s="15">
        <v>7821.6</v>
      </c>
      <c r="M906" s="15">
        <v>-601.48</v>
      </c>
      <c r="N906" s="15">
        <v>0</v>
      </c>
      <c r="O906" s="15">
        <v>938.6156850000001</v>
      </c>
      <c r="P906" s="15">
        <v>8158.7356849999996</v>
      </c>
    </row>
    <row r="907" spans="1:16" ht="15" x14ac:dyDescent="0.2">
      <c r="A907" s="4" t="s">
        <v>576</v>
      </c>
      <c r="B907" s="21" t="str">
        <f t="shared" si="28"/>
        <v>Sep-2025</v>
      </c>
      <c r="C907" s="2" t="str">
        <f t="shared" si="29"/>
        <v>Q2</v>
      </c>
      <c r="D907" s="2" t="s">
        <v>31</v>
      </c>
      <c r="E907" s="13">
        <v>45916</v>
      </c>
      <c r="F907" s="14" t="s">
        <v>239</v>
      </c>
      <c r="G907" s="14" t="s">
        <v>12</v>
      </c>
      <c r="H907" s="14" t="s">
        <v>124</v>
      </c>
      <c r="I907" s="15">
        <v>2</v>
      </c>
      <c r="J907" s="15">
        <v>40</v>
      </c>
      <c r="K907" s="15">
        <v>175.06</v>
      </c>
      <c r="L907" s="15">
        <v>7002.4</v>
      </c>
      <c r="M907" s="15">
        <v>-538.48</v>
      </c>
      <c r="N907" s="15">
        <v>0</v>
      </c>
      <c r="O907" s="15">
        <v>840.30967599999997</v>
      </c>
      <c r="P907" s="15">
        <v>7304.2296759999999</v>
      </c>
    </row>
    <row r="908" spans="1:16" ht="15" x14ac:dyDescent="0.2">
      <c r="A908" s="4" t="s">
        <v>576</v>
      </c>
      <c r="B908" s="21" t="str">
        <f t="shared" si="28"/>
        <v>Sep-2025</v>
      </c>
      <c r="C908" s="2" t="str">
        <f t="shared" si="29"/>
        <v>Q2</v>
      </c>
      <c r="D908" s="2" t="s">
        <v>31</v>
      </c>
      <c r="E908" s="13">
        <v>45916</v>
      </c>
      <c r="F908" s="14" t="s">
        <v>239</v>
      </c>
      <c r="G908" s="14" t="s">
        <v>12</v>
      </c>
      <c r="H908" s="14" t="s">
        <v>110</v>
      </c>
      <c r="I908" s="15">
        <v>3</v>
      </c>
      <c r="J908" s="15">
        <v>60</v>
      </c>
      <c r="K908" s="15">
        <v>175.06</v>
      </c>
      <c r="L908" s="15">
        <v>10503.6</v>
      </c>
      <c r="M908" s="15">
        <v>-807.7299999999999</v>
      </c>
      <c r="N908" s="15">
        <v>0</v>
      </c>
      <c r="O908" s="15">
        <v>1260.4632139999999</v>
      </c>
      <c r="P908" s="15">
        <v>10956.333214</v>
      </c>
    </row>
    <row r="909" spans="1:16" ht="15" x14ac:dyDescent="0.2">
      <c r="A909" s="4" t="s">
        <v>583</v>
      </c>
      <c r="B909" s="21" t="str">
        <f t="shared" si="28"/>
        <v>Sep-2025</v>
      </c>
      <c r="C909" s="2" t="str">
        <f t="shared" si="29"/>
        <v>Q2</v>
      </c>
      <c r="D909" s="2" t="s">
        <v>31</v>
      </c>
      <c r="E909" s="13">
        <v>45916</v>
      </c>
      <c r="F909" s="14" t="s">
        <v>239</v>
      </c>
      <c r="G909" s="14" t="s">
        <v>12</v>
      </c>
      <c r="H909" s="14" t="s">
        <v>113</v>
      </c>
      <c r="I909" s="15">
        <v>3</v>
      </c>
      <c r="J909" s="15">
        <v>45</v>
      </c>
      <c r="K909" s="15">
        <v>260.72000000000003</v>
      </c>
      <c r="L909" s="15">
        <v>11732.4</v>
      </c>
      <c r="M909" s="15">
        <v>-902.22</v>
      </c>
      <c r="N909" s="15">
        <v>0</v>
      </c>
      <c r="O909" s="15">
        <v>1407.923528</v>
      </c>
      <c r="P909" s="15">
        <v>12238.103528</v>
      </c>
    </row>
    <row r="910" spans="1:16" ht="15" x14ac:dyDescent="0.2">
      <c r="A910" s="4" t="s">
        <v>590</v>
      </c>
      <c r="B910" s="21" t="str">
        <f t="shared" si="28"/>
        <v>Sep-2025</v>
      </c>
      <c r="C910" s="2" t="str">
        <f t="shared" si="29"/>
        <v>Q2</v>
      </c>
      <c r="D910" s="2" t="s">
        <v>31</v>
      </c>
      <c r="E910" s="13">
        <v>45916</v>
      </c>
      <c r="F910" s="14" t="s">
        <v>239</v>
      </c>
      <c r="G910" s="14" t="s">
        <v>12</v>
      </c>
      <c r="H910" s="14" t="s">
        <v>102</v>
      </c>
      <c r="I910" s="15">
        <v>0.5</v>
      </c>
      <c r="J910" s="15">
        <v>10</v>
      </c>
      <c r="K910" s="15">
        <v>249.55</v>
      </c>
      <c r="L910" s="15">
        <v>2495.5</v>
      </c>
      <c r="M910" s="15">
        <v>-191.9</v>
      </c>
      <c r="N910" s="15">
        <v>0</v>
      </c>
      <c r="O910" s="15">
        <v>299.46802700000001</v>
      </c>
      <c r="P910" s="15">
        <v>2603.0680269999998</v>
      </c>
    </row>
    <row r="911" spans="1:16" ht="15" x14ac:dyDescent="0.2">
      <c r="A911" s="4" t="s">
        <v>576</v>
      </c>
      <c r="B911" s="21" t="str">
        <f t="shared" si="28"/>
        <v>Sep-2025</v>
      </c>
      <c r="C911" s="2" t="str">
        <f t="shared" si="29"/>
        <v>Q2</v>
      </c>
      <c r="D911" s="2" t="s">
        <v>31</v>
      </c>
      <c r="E911" s="13">
        <v>45917</v>
      </c>
      <c r="F911" s="14" t="s">
        <v>240</v>
      </c>
      <c r="G911" s="14" t="s">
        <v>171</v>
      </c>
      <c r="H911" s="14" t="s">
        <v>124</v>
      </c>
      <c r="I911" s="15">
        <v>2</v>
      </c>
      <c r="J911" s="15">
        <v>40</v>
      </c>
      <c r="K911" s="15">
        <v>175.05</v>
      </c>
      <c r="L911" s="15">
        <v>7001.9999999999991</v>
      </c>
      <c r="M911" s="15">
        <v>-538.45000000000005</v>
      </c>
      <c r="N911" s="15">
        <v>0</v>
      </c>
      <c r="O911" s="15">
        <v>840.26186700000005</v>
      </c>
      <c r="P911" s="15">
        <v>7303.8118670000003</v>
      </c>
    </row>
    <row r="912" spans="1:16" ht="15" x14ac:dyDescent="0.2">
      <c r="A912" s="4" t="s">
        <v>576</v>
      </c>
      <c r="B912" s="21" t="str">
        <f t="shared" si="28"/>
        <v>Sep-2025</v>
      </c>
      <c r="C912" s="2" t="str">
        <f t="shared" si="29"/>
        <v>Q2</v>
      </c>
      <c r="D912" s="2" t="s">
        <v>31</v>
      </c>
      <c r="E912" s="13">
        <v>45917</v>
      </c>
      <c r="F912" s="14" t="s">
        <v>240</v>
      </c>
      <c r="G912" s="14" t="s">
        <v>171</v>
      </c>
      <c r="H912" s="14" t="s">
        <v>110</v>
      </c>
      <c r="I912" s="15">
        <v>2</v>
      </c>
      <c r="J912" s="15">
        <v>40</v>
      </c>
      <c r="K912" s="15">
        <v>175.05</v>
      </c>
      <c r="L912" s="15">
        <v>7001.9999999999991</v>
      </c>
      <c r="M912" s="15">
        <v>-538.45000000000005</v>
      </c>
      <c r="N912" s="15">
        <v>0</v>
      </c>
      <c r="O912" s="15">
        <v>840.26186700000005</v>
      </c>
      <c r="P912" s="15">
        <v>7303.8118670000003</v>
      </c>
    </row>
    <row r="913" spans="1:16" ht="15" x14ac:dyDescent="0.2">
      <c r="A913" s="4" t="s">
        <v>583</v>
      </c>
      <c r="B913" s="21" t="str">
        <f t="shared" si="28"/>
        <v>Sep-2025</v>
      </c>
      <c r="C913" s="2" t="str">
        <f t="shared" si="29"/>
        <v>Q2</v>
      </c>
      <c r="D913" s="2" t="s">
        <v>31</v>
      </c>
      <c r="E913" s="13">
        <v>45917</v>
      </c>
      <c r="F913" s="14" t="s">
        <v>240</v>
      </c>
      <c r="G913" s="14" t="s">
        <v>171</v>
      </c>
      <c r="H913" s="14" t="s">
        <v>113</v>
      </c>
      <c r="I913" s="15">
        <v>1</v>
      </c>
      <c r="J913" s="15">
        <v>15</v>
      </c>
      <c r="K913" s="15">
        <v>260.72000000000003</v>
      </c>
      <c r="L913" s="15">
        <v>3910.8</v>
      </c>
      <c r="M913" s="15">
        <v>-300.74</v>
      </c>
      <c r="N913" s="15">
        <v>0</v>
      </c>
      <c r="O913" s="15">
        <v>469.30800499999998</v>
      </c>
      <c r="P913" s="15">
        <v>4079.3680049999998</v>
      </c>
    </row>
    <row r="914" spans="1:16" ht="15" x14ac:dyDescent="0.2">
      <c r="A914" s="4" t="s">
        <v>579</v>
      </c>
      <c r="B914" s="21" t="str">
        <f t="shared" si="28"/>
        <v>Sep-2025</v>
      </c>
      <c r="C914" s="2" t="str">
        <f t="shared" si="29"/>
        <v>Q2</v>
      </c>
      <c r="D914" s="2" t="s">
        <v>31</v>
      </c>
      <c r="E914" s="13">
        <v>45917</v>
      </c>
      <c r="F914" s="14" t="s">
        <v>240</v>
      </c>
      <c r="G914" s="14" t="s">
        <v>171</v>
      </c>
      <c r="H914" s="14" t="s">
        <v>92</v>
      </c>
      <c r="I914" s="15">
        <v>1</v>
      </c>
      <c r="J914" s="15">
        <v>20</v>
      </c>
      <c r="K914" s="15">
        <v>242.1</v>
      </c>
      <c r="L914" s="15">
        <v>4841.9999999999991</v>
      </c>
      <c r="M914" s="15">
        <v>-372.35</v>
      </c>
      <c r="N914" s="15">
        <v>0</v>
      </c>
      <c r="O914" s="15">
        <v>581.054754</v>
      </c>
      <c r="P914" s="15">
        <v>5050.7047540000003</v>
      </c>
    </row>
    <row r="915" spans="1:16" ht="15" x14ac:dyDescent="0.2">
      <c r="A915" s="4" t="s">
        <v>573</v>
      </c>
      <c r="B915" s="21" t="str">
        <f t="shared" si="28"/>
        <v>Sep-2025</v>
      </c>
      <c r="C915" s="2" t="str">
        <f t="shared" si="29"/>
        <v>Q2</v>
      </c>
      <c r="D915" s="2" t="s">
        <v>31</v>
      </c>
      <c r="E915" s="13">
        <v>45917</v>
      </c>
      <c r="F915" s="14" t="s">
        <v>240</v>
      </c>
      <c r="G915" s="14" t="s">
        <v>171</v>
      </c>
      <c r="H915" s="14" t="s">
        <v>47</v>
      </c>
      <c r="I915" s="15">
        <v>2</v>
      </c>
      <c r="J915" s="15">
        <v>80</v>
      </c>
      <c r="K915" s="15">
        <v>111.74</v>
      </c>
      <c r="L915" s="15">
        <v>8939.2000000000007</v>
      </c>
      <c r="M915" s="15">
        <v>-687.42</v>
      </c>
      <c r="N915" s="15">
        <v>0</v>
      </c>
      <c r="O915" s="15">
        <v>1072.7318680000001</v>
      </c>
      <c r="P915" s="15">
        <v>9324.5118679999996</v>
      </c>
    </row>
    <row r="916" spans="1:16" ht="15" x14ac:dyDescent="0.2">
      <c r="A916" s="4" t="s">
        <v>576</v>
      </c>
      <c r="B916" s="21" t="str">
        <f t="shared" si="28"/>
        <v>Sep-2025</v>
      </c>
      <c r="C916" s="2" t="str">
        <f t="shared" si="29"/>
        <v>Q2</v>
      </c>
      <c r="D916" s="2" t="s">
        <v>31</v>
      </c>
      <c r="E916" s="13">
        <v>45917</v>
      </c>
      <c r="F916" s="14" t="s">
        <v>240</v>
      </c>
      <c r="G916" s="14" t="s">
        <v>171</v>
      </c>
      <c r="H916" s="14" t="s">
        <v>123</v>
      </c>
      <c r="I916" s="15">
        <v>2</v>
      </c>
      <c r="J916" s="15">
        <v>40</v>
      </c>
      <c r="K916" s="15">
        <v>175.05</v>
      </c>
      <c r="L916" s="15">
        <v>7001.9999999999991</v>
      </c>
      <c r="M916" s="15">
        <v>-538.45000000000005</v>
      </c>
      <c r="N916" s="15">
        <v>0</v>
      </c>
      <c r="O916" s="15">
        <v>840.26186700000005</v>
      </c>
      <c r="P916" s="15">
        <v>7303.8118670000003</v>
      </c>
    </row>
    <row r="917" spans="1:16" ht="15" x14ac:dyDescent="0.2">
      <c r="A917" s="4" t="s">
        <v>573</v>
      </c>
      <c r="B917" s="21" t="str">
        <f t="shared" si="28"/>
        <v>Sep-2025</v>
      </c>
      <c r="C917" s="2" t="str">
        <f t="shared" si="29"/>
        <v>Q2</v>
      </c>
      <c r="D917" s="2" t="s">
        <v>31</v>
      </c>
      <c r="E917" s="13">
        <v>45917</v>
      </c>
      <c r="F917" s="14" t="s">
        <v>240</v>
      </c>
      <c r="G917" s="14" t="s">
        <v>171</v>
      </c>
      <c r="H917" s="14" t="s">
        <v>136</v>
      </c>
      <c r="I917" s="15">
        <v>3</v>
      </c>
      <c r="J917" s="15">
        <v>120</v>
      </c>
      <c r="K917" s="15">
        <v>111.74</v>
      </c>
      <c r="L917" s="15">
        <v>13408.8</v>
      </c>
      <c r="M917" s="15">
        <v>-1031.1400000000001</v>
      </c>
      <c r="N917" s="15">
        <v>0</v>
      </c>
      <c r="O917" s="15">
        <v>1609.0965019999999</v>
      </c>
      <c r="P917" s="15">
        <v>13986.756502</v>
      </c>
    </row>
    <row r="918" spans="1:16" ht="15" x14ac:dyDescent="0.2">
      <c r="A918" s="4" t="s">
        <v>586</v>
      </c>
      <c r="B918" s="21" t="str">
        <f t="shared" si="28"/>
        <v>Sep-2025</v>
      </c>
      <c r="C918" s="2" t="str">
        <f t="shared" si="29"/>
        <v>Q2</v>
      </c>
      <c r="D918" s="2" t="s">
        <v>31</v>
      </c>
      <c r="E918" s="13">
        <v>45917</v>
      </c>
      <c r="F918" s="14" t="s">
        <v>240</v>
      </c>
      <c r="G918" s="14" t="s">
        <v>171</v>
      </c>
      <c r="H918" s="14" t="s">
        <v>78</v>
      </c>
      <c r="I918" s="15">
        <v>2</v>
      </c>
      <c r="J918" s="15">
        <v>1200</v>
      </c>
      <c r="K918" s="15">
        <v>7.45</v>
      </c>
      <c r="L918" s="15">
        <v>8940</v>
      </c>
      <c r="M918" s="15">
        <v>-687.4899999999999</v>
      </c>
      <c r="N918" s="15">
        <v>0</v>
      </c>
      <c r="O918" s="15">
        <v>1072.8267679999999</v>
      </c>
      <c r="P918" s="15">
        <v>9325.3367679999992</v>
      </c>
    </row>
    <row r="919" spans="1:16" ht="15" x14ac:dyDescent="0.2">
      <c r="A919" s="4" t="s">
        <v>573</v>
      </c>
      <c r="B919" s="21" t="str">
        <f t="shared" si="28"/>
        <v>Sep-2025</v>
      </c>
      <c r="C919" s="2" t="str">
        <f t="shared" si="29"/>
        <v>Q2</v>
      </c>
      <c r="D919" s="2" t="s">
        <v>31</v>
      </c>
      <c r="E919" s="13">
        <v>45917</v>
      </c>
      <c r="F919" s="14" t="s">
        <v>240</v>
      </c>
      <c r="G919" s="14" t="s">
        <v>171</v>
      </c>
      <c r="H919" s="14" t="s">
        <v>111</v>
      </c>
      <c r="I919" s="15">
        <v>3</v>
      </c>
      <c r="J919" s="15">
        <v>120</v>
      </c>
      <c r="K919" s="15">
        <v>111.74</v>
      </c>
      <c r="L919" s="15">
        <v>13408.8</v>
      </c>
      <c r="M919" s="15">
        <v>-1031.1400000000001</v>
      </c>
      <c r="N919" s="15">
        <v>0</v>
      </c>
      <c r="O919" s="15">
        <v>1609.0965019999999</v>
      </c>
      <c r="P919" s="15">
        <v>13986.756502</v>
      </c>
    </row>
    <row r="920" spans="1:16" ht="15" x14ac:dyDescent="0.2">
      <c r="A920" s="4" t="s">
        <v>581</v>
      </c>
      <c r="B920" s="21" t="str">
        <f t="shared" si="28"/>
        <v>Sep-2025</v>
      </c>
      <c r="C920" s="2" t="str">
        <f t="shared" si="29"/>
        <v>Q2</v>
      </c>
      <c r="D920" s="2" t="s">
        <v>31</v>
      </c>
      <c r="E920" s="13">
        <v>45917</v>
      </c>
      <c r="F920" s="14" t="s">
        <v>241</v>
      </c>
      <c r="G920" s="14" t="s">
        <v>242</v>
      </c>
      <c r="H920" s="14" t="s">
        <v>66</v>
      </c>
      <c r="I920" s="15">
        <v>3</v>
      </c>
      <c r="J920" s="15">
        <v>72</v>
      </c>
      <c r="K920" s="15">
        <v>141.54</v>
      </c>
      <c r="L920" s="15">
        <v>10190.879999999999</v>
      </c>
      <c r="M920" s="15">
        <v>-783.68</v>
      </c>
      <c r="N920" s="15">
        <v>0</v>
      </c>
      <c r="O920" s="15">
        <v>1222.9352200000001</v>
      </c>
      <c r="P920" s="15">
        <v>10630.13522</v>
      </c>
    </row>
    <row r="921" spans="1:16" ht="15" x14ac:dyDescent="0.2">
      <c r="A921" s="4" t="s">
        <v>582</v>
      </c>
      <c r="B921" s="21" t="str">
        <f t="shared" si="28"/>
        <v>Sep-2025</v>
      </c>
      <c r="C921" s="2" t="str">
        <f t="shared" si="29"/>
        <v>Q2</v>
      </c>
      <c r="D921" s="2" t="s">
        <v>31</v>
      </c>
      <c r="E921" s="13">
        <v>45917</v>
      </c>
      <c r="F921" s="14" t="s">
        <v>241</v>
      </c>
      <c r="G921" s="14" t="s">
        <v>242</v>
      </c>
      <c r="H921" s="14" t="s">
        <v>108</v>
      </c>
      <c r="I921" s="15">
        <v>10</v>
      </c>
      <c r="J921" s="15">
        <v>240</v>
      </c>
      <c r="K921" s="15">
        <v>186.23</v>
      </c>
      <c r="L921" s="15">
        <v>44695.199999999997</v>
      </c>
      <c r="M921" s="15">
        <v>-3437.06</v>
      </c>
      <c r="N921" s="15">
        <v>0</v>
      </c>
      <c r="O921" s="15">
        <v>5363.5547800000004</v>
      </c>
      <c r="P921" s="15">
        <v>46621.694779999998</v>
      </c>
    </row>
    <row r="922" spans="1:16" ht="15" x14ac:dyDescent="0.2">
      <c r="A922" s="4" t="s">
        <v>580</v>
      </c>
      <c r="B922" s="21" t="str">
        <f t="shared" si="28"/>
        <v>Sep-2025</v>
      </c>
      <c r="C922" s="2" t="str">
        <f t="shared" si="29"/>
        <v>Q2</v>
      </c>
      <c r="D922" s="2" t="s">
        <v>31</v>
      </c>
      <c r="E922" s="13">
        <v>45917</v>
      </c>
      <c r="F922" s="14" t="s">
        <v>243</v>
      </c>
      <c r="G922" s="14" t="s">
        <v>244</v>
      </c>
      <c r="H922" s="14" t="s">
        <v>65</v>
      </c>
      <c r="I922" s="15">
        <v>1</v>
      </c>
      <c r="J922" s="15">
        <v>130</v>
      </c>
      <c r="K922" s="15">
        <v>37.25</v>
      </c>
      <c r="L922" s="15">
        <v>4842.5</v>
      </c>
      <c r="M922" s="15">
        <v>-372.39</v>
      </c>
      <c r="N922" s="15">
        <v>0</v>
      </c>
      <c r="O922" s="15">
        <v>581.11399500000005</v>
      </c>
      <c r="P922" s="15">
        <v>5051.2239950000003</v>
      </c>
    </row>
    <row r="923" spans="1:16" ht="15" x14ac:dyDescent="0.2">
      <c r="A923" s="4" t="s">
        <v>583</v>
      </c>
      <c r="B923" s="21" t="str">
        <f t="shared" si="28"/>
        <v>Sep-2025</v>
      </c>
      <c r="C923" s="2" t="str">
        <f t="shared" si="29"/>
        <v>Q2</v>
      </c>
      <c r="D923" s="2" t="s">
        <v>31</v>
      </c>
      <c r="E923" s="13">
        <v>45917</v>
      </c>
      <c r="F923" s="14" t="s">
        <v>243</v>
      </c>
      <c r="G923" s="14" t="s">
        <v>244</v>
      </c>
      <c r="H923" s="14" t="s">
        <v>109</v>
      </c>
      <c r="I923" s="15">
        <v>1</v>
      </c>
      <c r="J923" s="15">
        <v>15</v>
      </c>
      <c r="K923" s="15">
        <v>260.72000000000003</v>
      </c>
      <c r="L923" s="15">
        <v>3910.8</v>
      </c>
      <c r="M923" s="15">
        <v>-300.74</v>
      </c>
      <c r="N923" s="15">
        <v>0</v>
      </c>
      <c r="O923" s="15">
        <v>469.30755399999998</v>
      </c>
      <c r="P923" s="15">
        <v>4079.3675539999999</v>
      </c>
    </row>
    <row r="924" spans="1:16" ht="15" x14ac:dyDescent="0.2">
      <c r="A924" s="4" t="s">
        <v>573</v>
      </c>
      <c r="B924" s="21" t="str">
        <f t="shared" si="28"/>
        <v>Sep-2025</v>
      </c>
      <c r="C924" s="2" t="str">
        <f t="shared" si="29"/>
        <v>Q2</v>
      </c>
      <c r="D924" s="2" t="s">
        <v>31</v>
      </c>
      <c r="E924" s="13">
        <v>45917</v>
      </c>
      <c r="F924" s="14" t="s">
        <v>243</v>
      </c>
      <c r="G924" s="14" t="s">
        <v>244</v>
      </c>
      <c r="H924" s="14" t="s">
        <v>111</v>
      </c>
      <c r="I924" s="15">
        <v>4</v>
      </c>
      <c r="J924" s="15">
        <v>160</v>
      </c>
      <c r="K924" s="15">
        <v>111.74</v>
      </c>
      <c r="L924" s="15">
        <v>17878.400000000001</v>
      </c>
      <c r="M924" s="15">
        <v>-1374.85</v>
      </c>
      <c r="N924" s="15">
        <v>0</v>
      </c>
      <c r="O924" s="15">
        <v>2145.4603750000001</v>
      </c>
      <c r="P924" s="15">
        <v>18649.010375000002</v>
      </c>
    </row>
    <row r="925" spans="1:16" ht="15" x14ac:dyDescent="0.2">
      <c r="A925" s="4" t="s">
        <v>583</v>
      </c>
      <c r="B925" s="21" t="str">
        <f t="shared" si="28"/>
        <v>Sep-2025</v>
      </c>
      <c r="C925" s="2" t="str">
        <f t="shared" si="29"/>
        <v>Q2</v>
      </c>
      <c r="D925" s="2" t="s">
        <v>31</v>
      </c>
      <c r="E925" s="13">
        <v>45917</v>
      </c>
      <c r="F925" s="14" t="s">
        <v>243</v>
      </c>
      <c r="G925" s="14" t="s">
        <v>244</v>
      </c>
      <c r="H925" s="14" t="s">
        <v>113</v>
      </c>
      <c r="I925" s="15">
        <v>1</v>
      </c>
      <c r="J925" s="15">
        <v>15</v>
      </c>
      <c r="K925" s="15">
        <v>260.72000000000003</v>
      </c>
      <c r="L925" s="15">
        <v>3910.8</v>
      </c>
      <c r="M925" s="15">
        <v>-300.74</v>
      </c>
      <c r="N925" s="15">
        <v>0</v>
      </c>
      <c r="O925" s="15">
        <v>469.30755399999998</v>
      </c>
      <c r="P925" s="15">
        <v>4079.3675539999999</v>
      </c>
    </row>
    <row r="926" spans="1:16" ht="15" x14ac:dyDescent="0.2">
      <c r="A926" s="4" t="s">
        <v>573</v>
      </c>
      <c r="B926" s="21" t="str">
        <f t="shared" si="28"/>
        <v>Sep-2025</v>
      </c>
      <c r="C926" s="2" t="str">
        <f t="shared" si="29"/>
        <v>Q2</v>
      </c>
      <c r="D926" s="2" t="s">
        <v>31</v>
      </c>
      <c r="E926" s="13">
        <v>45917</v>
      </c>
      <c r="F926" s="14" t="s">
        <v>243</v>
      </c>
      <c r="G926" s="14" t="s">
        <v>244</v>
      </c>
      <c r="H926" s="14" t="s">
        <v>47</v>
      </c>
      <c r="I926" s="15">
        <v>2</v>
      </c>
      <c r="J926" s="15">
        <v>80</v>
      </c>
      <c r="K926" s="15">
        <v>111.74</v>
      </c>
      <c r="L926" s="15">
        <v>8939.2000000000007</v>
      </c>
      <c r="M926" s="15">
        <v>-687.42</v>
      </c>
      <c r="N926" s="15">
        <v>0</v>
      </c>
      <c r="O926" s="15">
        <v>1072.7308379999999</v>
      </c>
      <c r="P926" s="15">
        <v>9324.5108380000001</v>
      </c>
    </row>
    <row r="927" spans="1:16" ht="15" x14ac:dyDescent="0.2">
      <c r="A927" s="4" t="s">
        <v>573</v>
      </c>
      <c r="B927" s="21" t="str">
        <f t="shared" si="28"/>
        <v>Sep-2025</v>
      </c>
      <c r="C927" s="2" t="str">
        <f t="shared" si="29"/>
        <v>Q2</v>
      </c>
      <c r="D927" s="2" t="s">
        <v>31</v>
      </c>
      <c r="E927" s="13">
        <v>45917</v>
      </c>
      <c r="F927" s="14" t="s">
        <v>243</v>
      </c>
      <c r="G927" s="14" t="s">
        <v>244</v>
      </c>
      <c r="H927" s="14" t="s">
        <v>136</v>
      </c>
      <c r="I927" s="15">
        <v>2</v>
      </c>
      <c r="J927" s="15">
        <v>80</v>
      </c>
      <c r="K927" s="15">
        <v>111.74</v>
      </c>
      <c r="L927" s="15">
        <v>8939.2000000000007</v>
      </c>
      <c r="M927" s="15">
        <v>-687.42</v>
      </c>
      <c r="N927" s="15">
        <v>0</v>
      </c>
      <c r="O927" s="15">
        <v>1072.7308379999999</v>
      </c>
      <c r="P927" s="15">
        <v>9324.5108380000001</v>
      </c>
    </row>
    <row r="928" spans="1:16" ht="15" x14ac:dyDescent="0.2">
      <c r="A928" s="4" t="s">
        <v>584</v>
      </c>
      <c r="B928" s="21" t="str">
        <f t="shared" si="28"/>
        <v>Sep-2025</v>
      </c>
      <c r="C928" s="2" t="str">
        <f t="shared" si="29"/>
        <v>Q2</v>
      </c>
      <c r="D928" s="2" t="s">
        <v>31</v>
      </c>
      <c r="E928" s="13">
        <v>45917</v>
      </c>
      <c r="F928" s="14" t="s">
        <v>243</v>
      </c>
      <c r="G928" s="14" t="s">
        <v>244</v>
      </c>
      <c r="H928" s="14" t="s">
        <v>120</v>
      </c>
      <c r="I928" s="15">
        <v>1</v>
      </c>
      <c r="J928" s="15">
        <v>40</v>
      </c>
      <c r="K928" s="15">
        <v>81.94</v>
      </c>
      <c r="L928" s="15">
        <v>3277.6</v>
      </c>
      <c r="M928" s="15">
        <v>-252.05</v>
      </c>
      <c r="N928" s="15">
        <v>0</v>
      </c>
      <c r="O928" s="15">
        <v>393.32129400000002</v>
      </c>
      <c r="P928" s="15">
        <v>3418.871294</v>
      </c>
    </row>
    <row r="929" spans="1:16" ht="15" x14ac:dyDescent="0.2">
      <c r="A929" s="4" t="s">
        <v>589</v>
      </c>
      <c r="B929" s="21" t="str">
        <f t="shared" si="28"/>
        <v>Sep-2025</v>
      </c>
      <c r="C929" s="2" t="str">
        <f t="shared" si="29"/>
        <v>Q2</v>
      </c>
      <c r="D929" s="2" t="s">
        <v>31</v>
      </c>
      <c r="E929" s="13">
        <v>45917</v>
      </c>
      <c r="F929" s="14" t="s">
        <v>243</v>
      </c>
      <c r="G929" s="14" t="s">
        <v>244</v>
      </c>
      <c r="H929" s="14" t="s">
        <v>98</v>
      </c>
      <c r="I929" s="15">
        <v>1</v>
      </c>
      <c r="J929" s="15">
        <v>60</v>
      </c>
      <c r="K929" s="15">
        <v>145.26</v>
      </c>
      <c r="L929" s="15">
        <v>8715.6</v>
      </c>
      <c r="M929" s="15">
        <v>-670.23</v>
      </c>
      <c r="N929" s="15">
        <v>0</v>
      </c>
      <c r="O929" s="15">
        <v>1045.8975519999999</v>
      </c>
      <c r="P929" s="15">
        <v>9091.2675519999993</v>
      </c>
    </row>
    <row r="930" spans="1:16" ht="15" x14ac:dyDescent="0.2">
      <c r="A930" s="4" t="s">
        <v>584</v>
      </c>
      <c r="B930" s="21" t="str">
        <f t="shared" si="28"/>
        <v>Sep-2025</v>
      </c>
      <c r="C930" s="2" t="str">
        <f t="shared" si="29"/>
        <v>Q2</v>
      </c>
      <c r="D930" s="2" t="s">
        <v>31</v>
      </c>
      <c r="E930" s="13">
        <v>45918</v>
      </c>
      <c r="F930" s="14" t="s">
        <v>245</v>
      </c>
      <c r="G930" s="14" t="s">
        <v>23</v>
      </c>
      <c r="H930" s="14" t="s">
        <v>99</v>
      </c>
      <c r="I930" s="15">
        <v>7</v>
      </c>
      <c r="J930" s="15">
        <v>280</v>
      </c>
      <c r="K930" s="15">
        <v>81.94</v>
      </c>
      <c r="L930" s="15">
        <v>22943.200000000001</v>
      </c>
      <c r="M930" s="15">
        <v>-1764.33</v>
      </c>
      <c r="N930" s="15">
        <v>0</v>
      </c>
      <c r="O930" s="15">
        <v>2753.2527100000002</v>
      </c>
      <c r="P930" s="15">
        <v>23932.12271</v>
      </c>
    </row>
    <row r="931" spans="1:16" ht="15" x14ac:dyDescent="0.2">
      <c r="A931" s="4" t="s">
        <v>582</v>
      </c>
      <c r="B931" s="21" t="str">
        <f t="shared" si="28"/>
        <v>Sep-2025</v>
      </c>
      <c r="C931" s="2" t="str">
        <f t="shared" si="29"/>
        <v>Q2</v>
      </c>
      <c r="D931" s="2" t="s">
        <v>31</v>
      </c>
      <c r="E931" s="13">
        <v>45918</v>
      </c>
      <c r="F931" s="14" t="s">
        <v>245</v>
      </c>
      <c r="G931" s="14" t="s">
        <v>23</v>
      </c>
      <c r="H931" s="14" t="s">
        <v>77</v>
      </c>
      <c r="I931" s="15">
        <v>5</v>
      </c>
      <c r="J931" s="15">
        <v>120</v>
      </c>
      <c r="K931" s="15">
        <v>204.85</v>
      </c>
      <c r="L931" s="15">
        <v>24582</v>
      </c>
      <c r="M931" s="15">
        <v>-1890.36</v>
      </c>
      <c r="N931" s="15">
        <v>0</v>
      </c>
      <c r="O931" s="15">
        <v>2949.9127819999999</v>
      </c>
      <c r="P931" s="15">
        <v>25641.552781999999</v>
      </c>
    </row>
    <row r="932" spans="1:16" ht="15" x14ac:dyDescent="0.2">
      <c r="A932" s="4" t="s">
        <v>576</v>
      </c>
      <c r="B932" s="21" t="str">
        <f t="shared" si="28"/>
        <v>Sep-2025</v>
      </c>
      <c r="C932" s="2" t="str">
        <f t="shared" si="29"/>
        <v>Q2</v>
      </c>
      <c r="D932" s="2" t="s">
        <v>31</v>
      </c>
      <c r="E932" s="13">
        <v>45918</v>
      </c>
      <c r="F932" s="14" t="s">
        <v>245</v>
      </c>
      <c r="G932" s="14" t="s">
        <v>23</v>
      </c>
      <c r="H932" s="14" t="s">
        <v>123</v>
      </c>
      <c r="I932" s="15">
        <v>2</v>
      </c>
      <c r="J932" s="15">
        <v>40</v>
      </c>
      <c r="K932" s="15">
        <v>175.06</v>
      </c>
      <c r="L932" s="15">
        <v>7002.4</v>
      </c>
      <c r="M932" s="15">
        <v>-538.48</v>
      </c>
      <c r="N932" s="15">
        <v>0</v>
      </c>
      <c r="O932" s="15">
        <v>840.30948100000001</v>
      </c>
      <c r="P932" s="15">
        <v>7304.2294810000003</v>
      </c>
    </row>
    <row r="933" spans="1:16" ht="15" x14ac:dyDescent="0.2">
      <c r="A933" s="4" t="s">
        <v>586</v>
      </c>
      <c r="B933" s="21" t="str">
        <f t="shared" si="28"/>
        <v>Sep-2025</v>
      </c>
      <c r="C933" s="2" t="str">
        <f t="shared" si="29"/>
        <v>Q2</v>
      </c>
      <c r="D933" s="2" t="s">
        <v>31</v>
      </c>
      <c r="E933" s="13">
        <v>45918</v>
      </c>
      <c r="F933" s="14" t="s">
        <v>245</v>
      </c>
      <c r="G933" s="14" t="s">
        <v>23</v>
      </c>
      <c r="H933" s="14" t="s">
        <v>76</v>
      </c>
      <c r="I933" s="15">
        <v>2</v>
      </c>
      <c r="J933" s="15">
        <v>480</v>
      </c>
      <c r="K933" s="15">
        <v>14.9</v>
      </c>
      <c r="L933" s="15">
        <v>7152</v>
      </c>
      <c r="M933" s="15">
        <v>-549.99</v>
      </c>
      <c r="N933" s="15">
        <v>0</v>
      </c>
      <c r="O933" s="15">
        <v>858.26117799999997</v>
      </c>
      <c r="P933" s="15">
        <v>7460.271178</v>
      </c>
    </row>
    <row r="934" spans="1:16" ht="15" x14ac:dyDescent="0.2">
      <c r="A934" s="4" t="s">
        <v>581</v>
      </c>
      <c r="B934" s="21" t="str">
        <f t="shared" si="28"/>
        <v>Sep-2025</v>
      </c>
      <c r="C934" s="2" t="str">
        <f t="shared" si="29"/>
        <v>Q2</v>
      </c>
      <c r="D934" s="2" t="s">
        <v>31</v>
      </c>
      <c r="E934" s="13">
        <v>45918</v>
      </c>
      <c r="F934" s="14" t="s">
        <v>245</v>
      </c>
      <c r="G934" s="14" t="s">
        <v>23</v>
      </c>
      <c r="H934" s="14" t="s">
        <v>66</v>
      </c>
      <c r="I934" s="15">
        <v>5</v>
      </c>
      <c r="J934" s="15">
        <v>120</v>
      </c>
      <c r="K934" s="15">
        <v>141.54</v>
      </c>
      <c r="L934" s="15">
        <v>16984.8</v>
      </c>
      <c r="M934" s="15">
        <v>-1306.1299999999999</v>
      </c>
      <c r="N934" s="15">
        <v>0</v>
      </c>
      <c r="O934" s="15">
        <v>2038.226811</v>
      </c>
      <c r="P934" s="15">
        <v>17716.896810999999</v>
      </c>
    </row>
    <row r="935" spans="1:16" ht="15" x14ac:dyDescent="0.2">
      <c r="A935" s="4" t="s">
        <v>585</v>
      </c>
      <c r="B935" s="21" t="str">
        <f t="shared" si="28"/>
        <v>Sep-2025</v>
      </c>
      <c r="C935" s="2" t="str">
        <f t="shared" si="29"/>
        <v>Q2</v>
      </c>
      <c r="D935" s="2" t="s">
        <v>31</v>
      </c>
      <c r="E935" s="13">
        <v>45918</v>
      </c>
      <c r="F935" s="14" t="s">
        <v>245</v>
      </c>
      <c r="G935" s="14" t="s">
        <v>23</v>
      </c>
      <c r="H935" s="14" t="s">
        <v>180</v>
      </c>
      <c r="I935" s="15">
        <v>1</v>
      </c>
      <c r="J935" s="15">
        <v>1000</v>
      </c>
      <c r="K935" s="15">
        <v>1.86</v>
      </c>
      <c r="L935" s="15">
        <v>1860</v>
      </c>
      <c r="M935" s="15">
        <v>-143.03</v>
      </c>
      <c r="N935" s="15">
        <v>0</v>
      </c>
      <c r="O935" s="15">
        <v>223.20606799999999</v>
      </c>
      <c r="P935" s="15">
        <v>1940.176068</v>
      </c>
    </row>
    <row r="936" spans="1:16" ht="15" x14ac:dyDescent="0.2">
      <c r="A936" s="4" t="s">
        <v>583</v>
      </c>
      <c r="B936" s="21" t="str">
        <f t="shared" si="28"/>
        <v>Sep-2025</v>
      </c>
      <c r="C936" s="2" t="str">
        <f t="shared" si="29"/>
        <v>Q2</v>
      </c>
      <c r="D936" s="2" t="s">
        <v>31</v>
      </c>
      <c r="E936" s="13">
        <v>45918</v>
      </c>
      <c r="F936" s="14" t="s">
        <v>245</v>
      </c>
      <c r="G936" s="14" t="s">
        <v>23</v>
      </c>
      <c r="H936" s="14" t="s">
        <v>113</v>
      </c>
      <c r="I936" s="15">
        <v>5</v>
      </c>
      <c r="J936" s="15">
        <v>75</v>
      </c>
      <c r="K936" s="15">
        <v>260.72000000000003</v>
      </c>
      <c r="L936" s="15">
        <v>19554</v>
      </c>
      <c r="M936" s="15">
        <v>-1503.6999999999998</v>
      </c>
      <c r="N936" s="15">
        <v>0</v>
      </c>
      <c r="O936" s="15">
        <v>2346.5386680000001</v>
      </c>
      <c r="P936" s="15">
        <v>20396.838668</v>
      </c>
    </row>
    <row r="937" spans="1:16" ht="15" x14ac:dyDescent="0.2">
      <c r="A937" s="4" t="s">
        <v>575</v>
      </c>
      <c r="B937" s="21" t="str">
        <f t="shared" si="28"/>
        <v>Sep-2025</v>
      </c>
      <c r="C937" s="2" t="str">
        <f t="shared" si="29"/>
        <v>Q2</v>
      </c>
      <c r="D937" s="2" t="s">
        <v>31</v>
      </c>
      <c r="E937" s="13">
        <v>45918</v>
      </c>
      <c r="F937" s="14" t="s">
        <v>245</v>
      </c>
      <c r="G937" s="14" t="s">
        <v>23</v>
      </c>
      <c r="H937" s="14" t="s">
        <v>55</v>
      </c>
      <c r="I937" s="15">
        <v>3</v>
      </c>
      <c r="J937" s="15">
        <v>60</v>
      </c>
      <c r="K937" s="15">
        <v>186.23</v>
      </c>
      <c r="L937" s="15">
        <v>11173.8</v>
      </c>
      <c r="M937" s="15">
        <v>-859.2700000000001</v>
      </c>
      <c r="N937" s="15">
        <v>0</v>
      </c>
      <c r="O937" s="15">
        <v>1340.8887100000002</v>
      </c>
      <c r="P937" s="15">
        <v>11655.41871</v>
      </c>
    </row>
    <row r="938" spans="1:16" ht="15" x14ac:dyDescent="0.2">
      <c r="A938" s="4" t="s">
        <v>586</v>
      </c>
      <c r="B938" s="21" t="str">
        <f t="shared" si="28"/>
        <v>Sep-2025</v>
      </c>
      <c r="C938" s="2" t="str">
        <f t="shared" si="29"/>
        <v>Q2</v>
      </c>
      <c r="D938" s="2" t="s">
        <v>31</v>
      </c>
      <c r="E938" s="13">
        <v>45918</v>
      </c>
      <c r="F938" s="14" t="s">
        <v>245</v>
      </c>
      <c r="G938" s="14" t="s">
        <v>23</v>
      </c>
      <c r="H938" s="14" t="s">
        <v>114</v>
      </c>
      <c r="I938" s="15">
        <v>2</v>
      </c>
      <c r="J938" s="15">
        <v>480</v>
      </c>
      <c r="K938" s="15">
        <v>14.9</v>
      </c>
      <c r="L938" s="15">
        <v>7152</v>
      </c>
      <c r="M938" s="15">
        <v>-549.99</v>
      </c>
      <c r="N938" s="15">
        <v>0</v>
      </c>
      <c r="O938" s="15">
        <v>858.26117799999997</v>
      </c>
      <c r="P938" s="15">
        <v>7460.271178</v>
      </c>
    </row>
    <row r="939" spans="1:16" ht="15" x14ac:dyDescent="0.2">
      <c r="A939" s="4" t="s">
        <v>586</v>
      </c>
      <c r="B939" s="21" t="str">
        <f t="shared" si="28"/>
        <v>Sep-2025</v>
      </c>
      <c r="C939" s="2" t="str">
        <f t="shared" si="29"/>
        <v>Q2</v>
      </c>
      <c r="D939" s="2" t="s">
        <v>31</v>
      </c>
      <c r="E939" s="13">
        <v>45918</v>
      </c>
      <c r="F939" s="14" t="s">
        <v>245</v>
      </c>
      <c r="G939" s="14" t="s">
        <v>23</v>
      </c>
      <c r="H939" s="14" t="s">
        <v>78</v>
      </c>
      <c r="I939" s="15">
        <v>1</v>
      </c>
      <c r="J939" s="15">
        <v>599</v>
      </c>
      <c r="K939" s="15">
        <v>7.46</v>
      </c>
      <c r="L939" s="15">
        <v>4468.54</v>
      </c>
      <c r="M939" s="15">
        <v>-343.63</v>
      </c>
      <c r="N939" s="15">
        <v>0</v>
      </c>
      <c r="O939" s="15">
        <v>536.23822399999995</v>
      </c>
      <c r="P939" s="15">
        <v>4661.1482239999996</v>
      </c>
    </row>
    <row r="940" spans="1:16" ht="15" x14ac:dyDescent="0.2">
      <c r="A940" s="4" t="s">
        <v>584</v>
      </c>
      <c r="B940" s="21" t="str">
        <f t="shared" si="28"/>
        <v>Sep-2025</v>
      </c>
      <c r="C940" s="2" t="str">
        <f t="shared" si="29"/>
        <v>Q2</v>
      </c>
      <c r="D940" s="2" t="s">
        <v>31</v>
      </c>
      <c r="E940" s="13">
        <v>45918</v>
      </c>
      <c r="F940" s="14" t="s">
        <v>245</v>
      </c>
      <c r="G940" s="14" t="s">
        <v>23</v>
      </c>
      <c r="H940" s="14" t="s">
        <v>120</v>
      </c>
      <c r="I940" s="15">
        <v>2</v>
      </c>
      <c r="J940" s="15">
        <v>80</v>
      </c>
      <c r="K940" s="15">
        <v>81.94</v>
      </c>
      <c r="L940" s="15">
        <v>6555.2</v>
      </c>
      <c r="M940" s="15">
        <v>-504.09</v>
      </c>
      <c r="N940" s="15">
        <v>0</v>
      </c>
      <c r="O940" s="15">
        <v>786.64418899999998</v>
      </c>
      <c r="P940" s="15">
        <v>6837.7541890000002</v>
      </c>
    </row>
    <row r="941" spans="1:16" ht="15" x14ac:dyDescent="0.2">
      <c r="A941" s="4" t="s">
        <v>583</v>
      </c>
      <c r="B941" s="21" t="str">
        <f t="shared" si="28"/>
        <v>Sep-2025</v>
      </c>
      <c r="C941" s="2" t="str">
        <f t="shared" si="29"/>
        <v>Q2</v>
      </c>
      <c r="D941" s="2" t="s">
        <v>31</v>
      </c>
      <c r="E941" s="13">
        <v>45918</v>
      </c>
      <c r="F941" s="14" t="s">
        <v>246</v>
      </c>
      <c r="G941" s="14" t="s">
        <v>187</v>
      </c>
      <c r="H941" s="14" t="s">
        <v>109</v>
      </c>
      <c r="I941" s="15">
        <v>5</v>
      </c>
      <c r="J941" s="15">
        <v>75</v>
      </c>
      <c r="K941" s="15">
        <v>260.72000000000003</v>
      </c>
      <c r="L941" s="15">
        <v>19554</v>
      </c>
      <c r="M941" s="15">
        <v>-1503.6999999999998</v>
      </c>
      <c r="N941" s="15">
        <v>0</v>
      </c>
      <c r="O941" s="15">
        <v>2346.5385000000001</v>
      </c>
      <c r="P941" s="15">
        <v>20396.838500000002</v>
      </c>
    </row>
    <row r="942" spans="1:16" ht="15" x14ac:dyDescent="0.2">
      <c r="A942" s="4" t="s">
        <v>593</v>
      </c>
      <c r="B942" s="21" t="str">
        <f t="shared" si="28"/>
        <v>Sep-2025</v>
      </c>
      <c r="C942" s="2" t="str">
        <f t="shared" si="29"/>
        <v>Q2</v>
      </c>
      <c r="D942" s="2" t="s">
        <v>31</v>
      </c>
      <c r="E942" s="13">
        <v>45918</v>
      </c>
      <c r="F942" s="14" t="s">
        <v>246</v>
      </c>
      <c r="G942" s="14" t="s">
        <v>187</v>
      </c>
      <c r="H942" s="14" t="s">
        <v>117</v>
      </c>
      <c r="I942" s="15">
        <v>5</v>
      </c>
      <c r="J942" s="15">
        <v>20</v>
      </c>
      <c r="K942" s="15">
        <v>595.94000000000005</v>
      </c>
      <c r="L942" s="15">
        <v>11918.8</v>
      </c>
      <c r="M942" s="15">
        <v>-916.56</v>
      </c>
      <c r="N942" s="15">
        <v>0</v>
      </c>
      <c r="O942" s="15">
        <v>1430.2908950000001</v>
      </c>
      <c r="P942" s="15">
        <v>12432.530895</v>
      </c>
    </row>
    <row r="943" spans="1:16" ht="15" x14ac:dyDescent="0.2">
      <c r="A943" s="4" t="s">
        <v>583</v>
      </c>
      <c r="B943" s="21" t="str">
        <f t="shared" si="28"/>
        <v>Sep-2025</v>
      </c>
      <c r="C943" s="2" t="str">
        <f t="shared" si="29"/>
        <v>Q2</v>
      </c>
      <c r="D943" s="2" t="s">
        <v>31</v>
      </c>
      <c r="E943" s="13">
        <v>45918</v>
      </c>
      <c r="F943" s="14" t="s">
        <v>246</v>
      </c>
      <c r="G943" s="14" t="s">
        <v>187</v>
      </c>
      <c r="H943" s="14" t="s">
        <v>113</v>
      </c>
      <c r="I943" s="15">
        <v>5</v>
      </c>
      <c r="J943" s="15">
        <v>75</v>
      </c>
      <c r="K943" s="15">
        <v>260.72000000000003</v>
      </c>
      <c r="L943" s="15">
        <v>19554</v>
      </c>
      <c r="M943" s="15">
        <v>-1503.6999999999998</v>
      </c>
      <c r="N943" s="15">
        <v>0</v>
      </c>
      <c r="O943" s="15">
        <v>2346.5385000000001</v>
      </c>
      <c r="P943" s="15">
        <v>20396.838500000002</v>
      </c>
    </row>
    <row r="944" spans="1:16" ht="15" x14ac:dyDescent="0.2">
      <c r="A944" s="4" t="s">
        <v>579</v>
      </c>
      <c r="B944" s="21" t="str">
        <f t="shared" si="28"/>
        <v>Sep-2025</v>
      </c>
      <c r="C944" s="2" t="str">
        <f t="shared" si="29"/>
        <v>Q2</v>
      </c>
      <c r="D944" s="2" t="s">
        <v>31</v>
      </c>
      <c r="E944" s="13">
        <v>45918</v>
      </c>
      <c r="F944" s="14" t="s">
        <v>246</v>
      </c>
      <c r="G944" s="14" t="s">
        <v>187</v>
      </c>
      <c r="H944" s="14" t="s">
        <v>92</v>
      </c>
      <c r="I944" s="15">
        <v>2</v>
      </c>
      <c r="J944" s="15">
        <v>40</v>
      </c>
      <c r="K944" s="15">
        <v>242.1</v>
      </c>
      <c r="L944" s="15">
        <v>9683.9999999999982</v>
      </c>
      <c r="M944" s="15">
        <v>-744.7</v>
      </c>
      <c r="N944" s="15">
        <v>0</v>
      </c>
      <c r="O944" s="15">
        <v>1162.1087519999999</v>
      </c>
      <c r="P944" s="15">
        <v>10101.408751999999</v>
      </c>
    </row>
    <row r="945" spans="1:16" ht="15" x14ac:dyDescent="0.2">
      <c r="A945" s="4" t="s">
        <v>574</v>
      </c>
      <c r="B945" s="21" t="str">
        <f t="shared" si="28"/>
        <v>Sep-2025</v>
      </c>
      <c r="C945" s="2" t="str">
        <f t="shared" si="29"/>
        <v>Q2</v>
      </c>
      <c r="D945" s="2" t="s">
        <v>31</v>
      </c>
      <c r="E945" s="13">
        <v>45918</v>
      </c>
      <c r="F945" s="14" t="s">
        <v>246</v>
      </c>
      <c r="G945" s="14" t="s">
        <v>187</v>
      </c>
      <c r="H945" s="14" t="s">
        <v>86</v>
      </c>
      <c r="I945" s="15">
        <v>1</v>
      </c>
      <c r="J945" s="15">
        <v>18</v>
      </c>
      <c r="K945" s="15">
        <v>178.78</v>
      </c>
      <c r="L945" s="15">
        <v>3218.0400000000004</v>
      </c>
      <c r="M945" s="15">
        <v>-247.47</v>
      </c>
      <c r="N945" s="15">
        <v>0</v>
      </c>
      <c r="O945" s="15">
        <v>386.17401799999999</v>
      </c>
      <c r="P945" s="15">
        <v>3356.7440179999999</v>
      </c>
    </row>
    <row r="946" spans="1:16" ht="15" x14ac:dyDescent="0.2">
      <c r="A946" s="4" t="s">
        <v>574</v>
      </c>
      <c r="B946" s="21" t="str">
        <f t="shared" si="28"/>
        <v>Sep-2025</v>
      </c>
      <c r="C946" s="2" t="str">
        <f t="shared" si="29"/>
        <v>Q2</v>
      </c>
      <c r="D946" s="2" t="s">
        <v>31</v>
      </c>
      <c r="E946" s="13">
        <v>45918</v>
      </c>
      <c r="F946" s="14" t="s">
        <v>246</v>
      </c>
      <c r="G946" s="14" t="s">
        <v>187</v>
      </c>
      <c r="H946" s="14" t="s">
        <v>84</v>
      </c>
      <c r="I946" s="15">
        <v>2</v>
      </c>
      <c r="J946" s="15">
        <v>36</v>
      </c>
      <c r="K946" s="15">
        <v>178.78</v>
      </c>
      <c r="L946" s="15">
        <v>6436.0800000000008</v>
      </c>
      <c r="M946" s="15">
        <v>-494.93</v>
      </c>
      <c r="N946" s="15">
        <v>0</v>
      </c>
      <c r="O946" s="15">
        <v>772.349335</v>
      </c>
      <c r="P946" s="15">
        <v>6713.4993350000004</v>
      </c>
    </row>
    <row r="947" spans="1:16" ht="15" x14ac:dyDescent="0.2">
      <c r="A947" s="4" t="s">
        <v>576</v>
      </c>
      <c r="B947" s="21" t="str">
        <f t="shared" si="28"/>
        <v>Sep-2025</v>
      </c>
      <c r="C947" s="2" t="str">
        <f t="shared" si="29"/>
        <v>Q2</v>
      </c>
      <c r="D947" s="2" t="s">
        <v>31</v>
      </c>
      <c r="E947" s="13">
        <v>45919</v>
      </c>
      <c r="F947" s="14" t="s">
        <v>247</v>
      </c>
      <c r="G947" s="14" t="s">
        <v>187</v>
      </c>
      <c r="H947" s="14" t="s">
        <v>124</v>
      </c>
      <c r="I947" s="15">
        <v>2</v>
      </c>
      <c r="J947" s="15">
        <v>40</v>
      </c>
      <c r="K947" s="15">
        <v>175.06</v>
      </c>
      <c r="L947" s="15">
        <v>7002.4</v>
      </c>
      <c r="M947" s="15">
        <v>-538.48</v>
      </c>
      <c r="N947" s="15">
        <v>0</v>
      </c>
      <c r="O947" s="15">
        <v>840.309617</v>
      </c>
      <c r="P947" s="15">
        <v>7304.229617</v>
      </c>
    </row>
    <row r="948" spans="1:16" ht="15" x14ac:dyDescent="0.2">
      <c r="A948" s="4" t="s">
        <v>582</v>
      </c>
      <c r="B948" s="21" t="str">
        <f t="shared" si="28"/>
        <v>Sep-2025</v>
      </c>
      <c r="C948" s="2" t="str">
        <f t="shared" si="29"/>
        <v>Q2</v>
      </c>
      <c r="D948" s="2" t="s">
        <v>31</v>
      </c>
      <c r="E948" s="13">
        <v>45919</v>
      </c>
      <c r="F948" s="14" t="s">
        <v>247</v>
      </c>
      <c r="G948" s="14" t="s">
        <v>187</v>
      </c>
      <c r="H948" s="14" t="s">
        <v>101</v>
      </c>
      <c r="I948" s="15">
        <v>1</v>
      </c>
      <c r="J948" s="15">
        <v>24</v>
      </c>
      <c r="K948" s="15">
        <v>186.23</v>
      </c>
      <c r="L948" s="15">
        <v>4469.5200000000004</v>
      </c>
      <c r="M948" s="15">
        <v>-343.71</v>
      </c>
      <c r="N948" s="15">
        <v>0</v>
      </c>
      <c r="O948" s="15">
        <v>536.35531100000003</v>
      </c>
      <c r="P948" s="15">
        <v>4662.1653109999997</v>
      </c>
    </row>
    <row r="949" spans="1:16" ht="15" x14ac:dyDescent="0.2">
      <c r="A949" s="4" t="s">
        <v>583</v>
      </c>
      <c r="B949" s="21" t="str">
        <f t="shared" si="28"/>
        <v>Sep-2025</v>
      </c>
      <c r="C949" s="2" t="str">
        <f t="shared" si="29"/>
        <v>Q2</v>
      </c>
      <c r="D949" s="2" t="s">
        <v>31</v>
      </c>
      <c r="E949" s="13">
        <v>45919</v>
      </c>
      <c r="F949" s="14" t="s">
        <v>247</v>
      </c>
      <c r="G949" s="14" t="s">
        <v>187</v>
      </c>
      <c r="H949" s="14" t="s">
        <v>113</v>
      </c>
      <c r="I949" s="15">
        <v>1</v>
      </c>
      <c r="J949" s="15">
        <v>15</v>
      </c>
      <c r="K949" s="15">
        <v>260.72000000000003</v>
      </c>
      <c r="L949" s="15">
        <v>3910.8</v>
      </c>
      <c r="M949" s="15">
        <v>-300.74</v>
      </c>
      <c r="N949" s="15">
        <v>0</v>
      </c>
      <c r="O949" s="15">
        <v>469.30781000000002</v>
      </c>
      <c r="P949" s="15">
        <v>4079.3678100000002</v>
      </c>
    </row>
    <row r="950" spans="1:16" ht="15" x14ac:dyDescent="0.2">
      <c r="A950" s="4" t="s">
        <v>593</v>
      </c>
      <c r="B950" s="21" t="str">
        <f t="shared" si="28"/>
        <v>Sep-2025</v>
      </c>
      <c r="C950" s="2" t="str">
        <f t="shared" si="29"/>
        <v>Q2</v>
      </c>
      <c r="D950" s="2" t="s">
        <v>31</v>
      </c>
      <c r="E950" s="13">
        <v>45919</v>
      </c>
      <c r="F950" s="14" t="s">
        <v>247</v>
      </c>
      <c r="G950" s="14" t="s">
        <v>187</v>
      </c>
      <c r="H950" s="14" t="s">
        <v>117</v>
      </c>
      <c r="I950" s="15">
        <v>5</v>
      </c>
      <c r="J950" s="15">
        <v>20</v>
      </c>
      <c r="K950" s="15">
        <v>595.92999999999995</v>
      </c>
      <c r="L950" s="15">
        <v>11918.6</v>
      </c>
      <c r="M950" s="15">
        <v>-916.54</v>
      </c>
      <c r="N950" s="15">
        <v>0</v>
      </c>
      <c r="O950" s="15">
        <v>1430.2678289999999</v>
      </c>
      <c r="P950" s="15">
        <v>12432.327829</v>
      </c>
    </row>
    <row r="951" spans="1:16" ht="15" x14ac:dyDescent="0.2">
      <c r="A951" s="4" t="s">
        <v>584</v>
      </c>
      <c r="B951" s="21" t="str">
        <f t="shared" si="28"/>
        <v>Sep-2025</v>
      </c>
      <c r="C951" s="2" t="str">
        <f t="shared" si="29"/>
        <v>Q2</v>
      </c>
      <c r="D951" s="2" t="s">
        <v>31</v>
      </c>
      <c r="E951" s="13">
        <v>45919</v>
      </c>
      <c r="F951" s="14" t="s">
        <v>247</v>
      </c>
      <c r="G951" s="14" t="s">
        <v>187</v>
      </c>
      <c r="H951" s="14" t="s">
        <v>100</v>
      </c>
      <c r="I951" s="15">
        <v>1</v>
      </c>
      <c r="J951" s="15">
        <v>40</v>
      </c>
      <c r="K951" s="15">
        <v>81.94</v>
      </c>
      <c r="L951" s="15">
        <v>3277.6</v>
      </c>
      <c r="M951" s="15">
        <v>-252.05</v>
      </c>
      <c r="N951" s="15">
        <v>0</v>
      </c>
      <c r="O951" s="15">
        <v>393.32150799999999</v>
      </c>
      <c r="P951" s="15">
        <v>3418.8715080000002</v>
      </c>
    </row>
    <row r="952" spans="1:16" ht="15" x14ac:dyDescent="0.2">
      <c r="A952" s="4" t="s">
        <v>584</v>
      </c>
      <c r="B952" s="21" t="str">
        <f t="shared" si="28"/>
        <v>Sep-2025</v>
      </c>
      <c r="C952" s="2" t="str">
        <f t="shared" si="29"/>
        <v>Q2</v>
      </c>
      <c r="D952" s="2" t="s">
        <v>31</v>
      </c>
      <c r="E952" s="13">
        <v>45919</v>
      </c>
      <c r="F952" s="14" t="s">
        <v>247</v>
      </c>
      <c r="G952" s="14" t="s">
        <v>187</v>
      </c>
      <c r="H952" s="14" t="s">
        <v>120</v>
      </c>
      <c r="I952" s="15">
        <v>1</v>
      </c>
      <c r="J952" s="15">
        <v>40</v>
      </c>
      <c r="K952" s="15">
        <v>81.94</v>
      </c>
      <c r="L952" s="15">
        <v>3277.6</v>
      </c>
      <c r="M952" s="15">
        <v>-252.05</v>
      </c>
      <c r="N952" s="15">
        <v>0</v>
      </c>
      <c r="O952" s="15">
        <v>393.32150799999999</v>
      </c>
      <c r="P952" s="15">
        <v>3418.8715080000002</v>
      </c>
    </row>
    <row r="953" spans="1:16" ht="15" x14ac:dyDescent="0.2">
      <c r="A953" s="4" t="s">
        <v>581</v>
      </c>
      <c r="B953" s="21" t="str">
        <f t="shared" si="28"/>
        <v>Sep-2025</v>
      </c>
      <c r="C953" s="2" t="str">
        <f t="shared" si="29"/>
        <v>Q2</v>
      </c>
      <c r="D953" s="2" t="s">
        <v>31</v>
      </c>
      <c r="E953" s="13">
        <v>45919</v>
      </c>
      <c r="F953" s="14" t="s">
        <v>247</v>
      </c>
      <c r="G953" s="14" t="s">
        <v>187</v>
      </c>
      <c r="H953" s="14" t="s">
        <v>66</v>
      </c>
      <c r="I953" s="15">
        <v>1</v>
      </c>
      <c r="J953" s="15">
        <v>24</v>
      </c>
      <c r="K953" s="15">
        <v>141.54</v>
      </c>
      <c r="L953" s="15">
        <v>3396.96</v>
      </c>
      <c r="M953" s="15">
        <v>-261.23</v>
      </c>
      <c r="N953" s="15">
        <v>0</v>
      </c>
      <c r="O953" s="15">
        <v>407.64490800000004</v>
      </c>
      <c r="P953" s="15">
        <v>3543.3749079999998</v>
      </c>
    </row>
    <row r="954" spans="1:16" ht="15" x14ac:dyDescent="0.2">
      <c r="A954" s="4" t="s">
        <v>584</v>
      </c>
      <c r="B954" s="21" t="str">
        <f t="shared" si="28"/>
        <v>Sep-2025</v>
      </c>
      <c r="C954" s="2" t="str">
        <f t="shared" si="29"/>
        <v>Q2</v>
      </c>
      <c r="D954" s="2" t="s">
        <v>31</v>
      </c>
      <c r="E954" s="13">
        <v>45919</v>
      </c>
      <c r="F954" s="14" t="s">
        <v>247</v>
      </c>
      <c r="G954" s="14" t="s">
        <v>187</v>
      </c>
      <c r="H954" s="14" t="s">
        <v>99</v>
      </c>
      <c r="I954" s="15">
        <v>1</v>
      </c>
      <c r="J954" s="15">
        <v>40</v>
      </c>
      <c r="K954" s="15">
        <v>81.94</v>
      </c>
      <c r="L954" s="15">
        <v>3277.6</v>
      </c>
      <c r="M954" s="15">
        <v>-252.05</v>
      </c>
      <c r="N954" s="15">
        <v>0</v>
      </c>
      <c r="O954" s="15">
        <v>393.32150799999999</v>
      </c>
      <c r="P954" s="15">
        <v>3418.8715080000002</v>
      </c>
    </row>
    <row r="955" spans="1:16" ht="15" x14ac:dyDescent="0.2">
      <c r="A955" s="4" t="s">
        <v>574</v>
      </c>
      <c r="B955" s="21" t="str">
        <f t="shared" si="28"/>
        <v>Sep-2025</v>
      </c>
      <c r="C955" s="2" t="str">
        <f t="shared" si="29"/>
        <v>Q2</v>
      </c>
      <c r="D955" s="2" t="s">
        <v>31</v>
      </c>
      <c r="E955" s="13">
        <v>45919</v>
      </c>
      <c r="F955" s="14" t="s">
        <v>248</v>
      </c>
      <c r="G955" s="14" t="s">
        <v>51</v>
      </c>
      <c r="H955" s="14" t="s">
        <v>84</v>
      </c>
      <c r="I955" s="15">
        <v>95</v>
      </c>
      <c r="J955" s="15">
        <v>1710</v>
      </c>
      <c r="K955" s="15">
        <v>178.78</v>
      </c>
      <c r="L955" s="15">
        <v>305713.80000000005</v>
      </c>
      <c r="M955" s="15">
        <v>-23509.39</v>
      </c>
      <c r="N955" s="15">
        <v>0</v>
      </c>
      <c r="O955" s="15">
        <v>36686.570557999999</v>
      </c>
      <c r="P955" s="15">
        <v>318890.98055799998</v>
      </c>
    </row>
    <row r="956" spans="1:16" ht="15" x14ac:dyDescent="0.2">
      <c r="A956" s="4" t="s">
        <v>574</v>
      </c>
      <c r="B956" s="21" t="str">
        <f t="shared" si="28"/>
        <v>Sep-2025</v>
      </c>
      <c r="C956" s="2" t="str">
        <f t="shared" si="29"/>
        <v>Q2</v>
      </c>
      <c r="D956" s="2" t="s">
        <v>31</v>
      </c>
      <c r="E956" s="13">
        <v>45919</v>
      </c>
      <c r="F956" s="14" t="s">
        <v>248</v>
      </c>
      <c r="G956" s="14" t="s">
        <v>51</v>
      </c>
      <c r="H956" s="14" t="s">
        <v>86</v>
      </c>
      <c r="I956" s="15">
        <v>2</v>
      </c>
      <c r="J956" s="15">
        <v>36</v>
      </c>
      <c r="K956" s="15">
        <v>178.78</v>
      </c>
      <c r="L956" s="15">
        <v>6436.0800000000008</v>
      </c>
      <c r="M956" s="15">
        <v>-494.93</v>
      </c>
      <c r="N956" s="15">
        <v>0</v>
      </c>
      <c r="O956" s="15">
        <v>772.34944199999995</v>
      </c>
      <c r="P956" s="15">
        <v>6713.4994420000003</v>
      </c>
    </row>
    <row r="957" spans="1:16" ht="15" x14ac:dyDescent="0.2">
      <c r="A957" s="4" t="s">
        <v>580</v>
      </c>
      <c r="B957" s="21" t="str">
        <f t="shared" si="28"/>
        <v>Sep-2025</v>
      </c>
      <c r="C957" s="2" t="str">
        <f t="shared" si="29"/>
        <v>Q2</v>
      </c>
      <c r="D957" s="2" t="s">
        <v>31</v>
      </c>
      <c r="E957" s="13">
        <v>45919</v>
      </c>
      <c r="F957" s="14" t="s">
        <v>249</v>
      </c>
      <c r="G957" s="14" t="s">
        <v>12</v>
      </c>
      <c r="H957" s="14" t="s">
        <v>89</v>
      </c>
      <c r="I957" s="15">
        <v>15</v>
      </c>
      <c r="J957" s="15">
        <v>1050</v>
      </c>
      <c r="K957" s="15">
        <v>37.25</v>
      </c>
      <c r="L957" s="15">
        <v>39112.5</v>
      </c>
      <c r="M957" s="15">
        <v>-3007.75</v>
      </c>
      <c r="N957" s="15">
        <v>0</v>
      </c>
      <c r="O957" s="15">
        <v>4693.616027</v>
      </c>
      <c r="P957" s="15">
        <v>40798.366026999996</v>
      </c>
    </row>
    <row r="958" spans="1:16" ht="15" x14ac:dyDescent="0.2">
      <c r="A958" s="4" t="s">
        <v>586</v>
      </c>
      <c r="B958" s="21" t="str">
        <f t="shared" si="28"/>
        <v>Sep-2025</v>
      </c>
      <c r="C958" s="2" t="str">
        <f t="shared" si="29"/>
        <v>Q2</v>
      </c>
      <c r="D958" s="2" t="s">
        <v>31</v>
      </c>
      <c r="E958" s="13">
        <v>45919</v>
      </c>
      <c r="F958" s="14" t="s">
        <v>249</v>
      </c>
      <c r="G958" s="14" t="s">
        <v>12</v>
      </c>
      <c r="H958" s="14" t="s">
        <v>76</v>
      </c>
      <c r="I958" s="15">
        <v>2</v>
      </c>
      <c r="J958" s="15">
        <v>480</v>
      </c>
      <c r="K958" s="15">
        <v>14.9</v>
      </c>
      <c r="L958" s="15">
        <v>7152</v>
      </c>
      <c r="M958" s="15">
        <v>-549.99</v>
      </c>
      <c r="N958" s="15">
        <v>0</v>
      </c>
      <c r="O958" s="15">
        <v>858.261031</v>
      </c>
      <c r="P958" s="15">
        <v>7460.2710310000002</v>
      </c>
    </row>
    <row r="959" spans="1:16" ht="15" x14ac:dyDescent="0.2">
      <c r="A959" s="4" t="s">
        <v>588</v>
      </c>
      <c r="B959" s="21" t="str">
        <f t="shared" si="28"/>
        <v>Sep-2025</v>
      </c>
      <c r="C959" s="2" t="str">
        <f t="shared" si="29"/>
        <v>Q2</v>
      </c>
      <c r="D959" s="2" t="s">
        <v>31</v>
      </c>
      <c r="E959" s="13">
        <v>45919</v>
      </c>
      <c r="F959" s="14" t="s">
        <v>249</v>
      </c>
      <c r="G959" s="14" t="s">
        <v>12</v>
      </c>
      <c r="H959" s="14" t="s">
        <v>95</v>
      </c>
      <c r="I959" s="15">
        <v>3</v>
      </c>
      <c r="J959" s="15">
        <v>180</v>
      </c>
      <c r="K959" s="15">
        <v>111.74</v>
      </c>
      <c r="L959" s="15">
        <v>20113.2</v>
      </c>
      <c r="M959" s="15">
        <v>-1546.71</v>
      </c>
      <c r="N959" s="15">
        <v>0</v>
      </c>
      <c r="O959" s="15">
        <v>2413.6429419999999</v>
      </c>
      <c r="P959" s="15">
        <v>20980.132942</v>
      </c>
    </row>
    <row r="960" spans="1:16" ht="15" x14ac:dyDescent="0.2">
      <c r="A960" s="4" t="s">
        <v>576</v>
      </c>
      <c r="B960" s="21" t="str">
        <f t="shared" si="28"/>
        <v>Sep-2025</v>
      </c>
      <c r="C960" s="2" t="str">
        <f t="shared" si="29"/>
        <v>Q2</v>
      </c>
      <c r="D960" s="2" t="s">
        <v>31</v>
      </c>
      <c r="E960" s="13">
        <v>45919</v>
      </c>
      <c r="F960" s="14" t="s">
        <v>250</v>
      </c>
      <c r="G960" s="14" t="s">
        <v>15</v>
      </c>
      <c r="H960" s="14" t="s">
        <v>110</v>
      </c>
      <c r="I960" s="15">
        <v>1</v>
      </c>
      <c r="J960" s="15">
        <v>20</v>
      </c>
      <c r="K960" s="15">
        <v>175.06</v>
      </c>
      <c r="L960" s="15">
        <v>3501.2</v>
      </c>
      <c r="M960" s="15">
        <v>-269.24</v>
      </c>
      <c r="N960" s="15">
        <v>0</v>
      </c>
      <c r="O960" s="15">
        <v>420.15472799999998</v>
      </c>
      <c r="P960" s="15">
        <v>3652.114728</v>
      </c>
    </row>
    <row r="961" spans="1:16" ht="15" x14ac:dyDescent="0.2">
      <c r="A961" s="4" t="s">
        <v>583</v>
      </c>
      <c r="B961" s="21" t="str">
        <f t="shared" si="28"/>
        <v>Sep-2025</v>
      </c>
      <c r="C961" s="2" t="str">
        <f t="shared" si="29"/>
        <v>Q2</v>
      </c>
      <c r="D961" s="2" t="s">
        <v>31</v>
      </c>
      <c r="E961" s="13">
        <v>45919</v>
      </c>
      <c r="F961" s="14" t="s">
        <v>250</v>
      </c>
      <c r="G961" s="14" t="s">
        <v>15</v>
      </c>
      <c r="H961" s="14" t="s">
        <v>113</v>
      </c>
      <c r="I961" s="15">
        <v>1</v>
      </c>
      <c r="J961" s="15">
        <v>15</v>
      </c>
      <c r="K961" s="15">
        <v>260.72000000000003</v>
      </c>
      <c r="L961" s="15">
        <v>3910.8</v>
      </c>
      <c r="M961" s="15">
        <v>-300.74</v>
      </c>
      <c r="N961" s="15">
        <v>0</v>
      </c>
      <c r="O961" s="15">
        <v>469.30771999999996</v>
      </c>
      <c r="P961" s="15">
        <v>4079.3677200000002</v>
      </c>
    </row>
    <row r="962" spans="1:16" ht="15" x14ac:dyDescent="0.2">
      <c r="A962" s="4" t="s">
        <v>579</v>
      </c>
      <c r="B962" s="21" t="str">
        <f t="shared" si="28"/>
        <v>Sep-2025</v>
      </c>
      <c r="C962" s="2" t="str">
        <f t="shared" si="29"/>
        <v>Q2</v>
      </c>
      <c r="D962" s="2" t="s">
        <v>31</v>
      </c>
      <c r="E962" s="13">
        <v>45919</v>
      </c>
      <c r="F962" s="14" t="s">
        <v>250</v>
      </c>
      <c r="G962" s="14" t="s">
        <v>15</v>
      </c>
      <c r="H962" s="14" t="s">
        <v>91</v>
      </c>
      <c r="I962" s="15">
        <v>1</v>
      </c>
      <c r="J962" s="15">
        <v>20</v>
      </c>
      <c r="K962" s="15">
        <v>204.85</v>
      </c>
      <c r="L962" s="15">
        <v>4097</v>
      </c>
      <c r="M962" s="15">
        <v>-315.06</v>
      </c>
      <c r="N962" s="15">
        <v>0</v>
      </c>
      <c r="O962" s="15">
        <v>491.65211599999998</v>
      </c>
      <c r="P962" s="15">
        <v>4273.5921159999998</v>
      </c>
    </row>
    <row r="963" spans="1:16" ht="15" x14ac:dyDescent="0.2">
      <c r="A963" s="4" t="s">
        <v>575</v>
      </c>
      <c r="B963" s="21" t="str">
        <f t="shared" ref="B963:B1026" si="30">+TEXT(E963,"MMM-yyy")</f>
        <v>Sep-2025</v>
      </c>
      <c r="C963" s="2" t="str">
        <f t="shared" ref="C963:C1026" si="31">"Q" &amp; CHOOSE(MONTH(E963),4,4,4,1,1,1,2,2,2,3,3,3)</f>
        <v>Q2</v>
      </c>
      <c r="D963" s="2" t="s">
        <v>31</v>
      </c>
      <c r="E963" s="13">
        <v>45919</v>
      </c>
      <c r="F963" s="14" t="s">
        <v>250</v>
      </c>
      <c r="G963" s="14" t="s">
        <v>15</v>
      </c>
      <c r="H963" s="14" t="s">
        <v>55</v>
      </c>
      <c r="I963" s="15">
        <v>3</v>
      </c>
      <c r="J963" s="15">
        <v>60</v>
      </c>
      <c r="K963" s="15">
        <v>186.23</v>
      </c>
      <c r="L963" s="15">
        <v>11173.8</v>
      </c>
      <c r="M963" s="15">
        <v>-859.2700000000001</v>
      </c>
      <c r="N963" s="15">
        <v>0</v>
      </c>
      <c r="O963" s="15">
        <v>1340.888672</v>
      </c>
      <c r="P963" s="15">
        <v>11655.418672</v>
      </c>
    </row>
    <row r="964" spans="1:16" ht="15" x14ac:dyDescent="0.2">
      <c r="A964" s="4" t="s">
        <v>580</v>
      </c>
      <c r="B964" s="21" t="str">
        <f t="shared" si="30"/>
        <v>Sep-2025</v>
      </c>
      <c r="C964" s="2" t="str">
        <f t="shared" si="31"/>
        <v>Q2</v>
      </c>
      <c r="D964" s="2" t="s">
        <v>31</v>
      </c>
      <c r="E964" s="13">
        <v>45919</v>
      </c>
      <c r="F964" s="14" t="s">
        <v>250</v>
      </c>
      <c r="G964" s="14" t="s">
        <v>15</v>
      </c>
      <c r="H964" s="14" t="s">
        <v>89</v>
      </c>
      <c r="I964" s="15">
        <v>5</v>
      </c>
      <c r="J964" s="15">
        <v>350</v>
      </c>
      <c r="K964" s="15">
        <v>37.25</v>
      </c>
      <c r="L964" s="15">
        <v>13037.5</v>
      </c>
      <c r="M964" s="15">
        <v>-1002.58</v>
      </c>
      <c r="N964" s="15">
        <v>0</v>
      </c>
      <c r="O964" s="15">
        <v>1564.5393340000001</v>
      </c>
      <c r="P964" s="15">
        <v>13599.459333999999</v>
      </c>
    </row>
    <row r="965" spans="1:16" ht="15" x14ac:dyDescent="0.2">
      <c r="A965" s="4" t="s">
        <v>581</v>
      </c>
      <c r="B965" s="21" t="str">
        <f t="shared" si="30"/>
        <v>Sep-2025</v>
      </c>
      <c r="C965" s="2" t="str">
        <f t="shared" si="31"/>
        <v>Q2</v>
      </c>
      <c r="D965" s="2" t="s">
        <v>31</v>
      </c>
      <c r="E965" s="13">
        <v>45919</v>
      </c>
      <c r="F965" s="14" t="s">
        <v>250</v>
      </c>
      <c r="G965" s="14" t="s">
        <v>15</v>
      </c>
      <c r="H965" s="14" t="s">
        <v>97</v>
      </c>
      <c r="I965" s="15">
        <v>2</v>
      </c>
      <c r="J965" s="15">
        <v>80</v>
      </c>
      <c r="K965" s="15">
        <v>67.040000000000006</v>
      </c>
      <c r="L965" s="15">
        <v>5363.2</v>
      </c>
      <c r="M965" s="15">
        <v>-412.43</v>
      </c>
      <c r="N965" s="15">
        <v>0</v>
      </c>
      <c r="O965" s="15">
        <v>643.59999000000005</v>
      </c>
      <c r="P965" s="15">
        <v>5594.3699900000001</v>
      </c>
    </row>
    <row r="966" spans="1:16" ht="15" x14ac:dyDescent="0.2">
      <c r="A966" s="4" t="s">
        <v>573</v>
      </c>
      <c r="B966" s="21" t="str">
        <f t="shared" si="30"/>
        <v>Sep-2025</v>
      </c>
      <c r="C966" s="2" t="str">
        <f t="shared" si="31"/>
        <v>Q2</v>
      </c>
      <c r="D966" s="2" t="s">
        <v>31</v>
      </c>
      <c r="E966" s="13">
        <v>45919</v>
      </c>
      <c r="F966" s="14" t="s">
        <v>250</v>
      </c>
      <c r="G966" s="14" t="s">
        <v>15</v>
      </c>
      <c r="H966" s="14" t="s">
        <v>47</v>
      </c>
      <c r="I966" s="15">
        <v>2</v>
      </c>
      <c r="J966" s="15">
        <v>80</v>
      </c>
      <c r="K966" s="15">
        <v>111.74</v>
      </c>
      <c r="L966" s="15">
        <v>8939.2000000000007</v>
      </c>
      <c r="M966" s="15">
        <v>-687.42</v>
      </c>
      <c r="N966" s="15">
        <v>0</v>
      </c>
      <c r="O966" s="15">
        <v>1072.731217</v>
      </c>
      <c r="P966" s="15">
        <v>9324.5112169999993</v>
      </c>
    </row>
    <row r="967" spans="1:16" ht="15" x14ac:dyDescent="0.2">
      <c r="A967" s="4" t="s">
        <v>581</v>
      </c>
      <c r="B967" s="21" t="str">
        <f t="shared" si="30"/>
        <v>Sep-2025</v>
      </c>
      <c r="C967" s="2" t="str">
        <f t="shared" si="31"/>
        <v>Q2</v>
      </c>
      <c r="D967" s="2" t="s">
        <v>31</v>
      </c>
      <c r="E967" s="13">
        <v>45919</v>
      </c>
      <c r="F967" s="14" t="s">
        <v>250</v>
      </c>
      <c r="G967" s="14" t="s">
        <v>15</v>
      </c>
      <c r="H967" s="14" t="s">
        <v>104</v>
      </c>
      <c r="I967" s="15">
        <v>2</v>
      </c>
      <c r="J967" s="15">
        <v>80</v>
      </c>
      <c r="K967" s="15">
        <v>67.040000000000006</v>
      </c>
      <c r="L967" s="15">
        <v>5363.2</v>
      </c>
      <c r="M967" s="15">
        <v>-412.43</v>
      </c>
      <c r="N967" s="15">
        <v>0</v>
      </c>
      <c r="O967" s="15">
        <v>643.59999000000005</v>
      </c>
      <c r="P967" s="15">
        <v>5594.3699900000001</v>
      </c>
    </row>
    <row r="968" spans="1:16" ht="15" x14ac:dyDescent="0.2">
      <c r="A968" s="4" t="s">
        <v>573</v>
      </c>
      <c r="B968" s="21" t="str">
        <f t="shared" si="30"/>
        <v>Sep-2025</v>
      </c>
      <c r="C968" s="2" t="str">
        <f t="shared" si="31"/>
        <v>Q2</v>
      </c>
      <c r="D968" s="2" t="s">
        <v>31</v>
      </c>
      <c r="E968" s="13">
        <v>45919</v>
      </c>
      <c r="F968" s="14" t="s">
        <v>250</v>
      </c>
      <c r="G968" s="14" t="s">
        <v>15</v>
      </c>
      <c r="H968" s="14" t="s">
        <v>111</v>
      </c>
      <c r="I968" s="15">
        <v>2</v>
      </c>
      <c r="J968" s="15">
        <v>80</v>
      </c>
      <c r="K968" s="15">
        <v>111.74</v>
      </c>
      <c r="L968" s="15">
        <v>8939.2000000000007</v>
      </c>
      <c r="M968" s="15">
        <v>-687.42</v>
      </c>
      <c r="N968" s="15">
        <v>0</v>
      </c>
      <c r="O968" s="15">
        <v>1072.731217</v>
      </c>
      <c r="P968" s="15">
        <v>9324.5112169999993</v>
      </c>
    </row>
    <row r="969" spans="1:16" ht="15" x14ac:dyDescent="0.2">
      <c r="A969" s="4" t="s">
        <v>576</v>
      </c>
      <c r="B969" s="21" t="str">
        <f t="shared" si="30"/>
        <v>Sep-2025</v>
      </c>
      <c r="C969" s="2" t="str">
        <f t="shared" si="31"/>
        <v>Q2</v>
      </c>
      <c r="D969" s="2" t="s">
        <v>31</v>
      </c>
      <c r="E969" s="13">
        <v>45919</v>
      </c>
      <c r="F969" s="14" t="s">
        <v>250</v>
      </c>
      <c r="G969" s="14" t="s">
        <v>15</v>
      </c>
      <c r="H969" s="14" t="s">
        <v>124</v>
      </c>
      <c r="I969" s="15">
        <v>1</v>
      </c>
      <c r="J969" s="15">
        <v>20</v>
      </c>
      <c r="K969" s="15">
        <v>175.06</v>
      </c>
      <c r="L969" s="15">
        <v>3501.2</v>
      </c>
      <c r="M969" s="15">
        <v>-269.24</v>
      </c>
      <c r="N969" s="15">
        <v>0</v>
      </c>
      <c r="O969" s="15">
        <v>420.15472799999998</v>
      </c>
      <c r="P969" s="15">
        <v>3652.114728</v>
      </c>
    </row>
    <row r="970" spans="1:16" ht="15" x14ac:dyDescent="0.2">
      <c r="A970" s="4" t="s">
        <v>581</v>
      </c>
      <c r="B970" s="21" t="str">
        <f t="shared" si="30"/>
        <v>Sep-2025</v>
      </c>
      <c r="C970" s="2" t="str">
        <f t="shared" si="31"/>
        <v>Q2</v>
      </c>
      <c r="D970" s="2" t="s">
        <v>31</v>
      </c>
      <c r="E970" s="13">
        <v>45919</v>
      </c>
      <c r="F970" s="14" t="s">
        <v>250</v>
      </c>
      <c r="G970" s="14" t="s">
        <v>15</v>
      </c>
      <c r="H970" s="14" t="s">
        <v>66</v>
      </c>
      <c r="I970" s="15">
        <v>1</v>
      </c>
      <c r="J970" s="15">
        <v>24</v>
      </c>
      <c r="K970" s="15">
        <v>141.54</v>
      </c>
      <c r="L970" s="15">
        <v>3396.96</v>
      </c>
      <c r="M970" s="15">
        <v>-261.23</v>
      </c>
      <c r="N970" s="15">
        <v>0</v>
      </c>
      <c r="O970" s="15">
        <v>407.64483100000001</v>
      </c>
      <c r="P970" s="15">
        <v>3543.3748310000001</v>
      </c>
    </row>
    <row r="971" spans="1:16" ht="15" x14ac:dyDescent="0.2">
      <c r="A971" s="4" t="s">
        <v>573</v>
      </c>
      <c r="B971" s="21" t="str">
        <f t="shared" si="30"/>
        <v>Sep-2025</v>
      </c>
      <c r="C971" s="2" t="str">
        <f t="shared" si="31"/>
        <v>Q2</v>
      </c>
      <c r="D971" s="2" t="s">
        <v>31</v>
      </c>
      <c r="E971" s="13">
        <v>45919</v>
      </c>
      <c r="F971" s="14" t="s">
        <v>250</v>
      </c>
      <c r="G971" s="14" t="s">
        <v>15</v>
      </c>
      <c r="H971" s="14" t="s">
        <v>136</v>
      </c>
      <c r="I971" s="15">
        <v>2</v>
      </c>
      <c r="J971" s="15">
        <v>80</v>
      </c>
      <c r="K971" s="15">
        <v>111.74</v>
      </c>
      <c r="L971" s="15">
        <v>8939.2000000000007</v>
      </c>
      <c r="M971" s="15">
        <v>-687.42</v>
      </c>
      <c r="N971" s="15">
        <v>0</v>
      </c>
      <c r="O971" s="15">
        <v>1072.731217</v>
      </c>
      <c r="P971" s="15">
        <v>9324.5112169999993</v>
      </c>
    </row>
    <row r="972" spans="1:16" ht="15" x14ac:dyDescent="0.2">
      <c r="A972" s="4" t="s">
        <v>583</v>
      </c>
      <c r="B972" s="21" t="str">
        <f t="shared" si="30"/>
        <v>Sep-2025</v>
      </c>
      <c r="C972" s="2" t="str">
        <f t="shared" si="31"/>
        <v>Q2</v>
      </c>
      <c r="D972" s="2" t="s">
        <v>31</v>
      </c>
      <c r="E972" s="13">
        <v>45919</v>
      </c>
      <c r="F972" s="14" t="s">
        <v>250</v>
      </c>
      <c r="G972" s="14" t="s">
        <v>15</v>
      </c>
      <c r="H972" s="14" t="s">
        <v>109</v>
      </c>
      <c r="I972" s="15">
        <v>1</v>
      </c>
      <c r="J972" s="15">
        <v>15</v>
      </c>
      <c r="K972" s="15">
        <v>260.72000000000003</v>
      </c>
      <c r="L972" s="15">
        <v>3910.8</v>
      </c>
      <c r="M972" s="15">
        <v>-300.74</v>
      </c>
      <c r="N972" s="15">
        <v>0</v>
      </c>
      <c r="O972" s="15">
        <v>469.30771999999996</v>
      </c>
      <c r="P972" s="15">
        <v>4079.3677200000002</v>
      </c>
    </row>
    <row r="973" spans="1:16" ht="15" x14ac:dyDescent="0.2">
      <c r="A973" s="4" t="s">
        <v>579</v>
      </c>
      <c r="B973" s="21" t="str">
        <f t="shared" si="30"/>
        <v>Sep-2025</v>
      </c>
      <c r="C973" s="2" t="str">
        <f t="shared" si="31"/>
        <v>Q2</v>
      </c>
      <c r="D973" s="2" t="s">
        <v>31</v>
      </c>
      <c r="E973" s="13">
        <v>45919</v>
      </c>
      <c r="F973" s="14" t="s">
        <v>250</v>
      </c>
      <c r="G973" s="14" t="s">
        <v>15</v>
      </c>
      <c r="H973" s="14" t="s">
        <v>92</v>
      </c>
      <c r="I973" s="15">
        <v>1</v>
      </c>
      <c r="J973" s="15">
        <v>20</v>
      </c>
      <c r="K973" s="15">
        <v>242.1</v>
      </c>
      <c r="L973" s="15">
        <v>4841.9999999999991</v>
      </c>
      <c r="M973" s="15">
        <v>-372.35</v>
      </c>
      <c r="N973" s="15">
        <v>0</v>
      </c>
      <c r="O973" s="15">
        <v>581.05440099999998</v>
      </c>
      <c r="P973" s="15">
        <v>5050.704401</v>
      </c>
    </row>
    <row r="974" spans="1:16" ht="15" x14ac:dyDescent="0.2">
      <c r="A974" s="4" t="s">
        <v>579</v>
      </c>
      <c r="B974" s="21" t="str">
        <f t="shared" si="30"/>
        <v>Sep-2025</v>
      </c>
      <c r="C974" s="2" t="str">
        <f t="shared" si="31"/>
        <v>Q2</v>
      </c>
      <c r="D974" s="2" t="s">
        <v>31</v>
      </c>
      <c r="E974" s="13">
        <v>45919</v>
      </c>
      <c r="F974" s="14" t="s">
        <v>250</v>
      </c>
      <c r="G974" s="14" t="s">
        <v>15</v>
      </c>
      <c r="H974" s="14" t="s">
        <v>90</v>
      </c>
      <c r="I974" s="15">
        <v>1</v>
      </c>
      <c r="J974" s="15">
        <v>20</v>
      </c>
      <c r="K974" s="15">
        <v>204.85</v>
      </c>
      <c r="L974" s="15">
        <v>4097</v>
      </c>
      <c r="M974" s="15">
        <v>-315.06</v>
      </c>
      <c r="N974" s="15">
        <v>0</v>
      </c>
      <c r="O974" s="15">
        <v>491.65211599999998</v>
      </c>
      <c r="P974" s="15">
        <v>4273.5921159999998</v>
      </c>
    </row>
    <row r="975" spans="1:16" ht="15" x14ac:dyDescent="0.2">
      <c r="A975" s="4" t="s">
        <v>580</v>
      </c>
      <c r="B975" s="21" t="str">
        <f t="shared" si="30"/>
        <v>Sep-2025</v>
      </c>
      <c r="C975" s="2" t="str">
        <f t="shared" si="31"/>
        <v>Q2</v>
      </c>
      <c r="D975" s="2" t="s">
        <v>31</v>
      </c>
      <c r="E975" s="13">
        <v>45919</v>
      </c>
      <c r="F975" s="14" t="s">
        <v>251</v>
      </c>
      <c r="G975" s="14" t="s">
        <v>171</v>
      </c>
      <c r="H975" s="14" t="s">
        <v>89</v>
      </c>
      <c r="I975" s="15">
        <v>10</v>
      </c>
      <c r="J975" s="15">
        <v>700</v>
      </c>
      <c r="K975" s="15">
        <v>37.25</v>
      </c>
      <c r="L975" s="15">
        <v>26075</v>
      </c>
      <c r="M975" s="15">
        <v>-2005.1699999999998</v>
      </c>
      <c r="N975" s="15">
        <v>0</v>
      </c>
      <c r="O975" s="15">
        <v>3129.0800000000004</v>
      </c>
      <c r="P975" s="15">
        <v>27198.91</v>
      </c>
    </row>
    <row r="976" spans="1:16" ht="15" x14ac:dyDescent="0.2">
      <c r="A976" s="4" t="s">
        <v>580</v>
      </c>
      <c r="B976" s="21" t="str">
        <f t="shared" si="30"/>
        <v>Sep-2025</v>
      </c>
      <c r="C976" s="2" t="str">
        <f t="shared" si="31"/>
        <v>Q2</v>
      </c>
      <c r="D976" s="2" t="s">
        <v>31</v>
      </c>
      <c r="E976" s="13">
        <v>45919</v>
      </c>
      <c r="F976" s="14" t="s">
        <v>252</v>
      </c>
      <c r="G976" s="14" t="s">
        <v>187</v>
      </c>
      <c r="H976" s="14" t="s">
        <v>89</v>
      </c>
      <c r="I976" s="15">
        <v>10</v>
      </c>
      <c r="J976" s="15">
        <v>700</v>
      </c>
      <c r="K976" s="15">
        <v>37.25</v>
      </c>
      <c r="L976" s="15">
        <v>26075</v>
      </c>
      <c r="M976" s="15">
        <v>-2005.1699999999998</v>
      </c>
      <c r="N976" s="15">
        <v>0</v>
      </c>
      <c r="O976" s="15">
        <v>3129.0800000000004</v>
      </c>
      <c r="P976" s="15">
        <v>27198.91</v>
      </c>
    </row>
    <row r="977" spans="1:16" ht="15" x14ac:dyDescent="0.2">
      <c r="A977" s="4" t="s">
        <v>580</v>
      </c>
      <c r="B977" s="21" t="str">
        <f t="shared" si="30"/>
        <v>Sep-2025</v>
      </c>
      <c r="C977" s="2" t="str">
        <f t="shared" si="31"/>
        <v>Q2</v>
      </c>
      <c r="D977" s="2" t="s">
        <v>31</v>
      </c>
      <c r="E977" s="13">
        <v>45919</v>
      </c>
      <c r="F977" s="14" t="s">
        <v>253</v>
      </c>
      <c r="G977" s="14" t="s">
        <v>51</v>
      </c>
      <c r="H977" s="14" t="s">
        <v>89</v>
      </c>
      <c r="I977" s="15">
        <v>25</v>
      </c>
      <c r="J977" s="15">
        <v>1750</v>
      </c>
      <c r="K977" s="15">
        <v>37.25</v>
      </c>
      <c r="L977" s="15">
        <v>65187.5</v>
      </c>
      <c r="M977" s="15">
        <v>-5012.92</v>
      </c>
      <c r="N977" s="15">
        <v>0</v>
      </c>
      <c r="O977" s="15">
        <v>7822.7</v>
      </c>
      <c r="P977" s="15">
        <v>67997.279999999999</v>
      </c>
    </row>
    <row r="978" spans="1:16" ht="15" x14ac:dyDescent="0.2">
      <c r="A978" s="4" t="s">
        <v>580</v>
      </c>
      <c r="B978" s="21" t="str">
        <f t="shared" si="30"/>
        <v>Sep-2025</v>
      </c>
      <c r="C978" s="2" t="str">
        <f t="shared" si="31"/>
        <v>Q2</v>
      </c>
      <c r="D978" s="2" t="s">
        <v>31</v>
      </c>
      <c r="E978" s="13">
        <v>45919</v>
      </c>
      <c r="F978" s="14" t="s">
        <v>254</v>
      </c>
      <c r="G978" s="14" t="s">
        <v>21</v>
      </c>
      <c r="H978" s="14" t="s">
        <v>89</v>
      </c>
      <c r="I978" s="15">
        <v>25</v>
      </c>
      <c r="J978" s="15">
        <v>1750</v>
      </c>
      <c r="K978" s="15">
        <v>37.25</v>
      </c>
      <c r="L978" s="15">
        <v>65187.5</v>
      </c>
      <c r="M978" s="15">
        <v>-5012.92</v>
      </c>
      <c r="N978" s="15">
        <v>0</v>
      </c>
      <c r="O978" s="15">
        <v>7822.7</v>
      </c>
      <c r="P978" s="15">
        <v>67997.279999999999</v>
      </c>
    </row>
    <row r="979" spans="1:16" ht="15" x14ac:dyDescent="0.2">
      <c r="A979" s="4" t="s">
        <v>580</v>
      </c>
      <c r="B979" s="21" t="str">
        <f t="shared" si="30"/>
        <v>Sep-2025</v>
      </c>
      <c r="C979" s="2" t="str">
        <f t="shared" si="31"/>
        <v>Q2</v>
      </c>
      <c r="D979" s="2" t="s">
        <v>31</v>
      </c>
      <c r="E979" s="13">
        <v>45919</v>
      </c>
      <c r="F979" s="14" t="s">
        <v>255</v>
      </c>
      <c r="G979" s="14" t="s">
        <v>130</v>
      </c>
      <c r="H979" s="14" t="s">
        <v>89</v>
      </c>
      <c r="I979" s="15">
        <v>30</v>
      </c>
      <c r="J979" s="15">
        <v>2100</v>
      </c>
      <c r="K979" s="15">
        <v>37.25</v>
      </c>
      <c r="L979" s="15">
        <v>78225</v>
      </c>
      <c r="M979" s="15">
        <v>-6015.5</v>
      </c>
      <c r="N979" s="15">
        <v>0</v>
      </c>
      <c r="O979" s="15">
        <v>9387.24</v>
      </c>
      <c r="P979" s="15">
        <v>81596.740000000005</v>
      </c>
    </row>
    <row r="980" spans="1:16" ht="15" x14ac:dyDescent="0.2">
      <c r="A980" s="4" t="s">
        <v>580</v>
      </c>
      <c r="B980" s="21" t="str">
        <f t="shared" si="30"/>
        <v>Sep-2025</v>
      </c>
      <c r="C980" s="2" t="str">
        <f t="shared" si="31"/>
        <v>Q2</v>
      </c>
      <c r="D980" s="2" t="s">
        <v>31</v>
      </c>
      <c r="E980" s="13">
        <v>45919</v>
      </c>
      <c r="F980" s="14" t="s">
        <v>256</v>
      </c>
      <c r="G980" s="14" t="s">
        <v>159</v>
      </c>
      <c r="H980" s="14" t="s">
        <v>89</v>
      </c>
      <c r="I980" s="15">
        <v>25</v>
      </c>
      <c r="J980" s="15">
        <v>1750</v>
      </c>
      <c r="K980" s="15">
        <v>37.25</v>
      </c>
      <c r="L980" s="15">
        <v>65187.5</v>
      </c>
      <c r="M980" s="15">
        <v>-5012.92</v>
      </c>
      <c r="N980" s="15">
        <v>0</v>
      </c>
      <c r="O980" s="15">
        <v>7822.7</v>
      </c>
      <c r="P980" s="15">
        <v>67997.279999999999</v>
      </c>
    </row>
    <row r="981" spans="1:16" ht="15" x14ac:dyDescent="0.2">
      <c r="A981" s="4" t="s">
        <v>580</v>
      </c>
      <c r="B981" s="21" t="str">
        <f t="shared" si="30"/>
        <v>Sep-2025</v>
      </c>
      <c r="C981" s="2" t="str">
        <f t="shared" si="31"/>
        <v>Q2</v>
      </c>
      <c r="D981" s="2" t="s">
        <v>31</v>
      </c>
      <c r="E981" s="13">
        <v>45919</v>
      </c>
      <c r="F981" s="14" t="s">
        <v>257</v>
      </c>
      <c r="G981" s="14" t="s">
        <v>244</v>
      </c>
      <c r="H981" s="14" t="s">
        <v>89</v>
      </c>
      <c r="I981" s="15">
        <v>2</v>
      </c>
      <c r="J981" s="15">
        <v>140</v>
      </c>
      <c r="K981" s="15">
        <v>37.25</v>
      </c>
      <c r="L981" s="15">
        <v>5215</v>
      </c>
      <c r="M981" s="15">
        <v>-401.03</v>
      </c>
      <c r="N981" s="15">
        <v>0</v>
      </c>
      <c r="O981" s="15">
        <v>625.82000000000005</v>
      </c>
      <c r="P981" s="15">
        <v>5439.79</v>
      </c>
    </row>
    <row r="982" spans="1:16" ht="15" x14ac:dyDescent="0.2">
      <c r="A982" s="4" t="s">
        <v>580</v>
      </c>
      <c r="B982" s="21" t="str">
        <f t="shared" si="30"/>
        <v>Sep-2025</v>
      </c>
      <c r="C982" s="2" t="str">
        <f t="shared" si="31"/>
        <v>Q2</v>
      </c>
      <c r="D982" s="2" t="s">
        <v>31</v>
      </c>
      <c r="E982" s="13">
        <v>45919</v>
      </c>
      <c r="F982" s="14" t="s">
        <v>258</v>
      </c>
      <c r="G982" s="14" t="s">
        <v>22</v>
      </c>
      <c r="H982" s="14" t="s">
        <v>89</v>
      </c>
      <c r="I982" s="15">
        <v>20</v>
      </c>
      <c r="J982" s="15">
        <v>1400</v>
      </c>
      <c r="K982" s="15">
        <v>37.25</v>
      </c>
      <c r="L982" s="15">
        <v>52150</v>
      </c>
      <c r="M982" s="15">
        <v>-4010.3399999999997</v>
      </c>
      <c r="N982" s="15">
        <v>0</v>
      </c>
      <c r="O982" s="15">
        <v>6258.1600000000008</v>
      </c>
      <c r="P982" s="15">
        <v>54397.82</v>
      </c>
    </row>
    <row r="983" spans="1:16" ht="15" x14ac:dyDescent="0.2">
      <c r="A983" s="4" t="s">
        <v>580</v>
      </c>
      <c r="B983" s="21" t="str">
        <f t="shared" si="30"/>
        <v>Sep-2025</v>
      </c>
      <c r="C983" s="2" t="str">
        <f t="shared" si="31"/>
        <v>Q2</v>
      </c>
      <c r="D983" s="2" t="s">
        <v>31</v>
      </c>
      <c r="E983" s="13">
        <v>45919</v>
      </c>
      <c r="F983" s="14" t="s">
        <v>259</v>
      </c>
      <c r="G983" s="14" t="s">
        <v>119</v>
      </c>
      <c r="H983" s="14" t="s">
        <v>89</v>
      </c>
      <c r="I983" s="15">
        <v>10</v>
      </c>
      <c r="J983" s="15">
        <v>700</v>
      </c>
      <c r="K983" s="15">
        <v>37.25</v>
      </c>
      <c r="L983" s="15">
        <v>26075</v>
      </c>
      <c r="M983" s="15">
        <v>-2005.1699999999998</v>
      </c>
      <c r="N983" s="15">
        <v>0</v>
      </c>
      <c r="O983" s="15">
        <v>3129.0800000000004</v>
      </c>
      <c r="P983" s="15">
        <v>27198.91</v>
      </c>
    </row>
    <row r="984" spans="1:16" ht="15" x14ac:dyDescent="0.2">
      <c r="A984" s="4" t="s">
        <v>580</v>
      </c>
      <c r="B984" s="21" t="str">
        <f t="shared" si="30"/>
        <v>Sep-2025</v>
      </c>
      <c r="C984" s="2" t="str">
        <f t="shared" si="31"/>
        <v>Q2</v>
      </c>
      <c r="D984" s="2" t="s">
        <v>31</v>
      </c>
      <c r="E984" s="13">
        <v>45919</v>
      </c>
      <c r="F984" s="14" t="s">
        <v>260</v>
      </c>
      <c r="G984" s="14" t="s">
        <v>14</v>
      </c>
      <c r="H984" s="14" t="s">
        <v>89</v>
      </c>
      <c r="I984" s="15">
        <v>10</v>
      </c>
      <c r="J984" s="15">
        <v>700</v>
      </c>
      <c r="K984" s="15">
        <v>37.25</v>
      </c>
      <c r="L984" s="15">
        <v>26075</v>
      </c>
      <c r="M984" s="15">
        <v>-2005.1699999999998</v>
      </c>
      <c r="N984" s="15">
        <v>0</v>
      </c>
      <c r="O984" s="15">
        <v>3129.0800000000004</v>
      </c>
      <c r="P984" s="15">
        <v>27198.91</v>
      </c>
    </row>
    <row r="985" spans="1:16" ht="15" x14ac:dyDescent="0.2">
      <c r="A985" s="4" t="s">
        <v>580</v>
      </c>
      <c r="B985" s="21" t="str">
        <f t="shared" si="30"/>
        <v>Sep-2025</v>
      </c>
      <c r="C985" s="2" t="str">
        <f t="shared" si="31"/>
        <v>Q2</v>
      </c>
      <c r="D985" s="2" t="s">
        <v>31</v>
      </c>
      <c r="E985" s="13">
        <v>45919</v>
      </c>
      <c r="F985" s="14" t="s">
        <v>261</v>
      </c>
      <c r="G985" s="14" t="s">
        <v>19</v>
      </c>
      <c r="H985" s="14" t="s">
        <v>89</v>
      </c>
      <c r="I985" s="15">
        <v>15</v>
      </c>
      <c r="J985" s="15">
        <v>1050</v>
      </c>
      <c r="K985" s="15">
        <v>37.25</v>
      </c>
      <c r="L985" s="15">
        <v>39112.5</v>
      </c>
      <c r="M985" s="15">
        <v>-3007.75</v>
      </c>
      <c r="N985" s="15">
        <v>0</v>
      </c>
      <c r="O985" s="15">
        <v>4693.62</v>
      </c>
      <c r="P985" s="15">
        <v>40798.370000000003</v>
      </c>
    </row>
    <row r="986" spans="1:16" ht="15" x14ac:dyDescent="0.2">
      <c r="A986" s="4" t="s">
        <v>580</v>
      </c>
      <c r="B986" s="21" t="str">
        <f t="shared" si="30"/>
        <v>Sep-2025</v>
      </c>
      <c r="C986" s="2" t="str">
        <f t="shared" si="31"/>
        <v>Q2</v>
      </c>
      <c r="D986" s="2" t="s">
        <v>31</v>
      </c>
      <c r="E986" s="13">
        <v>45919</v>
      </c>
      <c r="F986" s="14" t="s">
        <v>262</v>
      </c>
      <c r="G986" s="14" t="s">
        <v>142</v>
      </c>
      <c r="H986" s="14" t="s">
        <v>89</v>
      </c>
      <c r="I986" s="15">
        <v>25</v>
      </c>
      <c r="J986" s="15">
        <v>1750</v>
      </c>
      <c r="K986" s="15">
        <v>37.25</v>
      </c>
      <c r="L986" s="15">
        <v>65187.5</v>
      </c>
      <c r="M986" s="15">
        <v>-5012.92</v>
      </c>
      <c r="N986" s="15">
        <v>0</v>
      </c>
      <c r="O986" s="15">
        <v>7822.7</v>
      </c>
      <c r="P986" s="15">
        <v>67997.279999999999</v>
      </c>
    </row>
    <row r="987" spans="1:16" ht="15" x14ac:dyDescent="0.2">
      <c r="A987" s="4" t="s">
        <v>580</v>
      </c>
      <c r="B987" s="21" t="str">
        <f t="shared" si="30"/>
        <v>Sep-2025</v>
      </c>
      <c r="C987" s="2" t="str">
        <f t="shared" si="31"/>
        <v>Q2</v>
      </c>
      <c r="D987" s="2" t="s">
        <v>31</v>
      </c>
      <c r="E987" s="13">
        <v>45919</v>
      </c>
      <c r="F987" s="14" t="s">
        <v>263</v>
      </c>
      <c r="G987" s="14" t="s">
        <v>17</v>
      </c>
      <c r="H987" s="14" t="s">
        <v>89</v>
      </c>
      <c r="I987" s="15">
        <v>5</v>
      </c>
      <c r="J987" s="15">
        <v>350</v>
      </c>
      <c r="K987" s="15">
        <v>37.25</v>
      </c>
      <c r="L987" s="15">
        <v>13037.5</v>
      </c>
      <c r="M987" s="15">
        <v>-1002.58</v>
      </c>
      <c r="N987" s="15">
        <v>0</v>
      </c>
      <c r="O987" s="15">
        <v>1564.5400000000002</v>
      </c>
      <c r="P987" s="15">
        <v>13599.46</v>
      </c>
    </row>
    <row r="988" spans="1:16" ht="15" x14ac:dyDescent="0.2">
      <c r="A988" s="4" t="s">
        <v>580</v>
      </c>
      <c r="B988" s="21" t="str">
        <f t="shared" si="30"/>
        <v>Sep-2025</v>
      </c>
      <c r="C988" s="2" t="str">
        <f t="shared" si="31"/>
        <v>Q2</v>
      </c>
      <c r="D988" s="2" t="s">
        <v>31</v>
      </c>
      <c r="E988" s="13">
        <v>45919</v>
      </c>
      <c r="F988" s="14" t="s">
        <v>264</v>
      </c>
      <c r="G988" s="14" t="s">
        <v>23</v>
      </c>
      <c r="H988" s="14" t="s">
        <v>89</v>
      </c>
      <c r="I988" s="15">
        <v>20</v>
      </c>
      <c r="J988" s="15">
        <v>1400</v>
      </c>
      <c r="K988" s="15">
        <v>37.25</v>
      </c>
      <c r="L988" s="15">
        <v>52150</v>
      </c>
      <c r="M988" s="15">
        <v>-4010.3399999999997</v>
      </c>
      <c r="N988" s="15">
        <v>0</v>
      </c>
      <c r="O988" s="15">
        <v>6258.1600000000008</v>
      </c>
      <c r="P988" s="15">
        <v>54397.82</v>
      </c>
    </row>
    <row r="989" spans="1:16" ht="15" x14ac:dyDescent="0.2">
      <c r="A989" s="4" t="s">
        <v>580</v>
      </c>
      <c r="B989" s="21" t="str">
        <f t="shared" si="30"/>
        <v>Sep-2025</v>
      </c>
      <c r="C989" s="2" t="str">
        <f t="shared" si="31"/>
        <v>Q2</v>
      </c>
      <c r="D989" s="2" t="s">
        <v>31</v>
      </c>
      <c r="E989" s="13">
        <v>45919</v>
      </c>
      <c r="F989" s="14" t="s">
        <v>265</v>
      </c>
      <c r="G989" s="14" t="s">
        <v>235</v>
      </c>
      <c r="H989" s="14" t="s">
        <v>89</v>
      </c>
      <c r="I989" s="15">
        <v>10</v>
      </c>
      <c r="J989" s="15">
        <v>700</v>
      </c>
      <c r="K989" s="15">
        <v>37.25</v>
      </c>
      <c r="L989" s="15">
        <v>26075</v>
      </c>
      <c r="M989" s="15">
        <v>-2005.1699999999998</v>
      </c>
      <c r="N989" s="15">
        <v>0</v>
      </c>
      <c r="O989" s="15">
        <v>3129.0800000000004</v>
      </c>
      <c r="P989" s="15">
        <v>27198.91</v>
      </c>
    </row>
    <row r="990" spans="1:16" ht="15" x14ac:dyDescent="0.2">
      <c r="A990" s="4" t="s">
        <v>580</v>
      </c>
      <c r="B990" s="21" t="str">
        <f t="shared" si="30"/>
        <v>Sep-2025</v>
      </c>
      <c r="C990" s="2" t="str">
        <f t="shared" si="31"/>
        <v>Q2</v>
      </c>
      <c r="D990" s="2" t="s">
        <v>31</v>
      </c>
      <c r="E990" s="13">
        <v>45919</v>
      </c>
      <c r="F990" s="14" t="s">
        <v>266</v>
      </c>
      <c r="G990" s="14" t="s">
        <v>206</v>
      </c>
      <c r="H990" s="14" t="s">
        <v>89</v>
      </c>
      <c r="I990" s="15">
        <v>10</v>
      </c>
      <c r="J990" s="15">
        <v>700</v>
      </c>
      <c r="K990" s="15">
        <v>37.25</v>
      </c>
      <c r="L990" s="15">
        <v>26075</v>
      </c>
      <c r="M990" s="15">
        <v>-2005.1699999999998</v>
      </c>
      <c r="N990" s="15">
        <v>0</v>
      </c>
      <c r="O990" s="15">
        <v>3129.0800000000004</v>
      </c>
      <c r="P990" s="15">
        <v>27198.91</v>
      </c>
    </row>
    <row r="991" spans="1:16" ht="15" x14ac:dyDescent="0.2">
      <c r="A991" s="4" t="s">
        <v>580</v>
      </c>
      <c r="B991" s="21" t="str">
        <f t="shared" si="30"/>
        <v>Sep-2025</v>
      </c>
      <c r="C991" s="2" t="str">
        <f t="shared" si="31"/>
        <v>Q2</v>
      </c>
      <c r="D991" s="2" t="s">
        <v>31</v>
      </c>
      <c r="E991" s="13">
        <v>45919</v>
      </c>
      <c r="F991" s="14" t="s">
        <v>267</v>
      </c>
      <c r="G991" s="14" t="s">
        <v>215</v>
      </c>
      <c r="H991" s="14" t="s">
        <v>89</v>
      </c>
      <c r="I991" s="15">
        <v>10</v>
      </c>
      <c r="J991" s="15">
        <v>700</v>
      </c>
      <c r="K991" s="15">
        <v>37.25</v>
      </c>
      <c r="L991" s="15">
        <v>26075</v>
      </c>
      <c r="M991" s="15">
        <v>-2005.1699999999998</v>
      </c>
      <c r="N991" s="15">
        <v>0</v>
      </c>
      <c r="O991" s="15">
        <v>3129.0800000000004</v>
      </c>
      <c r="P991" s="15">
        <v>27198.91</v>
      </c>
    </row>
    <row r="992" spans="1:16" ht="15" x14ac:dyDescent="0.2">
      <c r="A992" s="4" t="s">
        <v>580</v>
      </c>
      <c r="B992" s="21" t="str">
        <f t="shared" si="30"/>
        <v>Sep-2025</v>
      </c>
      <c r="C992" s="2" t="str">
        <f t="shared" si="31"/>
        <v>Q2</v>
      </c>
      <c r="D992" s="2" t="s">
        <v>31</v>
      </c>
      <c r="E992" s="13">
        <v>45919</v>
      </c>
      <c r="F992" s="14" t="s">
        <v>268</v>
      </c>
      <c r="G992" s="14" t="s">
        <v>171</v>
      </c>
      <c r="H992" s="14" t="s">
        <v>65</v>
      </c>
      <c r="I992" s="15">
        <v>2</v>
      </c>
      <c r="J992" s="15">
        <v>260</v>
      </c>
      <c r="K992" s="15">
        <v>37.25</v>
      </c>
      <c r="L992" s="15">
        <v>9685</v>
      </c>
      <c r="M992" s="15">
        <v>-744.78</v>
      </c>
      <c r="N992" s="15">
        <v>0</v>
      </c>
      <c r="O992" s="15">
        <v>1162.23</v>
      </c>
      <c r="P992" s="15">
        <v>10102.450000000001</v>
      </c>
    </row>
    <row r="993" spans="1:16" ht="15" x14ac:dyDescent="0.2">
      <c r="A993" s="4" t="s">
        <v>578</v>
      </c>
      <c r="B993" s="21" t="str">
        <f t="shared" si="30"/>
        <v>Sep-2025</v>
      </c>
      <c r="C993" s="2" t="str">
        <f t="shared" si="31"/>
        <v>Q2</v>
      </c>
      <c r="D993" s="2" t="s">
        <v>31</v>
      </c>
      <c r="E993" s="13">
        <v>45921</v>
      </c>
      <c r="F993" s="14" t="s">
        <v>269</v>
      </c>
      <c r="G993" s="14" t="s">
        <v>171</v>
      </c>
      <c r="H993" s="14" t="s">
        <v>59</v>
      </c>
      <c r="I993" s="15">
        <v>-1</v>
      </c>
      <c r="J993" s="15">
        <v>-42</v>
      </c>
      <c r="K993" s="15">
        <v>74.489999999999995</v>
      </c>
      <c r="L993" s="15">
        <v>-3128.58</v>
      </c>
      <c r="M993" s="15">
        <v>240.59</v>
      </c>
      <c r="N993" s="15">
        <v>0</v>
      </c>
      <c r="O993" s="15">
        <v>-375.44</v>
      </c>
      <c r="P993" s="15">
        <v>-3263.43</v>
      </c>
    </row>
    <row r="994" spans="1:16" ht="15" x14ac:dyDescent="0.2">
      <c r="A994" s="4" t="s">
        <v>584</v>
      </c>
      <c r="B994" s="21" t="str">
        <f t="shared" si="30"/>
        <v>Sep-2025</v>
      </c>
      <c r="C994" s="2" t="str">
        <f t="shared" si="31"/>
        <v>Q2</v>
      </c>
      <c r="D994" s="2" t="s">
        <v>31</v>
      </c>
      <c r="E994" s="13">
        <v>45922</v>
      </c>
      <c r="F994" s="14" t="s">
        <v>270</v>
      </c>
      <c r="G994" s="14" t="s">
        <v>171</v>
      </c>
      <c r="H994" s="14" t="s">
        <v>100</v>
      </c>
      <c r="I994" s="15">
        <v>2</v>
      </c>
      <c r="J994" s="15">
        <v>80</v>
      </c>
      <c r="K994" s="15">
        <v>81.94</v>
      </c>
      <c r="L994" s="15">
        <v>6555.2</v>
      </c>
      <c r="M994" s="15">
        <v>-504.09</v>
      </c>
      <c r="N994" s="15">
        <v>0</v>
      </c>
      <c r="O994" s="15">
        <v>786.64369299999998</v>
      </c>
      <c r="P994" s="15">
        <v>6837.7536929999997</v>
      </c>
    </row>
    <row r="995" spans="1:16" ht="15" x14ac:dyDescent="0.2">
      <c r="A995" s="4" t="s">
        <v>584</v>
      </c>
      <c r="B995" s="21" t="str">
        <f t="shared" si="30"/>
        <v>Sep-2025</v>
      </c>
      <c r="C995" s="2" t="str">
        <f t="shared" si="31"/>
        <v>Q2</v>
      </c>
      <c r="D995" s="2" t="s">
        <v>31</v>
      </c>
      <c r="E995" s="13">
        <v>45922</v>
      </c>
      <c r="F995" s="14" t="s">
        <v>270</v>
      </c>
      <c r="G995" s="14" t="s">
        <v>171</v>
      </c>
      <c r="H995" s="14" t="s">
        <v>120</v>
      </c>
      <c r="I995" s="15">
        <v>2</v>
      </c>
      <c r="J995" s="15">
        <v>80</v>
      </c>
      <c r="K995" s="15">
        <v>81.94</v>
      </c>
      <c r="L995" s="15">
        <v>6555.2</v>
      </c>
      <c r="M995" s="15">
        <v>-504.09</v>
      </c>
      <c r="N995" s="15">
        <v>0</v>
      </c>
      <c r="O995" s="15">
        <v>786.64369299999998</v>
      </c>
      <c r="P995" s="15">
        <v>6837.7536929999997</v>
      </c>
    </row>
    <row r="996" spans="1:16" ht="15" x14ac:dyDescent="0.2">
      <c r="A996" s="4" t="s">
        <v>582</v>
      </c>
      <c r="B996" s="21" t="str">
        <f t="shared" si="30"/>
        <v>Sep-2025</v>
      </c>
      <c r="C996" s="2" t="str">
        <f t="shared" si="31"/>
        <v>Q2</v>
      </c>
      <c r="D996" s="2" t="s">
        <v>31</v>
      </c>
      <c r="E996" s="13">
        <v>45922</v>
      </c>
      <c r="F996" s="14" t="s">
        <v>270</v>
      </c>
      <c r="G996" s="14" t="s">
        <v>171</v>
      </c>
      <c r="H996" s="14" t="s">
        <v>101</v>
      </c>
      <c r="I996" s="15">
        <v>2</v>
      </c>
      <c r="J996" s="15">
        <v>48</v>
      </c>
      <c r="K996" s="15">
        <v>186.23</v>
      </c>
      <c r="L996" s="15">
        <v>8939.0400000000009</v>
      </c>
      <c r="M996" s="15">
        <v>-687.41</v>
      </c>
      <c r="N996" s="15">
        <v>0</v>
      </c>
      <c r="O996" s="15">
        <v>1072.7110720000001</v>
      </c>
      <c r="P996" s="15">
        <v>9324.3410719999993</v>
      </c>
    </row>
    <row r="997" spans="1:16" ht="15" x14ac:dyDescent="0.2">
      <c r="A997" s="4" t="s">
        <v>582</v>
      </c>
      <c r="B997" s="21" t="str">
        <f t="shared" si="30"/>
        <v>Sep-2025</v>
      </c>
      <c r="C997" s="2" t="str">
        <f t="shared" si="31"/>
        <v>Q2</v>
      </c>
      <c r="D997" s="2" t="s">
        <v>31</v>
      </c>
      <c r="E997" s="13">
        <v>45922</v>
      </c>
      <c r="F997" s="14" t="s">
        <v>270</v>
      </c>
      <c r="G997" s="14" t="s">
        <v>171</v>
      </c>
      <c r="H997" s="14" t="s">
        <v>108</v>
      </c>
      <c r="I997" s="15">
        <v>2</v>
      </c>
      <c r="J997" s="15">
        <v>48</v>
      </c>
      <c r="K997" s="15">
        <v>186.23</v>
      </c>
      <c r="L997" s="15">
        <v>8939.0400000000009</v>
      </c>
      <c r="M997" s="15">
        <v>-687.41</v>
      </c>
      <c r="N997" s="15">
        <v>0</v>
      </c>
      <c r="O997" s="15">
        <v>1072.7110720000001</v>
      </c>
      <c r="P997" s="15">
        <v>9324.3410719999993</v>
      </c>
    </row>
    <row r="998" spans="1:16" ht="15" x14ac:dyDescent="0.2">
      <c r="A998" s="4" t="s">
        <v>581</v>
      </c>
      <c r="B998" s="21" t="str">
        <f t="shared" si="30"/>
        <v>Sep-2025</v>
      </c>
      <c r="C998" s="2" t="str">
        <f t="shared" si="31"/>
        <v>Q2</v>
      </c>
      <c r="D998" s="2" t="s">
        <v>31</v>
      </c>
      <c r="E998" s="13">
        <v>45922</v>
      </c>
      <c r="F998" s="14" t="s">
        <v>270</v>
      </c>
      <c r="G998" s="14" t="s">
        <v>171</v>
      </c>
      <c r="H998" s="14" t="s">
        <v>66</v>
      </c>
      <c r="I998" s="15">
        <v>2</v>
      </c>
      <c r="J998" s="15">
        <v>48</v>
      </c>
      <c r="K998" s="15">
        <v>141.54</v>
      </c>
      <c r="L998" s="15">
        <v>6793.92</v>
      </c>
      <c r="M998" s="15">
        <v>-522.45000000000005</v>
      </c>
      <c r="N998" s="15">
        <v>0</v>
      </c>
      <c r="O998" s="15">
        <v>815.29047100000003</v>
      </c>
      <c r="P998" s="15">
        <v>7086.7604709999996</v>
      </c>
    </row>
    <row r="999" spans="1:16" ht="15" x14ac:dyDescent="0.2">
      <c r="A999" s="4" t="s">
        <v>576</v>
      </c>
      <c r="B999" s="21" t="str">
        <f t="shared" si="30"/>
        <v>Sep-2025</v>
      </c>
      <c r="C999" s="2" t="str">
        <f t="shared" si="31"/>
        <v>Q2</v>
      </c>
      <c r="D999" s="2" t="s">
        <v>31</v>
      </c>
      <c r="E999" s="13">
        <v>45922</v>
      </c>
      <c r="F999" s="14" t="s">
        <v>271</v>
      </c>
      <c r="G999" s="14" t="s">
        <v>22</v>
      </c>
      <c r="H999" s="14" t="s">
        <v>124</v>
      </c>
      <c r="I999" s="15">
        <v>5</v>
      </c>
      <c r="J999" s="15">
        <v>100</v>
      </c>
      <c r="K999" s="15">
        <v>175.05</v>
      </c>
      <c r="L999" s="15">
        <v>17505</v>
      </c>
      <c r="M999" s="15">
        <v>-1346.1299999999999</v>
      </c>
      <c r="N999" s="15">
        <v>0</v>
      </c>
      <c r="O999" s="15">
        <v>2100.65353</v>
      </c>
      <c r="P999" s="15">
        <v>18259.523529999999</v>
      </c>
    </row>
    <row r="1000" spans="1:16" ht="15" x14ac:dyDescent="0.2">
      <c r="A1000" s="4" t="s">
        <v>577</v>
      </c>
      <c r="B1000" s="21" t="str">
        <f t="shared" si="30"/>
        <v>Sep-2025</v>
      </c>
      <c r="C1000" s="2" t="str">
        <f t="shared" si="31"/>
        <v>Q2</v>
      </c>
      <c r="D1000" s="2" t="s">
        <v>31</v>
      </c>
      <c r="E1000" s="13">
        <v>45922</v>
      </c>
      <c r="F1000" s="14" t="s">
        <v>271</v>
      </c>
      <c r="G1000" s="14" t="s">
        <v>22</v>
      </c>
      <c r="H1000" s="14" t="s">
        <v>57</v>
      </c>
      <c r="I1000" s="15">
        <v>5</v>
      </c>
      <c r="J1000" s="15">
        <v>900</v>
      </c>
      <c r="K1000" s="15">
        <v>18.62</v>
      </c>
      <c r="L1000" s="15">
        <v>16758</v>
      </c>
      <c r="M1000" s="15">
        <v>-1288.6899999999998</v>
      </c>
      <c r="N1000" s="15">
        <v>0</v>
      </c>
      <c r="O1000" s="15">
        <v>2011.0107109999999</v>
      </c>
      <c r="P1000" s="15">
        <v>17480.320711</v>
      </c>
    </row>
    <row r="1001" spans="1:16" ht="15" x14ac:dyDescent="0.2">
      <c r="A1001" s="4" t="s">
        <v>576</v>
      </c>
      <c r="B1001" s="21" t="str">
        <f t="shared" si="30"/>
        <v>Sep-2025</v>
      </c>
      <c r="C1001" s="2" t="str">
        <f t="shared" si="31"/>
        <v>Q2</v>
      </c>
      <c r="D1001" s="2" t="s">
        <v>31</v>
      </c>
      <c r="E1001" s="13">
        <v>45922</v>
      </c>
      <c r="F1001" s="14" t="s">
        <v>271</v>
      </c>
      <c r="G1001" s="14" t="s">
        <v>22</v>
      </c>
      <c r="H1001" s="14" t="s">
        <v>110</v>
      </c>
      <c r="I1001" s="15">
        <v>10</v>
      </c>
      <c r="J1001" s="15">
        <v>200</v>
      </c>
      <c r="K1001" s="15">
        <v>175.05</v>
      </c>
      <c r="L1001" s="15">
        <v>35010</v>
      </c>
      <c r="M1001" s="15">
        <v>-2692.27</v>
      </c>
      <c r="N1001" s="15">
        <v>0</v>
      </c>
      <c r="O1001" s="15">
        <v>4201.3057589999999</v>
      </c>
      <c r="P1001" s="15">
        <v>36519.035758999999</v>
      </c>
    </row>
    <row r="1002" spans="1:16" ht="15" x14ac:dyDescent="0.2">
      <c r="A1002" s="4" t="s">
        <v>593</v>
      </c>
      <c r="B1002" s="21" t="str">
        <f t="shared" si="30"/>
        <v>Sep-2025</v>
      </c>
      <c r="C1002" s="2" t="str">
        <f t="shared" si="31"/>
        <v>Q2</v>
      </c>
      <c r="D1002" s="2" t="s">
        <v>31</v>
      </c>
      <c r="E1002" s="13">
        <v>45923</v>
      </c>
      <c r="F1002" s="14" t="s">
        <v>272</v>
      </c>
      <c r="G1002" s="14" t="s">
        <v>46</v>
      </c>
      <c r="H1002" s="14" t="s">
        <v>117</v>
      </c>
      <c r="I1002" s="15">
        <v>25</v>
      </c>
      <c r="J1002" s="15">
        <v>100</v>
      </c>
      <c r="K1002" s="15">
        <v>595.92999999999995</v>
      </c>
      <c r="L1002" s="15">
        <v>59593</v>
      </c>
      <c r="M1002" s="15">
        <v>-4582.7</v>
      </c>
      <c r="N1002" s="15">
        <v>0</v>
      </c>
      <c r="O1002" s="15">
        <v>7151.34</v>
      </c>
      <c r="P1002" s="15">
        <v>62161.64</v>
      </c>
    </row>
    <row r="1003" spans="1:16" ht="15" x14ac:dyDescent="0.2">
      <c r="A1003" s="4" t="s">
        <v>581</v>
      </c>
      <c r="B1003" s="21" t="str">
        <f t="shared" si="30"/>
        <v>Sep-2025</v>
      </c>
      <c r="C1003" s="2" t="str">
        <f t="shared" si="31"/>
        <v>Q2</v>
      </c>
      <c r="D1003" s="2" t="s">
        <v>31</v>
      </c>
      <c r="E1003" s="13">
        <v>45926</v>
      </c>
      <c r="F1003" s="14" t="s">
        <v>273</v>
      </c>
      <c r="G1003" s="14" t="s">
        <v>171</v>
      </c>
      <c r="H1003" s="14" t="s">
        <v>96</v>
      </c>
      <c r="I1003" s="15">
        <v>5</v>
      </c>
      <c r="J1003" s="15">
        <v>200</v>
      </c>
      <c r="K1003" s="15">
        <v>67.040000000000006</v>
      </c>
      <c r="L1003" s="15">
        <v>13408</v>
      </c>
      <c r="M1003" s="15">
        <v>-1031.08</v>
      </c>
      <c r="N1003" s="15">
        <v>0</v>
      </c>
      <c r="O1003" s="15">
        <v>1608.9980619999999</v>
      </c>
      <c r="P1003" s="15">
        <v>13985.918062000001</v>
      </c>
    </row>
    <row r="1004" spans="1:16" ht="15" x14ac:dyDescent="0.2">
      <c r="A1004" s="4" t="s">
        <v>590</v>
      </c>
      <c r="B1004" s="21" t="str">
        <f t="shared" si="30"/>
        <v>Sep-2025</v>
      </c>
      <c r="C1004" s="2" t="str">
        <f t="shared" si="31"/>
        <v>Q2</v>
      </c>
      <c r="D1004" s="2" t="s">
        <v>31</v>
      </c>
      <c r="E1004" s="13">
        <v>45926</v>
      </c>
      <c r="F1004" s="14" t="s">
        <v>273</v>
      </c>
      <c r="G1004" s="14" t="s">
        <v>171</v>
      </c>
      <c r="H1004" s="14" t="s">
        <v>102</v>
      </c>
      <c r="I1004" s="15">
        <v>5</v>
      </c>
      <c r="J1004" s="15">
        <v>100</v>
      </c>
      <c r="K1004" s="15">
        <v>249.55</v>
      </c>
      <c r="L1004" s="15">
        <v>24955</v>
      </c>
      <c r="M1004" s="15">
        <v>-1919.04</v>
      </c>
      <c r="N1004" s="15">
        <v>0</v>
      </c>
      <c r="O1004" s="15">
        <v>2994.671938</v>
      </c>
      <c r="P1004" s="15">
        <v>26030.631937999999</v>
      </c>
    </row>
    <row r="1005" spans="1:16" ht="15" x14ac:dyDescent="0.2">
      <c r="A1005" s="4" t="s">
        <v>574</v>
      </c>
      <c r="B1005" s="21" t="str">
        <f t="shared" si="30"/>
        <v>Sep-2025</v>
      </c>
      <c r="C1005" s="2" t="str">
        <f t="shared" si="31"/>
        <v>Q2</v>
      </c>
      <c r="D1005" s="2" t="s">
        <v>31</v>
      </c>
      <c r="E1005" s="13">
        <v>45926</v>
      </c>
      <c r="F1005" s="14" t="s">
        <v>274</v>
      </c>
      <c r="G1005" s="14" t="s">
        <v>12</v>
      </c>
      <c r="H1005" s="14" t="s">
        <v>52</v>
      </c>
      <c r="I1005" s="15">
        <v>10</v>
      </c>
      <c r="J1005" s="15">
        <v>180</v>
      </c>
      <c r="K1005" s="15">
        <v>178.78</v>
      </c>
      <c r="L1005" s="15">
        <v>32180.400000000001</v>
      </c>
      <c r="M1005" s="15">
        <v>-2474.6699999999996</v>
      </c>
      <c r="N1005" s="15">
        <v>0</v>
      </c>
      <c r="O1005" s="15">
        <v>3861.743136</v>
      </c>
      <c r="P1005" s="15">
        <v>33567.473136000001</v>
      </c>
    </row>
    <row r="1006" spans="1:16" ht="15" x14ac:dyDescent="0.2">
      <c r="A1006" s="4" t="s">
        <v>590</v>
      </c>
      <c r="B1006" s="21" t="str">
        <f t="shared" si="30"/>
        <v>Sep-2025</v>
      </c>
      <c r="C1006" s="2" t="str">
        <f t="shared" si="31"/>
        <v>Q2</v>
      </c>
      <c r="D1006" s="2" t="s">
        <v>31</v>
      </c>
      <c r="E1006" s="13">
        <v>45926</v>
      </c>
      <c r="F1006" s="14" t="s">
        <v>274</v>
      </c>
      <c r="G1006" s="14" t="s">
        <v>12</v>
      </c>
      <c r="H1006" s="14" t="s">
        <v>102</v>
      </c>
      <c r="I1006" s="15">
        <v>10</v>
      </c>
      <c r="J1006" s="15">
        <v>200</v>
      </c>
      <c r="K1006" s="15">
        <v>249.55</v>
      </c>
      <c r="L1006" s="15">
        <v>49910</v>
      </c>
      <c r="M1006" s="15">
        <v>-3838.08</v>
      </c>
      <c r="N1006" s="15">
        <v>0</v>
      </c>
      <c r="O1006" s="15">
        <v>5989.3468640000001</v>
      </c>
      <c r="P1006" s="15">
        <v>52061.266863999997</v>
      </c>
    </row>
    <row r="1007" spans="1:16" ht="15" x14ac:dyDescent="0.2">
      <c r="A1007" s="4" t="s">
        <v>581</v>
      </c>
      <c r="B1007" s="21" t="str">
        <f t="shared" si="30"/>
        <v>Sep-2025</v>
      </c>
      <c r="C1007" s="2" t="str">
        <f t="shared" si="31"/>
        <v>Q2</v>
      </c>
      <c r="D1007" s="2" t="s">
        <v>31</v>
      </c>
      <c r="E1007" s="13">
        <v>45926</v>
      </c>
      <c r="F1007" s="14" t="s">
        <v>275</v>
      </c>
      <c r="G1007" s="14" t="s">
        <v>15</v>
      </c>
      <c r="H1007" s="14" t="s">
        <v>96</v>
      </c>
      <c r="I1007" s="15">
        <v>3</v>
      </c>
      <c r="J1007" s="15">
        <v>120</v>
      </c>
      <c r="K1007" s="15">
        <v>67.040000000000006</v>
      </c>
      <c r="L1007" s="15">
        <v>8044.8</v>
      </c>
      <c r="M1007" s="15">
        <v>-618.65</v>
      </c>
      <c r="N1007" s="15">
        <v>0</v>
      </c>
      <c r="O1007" s="15">
        <v>965.39830999999992</v>
      </c>
      <c r="P1007" s="15">
        <v>8391.5483100000001</v>
      </c>
    </row>
    <row r="1008" spans="1:16" ht="15" x14ac:dyDescent="0.2">
      <c r="A1008" s="4" t="s">
        <v>589</v>
      </c>
      <c r="B1008" s="21" t="str">
        <f t="shared" si="30"/>
        <v>Sep-2025</v>
      </c>
      <c r="C1008" s="2" t="str">
        <f t="shared" si="31"/>
        <v>Q2</v>
      </c>
      <c r="D1008" s="2" t="s">
        <v>31</v>
      </c>
      <c r="E1008" s="13">
        <v>45926</v>
      </c>
      <c r="F1008" s="14" t="s">
        <v>275</v>
      </c>
      <c r="G1008" s="14" t="s">
        <v>15</v>
      </c>
      <c r="H1008" s="14" t="s">
        <v>105</v>
      </c>
      <c r="I1008" s="15">
        <v>2</v>
      </c>
      <c r="J1008" s="15">
        <v>60</v>
      </c>
      <c r="K1008" s="15">
        <v>316.58999999999997</v>
      </c>
      <c r="L1008" s="15">
        <v>18995.399999999998</v>
      </c>
      <c r="M1008" s="15">
        <v>-1460.75</v>
      </c>
      <c r="N1008" s="15">
        <v>0</v>
      </c>
      <c r="O1008" s="15">
        <v>2279.5016900000001</v>
      </c>
      <c r="P1008" s="15">
        <v>19814.151689999999</v>
      </c>
    </row>
    <row r="1009" spans="1:16" ht="15" x14ac:dyDescent="0.2">
      <c r="A1009" s="4" t="s">
        <v>590</v>
      </c>
      <c r="B1009" s="21" t="str">
        <f t="shared" si="30"/>
        <v>Sep-2025</v>
      </c>
      <c r="C1009" s="2" t="str">
        <f t="shared" si="31"/>
        <v>Q2</v>
      </c>
      <c r="D1009" s="2" t="s">
        <v>31</v>
      </c>
      <c r="E1009" s="13">
        <v>45926</v>
      </c>
      <c r="F1009" s="14" t="s">
        <v>276</v>
      </c>
      <c r="G1009" s="14" t="s">
        <v>187</v>
      </c>
      <c r="H1009" s="14" t="s">
        <v>102</v>
      </c>
      <c r="I1009" s="15">
        <v>5</v>
      </c>
      <c r="J1009" s="15">
        <v>100</v>
      </c>
      <c r="K1009" s="15">
        <v>249.55</v>
      </c>
      <c r="L1009" s="15">
        <v>24955</v>
      </c>
      <c r="M1009" s="15">
        <v>-1919.04</v>
      </c>
      <c r="N1009" s="15">
        <v>0</v>
      </c>
      <c r="O1009" s="15">
        <v>2994.6715479999998</v>
      </c>
      <c r="P1009" s="15">
        <v>26030.631548000001</v>
      </c>
    </row>
    <row r="1010" spans="1:16" ht="15" x14ac:dyDescent="0.2">
      <c r="A1010" s="4" t="s">
        <v>581</v>
      </c>
      <c r="B1010" s="21" t="str">
        <f t="shared" si="30"/>
        <v>Sep-2025</v>
      </c>
      <c r="C1010" s="2" t="str">
        <f t="shared" si="31"/>
        <v>Q2</v>
      </c>
      <c r="D1010" s="2" t="s">
        <v>31</v>
      </c>
      <c r="E1010" s="13">
        <v>45926</v>
      </c>
      <c r="F1010" s="14" t="s">
        <v>276</v>
      </c>
      <c r="G1010" s="14" t="s">
        <v>187</v>
      </c>
      <c r="H1010" s="14" t="s">
        <v>96</v>
      </c>
      <c r="I1010" s="15">
        <v>3</v>
      </c>
      <c r="J1010" s="15">
        <v>120</v>
      </c>
      <c r="K1010" s="15">
        <v>67.040000000000006</v>
      </c>
      <c r="L1010" s="15">
        <v>8044.8</v>
      </c>
      <c r="M1010" s="15">
        <v>-618.65</v>
      </c>
      <c r="N1010" s="15">
        <v>0</v>
      </c>
      <c r="O1010" s="15">
        <v>965.39845200000002</v>
      </c>
      <c r="P1010" s="15">
        <v>8391.5484520000009</v>
      </c>
    </row>
    <row r="1011" spans="1:16" ht="15" x14ac:dyDescent="0.2">
      <c r="A1011" s="4" t="s">
        <v>581</v>
      </c>
      <c r="B1011" s="21" t="str">
        <f t="shared" si="30"/>
        <v>Sep-2025</v>
      </c>
      <c r="C1011" s="2" t="str">
        <f t="shared" si="31"/>
        <v>Q2</v>
      </c>
      <c r="D1011" s="2" t="s">
        <v>31</v>
      </c>
      <c r="E1011" s="13">
        <v>45926</v>
      </c>
      <c r="F1011" s="14" t="s">
        <v>277</v>
      </c>
      <c r="G1011" s="14" t="s">
        <v>244</v>
      </c>
      <c r="H1011" s="14" t="s">
        <v>96</v>
      </c>
      <c r="I1011" s="15">
        <v>2</v>
      </c>
      <c r="J1011" s="15">
        <v>80</v>
      </c>
      <c r="K1011" s="15">
        <v>67.040000000000006</v>
      </c>
      <c r="L1011" s="15">
        <v>5363.2</v>
      </c>
      <c r="M1011" s="15">
        <v>-412.43</v>
      </c>
      <c r="N1011" s="15">
        <v>0</v>
      </c>
      <c r="O1011" s="15">
        <v>643.6</v>
      </c>
      <c r="P1011" s="15">
        <v>5594.37</v>
      </c>
    </row>
    <row r="1012" spans="1:16" ht="15" x14ac:dyDescent="0.2">
      <c r="A1012" s="4" t="s">
        <v>575</v>
      </c>
      <c r="B1012" s="21" t="str">
        <f t="shared" si="30"/>
        <v>Sep-2025</v>
      </c>
      <c r="C1012" s="2" t="str">
        <f t="shared" si="31"/>
        <v>Q2</v>
      </c>
      <c r="D1012" s="2" t="s">
        <v>31</v>
      </c>
      <c r="E1012" s="13">
        <v>45926</v>
      </c>
      <c r="F1012" s="14" t="s">
        <v>278</v>
      </c>
      <c r="G1012" s="14" t="s">
        <v>130</v>
      </c>
      <c r="H1012" s="14" t="s">
        <v>55</v>
      </c>
      <c r="I1012" s="15">
        <v>10</v>
      </c>
      <c r="J1012" s="15">
        <v>200</v>
      </c>
      <c r="K1012" s="15">
        <v>186.22</v>
      </c>
      <c r="L1012" s="15">
        <v>37244</v>
      </c>
      <c r="M1012" s="15">
        <v>-2864.06</v>
      </c>
      <c r="N1012" s="15">
        <v>0</v>
      </c>
      <c r="O1012" s="15">
        <v>4469.3899999999994</v>
      </c>
      <c r="P1012" s="15">
        <v>38849.33</v>
      </c>
    </row>
    <row r="1013" spans="1:16" ht="15" x14ac:dyDescent="0.2">
      <c r="A1013" s="4" t="s">
        <v>574</v>
      </c>
      <c r="B1013" s="21" t="str">
        <f t="shared" si="30"/>
        <v>Sep-2025</v>
      </c>
      <c r="C1013" s="2" t="str">
        <f t="shared" si="31"/>
        <v>Q2</v>
      </c>
      <c r="D1013" s="2" t="s">
        <v>31</v>
      </c>
      <c r="E1013" s="13">
        <v>45926</v>
      </c>
      <c r="F1013" s="14" t="s">
        <v>279</v>
      </c>
      <c r="G1013" s="14" t="s">
        <v>51</v>
      </c>
      <c r="H1013" s="14" t="s">
        <v>86</v>
      </c>
      <c r="I1013" s="15">
        <v>50</v>
      </c>
      <c r="J1013" s="15">
        <v>900</v>
      </c>
      <c r="K1013" s="15">
        <v>178.78</v>
      </c>
      <c r="L1013" s="15">
        <v>160902</v>
      </c>
      <c r="M1013" s="15">
        <v>-12373.36</v>
      </c>
      <c r="N1013" s="15">
        <v>0</v>
      </c>
      <c r="O1013" s="15">
        <v>19308.723236000002</v>
      </c>
      <c r="P1013" s="15">
        <v>167837.363236</v>
      </c>
    </row>
    <row r="1014" spans="1:16" ht="15" x14ac:dyDescent="0.2">
      <c r="A1014" s="4" t="s">
        <v>574</v>
      </c>
      <c r="B1014" s="21" t="str">
        <f t="shared" si="30"/>
        <v>Sep-2025</v>
      </c>
      <c r="C1014" s="2" t="str">
        <f t="shared" si="31"/>
        <v>Q2</v>
      </c>
      <c r="D1014" s="2" t="s">
        <v>31</v>
      </c>
      <c r="E1014" s="13">
        <v>45926</v>
      </c>
      <c r="F1014" s="14" t="s">
        <v>279</v>
      </c>
      <c r="G1014" s="14" t="s">
        <v>51</v>
      </c>
      <c r="H1014" s="14" t="s">
        <v>85</v>
      </c>
      <c r="I1014" s="15">
        <v>25</v>
      </c>
      <c r="J1014" s="15">
        <v>450</v>
      </c>
      <c r="K1014" s="15">
        <v>178.78</v>
      </c>
      <c r="L1014" s="15">
        <v>80451</v>
      </c>
      <c r="M1014" s="15">
        <v>-6186.68</v>
      </c>
      <c r="N1014" s="15">
        <v>0</v>
      </c>
      <c r="O1014" s="15">
        <v>9654.3616180000008</v>
      </c>
      <c r="P1014" s="15">
        <v>83918.681618000002</v>
      </c>
    </row>
    <row r="1015" spans="1:16" ht="15" x14ac:dyDescent="0.2">
      <c r="A1015" s="4" t="s">
        <v>574</v>
      </c>
      <c r="B1015" s="21" t="str">
        <f t="shared" si="30"/>
        <v>Sep-2025</v>
      </c>
      <c r="C1015" s="2" t="str">
        <f t="shared" si="31"/>
        <v>Q2</v>
      </c>
      <c r="D1015" s="2" t="s">
        <v>31</v>
      </c>
      <c r="E1015" s="13">
        <v>45926</v>
      </c>
      <c r="F1015" s="14" t="s">
        <v>279</v>
      </c>
      <c r="G1015" s="14" t="s">
        <v>51</v>
      </c>
      <c r="H1015" s="14" t="s">
        <v>52</v>
      </c>
      <c r="I1015" s="15">
        <v>90</v>
      </c>
      <c r="J1015" s="15">
        <v>1620</v>
      </c>
      <c r="K1015" s="15">
        <v>178.78</v>
      </c>
      <c r="L1015" s="15">
        <v>289623.59999999998</v>
      </c>
      <c r="M1015" s="15">
        <v>-22272.05</v>
      </c>
      <c r="N1015" s="15">
        <v>0</v>
      </c>
      <c r="O1015" s="15">
        <v>34755.701565000003</v>
      </c>
      <c r="P1015" s="15">
        <v>302107.25156499998</v>
      </c>
    </row>
    <row r="1016" spans="1:16" ht="15" x14ac:dyDescent="0.2">
      <c r="A1016" s="4" t="s">
        <v>574</v>
      </c>
      <c r="B1016" s="21" t="str">
        <f t="shared" si="30"/>
        <v>Sep-2025</v>
      </c>
      <c r="C1016" s="2" t="str">
        <f t="shared" si="31"/>
        <v>Q2</v>
      </c>
      <c r="D1016" s="2" t="s">
        <v>31</v>
      </c>
      <c r="E1016" s="13">
        <v>45926</v>
      </c>
      <c r="F1016" s="14" t="s">
        <v>279</v>
      </c>
      <c r="G1016" s="14" t="s">
        <v>51</v>
      </c>
      <c r="H1016" s="14" t="s">
        <v>84</v>
      </c>
      <c r="I1016" s="15">
        <v>250</v>
      </c>
      <c r="J1016" s="15">
        <v>4500</v>
      </c>
      <c r="K1016" s="15">
        <v>178.78</v>
      </c>
      <c r="L1016" s="15">
        <v>804510</v>
      </c>
      <c r="M1016" s="15">
        <v>-61866.82</v>
      </c>
      <c r="N1016" s="15">
        <v>0</v>
      </c>
      <c r="O1016" s="15">
        <v>96543.613580999998</v>
      </c>
      <c r="P1016" s="15">
        <v>839186.79358099995</v>
      </c>
    </row>
    <row r="1017" spans="1:16" ht="15" x14ac:dyDescent="0.2">
      <c r="A1017" s="4" t="s">
        <v>583</v>
      </c>
      <c r="B1017" s="21" t="str">
        <f t="shared" si="30"/>
        <v>Oct-2025</v>
      </c>
      <c r="C1017" s="2" t="str">
        <f t="shared" si="31"/>
        <v>Q3</v>
      </c>
      <c r="D1017" s="2" t="s">
        <v>31</v>
      </c>
      <c r="E1017" s="13">
        <v>45935</v>
      </c>
      <c r="F1017" s="14" t="s">
        <v>280</v>
      </c>
      <c r="G1017" s="14" t="s">
        <v>12</v>
      </c>
      <c r="H1017" s="14" t="s">
        <v>113</v>
      </c>
      <c r="I1017" s="15">
        <v>6</v>
      </c>
      <c r="J1017" s="15">
        <v>90</v>
      </c>
      <c r="K1017" s="15">
        <v>260.72000000000003</v>
      </c>
      <c r="L1017" s="15">
        <v>23464.799999999999</v>
      </c>
      <c r="M1017" s="15">
        <v>-1804.44</v>
      </c>
      <c r="N1017" s="15">
        <v>0</v>
      </c>
      <c r="O1017" s="15">
        <v>2815.85</v>
      </c>
      <c r="P1017" s="15">
        <v>24476.21</v>
      </c>
    </row>
    <row r="1018" spans="1:16" ht="15" x14ac:dyDescent="0.2">
      <c r="A1018" s="4" t="s">
        <v>589</v>
      </c>
      <c r="B1018" s="21" t="str">
        <f t="shared" si="30"/>
        <v>Oct-2025</v>
      </c>
      <c r="C1018" s="2" t="str">
        <f t="shared" si="31"/>
        <v>Q3</v>
      </c>
      <c r="D1018" s="2" t="s">
        <v>31</v>
      </c>
      <c r="E1018" s="13">
        <v>45936</v>
      </c>
      <c r="F1018" s="14" t="s">
        <v>281</v>
      </c>
      <c r="G1018" s="14" t="s">
        <v>25</v>
      </c>
      <c r="H1018" s="14" t="s">
        <v>105</v>
      </c>
      <c r="I1018" s="15">
        <v>11</v>
      </c>
      <c r="J1018" s="15">
        <v>330</v>
      </c>
      <c r="K1018" s="15">
        <v>282.08</v>
      </c>
      <c r="L1018" s="15">
        <v>93086.400000000009</v>
      </c>
      <c r="M1018" s="15">
        <v>0</v>
      </c>
      <c r="N1018" s="15">
        <v>0</v>
      </c>
      <c r="O1018" s="15">
        <v>12101.23</v>
      </c>
      <c r="P1018" s="15">
        <v>105187.63</v>
      </c>
    </row>
    <row r="1019" spans="1:16" ht="15" x14ac:dyDescent="0.2">
      <c r="A1019" s="4" t="s">
        <v>581</v>
      </c>
      <c r="B1019" s="21" t="str">
        <f t="shared" si="30"/>
        <v>Oct-2025</v>
      </c>
      <c r="C1019" s="2" t="str">
        <f t="shared" si="31"/>
        <v>Q3</v>
      </c>
      <c r="D1019" s="2" t="s">
        <v>31</v>
      </c>
      <c r="E1019" s="13">
        <v>45937</v>
      </c>
      <c r="F1019" s="14" t="s">
        <v>282</v>
      </c>
      <c r="G1019" s="14" t="s">
        <v>25</v>
      </c>
      <c r="H1019" s="14" t="s">
        <v>96</v>
      </c>
      <c r="I1019" s="15">
        <v>30</v>
      </c>
      <c r="J1019" s="15">
        <v>1200</v>
      </c>
      <c r="K1019" s="15">
        <v>59.73</v>
      </c>
      <c r="L1019" s="15">
        <v>71676</v>
      </c>
      <c r="M1019" s="15">
        <v>0</v>
      </c>
      <c r="N1019" s="15">
        <v>0</v>
      </c>
      <c r="O1019" s="15">
        <v>9317.880000000001</v>
      </c>
      <c r="P1019" s="15">
        <v>80993.88</v>
      </c>
    </row>
    <row r="1020" spans="1:16" ht="15" x14ac:dyDescent="0.2">
      <c r="A1020" s="4" t="s">
        <v>581</v>
      </c>
      <c r="B1020" s="21" t="str">
        <f t="shared" si="30"/>
        <v>Oct-2025</v>
      </c>
      <c r="C1020" s="2" t="str">
        <f t="shared" si="31"/>
        <v>Q3</v>
      </c>
      <c r="D1020" s="2" t="s">
        <v>31</v>
      </c>
      <c r="E1020" s="13">
        <v>45937</v>
      </c>
      <c r="F1020" s="14" t="s">
        <v>283</v>
      </c>
      <c r="G1020" s="14" t="s">
        <v>15</v>
      </c>
      <c r="H1020" s="14" t="s">
        <v>96</v>
      </c>
      <c r="I1020" s="15">
        <v>4</v>
      </c>
      <c r="J1020" s="15">
        <v>160</v>
      </c>
      <c r="K1020" s="15">
        <v>67.040000000000006</v>
      </c>
      <c r="L1020" s="15">
        <v>10726.4</v>
      </c>
      <c r="M1020" s="15">
        <v>-824.86</v>
      </c>
      <c r="N1020" s="15">
        <v>0</v>
      </c>
      <c r="O1020" s="15">
        <v>1287.2003380000001</v>
      </c>
      <c r="P1020" s="15">
        <v>11188.740338</v>
      </c>
    </row>
    <row r="1021" spans="1:16" ht="15" x14ac:dyDescent="0.2">
      <c r="A1021" s="4" t="s">
        <v>579</v>
      </c>
      <c r="B1021" s="21" t="str">
        <f t="shared" si="30"/>
        <v>Oct-2025</v>
      </c>
      <c r="C1021" s="2" t="str">
        <f t="shared" si="31"/>
        <v>Q3</v>
      </c>
      <c r="D1021" s="2" t="s">
        <v>31</v>
      </c>
      <c r="E1021" s="13">
        <v>45937</v>
      </c>
      <c r="F1021" s="14" t="s">
        <v>283</v>
      </c>
      <c r="G1021" s="14" t="s">
        <v>15</v>
      </c>
      <c r="H1021" s="14" t="s">
        <v>91</v>
      </c>
      <c r="I1021" s="15">
        <v>1</v>
      </c>
      <c r="J1021" s="15">
        <v>20</v>
      </c>
      <c r="K1021" s="15">
        <v>204.85</v>
      </c>
      <c r="L1021" s="15">
        <v>4097</v>
      </c>
      <c r="M1021" s="15">
        <v>-315.06</v>
      </c>
      <c r="N1021" s="15">
        <v>0</v>
      </c>
      <c r="O1021" s="15">
        <v>491.65225300000003</v>
      </c>
      <c r="P1021" s="15">
        <v>4273.5922529999998</v>
      </c>
    </row>
    <row r="1022" spans="1:16" ht="15" x14ac:dyDescent="0.2">
      <c r="A1022" s="4" t="s">
        <v>584</v>
      </c>
      <c r="B1022" s="21" t="str">
        <f t="shared" si="30"/>
        <v>Oct-2025</v>
      </c>
      <c r="C1022" s="2" t="str">
        <f t="shared" si="31"/>
        <v>Q3</v>
      </c>
      <c r="D1022" s="2" t="s">
        <v>31</v>
      </c>
      <c r="E1022" s="13">
        <v>45937</v>
      </c>
      <c r="F1022" s="14" t="s">
        <v>283</v>
      </c>
      <c r="G1022" s="14" t="s">
        <v>15</v>
      </c>
      <c r="H1022" s="14" t="s">
        <v>100</v>
      </c>
      <c r="I1022" s="15">
        <v>2</v>
      </c>
      <c r="J1022" s="15">
        <v>80</v>
      </c>
      <c r="K1022" s="15">
        <v>81.94</v>
      </c>
      <c r="L1022" s="15">
        <v>6555.2</v>
      </c>
      <c r="M1022" s="15">
        <v>-504.09</v>
      </c>
      <c r="N1022" s="15">
        <v>0</v>
      </c>
      <c r="O1022" s="15">
        <v>786.64438399999995</v>
      </c>
      <c r="P1022" s="15">
        <v>6837.7543839999998</v>
      </c>
    </row>
    <row r="1023" spans="1:16" ht="15" x14ac:dyDescent="0.2">
      <c r="A1023" s="4" t="s">
        <v>584</v>
      </c>
      <c r="B1023" s="21" t="str">
        <f t="shared" si="30"/>
        <v>Oct-2025</v>
      </c>
      <c r="C1023" s="2" t="str">
        <f t="shared" si="31"/>
        <v>Q3</v>
      </c>
      <c r="D1023" s="2" t="s">
        <v>31</v>
      </c>
      <c r="E1023" s="13">
        <v>45937</v>
      </c>
      <c r="F1023" s="14" t="s">
        <v>283</v>
      </c>
      <c r="G1023" s="14" t="s">
        <v>15</v>
      </c>
      <c r="H1023" s="14" t="s">
        <v>120</v>
      </c>
      <c r="I1023" s="15">
        <v>2</v>
      </c>
      <c r="J1023" s="15">
        <v>80</v>
      </c>
      <c r="K1023" s="15">
        <v>81.94</v>
      </c>
      <c r="L1023" s="15">
        <v>6555.2</v>
      </c>
      <c r="M1023" s="15">
        <v>-504.09</v>
      </c>
      <c r="N1023" s="15">
        <v>0</v>
      </c>
      <c r="O1023" s="15">
        <v>786.64438399999995</v>
      </c>
      <c r="P1023" s="15">
        <v>6837.7543839999998</v>
      </c>
    </row>
    <row r="1024" spans="1:16" ht="15" x14ac:dyDescent="0.2">
      <c r="A1024" s="4" t="s">
        <v>576</v>
      </c>
      <c r="B1024" s="21" t="str">
        <f t="shared" si="30"/>
        <v>Oct-2025</v>
      </c>
      <c r="C1024" s="2" t="str">
        <f t="shared" si="31"/>
        <v>Q3</v>
      </c>
      <c r="D1024" s="2" t="s">
        <v>31</v>
      </c>
      <c r="E1024" s="13">
        <v>45937</v>
      </c>
      <c r="F1024" s="14" t="s">
        <v>283</v>
      </c>
      <c r="G1024" s="14" t="s">
        <v>15</v>
      </c>
      <c r="H1024" s="14" t="s">
        <v>110</v>
      </c>
      <c r="I1024" s="15">
        <v>1</v>
      </c>
      <c r="J1024" s="15">
        <v>20</v>
      </c>
      <c r="K1024" s="15">
        <v>175.06</v>
      </c>
      <c r="L1024" s="15">
        <v>3501.2</v>
      </c>
      <c r="M1024" s="15">
        <v>-269.24</v>
      </c>
      <c r="N1024" s="15">
        <v>0</v>
      </c>
      <c r="O1024" s="15">
        <v>420.15484500000002</v>
      </c>
      <c r="P1024" s="15">
        <v>3652.1148450000001</v>
      </c>
    </row>
    <row r="1025" spans="1:16" ht="15" x14ac:dyDescent="0.2">
      <c r="A1025" s="4" t="s">
        <v>593</v>
      </c>
      <c r="B1025" s="21" t="str">
        <f t="shared" si="30"/>
        <v>Oct-2025</v>
      </c>
      <c r="C1025" s="2" t="str">
        <f t="shared" si="31"/>
        <v>Q3</v>
      </c>
      <c r="D1025" s="2" t="s">
        <v>31</v>
      </c>
      <c r="E1025" s="13">
        <v>45937</v>
      </c>
      <c r="F1025" s="14" t="s">
        <v>283</v>
      </c>
      <c r="G1025" s="14" t="s">
        <v>15</v>
      </c>
      <c r="H1025" s="14" t="s">
        <v>117</v>
      </c>
      <c r="I1025" s="15">
        <v>2</v>
      </c>
      <c r="J1025" s="15">
        <v>8</v>
      </c>
      <c r="K1025" s="15">
        <v>595.92999999999995</v>
      </c>
      <c r="L1025" s="15">
        <v>4767.4399999999996</v>
      </c>
      <c r="M1025" s="15">
        <v>-366.62</v>
      </c>
      <c r="N1025" s="15">
        <v>0</v>
      </c>
      <c r="O1025" s="15">
        <v>572.10666100000003</v>
      </c>
      <c r="P1025" s="15">
        <v>4972.9266610000004</v>
      </c>
    </row>
    <row r="1026" spans="1:16" ht="15" x14ac:dyDescent="0.2">
      <c r="A1026" s="4" t="s">
        <v>576</v>
      </c>
      <c r="B1026" s="21" t="str">
        <f t="shared" si="30"/>
        <v>Oct-2025</v>
      </c>
      <c r="C1026" s="2" t="str">
        <f t="shared" si="31"/>
        <v>Q3</v>
      </c>
      <c r="D1026" s="2" t="s">
        <v>31</v>
      </c>
      <c r="E1026" s="13">
        <v>45937</v>
      </c>
      <c r="F1026" s="14" t="s">
        <v>283</v>
      </c>
      <c r="G1026" s="14" t="s">
        <v>15</v>
      </c>
      <c r="H1026" s="14" t="s">
        <v>123</v>
      </c>
      <c r="I1026" s="15">
        <v>1</v>
      </c>
      <c r="J1026" s="15">
        <v>20</v>
      </c>
      <c r="K1026" s="15">
        <v>175.06</v>
      </c>
      <c r="L1026" s="15">
        <v>3501.2</v>
      </c>
      <c r="M1026" s="15">
        <v>-269.24</v>
      </c>
      <c r="N1026" s="15">
        <v>0</v>
      </c>
      <c r="O1026" s="15">
        <v>420.15484500000002</v>
      </c>
      <c r="P1026" s="15">
        <v>3652.1148450000001</v>
      </c>
    </row>
    <row r="1027" spans="1:16" ht="15" x14ac:dyDescent="0.2">
      <c r="A1027" s="4" t="s">
        <v>581</v>
      </c>
      <c r="B1027" s="21" t="str">
        <f t="shared" ref="B1027:B1090" si="32">+TEXT(E1027,"MMM-yyy")</f>
        <v>Oct-2025</v>
      </c>
      <c r="C1027" s="2" t="str">
        <f t="shared" ref="C1027:C1090" si="33">"Q" &amp; CHOOSE(MONTH(E1027),4,4,4,1,1,1,2,2,2,3,3,3)</f>
        <v>Q3</v>
      </c>
      <c r="D1027" s="2" t="s">
        <v>31</v>
      </c>
      <c r="E1027" s="13">
        <v>45937</v>
      </c>
      <c r="F1027" s="14" t="s">
        <v>283</v>
      </c>
      <c r="G1027" s="14" t="s">
        <v>15</v>
      </c>
      <c r="H1027" s="14" t="s">
        <v>66</v>
      </c>
      <c r="I1027" s="15">
        <v>3</v>
      </c>
      <c r="J1027" s="15">
        <v>72</v>
      </c>
      <c r="K1027" s="15">
        <v>141.54</v>
      </c>
      <c r="L1027" s="15">
        <v>10190.879999999999</v>
      </c>
      <c r="M1027" s="15">
        <v>-783.68</v>
      </c>
      <c r="N1027" s="15">
        <v>0</v>
      </c>
      <c r="O1027" s="15">
        <v>1222.9361310000002</v>
      </c>
      <c r="P1027" s="15">
        <v>10630.136130999999</v>
      </c>
    </row>
    <row r="1028" spans="1:16" ht="15" x14ac:dyDescent="0.2">
      <c r="A1028" s="4" t="s">
        <v>589</v>
      </c>
      <c r="B1028" s="21" t="str">
        <f t="shared" si="32"/>
        <v>Oct-2025</v>
      </c>
      <c r="C1028" s="2" t="str">
        <f t="shared" si="33"/>
        <v>Q3</v>
      </c>
      <c r="D1028" s="2" t="s">
        <v>31</v>
      </c>
      <c r="E1028" s="13">
        <v>45937</v>
      </c>
      <c r="F1028" s="14" t="s">
        <v>283</v>
      </c>
      <c r="G1028" s="14" t="s">
        <v>15</v>
      </c>
      <c r="H1028" s="14" t="s">
        <v>105</v>
      </c>
      <c r="I1028" s="15">
        <v>1</v>
      </c>
      <c r="J1028" s="15">
        <v>30</v>
      </c>
      <c r="K1028" s="15">
        <v>316.58999999999997</v>
      </c>
      <c r="L1028" s="15">
        <v>9497.6999999999989</v>
      </c>
      <c r="M1028" s="15">
        <v>-730.36999999999989</v>
      </c>
      <c r="N1028" s="15">
        <v>0</v>
      </c>
      <c r="O1028" s="15">
        <v>1139.7530220000001</v>
      </c>
      <c r="P1028" s="15">
        <v>9907.0830220000007</v>
      </c>
    </row>
    <row r="1029" spans="1:16" ht="15" x14ac:dyDescent="0.2">
      <c r="A1029" s="4" t="s">
        <v>576</v>
      </c>
      <c r="B1029" s="21" t="str">
        <f t="shared" si="32"/>
        <v>Oct-2025</v>
      </c>
      <c r="C1029" s="2" t="str">
        <f t="shared" si="33"/>
        <v>Q3</v>
      </c>
      <c r="D1029" s="2" t="s">
        <v>31</v>
      </c>
      <c r="E1029" s="13">
        <v>45937</v>
      </c>
      <c r="F1029" s="14" t="s">
        <v>283</v>
      </c>
      <c r="G1029" s="14" t="s">
        <v>15</v>
      </c>
      <c r="H1029" s="14" t="s">
        <v>124</v>
      </c>
      <c r="I1029" s="15">
        <v>1</v>
      </c>
      <c r="J1029" s="15">
        <v>20</v>
      </c>
      <c r="K1029" s="15">
        <v>175.06</v>
      </c>
      <c r="L1029" s="15">
        <v>3501.2</v>
      </c>
      <c r="M1029" s="15">
        <v>-269.24</v>
      </c>
      <c r="N1029" s="15">
        <v>0</v>
      </c>
      <c r="O1029" s="15">
        <v>420.15484500000002</v>
      </c>
      <c r="P1029" s="15">
        <v>3652.1148450000001</v>
      </c>
    </row>
    <row r="1030" spans="1:16" ht="15" x14ac:dyDescent="0.2">
      <c r="A1030" s="4" t="s">
        <v>582</v>
      </c>
      <c r="B1030" s="21" t="str">
        <f t="shared" si="32"/>
        <v>Oct-2025</v>
      </c>
      <c r="C1030" s="2" t="str">
        <f t="shared" si="33"/>
        <v>Q3</v>
      </c>
      <c r="D1030" s="2" t="s">
        <v>31</v>
      </c>
      <c r="E1030" s="13">
        <v>45937</v>
      </c>
      <c r="F1030" s="14" t="s">
        <v>283</v>
      </c>
      <c r="G1030" s="14" t="s">
        <v>15</v>
      </c>
      <c r="H1030" s="14" t="s">
        <v>77</v>
      </c>
      <c r="I1030" s="15">
        <v>2</v>
      </c>
      <c r="J1030" s="15">
        <v>48</v>
      </c>
      <c r="K1030" s="15">
        <v>204.85</v>
      </c>
      <c r="L1030" s="15">
        <v>9832.8000000000011</v>
      </c>
      <c r="M1030" s="15">
        <v>-756.14</v>
      </c>
      <c r="N1030" s="15">
        <v>0</v>
      </c>
      <c r="O1030" s="15">
        <v>1179.965927</v>
      </c>
      <c r="P1030" s="15">
        <v>10256.625926999999</v>
      </c>
    </row>
    <row r="1031" spans="1:16" ht="15" x14ac:dyDescent="0.2">
      <c r="A1031" s="4" t="s">
        <v>579</v>
      </c>
      <c r="B1031" s="21" t="str">
        <f t="shared" si="32"/>
        <v>Oct-2025</v>
      </c>
      <c r="C1031" s="2" t="str">
        <f t="shared" si="33"/>
        <v>Q3</v>
      </c>
      <c r="D1031" s="2" t="s">
        <v>31</v>
      </c>
      <c r="E1031" s="13">
        <v>45937</v>
      </c>
      <c r="F1031" s="14" t="s">
        <v>283</v>
      </c>
      <c r="G1031" s="14" t="s">
        <v>15</v>
      </c>
      <c r="H1031" s="14" t="s">
        <v>140</v>
      </c>
      <c r="I1031" s="15">
        <v>1</v>
      </c>
      <c r="J1031" s="15">
        <v>20</v>
      </c>
      <c r="K1031" s="15">
        <v>204.85</v>
      </c>
      <c r="L1031" s="15">
        <v>4097</v>
      </c>
      <c r="M1031" s="15">
        <v>-315.06</v>
      </c>
      <c r="N1031" s="15">
        <v>0</v>
      </c>
      <c r="O1031" s="15">
        <v>491.65225300000003</v>
      </c>
      <c r="P1031" s="15">
        <v>4273.5922529999998</v>
      </c>
    </row>
    <row r="1032" spans="1:16" ht="15" x14ac:dyDescent="0.2">
      <c r="A1032" s="4" t="s">
        <v>583</v>
      </c>
      <c r="B1032" s="21" t="str">
        <f t="shared" si="32"/>
        <v>Oct-2025</v>
      </c>
      <c r="C1032" s="2" t="str">
        <f t="shared" si="33"/>
        <v>Q3</v>
      </c>
      <c r="D1032" s="2" t="s">
        <v>31</v>
      </c>
      <c r="E1032" s="13">
        <v>45937</v>
      </c>
      <c r="F1032" s="14" t="s">
        <v>283</v>
      </c>
      <c r="G1032" s="14" t="s">
        <v>15</v>
      </c>
      <c r="H1032" s="14" t="s">
        <v>113</v>
      </c>
      <c r="I1032" s="15">
        <v>1</v>
      </c>
      <c r="J1032" s="15">
        <v>15</v>
      </c>
      <c r="K1032" s="15">
        <v>260.72000000000003</v>
      </c>
      <c r="L1032" s="15">
        <v>3910.8</v>
      </c>
      <c r="M1032" s="15">
        <v>-300.74</v>
      </c>
      <c r="N1032" s="15">
        <v>0</v>
      </c>
      <c r="O1032" s="15">
        <v>469.30785000000003</v>
      </c>
      <c r="P1032" s="15">
        <v>4079.3678500000001</v>
      </c>
    </row>
    <row r="1033" spans="1:16" ht="15" x14ac:dyDescent="0.2">
      <c r="A1033" s="4" t="s">
        <v>579</v>
      </c>
      <c r="B1033" s="21" t="str">
        <f t="shared" si="32"/>
        <v>Oct-2025</v>
      </c>
      <c r="C1033" s="2" t="str">
        <f t="shared" si="33"/>
        <v>Q3</v>
      </c>
      <c r="D1033" s="2" t="s">
        <v>31</v>
      </c>
      <c r="E1033" s="13">
        <v>45937</v>
      </c>
      <c r="F1033" s="14" t="s">
        <v>283</v>
      </c>
      <c r="G1033" s="14" t="s">
        <v>15</v>
      </c>
      <c r="H1033" s="14" t="s">
        <v>112</v>
      </c>
      <c r="I1033" s="15">
        <v>1</v>
      </c>
      <c r="J1033" s="15">
        <v>20</v>
      </c>
      <c r="K1033" s="15">
        <v>204.85</v>
      </c>
      <c r="L1033" s="15">
        <v>4097</v>
      </c>
      <c r="M1033" s="15">
        <v>-315.06</v>
      </c>
      <c r="N1033" s="15">
        <v>0</v>
      </c>
      <c r="O1033" s="15">
        <v>491.65225300000003</v>
      </c>
      <c r="P1033" s="15">
        <v>4273.5922529999998</v>
      </c>
    </row>
    <row r="1034" spans="1:16" ht="15" x14ac:dyDescent="0.2">
      <c r="A1034" s="4" t="s">
        <v>581</v>
      </c>
      <c r="B1034" s="21" t="str">
        <f t="shared" si="32"/>
        <v>Oct-2025</v>
      </c>
      <c r="C1034" s="2" t="str">
        <f t="shared" si="33"/>
        <v>Q3</v>
      </c>
      <c r="D1034" s="2" t="s">
        <v>31</v>
      </c>
      <c r="E1034" s="13">
        <v>45937</v>
      </c>
      <c r="F1034" s="14" t="s">
        <v>283</v>
      </c>
      <c r="G1034" s="14" t="s">
        <v>15</v>
      </c>
      <c r="H1034" s="14" t="s">
        <v>104</v>
      </c>
      <c r="I1034" s="15">
        <v>2</v>
      </c>
      <c r="J1034" s="15">
        <v>80</v>
      </c>
      <c r="K1034" s="15">
        <v>67.040000000000006</v>
      </c>
      <c r="L1034" s="15">
        <v>5363.2</v>
      </c>
      <c r="M1034" s="15">
        <v>-412.43</v>
      </c>
      <c r="N1034" s="15">
        <v>0</v>
      </c>
      <c r="O1034" s="15">
        <v>643.60016900000005</v>
      </c>
      <c r="P1034" s="15">
        <v>5594.3701689999998</v>
      </c>
    </row>
    <row r="1035" spans="1:16" ht="15" x14ac:dyDescent="0.2">
      <c r="A1035" s="4" t="s">
        <v>590</v>
      </c>
      <c r="B1035" s="21" t="str">
        <f t="shared" si="32"/>
        <v>Oct-2025</v>
      </c>
      <c r="C1035" s="2" t="str">
        <f t="shared" si="33"/>
        <v>Q3</v>
      </c>
      <c r="D1035" s="2" t="s">
        <v>31</v>
      </c>
      <c r="E1035" s="13">
        <v>45937</v>
      </c>
      <c r="F1035" s="14" t="s">
        <v>283</v>
      </c>
      <c r="G1035" s="14" t="s">
        <v>15</v>
      </c>
      <c r="H1035" s="14" t="s">
        <v>102</v>
      </c>
      <c r="I1035" s="15">
        <v>1</v>
      </c>
      <c r="J1035" s="15">
        <v>20</v>
      </c>
      <c r="K1035" s="15">
        <v>249.55</v>
      </c>
      <c r="L1035" s="15">
        <v>4991</v>
      </c>
      <c r="M1035" s="15">
        <v>-383.81</v>
      </c>
      <c r="N1035" s="15">
        <v>0</v>
      </c>
      <c r="O1035" s="15">
        <v>598.93476399999997</v>
      </c>
      <c r="P1035" s="15">
        <v>5206.1247640000001</v>
      </c>
    </row>
    <row r="1036" spans="1:16" ht="15" x14ac:dyDescent="0.2">
      <c r="A1036" s="4" t="s">
        <v>579</v>
      </c>
      <c r="B1036" s="21" t="str">
        <f t="shared" si="32"/>
        <v>Oct-2025</v>
      </c>
      <c r="C1036" s="2" t="str">
        <f t="shared" si="33"/>
        <v>Q3</v>
      </c>
      <c r="D1036" s="2" t="s">
        <v>31</v>
      </c>
      <c r="E1036" s="13">
        <v>45937</v>
      </c>
      <c r="F1036" s="14" t="s">
        <v>283</v>
      </c>
      <c r="G1036" s="14" t="s">
        <v>15</v>
      </c>
      <c r="H1036" s="14" t="s">
        <v>90</v>
      </c>
      <c r="I1036" s="15">
        <v>1</v>
      </c>
      <c r="J1036" s="15">
        <v>20</v>
      </c>
      <c r="K1036" s="15">
        <v>204.85</v>
      </c>
      <c r="L1036" s="15">
        <v>4097</v>
      </c>
      <c r="M1036" s="15">
        <v>-315.06</v>
      </c>
      <c r="N1036" s="15">
        <v>0</v>
      </c>
      <c r="O1036" s="15">
        <v>491.65225300000003</v>
      </c>
      <c r="P1036" s="15">
        <v>4273.5922529999998</v>
      </c>
    </row>
    <row r="1037" spans="1:16" ht="15" x14ac:dyDescent="0.2">
      <c r="A1037" s="4" t="s">
        <v>584</v>
      </c>
      <c r="B1037" s="21" t="str">
        <f t="shared" si="32"/>
        <v>Oct-2025</v>
      </c>
      <c r="C1037" s="2" t="str">
        <f t="shared" si="33"/>
        <v>Q3</v>
      </c>
      <c r="D1037" s="2" t="s">
        <v>31</v>
      </c>
      <c r="E1037" s="13">
        <v>45937</v>
      </c>
      <c r="F1037" s="14" t="s">
        <v>283</v>
      </c>
      <c r="G1037" s="14" t="s">
        <v>15</v>
      </c>
      <c r="H1037" s="14" t="s">
        <v>99</v>
      </c>
      <c r="I1037" s="15">
        <v>3</v>
      </c>
      <c r="J1037" s="15">
        <v>120</v>
      </c>
      <c r="K1037" s="15">
        <v>81.94</v>
      </c>
      <c r="L1037" s="15">
        <v>9832.8000000000011</v>
      </c>
      <c r="M1037" s="15">
        <v>-756.14</v>
      </c>
      <c r="N1037" s="15">
        <v>0</v>
      </c>
      <c r="O1037" s="15">
        <v>1179.965927</v>
      </c>
      <c r="P1037" s="15">
        <v>10256.625926999999</v>
      </c>
    </row>
    <row r="1038" spans="1:16" ht="15" x14ac:dyDescent="0.2">
      <c r="A1038" s="4" t="s">
        <v>589</v>
      </c>
      <c r="B1038" s="21" t="str">
        <f t="shared" si="32"/>
        <v>Oct-2025</v>
      </c>
      <c r="C1038" s="2" t="str">
        <f t="shared" si="33"/>
        <v>Q3</v>
      </c>
      <c r="D1038" s="2" t="s">
        <v>31</v>
      </c>
      <c r="E1038" s="13">
        <v>45937</v>
      </c>
      <c r="F1038" s="14" t="s">
        <v>283</v>
      </c>
      <c r="G1038" s="14" t="s">
        <v>15</v>
      </c>
      <c r="H1038" s="14" t="s">
        <v>98</v>
      </c>
      <c r="I1038" s="15">
        <v>1</v>
      </c>
      <c r="J1038" s="15">
        <v>60</v>
      </c>
      <c r="K1038" s="15">
        <v>145.26</v>
      </c>
      <c r="L1038" s="15">
        <v>8715.6</v>
      </c>
      <c r="M1038" s="15">
        <v>-670.23</v>
      </c>
      <c r="N1038" s="15">
        <v>0</v>
      </c>
      <c r="O1038" s="15">
        <v>1045.8982120000001</v>
      </c>
      <c r="P1038" s="15">
        <v>9091.2682120000009</v>
      </c>
    </row>
    <row r="1039" spans="1:16" ht="15" x14ac:dyDescent="0.2">
      <c r="A1039" s="4" t="s">
        <v>579</v>
      </c>
      <c r="B1039" s="21" t="str">
        <f t="shared" si="32"/>
        <v>Oct-2025</v>
      </c>
      <c r="C1039" s="2" t="str">
        <f t="shared" si="33"/>
        <v>Q3</v>
      </c>
      <c r="D1039" s="2" t="s">
        <v>31</v>
      </c>
      <c r="E1039" s="13">
        <v>45937</v>
      </c>
      <c r="F1039" s="14" t="s">
        <v>283</v>
      </c>
      <c r="G1039" s="14" t="s">
        <v>15</v>
      </c>
      <c r="H1039" s="14" t="s">
        <v>92</v>
      </c>
      <c r="I1039" s="15">
        <v>1</v>
      </c>
      <c r="J1039" s="15">
        <v>20</v>
      </c>
      <c r="K1039" s="15">
        <v>242.1</v>
      </c>
      <c r="L1039" s="15">
        <v>4841.9999999999991</v>
      </c>
      <c r="M1039" s="15">
        <v>-372.35</v>
      </c>
      <c r="N1039" s="15">
        <v>0</v>
      </c>
      <c r="O1039" s="15">
        <v>581.05456200000003</v>
      </c>
      <c r="P1039" s="15">
        <v>5050.7045619999999</v>
      </c>
    </row>
    <row r="1040" spans="1:16" ht="15" x14ac:dyDescent="0.2">
      <c r="A1040" s="4" t="s">
        <v>580</v>
      </c>
      <c r="B1040" s="21" t="str">
        <f t="shared" si="32"/>
        <v>Oct-2025</v>
      </c>
      <c r="C1040" s="2" t="str">
        <f t="shared" si="33"/>
        <v>Q3</v>
      </c>
      <c r="D1040" s="2" t="s">
        <v>31</v>
      </c>
      <c r="E1040" s="13">
        <v>45937</v>
      </c>
      <c r="F1040" s="14" t="s">
        <v>283</v>
      </c>
      <c r="G1040" s="14" t="s">
        <v>15</v>
      </c>
      <c r="H1040" s="14" t="s">
        <v>65</v>
      </c>
      <c r="I1040" s="15">
        <v>2</v>
      </c>
      <c r="J1040" s="15">
        <v>260</v>
      </c>
      <c r="K1040" s="15">
        <v>37.25</v>
      </c>
      <c r="L1040" s="15">
        <v>9685</v>
      </c>
      <c r="M1040" s="15">
        <v>-744.78</v>
      </c>
      <c r="N1040" s="15">
        <v>0</v>
      </c>
      <c r="O1040" s="15">
        <v>1162.2287249999999</v>
      </c>
      <c r="P1040" s="15">
        <v>10102.448725</v>
      </c>
    </row>
    <row r="1041" spans="1:16" ht="15" x14ac:dyDescent="0.2">
      <c r="A1041" s="4" t="s">
        <v>583</v>
      </c>
      <c r="B1041" s="21" t="str">
        <f t="shared" si="32"/>
        <v>Oct-2025</v>
      </c>
      <c r="C1041" s="2" t="str">
        <f t="shared" si="33"/>
        <v>Q3</v>
      </c>
      <c r="D1041" s="2" t="s">
        <v>31</v>
      </c>
      <c r="E1041" s="13">
        <v>45937</v>
      </c>
      <c r="F1041" s="14" t="s">
        <v>283</v>
      </c>
      <c r="G1041" s="14" t="s">
        <v>15</v>
      </c>
      <c r="H1041" s="14" t="s">
        <v>109</v>
      </c>
      <c r="I1041" s="15">
        <v>1</v>
      </c>
      <c r="J1041" s="15">
        <v>15</v>
      </c>
      <c r="K1041" s="15">
        <v>260.72000000000003</v>
      </c>
      <c r="L1041" s="15">
        <v>3910.8</v>
      </c>
      <c r="M1041" s="15">
        <v>-300.74</v>
      </c>
      <c r="N1041" s="15">
        <v>0</v>
      </c>
      <c r="O1041" s="15">
        <v>469.30785000000003</v>
      </c>
      <c r="P1041" s="15">
        <v>4079.3678500000001</v>
      </c>
    </row>
    <row r="1042" spans="1:16" ht="15" x14ac:dyDescent="0.2">
      <c r="A1042" s="4" t="s">
        <v>575</v>
      </c>
      <c r="B1042" s="21" t="str">
        <f t="shared" si="32"/>
        <v>Oct-2025</v>
      </c>
      <c r="C1042" s="2" t="str">
        <f t="shared" si="33"/>
        <v>Q3</v>
      </c>
      <c r="D1042" s="2" t="s">
        <v>31</v>
      </c>
      <c r="E1042" s="13">
        <v>45937</v>
      </c>
      <c r="F1042" s="14" t="s">
        <v>283</v>
      </c>
      <c r="G1042" s="14" t="s">
        <v>15</v>
      </c>
      <c r="H1042" s="14" t="s">
        <v>55</v>
      </c>
      <c r="I1042" s="15">
        <v>3</v>
      </c>
      <c r="J1042" s="15">
        <v>60</v>
      </c>
      <c r="K1042" s="15">
        <v>186.22</v>
      </c>
      <c r="L1042" s="15">
        <v>11173.199999999999</v>
      </c>
      <c r="M1042" s="15">
        <v>-859.22</v>
      </c>
      <c r="N1042" s="15">
        <v>0</v>
      </c>
      <c r="O1042" s="15">
        <v>1340.817544</v>
      </c>
      <c r="P1042" s="15">
        <v>11654.797543999999</v>
      </c>
    </row>
    <row r="1043" spans="1:16" ht="15" x14ac:dyDescent="0.2">
      <c r="A1043" s="4" t="s">
        <v>589</v>
      </c>
      <c r="B1043" s="21" t="str">
        <f t="shared" si="32"/>
        <v>Oct-2025</v>
      </c>
      <c r="C1043" s="2" t="str">
        <f t="shared" si="33"/>
        <v>Q3</v>
      </c>
      <c r="D1043" s="2" t="s">
        <v>31</v>
      </c>
      <c r="E1043" s="13">
        <v>45939</v>
      </c>
      <c r="F1043" s="14" t="s">
        <v>284</v>
      </c>
      <c r="G1043" s="14" t="s">
        <v>25</v>
      </c>
      <c r="H1043" s="14" t="s">
        <v>98</v>
      </c>
      <c r="I1043" s="15">
        <v>5</v>
      </c>
      <c r="J1043" s="15">
        <v>300</v>
      </c>
      <c r="K1043" s="15">
        <v>129.41999999999999</v>
      </c>
      <c r="L1043" s="15">
        <v>38826</v>
      </c>
      <c r="M1043" s="15">
        <v>0</v>
      </c>
      <c r="N1043" s="15">
        <v>0</v>
      </c>
      <c r="O1043" s="15">
        <v>5047.3772140000001</v>
      </c>
      <c r="P1043" s="15">
        <v>43873.377214</v>
      </c>
    </row>
    <row r="1044" spans="1:16" ht="15" x14ac:dyDescent="0.2">
      <c r="A1044" s="4" t="s">
        <v>589</v>
      </c>
      <c r="B1044" s="21" t="str">
        <f t="shared" si="32"/>
        <v>Oct-2025</v>
      </c>
      <c r="C1044" s="2" t="str">
        <f t="shared" si="33"/>
        <v>Q3</v>
      </c>
      <c r="D1044" s="2" t="s">
        <v>31</v>
      </c>
      <c r="E1044" s="13">
        <v>45939</v>
      </c>
      <c r="F1044" s="14" t="s">
        <v>284</v>
      </c>
      <c r="G1044" s="14" t="s">
        <v>25</v>
      </c>
      <c r="H1044" s="14" t="s">
        <v>105</v>
      </c>
      <c r="I1044" s="15">
        <v>2</v>
      </c>
      <c r="J1044" s="15">
        <v>60</v>
      </c>
      <c r="K1044" s="15">
        <v>282.08</v>
      </c>
      <c r="L1044" s="15">
        <v>16924.8</v>
      </c>
      <c r="M1044" s="15">
        <v>0</v>
      </c>
      <c r="N1044" s="15">
        <v>0</v>
      </c>
      <c r="O1044" s="15">
        <v>2200.2227860000003</v>
      </c>
      <c r="P1044" s="15">
        <v>19125.022786000001</v>
      </c>
    </row>
    <row r="1045" spans="1:16" ht="15" x14ac:dyDescent="0.2">
      <c r="A1045" s="4" t="s">
        <v>581</v>
      </c>
      <c r="B1045" s="21" t="str">
        <f t="shared" si="32"/>
        <v>Oct-2025</v>
      </c>
      <c r="C1045" s="2" t="str">
        <f t="shared" si="33"/>
        <v>Q3</v>
      </c>
      <c r="D1045" s="2" t="s">
        <v>31</v>
      </c>
      <c r="E1045" s="13">
        <v>45939</v>
      </c>
      <c r="F1045" s="14" t="s">
        <v>285</v>
      </c>
      <c r="G1045" s="14" t="s">
        <v>130</v>
      </c>
      <c r="H1045" s="14" t="s">
        <v>104</v>
      </c>
      <c r="I1045" s="15">
        <v>10</v>
      </c>
      <c r="J1045" s="15">
        <v>400</v>
      </c>
      <c r="K1045" s="15">
        <v>67.040000000000006</v>
      </c>
      <c r="L1045" s="15">
        <v>26816</v>
      </c>
      <c r="M1045" s="15">
        <v>-2062.15</v>
      </c>
      <c r="N1045" s="15">
        <v>0</v>
      </c>
      <c r="O1045" s="15">
        <v>3218.000462</v>
      </c>
      <c r="P1045" s="15">
        <v>27971.850461999999</v>
      </c>
    </row>
    <row r="1046" spans="1:16" ht="15" x14ac:dyDescent="0.2">
      <c r="A1046" s="4" t="s">
        <v>589</v>
      </c>
      <c r="B1046" s="21" t="str">
        <f t="shared" si="32"/>
        <v>Oct-2025</v>
      </c>
      <c r="C1046" s="2" t="str">
        <f t="shared" si="33"/>
        <v>Q3</v>
      </c>
      <c r="D1046" s="2" t="s">
        <v>31</v>
      </c>
      <c r="E1046" s="13">
        <v>45939</v>
      </c>
      <c r="F1046" s="14" t="s">
        <v>285</v>
      </c>
      <c r="G1046" s="14" t="s">
        <v>130</v>
      </c>
      <c r="H1046" s="14" t="s">
        <v>98</v>
      </c>
      <c r="I1046" s="15">
        <v>15</v>
      </c>
      <c r="J1046" s="15">
        <v>900</v>
      </c>
      <c r="K1046" s="15">
        <v>145.26</v>
      </c>
      <c r="L1046" s="15">
        <v>130734</v>
      </c>
      <c r="M1046" s="15">
        <v>-10053.44</v>
      </c>
      <c r="N1046" s="15">
        <v>0</v>
      </c>
      <c r="O1046" s="15">
        <v>15688.472613</v>
      </c>
      <c r="P1046" s="15">
        <v>136369.03261299999</v>
      </c>
    </row>
    <row r="1047" spans="1:16" ht="15" x14ac:dyDescent="0.2">
      <c r="A1047" s="4" t="s">
        <v>579</v>
      </c>
      <c r="B1047" s="21" t="str">
        <f t="shared" si="32"/>
        <v>Oct-2025</v>
      </c>
      <c r="C1047" s="2" t="str">
        <f t="shared" si="33"/>
        <v>Q3</v>
      </c>
      <c r="D1047" s="2" t="s">
        <v>31</v>
      </c>
      <c r="E1047" s="13">
        <v>45939</v>
      </c>
      <c r="F1047" s="14" t="s">
        <v>285</v>
      </c>
      <c r="G1047" s="14" t="s">
        <v>130</v>
      </c>
      <c r="H1047" s="14" t="s">
        <v>92</v>
      </c>
      <c r="I1047" s="15">
        <v>2</v>
      </c>
      <c r="J1047" s="15">
        <v>40</v>
      </c>
      <c r="K1047" s="15">
        <v>242.1</v>
      </c>
      <c r="L1047" s="15">
        <v>9683.9999999999982</v>
      </c>
      <c r="M1047" s="15">
        <v>-744.7</v>
      </c>
      <c r="N1047" s="15">
        <v>0</v>
      </c>
      <c r="O1047" s="15">
        <v>1162.108986</v>
      </c>
      <c r="P1047" s="15">
        <v>10101.408986</v>
      </c>
    </row>
    <row r="1048" spans="1:16" ht="15" x14ac:dyDescent="0.2">
      <c r="A1048" s="4" t="s">
        <v>576</v>
      </c>
      <c r="B1048" s="21" t="str">
        <f t="shared" si="32"/>
        <v>Oct-2025</v>
      </c>
      <c r="C1048" s="2" t="str">
        <f t="shared" si="33"/>
        <v>Q3</v>
      </c>
      <c r="D1048" s="2" t="s">
        <v>31</v>
      </c>
      <c r="E1048" s="13">
        <v>45939</v>
      </c>
      <c r="F1048" s="14" t="s">
        <v>285</v>
      </c>
      <c r="G1048" s="14" t="s">
        <v>130</v>
      </c>
      <c r="H1048" s="14" t="s">
        <v>110</v>
      </c>
      <c r="I1048" s="15">
        <v>5</v>
      </c>
      <c r="J1048" s="15">
        <v>100</v>
      </c>
      <c r="K1048" s="15">
        <v>175.06</v>
      </c>
      <c r="L1048" s="15">
        <v>17506</v>
      </c>
      <c r="M1048" s="15">
        <v>-1346.21</v>
      </c>
      <c r="N1048" s="15">
        <v>0</v>
      </c>
      <c r="O1048" s="15">
        <v>2100.7726750000002</v>
      </c>
      <c r="P1048" s="15">
        <v>18260.562675000001</v>
      </c>
    </row>
    <row r="1049" spans="1:16" ht="15" x14ac:dyDescent="0.2">
      <c r="A1049" s="4" t="s">
        <v>575</v>
      </c>
      <c r="B1049" s="21" t="str">
        <f t="shared" si="32"/>
        <v>Oct-2025</v>
      </c>
      <c r="C1049" s="2" t="str">
        <f t="shared" si="33"/>
        <v>Q3</v>
      </c>
      <c r="D1049" s="2" t="s">
        <v>31</v>
      </c>
      <c r="E1049" s="13">
        <v>45939</v>
      </c>
      <c r="F1049" s="14" t="s">
        <v>285</v>
      </c>
      <c r="G1049" s="14" t="s">
        <v>130</v>
      </c>
      <c r="H1049" s="14" t="s">
        <v>55</v>
      </c>
      <c r="I1049" s="15">
        <v>35</v>
      </c>
      <c r="J1049" s="15">
        <v>700</v>
      </c>
      <c r="K1049" s="15">
        <v>186.22</v>
      </c>
      <c r="L1049" s="15">
        <v>130354.00000000001</v>
      </c>
      <c r="M1049" s="15">
        <v>-10024.220000000001</v>
      </c>
      <c r="N1049" s="15">
        <v>0</v>
      </c>
      <c r="O1049" s="15">
        <v>15642.871213</v>
      </c>
      <c r="P1049" s="15">
        <v>135972.651213</v>
      </c>
    </row>
    <row r="1050" spans="1:16" ht="15" x14ac:dyDescent="0.2">
      <c r="A1050" s="4" t="s">
        <v>581</v>
      </c>
      <c r="B1050" s="21" t="str">
        <f t="shared" si="32"/>
        <v>Oct-2025</v>
      </c>
      <c r="C1050" s="2" t="str">
        <f t="shared" si="33"/>
        <v>Q3</v>
      </c>
      <c r="D1050" s="2" t="s">
        <v>31</v>
      </c>
      <c r="E1050" s="13">
        <v>45939</v>
      </c>
      <c r="F1050" s="14" t="s">
        <v>285</v>
      </c>
      <c r="G1050" s="14" t="s">
        <v>130</v>
      </c>
      <c r="H1050" s="14" t="s">
        <v>96</v>
      </c>
      <c r="I1050" s="15">
        <v>10</v>
      </c>
      <c r="J1050" s="15">
        <v>400</v>
      </c>
      <c r="K1050" s="15">
        <v>67.040000000000006</v>
      </c>
      <c r="L1050" s="15">
        <v>26816</v>
      </c>
      <c r="M1050" s="15">
        <v>-2062.15</v>
      </c>
      <c r="N1050" s="15">
        <v>0</v>
      </c>
      <c r="O1050" s="15">
        <v>3218.000462</v>
      </c>
      <c r="P1050" s="15">
        <v>27971.850461999999</v>
      </c>
    </row>
    <row r="1051" spans="1:16" ht="15" x14ac:dyDescent="0.2">
      <c r="A1051" s="4" t="s">
        <v>580</v>
      </c>
      <c r="B1051" s="21" t="str">
        <f t="shared" si="32"/>
        <v>Oct-2025</v>
      </c>
      <c r="C1051" s="2" t="str">
        <f t="shared" si="33"/>
        <v>Q3</v>
      </c>
      <c r="D1051" s="2" t="s">
        <v>31</v>
      </c>
      <c r="E1051" s="13">
        <v>45939</v>
      </c>
      <c r="F1051" s="14" t="s">
        <v>285</v>
      </c>
      <c r="G1051" s="14" t="s">
        <v>130</v>
      </c>
      <c r="H1051" s="14" t="s">
        <v>89</v>
      </c>
      <c r="I1051" s="15">
        <v>30</v>
      </c>
      <c r="J1051" s="15">
        <v>2100</v>
      </c>
      <c r="K1051" s="15">
        <v>37.25</v>
      </c>
      <c r="L1051" s="15">
        <v>78225</v>
      </c>
      <c r="M1051" s="15">
        <v>-6015.5</v>
      </c>
      <c r="N1051" s="15">
        <v>0</v>
      </c>
      <c r="O1051" s="15">
        <v>9387.2348880000009</v>
      </c>
      <c r="P1051" s="15">
        <v>81596.734888000006</v>
      </c>
    </row>
    <row r="1052" spans="1:16" ht="15" x14ac:dyDescent="0.2">
      <c r="A1052" s="4" t="s">
        <v>573</v>
      </c>
      <c r="B1052" s="21" t="str">
        <f t="shared" si="32"/>
        <v>Oct-2025</v>
      </c>
      <c r="C1052" s="2" t="str">
        <f t="shared" si="33"/>
        <v>Q3</v>
      </c>
      <c r="D1052" s="2" t="s">
        <v>31</v>
      </c>
      <c r="E1052" s="13">
        <v>45939</v>
      </c>
      <c r="F1052" s="14" t="s">
        <v>285</v>
      </c>
      <c r="G1052" s="14" t="s">
        <v>130</v>
      </c>
      <c r="H1052" s="14" t="s">
        <v>136</v>
      </c>
      <c r="I1052" s="15">
        <v>3</v>
      </c>
      <c r="J1052" s="15">
        <v>120</v>
      </c>
      <c r="K1052" s="15">
        <v>111.74</v>
      </c>
      <c r="L1052" s="15">
        <v>13408.8</v>
      </c>
      <c r="M1052" s="15">
        <v>-1031.1400000000001</v>
      </c>
      <c r="N1052" s="15">
        <v>0</v>
      </c>
      <c r="O1052" s="15">
        <v>1609.095781</v>
      </c>
      <c r="P1052" s="15">
        <v>13986.755781</v>
      </c>
    </row>
    <row r="1053" spans="1:16" ht="15" x14ac:dyDescent="0.2">
      <c r="A1053" s="4" t="s">
        <v>576</v>
      </c>
      <c r="B1053" s="21" t="str">
        <f t="shared" si="32"/>
        <v>Oct-2025</v>
      </c>
      <c r="C1053" s="2" t="str">
        <f t="shared" si="33"/>
        <v>Q3</v>
      </c>
      <c r="D1053" s="2" t="s">
        <v>31</v>
      </c>
      <c r="E1053" s="13">
        <v>45939</v>
      </c>
      <c r="F1053" s="14" t="s">
        <v>285</v>
      </c>
      <c r="G1053" s="14" t="s">
        <v>130</v>
      </c>
      <c r="H1053" s="14" t="s">
        <v>124</v>
      </c>
      <c r="I1053" s="15">
        <v>5</v>
      </c>
      <c r="J1053" s="15">
        <v>100</v>
      </c>
      <c r="K1053" s="15">
        <v>175.06</v>
      </c>
      <c r="L1053" s="15">
        <v>17506</v>
      </c>
      <c r="M1053" s="15">
        <v>-1346.21</v>
      </c>
      <c r="N1053" s="15">
        <v>0</v>
      </c>
      <c r="O1053" s="15">
        <v>2100.7726750000002</v>
      </c>
      <c r="P1053" s="15">
        <v>18260.562675000001</v>
      </c>
    </row>
    <row r="1054" spans="1:16" ht="15" x14ac:dyDescent="0.2">
      <c r="A1054" s="4" t="s">
        <v>589</v>
      </c>
      <c r="B1054" s="21" t="str">
        <f t="shared" si="32"/>
        <v>Oct-2025</v>
      </c>
      <c r="C1054" s="2" t="str">
        <f t="shared" si="33"/>
        <v>Q3</v>
      </c>
      <c r="D1054" s="2" t="s">
        <v>31</v>
      </c>
      <c r="E1054" s="13">
        <v>45939</v>
      </c>
      <c r="F1054" s="14" t="s">
        <v>285</v>
      </c>
      <c r="G1054" s="14" t="s">
        <v>130</v>
      </c>
      <c r="H1054" s="14" t="s">
        <v>105</v>
      </c>
      <c r="I1054" s="15">
        <v>4</v>
      </c>
      <c r="J1054" s="15">
        <v>120</v>
      </c>
      <c r="K1054" s="15">
        <v>316.58999999999997</v>
      </c>
      <c r="L1054" s="15">
        <v>37990.799999999996</v>
      </c>
      <c r="M1054" s="15">
        <v>-2921.4900000000002</v>
      </c>
      <c r="N1054" s="15">
        <v>0</v>
      </c>
      <c r="O1054" s="15">
        <v>4559.0102459999998</v>
      </c>
      <c r="P1054" s="15">
        <v>39628.320246000003</v>
      </c>
    </row>
    <row r="1055" spans="1:16" ht="15" x14ac:dyDescent="0.2">
      <c r="A1055" s="4" t="s">
        <v>573</v>
      </c>
      <c r="B1055" s="21" t="str">
        <f t="shared" si="32"/>
        <v>Oct-2025</v>
      </c>
      <c r="C1055" s="2" t="str">
        <f t="shared" si="33"/>
        <v>Q3</v>
      </c>
      <c r="D1055" s="2" t="s">
        <v>31</v>
      </c>
      <c r="E1055" s="13">
        <v>45940</v>
      </c>
      <c r="F1055" s="14" t="s">
        <v>286</v>
      </c>
      <c r="G1055" s="14" t="s">
        <v>119</v>
      </c>
      <c r="H1055" s="14" t="s">
        <v>136</v>
      </c>
      <c r="I1055" s="15">
        <v>2</v>
      </c>
      <c r="J1055" s="15">
        <v>80</v>
      </c>
      <c r="K1055" s="15">
        <v>111.74</v>
      </c>
      <c r="L1055" s="15">
        <v>8939.2000000000007</v>
      </c>
      <c r="M1055" s="15">
        <v>-687.42</v>
      </c>
      <c r="N1055" s="15">
        <v>0</v>
      </c>
      <c r="O1055" s="15">
        <v>1072.7312429999999</v>
      </c>
      <c r="P1055" s="15">
        <v>9324.5112430000008</v>
      </c>
    </row>
    <row r="1056" spans="1:16" ht="15" x14ac:dyDescent="0.2">
      <c r="A1056" s="4" t="s">
        <v>583</v>
      </c>
      <c r="B1056" s="21" t="str">
        <f t="shared" si="32"/>
        <v>Oct-2025</v>
      </c>
      <c r="C1056" s="2" t="str">
        <f t="shared" si="33"/>
        <v>Q3</v>
      </c>
      <c r="D1056" s="2" t="s">
        <v>31</v>
      </c>
      <c r="E1056" s="13">
        <v>45940</v>
      </c>
      <c r="F1056" s="14" t="s">
        <v>286</v>
      </c>
      <c r="G1056" s="14" t="s">
        <v>119</v>
      </c>
      <c r="H1056" s="14" t="s">
        <v>113</v>
      </c>
      <c r="I1056" s="15">
        <v>3</v>
      </c>
      <c r="J1056" s="15">
        <v>45</v>
      </c>
      <c r="K1056" s="15">
        <v>260.72000000000003</v>
      </c>
      <c r="L1056" s="15">
        <v>11732.4</v>
      </c>
      <c r="M1056" s="15">
        <v>-902.22</v>
      </c>
      <c r="N1056" s="15">
        <v>0</v>
      </c>
      <c r="O1056" s="15">
        <v>1407.9231929999999</v>
      </c>
      <c r="P1056" s="15">
        <v>12238.103193000001</v>
      </c>
    </row>
    <row r="1057" spans="1:16" ht="15" x14ac:dyDescent="0.2">
      <c r="A1057" s="4" t="s">
        <v>573</v>
      </c>
      <c r="B1057" s="21" t="str">
        <f t="shared" si="32"/>
        <v>Oct-2025</v>
      </c>
      <c r="C1057" s="2" t="str">
        <f t="shared" si="33"/>
        <v>Q3</v>
      </c>
      <c r="D1057" s="2" t="s">
        <v>31</v>
      </c>
      <c r="E1057" s="13">
        <v>45940</v>
      </c>
      <c r="F1057" s="14" t="s">
        <v>286</v>
      </c>
      <c r="G1057" s="14" t="s">
        <v>119</v>
      </c>
      <c r="H1057" s="14" t="s">
        <v>111</v>
      </c>
      <c r="I1057" s="15">
        <v>3</v>
      </c>
      <c r="J1057" s="15">
        <v>120</v>
      </c>
      <c r="K1057" s="15">
        <v>111.74</v>
      </c>
      <c r="L1057" s="15">
        <v>13408.8</v>
      </c>
      <c r="M1057" s="15">
        <v>-1031.1400000000001</v>
      </c>
      <c r="N1057" s="15">
        <v>0</v>
      </c>
      <c r="O1057" s="15">
        <v>1609.095564</v>
      </c>
      <c r="P1057" s="15">
        <v>13986.755563999999</v>
      </c>
    </row>
    <row r="1058" spans="1:16" ht="15" x14ac:dyDescent="0.2">
      <c r="A1058" s="4" t="s">
        <v>576</v>
      </c>
      <c r="B1058" s="21" t="str">
        <f t="shared" si="32"/>
        <v>Oct-2025</v>
      </c>
      <c r="C1058" s="2" t="str">
        <f t="shared" si="33"/>
        <v>Q3</v>
      </c>
      <c r="D1058" s="2" t="s">
        <v>31</v>
      </c>
      <c r="E1058" s="13">
        <v>45940</v>
      </c>
      <c r="F1058" s="14" t="s">
        <v>287</v>
      </c>
      <c r="G1058" s="14" t="s">
        <v>235</v>
      </c>
      <c r="H1058" s="14" t="s">
        <v>124</v>
      </c>
      <c r="I1058" s="15">
        <v>2</v>
      </c>
      <c r="J1058" s="15">
        <v>40</v>
      </c>
      <c r="K1058" s="15">
        <v>175.06</v>
      </c>
      <c r="L1058" s="15">
        <v>7002.4</v>
      </c>
      <c r="M1058" s="15">
        <v>-538.48</v>
      </c>
      <c r="N1058" s="15">
        <v>0</v>
      </c>
      <c r="O1058" s="15">
        <v>840.30968200000007</v>
      </c>
      <c r="P1058" s="15">
        <v>7304.2296820000001</v>
      </c>
    </row>
    <row r="1059" spans="1:16" ht="15" x14ac:dyDescent="0.2">
      <c r="A1059" s="4" t="s">
        <v>573</v>
      </c>
      <c r="B1059" s="21" t="str">
        <f t="shared" si="32"/>
        <v>Oct-2025</v>
      </c>
      <c r="C1059" s="2" t="str">
        <f t="shared" si="33"/>
        <v>Q3</v>
      </c>
      <c r="D1059" s="2" t="s">
        <v>31</v>
      </c>
      <c r="E1059" s="13">
        <v>45940</v>
      </c>
      <c r="F1059" s="14" t="s">
        <v>287</v>
      </c>
      <c r="G1059" s="14" t="s">
        <v>235</v>
      </c>
      <c r="H1059" s="14" t="s">
        <v>111</v>
      </c>
      <c r="I1059" s="15">
        <v>3</v>
      </c>
      <c r="J1059" s="15">
        <v>120</v>
      </c>
      <c r="K1059" s="15">
        <v>111.74</v>
      </c>
      <c r="L1059" s="15">
        <v>13408.8</v>
      </c>
      <c r="M1059" s="15">
        <v>-1031.1400000000001</v>
      </c>
      <c r="N1059" s="15">
        <v>0</v>
      </c>
      <c r="O1059" s="15">
        <v>1609.0959559999999</v>
      </c>
      <c r="P1059" s="15">
        <v>13986.755956000001</v>
      </c>
    </row>
    <row r="1060" spans="1:16" ht="15" x14ac:dyDescent="0.2">
      <c r="A1060" s="4" t="s">
        <v>589</v>
      </c>
      <c r="B1060" s="21" t="str">
        <f t="shared" si="32"/>
        <v>Oct-2025</v>
      </c>
      <c r="C1060" s="2" t="str">
        <f t="shared" si="33"/>
        <v>Q3</v>
      </c>
      <c r="D1060" s="2" t="s">
        <v>31</v>
      </c>
      <c r="E1060" s="13">
        <v>45940</v>
      </c>
      <c r="F1060" s="14" t="s">
        <v>287</v>
      </c>
      <c r="G1060" s="14" t="s">
        <v>235</v>
      </c>
      <c r="H1060" s="14" t="s">
        <v>98</v>
      </c>
      <c r="I1060" s="15">
        <v>3</v>
      </c>
      <c r="J1060" s="15">
        <v>180</v>
      </c>
      <c r="K1060" s="15">
        <v>145.26</v>
      </c>
      <c r="L1060" s="15">
        <v>26146.799999999999</v>
      </c>
      <c r="M1060" s="15">
        <v>-2010.6899999999998</v>
      </c>
      <c r="N1060" s="15">
        <v>0</v>
      </c>
      <c r="O1060" s="15">
        <v>3137.6946040000003</v>
      </c>
      <c r="P1060" s="15">
        <v>27273.804604000001</v>
      </c>
    </row>
    <row r="1061" spans="1:16" ht="15" x14ac:dyDescent="0.2">
      <c r="A1061" s="4" t="s">
        <v>579</v>
      </c>
      <c r="B1061" s="21" t="str">
        <f t="shared" si="32"/>
        <v>Oct-2025</v>
      </c>
      <c r="C1061" s="2" t="str">
        <f t="shared" si="33"/>
        <v>Q3</v>
      </c>
      <c r="D1061" s="2" t="s">
        <v>31</v>
      </c>
      <c r="E1061" s="13">
        <v>45940</v>
      </c>
      <c r="F1061" s="14" t="s">
        <v>287</v>
      </c>
      <c r="G1061" s="14" t="s">
        <v>235</v>
      </c>
      <c r="H1061" s="14" t="s">
        <v>140</v>
      </c>
      <c r="I1061" s="15">
        <v>2</v>
      </c>
      <c r="J1061" s="15">
        <v>40</v>
      </c>
      <c r="K1061" s="15">
        <v>204.85</v>
      </c>
      <c r="L1061" s="15">
        <v>8194</v>
      </c>
      <c r="M1061" s="15">
        <v>-630.12</v>
      </c>
      <c r="N1061" s="15">
        <v>0</v>
      </c>
      <c r="O1061" s="15">
        <v>983.30449499999997</v>
      </c>
      <c r="P1061" s="15">
        <v>8547.1844949999995</v>
      </c>
    </row>
    <row r="1062" spans="1:16" ht="15" x14ac:dyDescent="0.2">
      <c r="A1062" s="4" t="s">
        <v>573</v>
      </c>
      <c r="B1062" s="21" t="str">
        <f t="shared" si="32"/>
        <v>Oct-2025</v>
      </c>
      <c r="C1062" s="2" t="str">
        <f t="shared" si="33"/>
        <v>Q3</v>
      </c>
      <c r="D1062" s="2" t="s">
        <v>31</v>
      </c>
      <c r="E1062" s="13">
        <v>45940</v>
      </c>
      <c r="F1062" s="14" t="s">
        <v>287</v>
      </c>
      <c r="G1062" s="14" t="s">
        <v>235</v>
      </c>
      <c r="H1062" s="14" t="s">
        <v>136</v>
      </c>
      <c r="I1062" s="15">
        <v>2</v>
      </c>
      <c r="J1062" s="15">
        <v>80</v>
      </c>
      <c r="K1062" s="15">
        <v>111.74</v>
      </c>
      <c r="L1062" s="15">
        <v>8939.2000000000007</v>
      </c>
      <c r="M1062" s="15">
        <v>-687.42</v>
      </c>
      <c r="N1062" s="15">
        <v>0</v>
      </c>
      <c r="O1062" s="15">
        <v>1072.7315040000001</v>
      </c>
      <c r="P1062" s="15">
        <v>9324.5115040000001</v>
      </c>
    </row>
    <row r="1063" spans="1:16" ht="15" x14ac:dyDescent="0.2">
      <c r="A1063" s="4" t="s">
        <v>576</v>
      </c>
      <c r="B1063" s="21" t="str">
        <f t="shared" si="32"/>
        <v>Oct-2025</v>
      </c>
      <c r="C1063" s="2" t="str">
        <f t="shared" si="33"/>
        <v>Q3</v>
      </c>
      <c r="D1063" s="2" t="s">
        <v>31</v>
      </c>
      <c r="E1063" s="13">
        <v>45940</v>
      </c>
      <c r="F1063" s="14" t="s">
        <v>287</v>
      </c>
      <c r="G1063" s="14" t="s">
        <v>235</v>
      </c>
      <c r="H1063" s="14" t="s">
        <v>110</v>
      </c>
      <c r="I1063" s="15">
        <v>4</v>
      </c>
      <c r="J1063" s="15">
        <v>80</v>
      </c>
      <c r="K1063" s="15">
        <v>175.06</v>
      </c>
      <c r="L1063" s="15">
        <v>14004.8</v>
      </c>
      <c r="M1063" s="15">
        <v>-1076.97</v>
      </c>
      <c r="N1063" s="15">
        <v>0</v>
      </c>
      <c r="O1063" s="15">
        <v>1680.6180629999999</v>
      </c>
      <c r="P1063" s="15">
        <v>14608.448063</v>
      </c>
    </row>
    <row r="1064" spans="1:16" ht="15" x14ac:dyDescent="0.2">
      <c r="A1064" s="4" t="s">
        <v>579</v>
      </c>
      <c r="B1064" s="21" t="str">
        <f t="shared" si="32"/>
        <v>Oct-2025</v>
      </c>
      <c r="C1064" s="2" t="str">
        <f t="shared" si="33"/>
        <v>Q3</v>
      </c>
      <c r="D1064" s="2" t="s">
        <v>31</v>
      </c>
      <c r="E1064" s="13">
        <v>45940</v>
      </c>
      <c r="F1064" s="14" t="s">
        <v>287</v>
      </c>
      <c r="G1064" s="14" t="s">
        <v>235</v>
      </c>
      <c r="H1064" s="14" t="s">
        <v>91</v>
      </c>
      <c r="I1064" s="15">
        <v>2</v>
      </c>
      <c r="J1064" s="15">
        <v>40</v>
      </c>
      <c r="K1064" s="15">
        <v>204.85</v>
      </c>
      <c r="L1064" s="15">
        <v>8194</v>
      </c>
      <c r="M1064" s="15">
        <v>-630.12</v>
      </c>
      <c r="N1064" s="15">
        <v>0</v>
      </c>
      <c r="O1064" s="15">
        <v>983.30449499999997</v>
      </c>
      <c r="P1064" s="15">
        <v>8547.1844949999995</v>
      </c>
    </row>
    <row r="1065" spans="1:16" ht="15" x14ac:dyDescent="0.2">
      <c r="A1065" s="4" t="s">
        <v>576</v>
      </c>
      <c r="B1065" s="21" t="str">
        <f t="shared" si="32"/>
        <v>Oct-2025</v>
      </c>
      <c r="C1065" s="2" t="str">
        <f t="shared" si="33"/>
        <v>Q3</v>
      </c>
      <c r="D1065" s="2" t="s">
        <v>31</v>
      </c>
      <c r="E1065" s="13">
        <v>45940</v>
      </c>
      <c r="F1065" s="14" t="s">
        <v>287</v>
      </c>
      <c r="G1065" s="14" t="s">
        <v>235</v>
      </c>
      <c r="H1065" s="14" t="s">
        <v>123</v>
      </c>
      <c r="I1065" s="15">
        <v>2</v>
      </c>
      <c r="J1065" s="15">
        <v>40</v>
      </c>
      <c r="K1065" s="15">
        <v>175.06</v>
      </c>
      <c r="L1065" s="15">
        <v>7002.4</v>
      </c>
      <c r="M1065" s="15">
        <v>-538.48</v>
      </c>
      <c r="N1065" s="15">
        <v>0</v>
      </c>
      <c r="O1065" s="15">
        <v>840.30968200000007</v>
      </c>
      <c r="P1065" s="15">
        <v>7304.2296820000001</v>
      </c>
    </row>
    <row r="1066" spans="1:16" ht="15" x14ac:dyDescent="0.2">
      <c r="A1066" s="4" t="s">
        <v>583</v>
      </c>
      <c r="B1066" s="21" t="str">
        <f t="shared" si="32"/>
        <v>Oct-2025</v>
      </c>
      <c r="C1066" s="2" t="str">
        <f t="shared" si="33"/>
        <v>Q3</v>
      </c>
      <c r="D1066" s="2" t="s">
        <v>31</v>
      </c>
      <c r="E1066" s="13">
        <v>45940</v>
      </c>
      <c r="F1066" s="14" t="s">
        <v>287</v>
      </c>
      <c r="G1066" s="14" t="s">
        <v>235</v>
      </c>
      <c r="H1066" s="14" t="s">
        <v>113</v>
      </c>
      <c r="I1066" s="15">
        <v>3</v>
      </c>
      <c r="J1066" s="15">
        <v>45</v>
      </c>
      <c r="K1066" s="15">
        <v>260.72000000000003</v>
      </c>
      <c r="L1066" s="15">
        <v>11732.4</v>
      </c>
      <c r="M1066" s="15">
        <v>-902.22</v>
      </c>
      <c r="N1066" s="15">
        <v>0</v>
      </c>
      <c r="O1066" s="15">
        <v>1407.9235370000001</v>
      </c>
      <c r="P1066" s="15">
        <v>12238.103537000001</v>
      </c>
    </row>
    <row r="1067" spans="1:16" ht="15" x14ac:dyDescent="0.2">
      <c r="A1067" s="4" t="s">
        <v>579</v>
      </c>
      <c r="B1067" s="21" t="str">
        <f t="shared" si="32"/>
        <v>Oct-2025</v>
      </c>
      <c r="C1067" s="2" t="str">
        <f t="shared" si="33"/>
        <v>Q3</v>
      </c>
      <c r="D1067" s="2" t="s">
        <v>31</v>
      </c>
      <c r="E1067" s="13">
        <v>45940</v>
      </c>
      <c r="F1067" s="14" t="s">
        <v>287</v>
      </c>
      <c r="G1067" s="14" t="s">
        <v>235</v>
      </c>
      <c r="H1067" s="14" t="s">
        <v>112</v>
      </c>
      <c r="I1067" s="15">
        <v>5</v>
      </c>
      <c r="J1067" s="15">
        <v>100</v>
      </c>
      <c r="K1067" s="15">
        <v>204.85</v>
      </c>
      <c r="L1067" s="15">
        <v>20485</v>
      </c>
      <c r="M1067" s="15">
        <v>-1575.3</v>
      </c>
      <c r="N1067" s="15">
        <v>0</v>
      </c>
      <c r="O1067" s="15">
        <v>2458.2612389999999</v>
      </c>
      <c r="P1067" s="15">
        <v>21367.961239</v>
      </c>
    </row>
    <row r="1068" spans="1:16" ht="15" x14ac:dyDescent="0.2">
      <c r="A1068" s="4" t="s">
        <v>579</v>
      </c>
      <c r="B1068" s="21" t="str">
        <f t="shared" si="32"/>
        <v>Oct-2025</v>
      </c>
      <c r="C1068" s="2" t="str">
        <f t="shared" si="33"/>
        <v>Q3</v>
      </c>
      <c r="D1068" s="2" t="s">
        <v>31</v>
      </c>
      <c r="E1068" s="13">
        <v>45940</v>
      </c>
      <c r="F1068" s="14" t="s">
        <v>287</v>
      </c>
      <c r="G1068" s="14" t="s">
        <v>235</v>
      </c>
      <c r="H1068" s="14" t="s">
        <v>90</v>
      </c>
      <c r="I1068" s="15">
        <v>3</v>
      </c>
      <c r="J1068" s="15">
        <v>60</v>
      </c>
      <c r="K1068" s="15">
        <v>204.85</v>
      </c>
      <c r="L1068" s="15">
        <v>12291</v>
      </c>
      <c r="M1068" s="15">
        <v>-945.18</v>
      </c>
      <c r="N1068" s="15">
        <v>0</v>
      </c>
      <c r="O1068" s="15">
        <v>1474.956743</v>
      </c>
      <c r="P1068" s="15">
        <v>12820.776743</v>
      </c>
    </row>
    <row r="1069" spans="1:16" ht="15" x14ac:dyDescent="0.2">
      <c r="A1069" s="4" t="s">
        <v>580</v>
      </c>
      <c r="B1069" s="21" t="str">
        <f t="shared" si="32"/>
        <v>Oct-2025</v>
      </c>
      <c r="C1069" s="2" t="str">
        <f t="shared" si="33"/>
        <v>Q3</v>
      </c>
      <c r="D1069" s="2" t="s">
        <v>31</v>
      </c>
      <c r="E1069" s="13">
        <v>45942</v>
      </c>
      <c r="F1069" s="14" t="s">
        <v>288</v>
      </c>
      <c r="G1069" s="14" t="s">
        <v>80</v>
      </c>
      <c r="H1069" s="14" t="s">
        <v>65</v>
      </c>
      <c r="I1069" s="15">
        <v>0.01</v>
      </c>
      <c r="J1069" s="15">
        <v>1</v>
      </c>
      <c r="K1069" s="15">
        <v>21.05</v>
      </c>
      <c r="L1069" s="15">
        <v>21.05</v>
      </c>
      <c r="M1069" s="15">
        <v>0</v>
      </c>
      <c r="N1069" s="15">
        <v>0</v>
      </c>
      <c r="O1069" s="15">
        <v>2.7365469999999998</v>
      </c>
      <c r="P1069" s="15">
        <v>23.786546999999999</v>
      </c>
    </row>
    <row r="1070" spans="1:16" ht="15" x14ac:dyDescent="0.2">
      <c r="A1070" s="4" t="s">
        <v>588</v>
      </c>
      <c r="B1070" s="21" t="str">
        <f t="shared" si="32"/>
        <v>Oct-2025</v>
      </c>
      <c r="C1070" s="2" t="str">
        <f t="shared" si="33"/>
        <v>Q3</v>
      </c>
      <c r="D1070" s="2" t="s">
        <v>31</v>
      </c>
      <c r="E1070" s="13">
        <v>45942</v>
      </c>
      <c r="F1070" s="14" t="s">
        <v>288</v>
      </c>
      <c r="G1070" s="14" t="s">
        <v>80</v>
      </c>
      <c r="H1070" s="14" t="s">
        <v>95</v>
      </c>
      <c r="I1070" s="15">
        <v>0.02</v>
      </c>
      <c r="J1070" s="15">
        <v>1</v>
      </c>
      <c r="K1070" s="15">
        <v>71.260000000000005</v>
      </c>
      <c r="L1070" s="15">
        <v>71.260000000000005</v>
      </c>
      <c r="M1070" s="15">
        <v>0</v>
      </c>
      <c r="N1070" s="15">
        <v>0</v>
      </c>
      <c r="O1070" s="15">
        <v>9.2639589999999998</v>
      </c>
      <c r="P1070" s="15">
        <v>80.523959000000005</v>
      </c>
    </row>
    <row r="1071" spans="1:16" ht="15" x14ac:dyDescent="0.2">
      <c r="A1071" s="4" t="s">
        <v>582</v>
      </c>
      <c r="B1071" s="21" t="str">
        <f t="shared" si="32"/>
        <v>Oct-2025</v>
      </c>
      <c r="C1071" s="2" t="str">
        <f t="shared" si="33"/>
        <v>Q3</v>
      </c>
      <c r="D1071" s="2" t="s">
        <v>31</v>
      </c>
      <c r="E1071" s="13">
        <v>45942</v>
      </c>
      <c r="F1071" s="14" t="s">
        <v>288</v>
      </c>
      <c r="G1071" s="14" t="s">
        <v>80</v>
      </c>
      <c r="H1071" s="14" t="s">
        <v>108</v>
      </c>
      <c r="I1071" s="15">
        <v>0.04</v>
      </c>
      <c r="J1071" s="15">
        <v>1</v>
      </c>
      <c r="K1071" s="15">
        <v>84.19</v>
      </c>
      <c r="L1071" s="15">
        <v>84.19</v>
      </c>
      <c r="M1071" s="15">
        <v>0</v>
      </c>
      <c r="N1071" s="15">
        <v>0</v>
      </c>
      <c r="O1071" s="15">
        <v>10.944888000000001</v>
      </c>
      <c r="P1071" s="15">
        <v>95.134888000000004</v>
      </c>
    </row>
    <row r="1072" spans="1:16" ht="15" x14ac:dyDescent="0.2">
      <c r="A1072" s="4" t="s">
        <v>582</v>
      </c>
      <c r="B1072" s="21" t="str">
        <f t="shared" si="32"/>
        <v>Oct-2025</v>
      </c>
      <c r="C1072" s="2" t="str">
        <f t="shared" si="33"/>
        <v>Q3</v>
      </c>
      <c r="D1072" s="2" t="s">
        <v>31</v>
      </c>
      <c r="E1072" s="13">
        <v>45942</v>
      </c>
      <c r="F1072" s="14" t="s">
        <v>288</v>
      </c>
      <c r="G1072" s="14" t="s">
        <v>80</v>
      </c>
      <c r="H1072" s="14" t="s">
        <v>101</v>
      </c>
      <c r="I1072" s="15">
        <v>0.04</v>
      </c>
      <c r="J1072" s="15">
        <v>1</v>
      </c>
      <c r="K1072" s="15">
        <v>87.01</v>
      </c>
      <c r="L1072" s="15">
        <v>87.01</v>
      </c>
      <c r="M1072" s="15">
        <v>0</v>
      </c>
      <c r="N1072" s="15">
        <v>0</v>
      </c>
      <c r="O1072" s="15">
        <v>11.311494</v>
      </c>
      <c r="P1072" s="15">
        <v>98.321494000000001</v>
      </c>
    </row>
    <row r="1073" spans="1:16" ht="15" x14ac:dyDescent="0.2">
      <c r="A1073" s="4" t="s">
        <v>587</v>
      </c>
      <c r="B1073" s="21" t="str">
        <f t="shared" si="32"/>
        <v>Oct-2025</v>
      </c>
      <c r="C1073" s="2" t="str">
        <f t="shared" si="33"/>
        <v>Q3</v>
      </c>
      <c r="D1073" s="2" t="s">
        <v>31</v>
      </c>
      <c r="E1073" s="13">
        <v>45942</v>
      </c>
      <c r="F1073" s="14" t="s">
        <v>288</v>
      </c>
      <c r="G1073" s="14" t="s">
        <v>80</v>
      </c>
      <c r="H1073" s="14" t="s">
        <v>94</v>
      </c>
      <c r="I1073" s="15">
        <v>0.02</v>
      </c>
      <c r="J1073" s="15">
        <v>1</v>
      </c>
      <c r="K1073" s="15">
        <v>71.260000000000005</v>
      </c>
      <c r="L1073" s="15">
        <v>71.260000000000005</v>
      </c>
      <c r="M1073" s="15">
        <v>0</v>
      </c>
      <c r="N1073" s="15">
        <v>0</v>
      </c>
      <c r="O1073" s="15">
        <v>9.2639589999999998</v>
      </c>
      <c r="P1073" s="15">
        <v>80.523959000000005</v>
      </c>
    </row>
    <row r="1074" spans="1:16" ht="15" x14ac:dyDescent="0.2">
      <c r="A1074" s="4" t="s">
        <v>581</v>
      </c>
      <c r="B1074" s="21" t="str">
        <f t="shared" si="32"/>
        <v>Oct-2025</v>
      </c>
      <c r="C1074" s="2" t="str">
        <f t="shared" si="33"/>
        <v>Q3</v>
      </c>
      <c r="D1074" s="2" t="s">
        <v>31</v>
      </c>
      <c r="E1074" s="13">
        <v>45942</v>
      </c>
      <c r="F1074" s="14" t="s">
        <v>288</v>
      </c>
      <c r="G1074" s="14" t="s">
        <v>80</v>
      </c>
      <c r="H1074" s="14" t="s">
        <v>96</v>
      </c>
      <c r="I1074" s="15">
        <v>0.03</v>
      </c>
      <c r="J1074" s="15">
        <v>1</v>
      </c>
      <c r="K1074" s="15">
        <v>41.25</v>
      </c>
      <c r="L1074" s="15">
        <v>41.25</v>
      </c>
      <c r="M1074" s="15">
        <v>0</v>
      </c>
      <c r="N1074" s="15">
        <v>0</v>
      </c>
      <c r="O1074" s="15">
        <v>5.3625920000000002</v>
      </c>
      <c r="P1074" s="15">
        <v>46.612591999999999</v>
      </c>
    </row>
    <row r="1075" spans="1:16" ht="15" x14ac:dyDescent="0.2">
      <c r="A1075" s="4" t="s">
        <v>589</v>
      </c>
      <c r="B1075" s="21" t="str">
        <f t="shared" si="32"/>
        <v>Oct-2025</v>
      </c>
      <c r="C1075" s="2" t="str">
        <f t="shared" si="33"/>
        <v>Q3</v>
      </c>
      <c r="D1075" s="2" t="s">
        <v>31</v>
      </c>
      <c r="E1075" s="13">
        <v>45942</v>
      </c>
      <c r="F1075" s="14" t="s">
        <v>288</v>
      </c>
      <c r="G1075" s="14" t="s">
        <v>80</v>
      </c>
      <c r="H1075" s="14" t="s">
        <v>98</v>
      </c>
      <c r="I1075" s="15">
        <v>0.02</v>
      </c>
      <c r="J1075" s="15">
        <v>1</v>
      </c>
      <c r="K1075" s="15">
        <v>72.040000000000006</v>
      </c>
      <c r="L1075" s="15">
        <v>72.040000000000006</v>
      </c>
      <c r="M1075" s="15">
        <v>0</v>
      </c>
      <c r="N1075" s="15">
        <v>0</v>
      </c>
      <c r="O1075" s="15">
        <v>9.3653600000000008</v>
      </c>
      <c r="P1075" s="15">
        <v>81.405360000000002</v>
      </c>
    </row>
    <row r="1076" spans="1:16" ht="15" x14ac:dyDescent="0.2">
      <c r="A1076" s="4" t="s">
        <v>581</v>
      </c>
      <c r="B1076" s="21" t="str">
        <f t="shared" si="32"/>
        <v>Oct-2025</v>
      </c>
      <c r="C1076" s="2" t="str">
        <f t="shared" si="33"/>
        <v>Q3</v>
      </c>
      <c r="D1076" s="2" t="s">
        <v>31</v>
      </c>
      <c r="E1076" s="13">
        <v>45942</v>
      </c>
      <c r="F1076" s="14" t="s">
        <v>288</v>
      </c>
      <c r="G1076" s="14" t="s">
        <v>80</v>
      </c>
      <c r="H1076" s="14" t="s">
        <v>104</v>
      </c>
      <c r="I1076" s="15">
        <v>0.03</v>
      </c>
      <c r="J1076" s="15">
        <v>1</v>
      </c>
      <c r="K1076" s="15">
        <v>41.24</v>
      </c>
      <c r="L1076" s="15">
        <v>41.24</v>
      </c>
      <c r="M1076" s="15">
        <v>0</v>
      </c>
      <c r="N1076" s="15">
        <v>0</v>
      </c>
      <c r="O1076" s="15">
        <v>5.3612919999999997</v>
      </c>
      <c r="P1076" s="15">
        <v>46.601292000000001</v>
      </c>
    </row>
    <row r="1077" spans="1:16" ht="15" x14ac:dyDescent="0.2">
      <c r="A1077" s="4" t="s">
        <v>575</v>
      </c>
      <c r="B1077" s="21" t="str">
        <f t="shared" si="32"/>
        <v>Oct-2025</v>
      </c>
      <c r="C1077" s="2" t="str">
        <f t="shared" si="33"/>
        <v>Q3</v>
      </c>
      <c r="D1077" s="2" t="s">
        <v>31</v>
      </c>
      <c r="E1077" s="13">
        <v>45942</v>
      </c>
      <c r="F1077" s="14" t="s">
        <v>288</v>
      </c>
      <c r="G1077" s="14" t="s">
        <v>80</v>
      </c>
      <c r="H1077" s="14" t="s">
        <v>55</v>
      </c>
      <c r="I1077" s="15">
        <v>0.05</v>
      </c>
      <c r="J1077" s="15">
        <v>1</v>
      </c>
      <c r="K1077" s="15">
        <v>136.68</v>
      </c>
      <c r="L1077" s="15">
        <v>136.68</v>
      </c>
      <c r="M1077" s="15">
        <v>0</v>
      </c>
      <c r="N1077" s="15">
        <v>0</v>
      </c>
      <c r="O1077" s="15">
        <v>17.768704</v>
      </c>
      <c r="P1077" s="15">
        <v>154.44870399999999</v>
      </c>
    </row>
    <row r="1078" spans="1:16" ht="15" x14ac:dyDescent="0.2">
      <c r="A1078" s="4" t="s">
        <v>584</v>
      </c>
      <c r="B1078" s="21" t="str">
        <f t="shared" si="32"/>
        <v>Oct-2025</v>
      </c>
      <c r="C1078" s="2" t="str">
        <f t="shared" si="33"/>
        <v>Q3</v>
      </c>
      <c r="D1078" s="2" t="s">
        <v>31</v>
      </c>
      <c r="E1078" s="13">
        <v>45942</v>
      </c>
      <c r="F1078" s="14" t="s">
        <v>288</v>
      </c>
      <c r="G1078" s="14" t="s">
        <v>80</v>
      </c>
      <c r="H1078" s="14" t="s">
        <v>120</v>
      </c>
      <c r="I1078" s="15">
        <v>0.03</v>
      </c>
      <c r="J1078" s="15">
        <v>1</v>
      </c>
      <c r="K1078" s="15">
        <v>59.45</v>
      </c>
      <c r="L1078" s="15">
        <v>59.45</v>
      </c>
      <c r="M1078" s="15">
        <v>0</v>
      </c>
      <c r="N1078" s="15">
        <v>0</v>
      </c>
      <c r="O1078" s="15">
        <v>7.7286320000000002</v>
      </c>
      <c r="P1078" s="15">
        <v>67.178631999999993</v>
      </c>
    </row>
    <row r="1079" spans="1:16" ht="15" x14ac:dyDescent="0.2">
      <c r="A1079" s="4" t="s">
        <v>580</v>
      </c>
      <c r="B1079" s="21" t="str">
        <f t="shared" si="32"/>
        <v>Oct-2025</v>
      </c>
      <c r="C1079" s="2" t="str">
        <f t="shared" si="33"/>
        <v>Q3</v>
      </c>
      <c r="D1079" s="2" t="s">
        <v>31</v>
      </c>
      <c r="E1079" s="13">
        <v>45942</v>
      </c>
      <c r="F1079" s="14" t="s">
        <v>288</v>
      </c>
      <c r="G1079" s="14" t="s">
        <v>80</v>
      </c>
      <c r="H1079" s="14" t="s">
        <v>89</v>
      </c>
      <c r="I1079" s="15">
        <v>0.01</v>
      </c>
      <c r="J1079" s="15">
        <v>1</v>
      </c>
      <c r="K1079" s="15">
        <v>24.3</v>
      </c>
      <c r="L1079" s="15">
        <v>24.3</v>
      </c>
      <c r="M1079" s="15">
        <v>0</v>
      </c>
      <c r="N1079" s="15">
        <v>0</v>
      </c>
      <c r="O1079" s="15">
        <v>3.1590539999999998</v>
      </c>
      <c r="P1079" s="15">
        <v>27.459053999999998</v>
      </c>
    </row>
    <row r="1080" spans="1:16" ht="15" x14ac:dyDescent="0.2">
      <c r="A1080" s="4" t="s">
        <v>581</v>
      </c>
      <c r="B1080" s="21" t="str">
        <f t="shared" si="32"/>
        <v>Oct-2025</v>
      </c>
      <c r="C1080" s="2" t="str">
        <f t="shared" si="33"/>
        <v>Q3</v>
      </c>
      <c r="D1080" s="2" t="s">
        <v>31</v>
      </c>
      <c r="E1080" s="13">
        <v>45942</v>
      </c>
      <c r="F1080" s="14" t="s">
        <v>288</v>
      </c>
      <c r="G1080" s="14" t="s">
        <v>80</v>
      </c>
      <c r="H1080" s="14" t="s">
        <v>66</v>
      </c>
      <c r="I1080" s="15">
        <v>0.13</v>
      </c>
      <c r="J1080" s="15">
        <v>3</v>
      </c>
      <c r="K1080" s="15">
        <v>92.1</v>
      </c>
      <c r="L1080" s="15">
        <v>276.3</v>
      </c>
      <c r="M1080" s="15">
        <v>0</v>
      </c>
      <c r="N1080" s="15">
        <v>0</v>
      </c>
      <c r="O1080" s="15">
        <v>35.919615</v>
      </c>
      <c r="P1080" s="15">
        <v>312.21961499999998</v>
      </c>
    </row>
    <row r="1081" spans="1:16" ht="15" x14ac:dyDescent="0.2">
      <c r="A1081" s="4" t="s">
        <v>589</v>
      </c>
      <c r="B1081" s="21" t="str">
        <f t="shared" si="32"/>
        <v>Oct-2025</v>
      </c>
      <c r="C1081" s="2" t="str">
        <f t="shared" si="33"/>
        <v>Q3</v>
      </c>
      <c r="D1081" s="2" t="s">
        <v>31</v>
      </c>
      <c r="E1081" s="13">
        <v>45942</v>
      </c>
      <c r="F1081" s="14" t="s">
        <v>288</v>
      </c>
      <c r="G1081" s="14" t="s">
        <v>80</v>
      </c>
      <c r="H1081" s="14" t="s">
        <v>105</v>
      </c>
      <c r="I1081" s="15">
        <v>0.03</v>
      </c>
      <c r="J1081" s="15">
        <v>1</v>
      </c>
      <c r="K1081" s="15">
        <v>195.39</v>
      </c>
      <c r="L1081" s="15">
        <v>195.39</v>
      </c>
      <c r="M1081" s="15">
        <v>0</v>
      </c>
      <c r="N1081" s="15">
        <v>0</v>
      </c>
      <c r="O1081" s="15">
        <v>25.401135</v>
      </c>
      <c r="P1081" s="15">
        <v>220.791135</v>
      </c>
    </row>
    <row r="1082" spans="1:16" ht="15" x14ac:dyDescent="0.2">
      <c r="A1082" s="4" t="s">
        <v>591</v>
      </c>
      <c r="B1082" s="21" t="str">
        <f t="shared" si="32"/>
        <v>Oct-2025</v>
      </c>
      <c r="C1082" s="2" t="str">
        <f t="shared" si="33"/>
        <v>Q3</v>
      </c>
      <c r="D1082" s="2" t="s">
        <v>31</v>
      </c>
      <c r="E1082" s="13">
        <v>45942</v>
      </c>
      <c r="F1082" s="14" t="s">
        <v>288</v>
      </c>
      <c r="G1082" s="14" t="s">
        <v>80</v>
      </c>
      <c r="H1082" s="14" t="s">
        <v>106</v>
      </c>
      <c r="I1082" s="15">
        <v>0.02</v>
      </c>
      <c r="J1082" s="15">
        <v>1</v>
      </c>
      <c r="K1082" s="15">
        <v>71.260000000000005</v>
      </c>
      <c r="L1082" s="15">
        <v>71.260000000000005</v>
      </c>
      <c r="M1082" s="15">
        <v>0</v>
      </c>
      <c r="N1082" s="15">
        <v>0</v>
      </c>
      <c r="O1082" s="15">
        <v>9.2639589999999998</v>
      </c>
      <c r="P1082" s="15">
        <v>80.523959000000005</v>
      </c>
    </row>
    <row r="1083" spans="1:16" ht="15" x14ac:dyDescent="0.2">
      <c r="A1083" s="4" t="s">
        <v>582</v>
      </c>
      <c r="B1083" s="21" t="str">
        <f t="shared" si="32"/>
        <v>Oct-2025</v>
      </c>
      <c r="C1083" s="2" t="str">
        <f t="shared" si="33"/>
        <v>Q3</v>
      </c>
      <c r="D1083" s="2" t="s">
        <v>31</v>
      </c>
      <c r="E1083" s="13">
        <v>45942</v>
      </c>
      <c r="F1083" s="14" t="s">
        <v>288</v>
      </c>
      <c r="G1083" s="14" t="s">
        <v>80</v>
      </c>
      <c r="H1083" s="14" t="s">
        <v>77</v>
      </c>
      <c r="I1083" s="15">
        <v>0.04</v>
      </c>
      <c r="J1083" s="15">
        <v>1</v>
      </c>
      <c r="K1083" s="15">
        <v>146.82</v>
      </c>
      <c r="L1083" s="15">
        <v>146.82</v>
      </c>
      <c r="M1083" s="15">
        <v>0</v>
      </c>
      <c r="N1083" s="15">
        <v>0</v>
      </c>
      <c r="O1083" s="15">
        <v>19.086926999999999</v>
      </c>
      <c r="P1083" s="15">
        <v>165.906927</v>
      </c>
    </row>
    <row r="1084" spans="1:16" ht="15" x14ac:dyDescent="0.2">
      <c r="A1084" s="4" t="s">
        <v>590</v>
      </c>
      <c r="B1084" s="21" t="str">
        <f t="shared" si="32"/>
        <v>Oct-2025</v>
      </c>
      <c r="C1084" s="2" t="str">
        <f t="shared" si="33"/>
        <v>Q3</v>
      </c>
      <c r="D1084" s="2" t="s">
        <v>31</v>
      </c>
      <c r="E1084" s="13">
        <v>45942</v>
      </c>
      <c r="F1084" s="14" t="s">
        <v>288</v>
      </c>
      <c r="G1084" s="14" t="s">
        <v>80</v>
      </c>
      <c r="H1084" s="14" t="s">
        <v>102</v>
      </c>
      <c r="I1084" s="15">
        <v>0.1</v>
      </c>
      <c r="J1084" s="15">
        <v>2</v>
      </c>
      <c r="K1084" s="15">
        <v>173.67</v>
      </c>
      <c r="L1084" s="15">
        <v>347.34</v>
      </c>
      <c r="M1084" s="15">
        <v>0</v>
      </c>
      <c r="N1084" s="15">
        <v>0</v>
      </c>
      <c r="O1084" s="15">
        <v>45.154974000000003</v>
      </c>
      <c r="P1084" s="15">
        <v>392.49497400000001</v>
      </c>
    </row>
    <row r="1085" spans="1:16" ht="15" x14ac:dyDescent="0.2">
      <c r="A1085" s="4" t="s">
        <v>581</v>
      </c>
      <c r="B1085" s="21" t="str">
        <f t="shared" si="32"/>
        <v>Oct-2025</v>
      </c>
      <c r="C1085" s="2" t="str">
        <f t="shared" si="33"/>
        <v>Q3</v>
      </c>
      <c r="D1085" s="2" t="s">
        <v>31</v>
      </c>
      <c r="E1085" s="13">
        <v>45942</v>
      </c>
      <c r="F1085" s="14" t="s">
        <v>288</v>
      </c>
      <c r="G1085" s="14" t="s">
        <v>80</v>
      </c>
      <c r="H1085" s="14" t="s">
        <v>125</v>
      </c>
      <c r="I1085" s="15">
        <v>0</v>
      </c>
      <c r="J1085" s="15">
        <v>1</v>
      </c>
      <c r="K1085" s="15">
        <v>4.13</v>
      </c>
      <c r="L1085" s="15">
        <v>4.13</v>
      </c>
      <c r="M1085" s="15">
        <v>0</v>
      </c>
      <c r="N1085" s="15">
        <v>0</v>
      </c>
      <c r="O1085" s="15">
        <v>0.53690899999999997</v>
      </c>
      <c r="P1085" s="15">
        <v>4.6669090000000004</v>
      </c>
    </row>
    <row r="1086" spans="1:16" ht="15" x14ac:dyDescent="0.2">
      <c r="A1086" s="4" t="s">
        <v>589</v>
      </c>
      <c r="B1086" s="21" t="str">
        <f t="shared" si="32"/>
        <v>Oct-2025</v>
      </c>
      <c r="C1086" s="2" t="str">
        <f t="shared" si="33"/>
        <v>Q3</v>
      </c>
      <c r="D1086" s="2" t="s">
        <v>31</v>
      </c>
      <c r="E1086" s="13">
        <v>45942</v>
      </c>
      <c r="F1086" s="14" t="s">
        <v>289</v>
      </c>
      <c r="G1086" s="14" t="s">
        <v>25</v>
      </c>
      <c r="H1086" s="14" t="s">
        <v>98</v>
      </c>
      <c r="I1086" s="15">
        <v>1</v>
      </c>
      <c r="J1086" s="15">
        <v>60</v>
      </c>
      <c r="K1086" s="15">
        <v>129.41999999999999</v>
      </c>
      <c r="L1086" s="15">
        <v>7765.2</v>
      </c>
      <c r="M1086" s="15">
        <v>0</v>
      </c>
      <c r="N1086" s="15">
        <v>0</v>
      </c>
      <c r="O1086" s="15">
        <v>1009.48</v>
      </c>
      <c r="P1086" s="15">
        <v>8774.68</v>
      </c>
    </row>
    <row r="1087" spans="1:16" ht="15" x14ac:dyDescent="0.2">
      <c r="A1087" s="4" t="s">
        <v>581</v>
      </c>
      <c r="B1087" s="21" t="str">
        <f t="shared" si="32"/>
        <v>Oct-2025</v>
      </c>
      <c r="C1087" s="2" t="str">
        <f t="shared" si="33"/>
        <v>Q3</v>
      </c>
      <c r="D1087" s="2" t="s">
        <v>31</v>
      </c>
      <c r="E1087" s="13">
        <v>45943</v>
      </c>
      <c r="F1087" s="14" t="s">
        <v>290</v>
      </c>
      <c r="G1087" s="14" t="s">
        <v>12</v>
      </c>
      <c r="H1087" s="14" t="s">
        <v>104</v>
      </c>
      <c r="I1087" s="15">
        <v>2</v>
      </c>
      <c r="J1087" s="15">
        <v>80</v>
      </c>
      <c r="K1087" s="15">
        <v>67.040000000000006</v>
      </c>
      <c r="L1087" s="15">
        <v>5363.2</v>
      </c>
      <c r="M1087" s="15">
        <v>-412.43</v>
      </c>
      <c r="N1087" s="15">
        <v>0</v>
      </c>
      <c r="O1087" s="15">
        <v>643.6</v>
      </c>
      <c r="P1087" s="15">
        <v>5594.37</v>
      </c>
    </row>
    <row r="1088" spans="1:16" ht="15" x14ac:dyDescent="0.2">
      <c r="A1088" s="4" t="s">
        <v>581</v>
      </c>
      <c r="B1088" s="21" t="str">
        <f t="shared" si="32"/>
        <v>Oct-2025</v>
      </c>
      <c r="C1088" s="2" t="str">
        <f t="shared" si="33"/>
        <v>Q3</v>
      </c>
      <c r="D1088" s="2" t="s">
        <v>31</v>
      </c>
      <c r="E1088" s="13">
        <v>45943</v>
      </c>
      <c r="F1088" s="14" t="s">
        <v>290</v>
      </c>
      <c r="G1088" s="14" t="s">
        <v>12</v>
      </c>
      <c r="H1088" s="14" t="s">
        <v>96</v>
      </c>
      <c r="I1088" s="15">
        <v>4</v>
      </c>
      <c r="J1088" s="15">
        <v>160</v>
      </c>
      <c r="K1088" s="15">
        <v>67.040000000000006</v>
      </c>
      <c r="L1088" s="15">
        <v>10726.4</v>
      </c>
      <c r="M1088" s="15">
        <v>-824.86</v>
      </c>
      <c r="N1088" s="15">
        <v>0</v>
      </c>
      <c r="O1088" s="15">
        <v>1287.2</v>
      </c>
      <c r="P1088" s="15">
        <v>11188.74</v>
      </c>
    </row>
    <row r="1089" spans="1:16" ht="15" x14ac:dyDescent="0.2">
      <c r="A1089" s="4" t="s">
        <v>590</v>
      </c>
      <c r="B1089" s="21" t="str">
        <f t="shared" si="32"/>
        <v>Oct-2025</v>
      </c>
      <c r="C1089" s="2" t="str">
        <f t="shared" si="33"/>
        <v>Q3</v>
      </c>
      <c r="D1089" s="2" t="s">
        <v>31</v>
      </c>
      <c r="E1089" s="13">
        <v>45944</v>
      </c>
      <c r="F1089" s="14" t="s">
        <v>291</v>
      </c>
      <c r="G1089" s="14" t="s">
        <v>19</v>
      </c>
      <c r="H1089" s="14" t="s">
        <v>102</v>
      </c>
      <c r="I1089" s="15">
        <v>3</v>
      </c>
      <c r="J1089" s="15">
        <v>60</v>
      </c>
      <c r="K1089" s="15">
        <v>249.55</v>
      </c>
      <c r="L1089" s="15">
        <v>14973</v>
      </c>
      <c r="M1089" s="15">
        <v>-1151.42</v>
      </c>
      <c r="N1089" s="15">
        <v>0</v>
      </c>
      <c r="O1089" s="15">
        <v>1796.8055689999999</v>
      </c>
      <c r="P1089" s="15">
        <v>15618.385569</v>
      </c>
    </row>
    <row r="1090" spans="1:16" ht="15" x14ac:dyDescent="0.2">
      <c r="A1090" s="4" t="s">
        <v>581</v>
      </c>
      <c r="B1090" s="21" t="str">
        <f t="shared" si="32"/>
        <v>Oct-2025</v>
      </c>
      <c r="C1090" s="2" t="str">
        <f t="shared" si="33"/>
        <v>Q3</v>
      </c>
      <c r="D1090" s="2" t="s">
        <v>31</v>
      </c>
      <c r="E1090" s="13">
        <v>45944</v>
      </c>
      <c r="F1090" s="14" t="s">
        <v>291</v>
      </c>
      <c r="G1090" s="14" t="s">
        <v>19</v>
      </c>
      <c r="H1090" s="14" t="s">
        <v>96</v>
      </c>
      <c r="I1090" s="15">
        <v>2</v>
      </c>
      <c r="J1090" s="15">
        <v>80</v>
      </c>
      <c r="K1090" s="15">
        <v>67.040000000000006</v>
      </c>
      <c r="L1090" s="15">
        <v>5363.2</v>
      </c>
      <c r="M1090" s="15">
        <v>-412.43</v>
      </c>
      <c r="N1090" s="15">
        <v>0</v>
      </c>
      <c r="O1090" s="15">
        <v>643.60015999999996</v>
      </c>
      <c r="P1090" s="15">
        <v>5594.3701600000004</v>
      </c>
    </row>
    <row r="1091" spans="1:16" ht="15" x14ac:dyDescent="0.2">
      <c r="A1091" s="4" t="s">
        <v>583</v>
      </c>
      <c r="B1091" s="21" t="str">
        <f t="shared" ref="B1091:B1154" si="34">+TEXT(E1091,"MMM-yyy")</f>
        <v>Oct-2025</v>
      </c>
      <c r="C1091" s="2" t="str">
        <f t="shared" ref="C1091:C1154" si="35">"Q" &amp; CHOOSE(MONTH(E1091),4,4,4,1,1,1,2,2,2,3,3,3)</f>
        <v>Q3</v>
      </c>
      <c r="D1091" s="2" t="s">
        <v>31</v>
      </c>
      <c r="E1091" s="13">
        <v>45944</v>
      </c>
      <c r="F1091" s="14" t="s">
        <v>291</v>
      </c>
      <c r="G1091" s="14" t="s">
        <v>19</v>
      </c>
      <c r="H1091" s="14" t="s">
        <v>113</v>
      </c>
      <c r="I1091" s="15">
        <v>3</v>
      </c>
      <c r="J1091" s="15">
        <v>45</v>
      </c>
      <c r="K1091" s="15">
        <v>260.72000000000003</v>
      </c>
      <c r="L1091" s="15">
        <v>11732.4</v>
      </c>
      <c r="M1091" s="15">
        <v>-902.22</v>
      </c>
      <c r="N1091" s="15">
        <v>0</v>
      </c>
      <c r="O1091" s="15">
        <v>1407.923532</v>
      </c>
      <c r="P1091" s="15">
        <v>12238.103531999999</v>
      </c>
    </row>
    <row r="1092" spans="1:16" ht="15" x14ac:dyDescent="0.2">
      <c r="A1092" s="4" t="s">
        <v>579</v>
      </c>
      <c r="B1092" s="21" t="str">
        <f t="shared" si="34"/>
        <v>Oct-2025</v>
      </c>
      <c r="C1092" s="2" t="str">
        <f t="shared" si="35"/>
        <v>Q3</v>
      </c>
      <c r="D1092" s="2" t="s">
        <v>31</v>
      </c>
      <c r="E1092" s="13">
        <v>45944</v>
      </c>
      <c r="F1092" s="14" t="s">
        <v>291</v>
      </c>
      <c r="G1092" s="14" t="s">
        <v>19</v>
      </c>
      <c r="H1092" s="14" t="s">
        <v>92</v>
      </c>
      <c r="I1092" s="15">
        <v>3</v>
      </c>
      <c r="J1092" s="15">
        <v>60</v>
      </c>
      <c r="K1092" s="15">
        <v>242.1</v>
      </c>
      <c r="L1092" s="15">
        <v>14526</v>
      </c>
      <c r="M1092" s="15">
        <v>-1117.05</v>
      </c>
      <c r="N1092" s="15">
        <v>0</v>
      </c>
      <c r="O1092" s="15">
        <v>1743.1636639999999</v>
      </c>
      <c r="P1092" s="15">
        <v>15152.113664</v>
      </c>
    </row>
    <row r="1093" spans="1:16" ht="15" x14ac:dyDescent="0.2">
      <c r="A1093" s="4" t="s">
        <v>593</v>
      </c>
      <c r="B1093" s="21" t="str">
        <f t="shared" si="34"/>
        <v>Oct-2025</v>
      </c>
      <c r="C1093" s="2" t="str">
        <f t="shared" si="35"/>
        <v>Q3</v>
      </c>
      <c r="D1093" s="2" t="s">
        <v>31</v>
      </c>
      <c r="E1093" s="13">
        <v>45944</v>
      </c>
      <c r="F1093" s="14" t="s">
        <v>291</v>
      </c>
      <c r="G1093" s="14" t="s">
        <v>19</v>
      </c>
      <c r="H1093" s="14" t="s">
        <v>117</v>
      </c>
      <c r="I1093" s="15">
        <v>3</v>
      </c>
      <c r="J1093" s="15">
        <v>12</v>
      </c>
      <c r="K1093" s="15">
        <v>595.92999999999995</v>
      </c>
      <c r="L1093" s="15">
        <v>7151.16</v>
      </c>
      <c r="M1093" s="15">
        <v>-549.91999999999996</v>
      </c>
      <c r="N1093" s="15">
        <v>0</v>
      </c>
      <c r="O1093" s="15">
        <v>858.16128100000003</v>
      </c>
      <c r="P1093" s="15">
        <v>7459.4012810000004</v>
      </c>
    </row>
    <row r="1094" spans="1:16" ht="15" x14ac:dyDescent="0.2">
      <c r="A1094" s="4" t="s">
        <v>576</v>
      </c>
      <c r="B1094" s="21" t="str">
        <f t="shared" si="34"/>
        <v>Oct-2025</v>
      </c>
      <c r="C1094" s="2" t="str">
        <f t="shared" si="35"/>
        <v>Q3</v>
      </c>
      <c r="D1094" s="2" t="s">
        <v>31</v>
      </c>
      <c r="E1094" s="13">
        <v>45944</v>
      </c>
      <c r="F1094" s="14" t="s">
        <v>291</v>
      </c>
      <c r="G1094" s="14" t="s">
        <v>19</v>
      </c>
      <c r="H1094" s="14" t="s">
        <v>110</v>
      </c>
      <c r="I1094" s="15">
        <v>3</v>
      </c>
      <c r="J1094" s="15">
        <v>60</v>
      </c>
      <c r="K1094" s="15">
        <v>175.05</v>
      </c>
      <c r="L1094" s="15">
        <v>10503</v>
      </c>
      <c r="M1094" s="15">
        <v>-807.68</v>
      </c>
      <c r="N1094" s="15">
        <v>0</v>
      </c>
      <c r="O1094" s="15">
        <v>1260.3917180000001</v>
      </c>
      <c r="P1094" s="15">
        <v>10955.711718</v>
      </c>
    </row>
    <row r="1095" spans="1:16" ht="15" x14ac:dyDescent="0.2">
      <c r="A1095" s="4" t="s">
        <v>581</v>
      </c>
      <c r="B1095" s="21" t="str">
        <f t="shared" si="34"/>
        <v>Oct-2025</v>
      </c>
      <c r="C1095" s="2" t="str">
        <f t="shared" si="35"/>
        <v>Q3</v>
      </c>
      <c r="D1095" s="2" t="s">
        <v>31</v>
      </c>
      <c r="E1095" s="13">
        <v>45944</v>
      </c>
      <c r="F1095" s="14" t="s">
        <v>291</v>
      </c>
      <c r="G1095" s="14" t="s">
        <v>19</v>
      </c>
      <c r="H1095" s="14" t="s">
        <v>125</v>
      </c>
      <c r="I1095" s="15">
        <v>2</v>
      </c>
      <c r="J1095" s="15">
        <v>1600</v>
      </c>
      <c r="K1095" s="15">
        <v>7.45</v>
      </c>
      <c r="L1095" s="15">
        <v>11920</v>
      </c>
      <c r="M1095" s="15">
        <v>-916.65</v>
      </c>
      <c r="N1095" s="15">
        <v>0</v>
      </c>
      <c r="O1095" s="15">
        <v>1430.4356339999999</v>
      </c>
      <c r="P1095" s="15">
        <v>12433.785634</v>
      </c>
    </row>
    <row r="1096" spans="1:16" ht="15" x14ac:dyDescent="0.2">
      <c r="A1096" s="4" t="s">
        <v>582</v>
      </c>
      <c r="B1096" s="21" t="str">
        <f t="shared" si="34"/>
        <v>Oct-2025</v>
      </c>
      <c r="C1096" s="2" t="str">
        <f t="shared" si="35"/>
        <v>Q3</v>
      </c>
      <c r="D1096" s="2" t="s">
        <v>31</v>
      </c>
      <c r="E1096" s="13">
        <v>45944</v>
      </c>
      <c r="F1096" s="14" t="s">
        <v>291</v>
      </c>
      <c r="G1096" s="14" t="s">
        <v>19</v>
      </c>
      <c r="H1096" s="14" t="s">
        <v>77</v>
      </c>
      <c r="I1096" s="15">
        <v>3</v>
      </c>
      <c r="J1096" s="15">
        <v>72</v>
      </c>
      <c r="K1096" s="15">
        <v>204.85</v>
      </c>
      <c r="L1096" s="15">
        <v>14749.199999999999</v>
      </c>
      <c r="M1096" s="15">
        <v>-1134.21</v>
      </c>
      <c r="N1096" s="15">
        <v>0</v>
      </c>
      <c r="O1096" s="15">
        <v>1769.9488660000002</v>
      </c>
      <c r="P1096" s="15">
        <v>15384.938866</v>
      </c>
    </row>
    <row r="1097" spans="1:16" ht="15" x14ac:dyDescent="0.2">
      <c r="A1097" s="4" t="s">
        <v>576</v>
      </c>
      <c r="B1097" s="21" t="str">
        <f t="shared" si="34"/>
        <v>Oct-2025</v>
      </c>
      <c r="C1097" s="2" t="str">
        <f t="shared" si="35"/>
        <v>Q3</v>
      </c>
      <c r="D1097" s="2" t="s">
        <v>31</v>
      </c>
      <c r="E1097" s="13">
        <v>45944</v>
      </c>
      <c r="F1097" s="14" t="s">
        <v>291</v>
      </c>
      <c r="G1097" s="14" t="s">
        <v>19</v>
      </c>
      <c r="H1097" s="14" t="s">
        <v>124</v>
      </c>
      <c r="I1097" s="15">
        <v>2</v>
      </c>
      <c r="J1097" s="15">
        <v>40</v>
      </c>
      <c r="K1097" s="15">
        <v>175.05</v>
      </c>
      <c r="L1097" s="15">
        <v>7001.9999999999991</v>
      </c>
      <c r="M1097" s="15">
        <v>-538.45000000000005</v>
      </c>
      <c r="N1097" s="15">
        <v>0</v>
      </c>
      <c r="O1097" s="15">
        <v>840.26157899999998</v>
      </c>
      <c r="P1097" s="15">
        <v>7303.8115790000002</v>
      </c>
    </row>
    <row r="1098" spans="1:16" ht="15" x14ac:dyDescent="0.2">
      <c r="A1098" s="4" t="s">
        <v>573</v>
      </c>
      <c r="B1098" s="21" t="str">
        <f t="shared" si="34"/>
        <v>Oct-2025</v>
      </c>
      <c r="C1098" s="2" t="str">
        <f t="shared" si="35"/>
        <v>Q3</v>
      </c>
      <c r="D1098" s="2" t="s">
        <v>31</v>
      </c>
      <c r="E1098" s="13">
        <v>45944</v>
      </c>
      <c r="F1098" s="14" t="s">
        <v>291</v>
      </c>
      <c r="G1098" s="14" t="s">
        <v>19</v>
      </c>
      <c r="H1098" s="14" t="s">
        <v>111</v>
      </c>
      <c r="I1098" s="15">
        <v>5</v>
      </c>
      <c r="J1098" s="15">
        <v>200</v>
      </c>
      <c r="K1098" s="15">
        <v>111.74</v>
      </c>
      <c r="L1098" s="15">
        <v>22348</v>
      </c>
      <c r="M1098" s="15">
        <v>-1718.56</v>
      </c>
      <c r="N1098" s="15">
        <v>0</v>
      </c>
      <c r="O1098" s="15">
        <v>2681.8274519999995</v>
      </c>
      <c r="P1098" s="15">
        <v>23311.267452</v>
      </c>
    </row>
    <row r="1099" spans="1:16" ht="15" x14ac:dyDescent="0.2">
      <c r="A1099" s="4" t="s">
        <v>589</v>
      </c>
      <c r="B1099" s="21" t="str">
        <f t="shared" si="34"/>
        <v>Oct-2025</v>
      </c>
      <c r="C1099" s="2" t="str">
        <f t="shared" si="35"/>
        <v>Q3</v>
      </c>
      <c r="D1099" s="2" t="s">
        <v>31</v>
      </c>
      <c r="E1099" s="13">
        <v>45944</v>
      </c>
      <c r="F1099" s="14" t="s">
        <v>291</v>
      </c>
      <c r="G1099" s="14" t="s">
        <v>19</v>
      </c>
      <c r="H1099" s="14" t="s">
        <v>98</v>
      </c>
      <c r="I1099" s="15">
        <v>3</v>
      </c>
      <c r="J1099" s="15">
        <v>180</v>
      </c>
      <c r="K1099" s="15">
        <v>145.26</v>
      </c>
      <c r="L1099" s="15">
        <v>26146.799999999999</v>
      </c>
      <c r="M1099" s="15">
        <v>-2010.6899999999998</v>
      </c>
      <c r="N1099" s="15">
        <v>0</v>
      </c>
      <c r="O1099" s="15">
        <v>3137.6945940000001</v>
      </c>
      <c r="P1099" s="15">
        <v>27273.804594000001</v>
      </c>
    </row>
    <row r="1100" spans="1:16" ht="15" x14ac:dyDescent="0.2">
      <c r="A1100" s="4" t="s">
        <v>573</v>
      </c>
      <c r="B1100" s="21" t="str">
        <f t="shared" si="34"/>
        <v>Oct-2025</v>
      </c>
      <c r="C1100" s="2" t="str">
        <f t="shared" si="35"/>
        <v>Q3</v>
      </c>
      <c r="D1100" s="2" t="s">
        <v>31</v>
      </c>
      <c r="E1100" s="13">
        <v>45944</v>
      </c>
      <c r="F1100" s="14" t="s">
        <v>291</v>
      </c>
      <c r="G1100" s="14" t="s">
        <v>19</v>
      </c>
      <c r="H1100" s="14" t="s">
        <v>136</v>
      </c>
      <c r="I1100" s="15">
        <v>3</v>
      </c>
      <c r="J1100" s="15">
        <v>120</v>
      </c>
      <c r="K1100" s="15">
        <v>111.74</v>
      </c>
      <c r="L1100" s="15">
        <v>13408.8</v>
      </c>
      <c r="M1100" s="15">
        <v>-1031.1400000000001</v>
      </c>
      <c r="N1100" s="15">
        <v>0</v>
      </c>
      <c r="O1100" s="15">
        <v>1609.095951</v>
      </c>
      <c r="P1100" s="15">
        <v>13986.755950999999</v>
      </c>
    </row>
    <row r="1101" spans="1:16" ht="15" x14ac:dyDescent="0.2">
      <c r="A1101" s="4" t="s">
        <v>581</v>
      </c>
      <c r="B1101" s="21" t="str">
        <f t="shared" si="34"/>
        <v>Oct-2025</v>
      </c>
      <c r="C1101" s="2" t="str">
        <f t="shared" si="35"/>
        <v>Q3</v>
      </c>
      <c r="D1101" s="2" t="s">
        <v>31</v>
      </c>
      <c r="E1101" s="13">
        <v>45944</v>
      </c>
      <c r="F1101" s="14" t="s">
        <v>292</v>
      </c>
      <c r="G1101" s="14" t="s">
        <v>14</v>
      </c>
      <c r="H1101" s="14" t="s">
        <v>104</v>
      </c>
      <c r="I1101" s="15">
        <v>3</v>
      </c>
      <c r="J1101" s="15">
        <v>120</v>
      </c>
      <c r="K1101" s="15">
        <v>67.040000000000006</v>
      </c>
      <c r="L1101" s="15">
        <v>8044.8</v>
      </c>
      <c r="M1101" s="15">
        <v>-618.65</v>
      </c>
      <c r="N1101" s="15">
        <v>0</v>
      </c>
      <c r="O1101" s="15">
        <v>965.39865199999997</v>
      </c>
      <c r="P1101" s="15">
        <v>8391.5486519999995</v>
      </c>
    </row>
    <row r="1102" spans="1:16" ht="15" x14ac:dyDescent="0.2">
      <c r="A1102" s="4" t="s">
        <v>589</v>
      </c>
      <c r="B1102" s="21" t="str">
        <f t="shared" si="34"/>
        <v>Oct-2025</v>
      </c>
      <c r="C1102" s="2" t="str">
        <f t="shared" si="35"/>
        <v>Q3</v>
      </c>
      <c r="D1102" s="2" t="s">
        <v>31</v>
      </c>
      <c r="E1102" s="13">
        <v>45944</v>
      </c>
      <c r="F1102" s="14" t="s">
        <v>292</v>
      </c>
      <c r="G1102" s="14" t="s">
        <v>14</v>
      </c>
      <c r="H1102" s="14" t="s">
        <v>98</v>
      </c>
      <c r="I1102" s="15">
        <v>3</v>
      </c>
      <c r="J1102" s="15">
        <v>180</v>
      </c>
      <c r="K1102" s="15">
        <v>145.26</v>
      </c>
      <c r="L1102" s="15">
        <v>26146.799999999999</v>
      </c>
      <c r="M1102" s="15">
        <v>-2010.6899999999998</v>
      </c>
      <c r="N1102" s="15">
        <v>0</v>
      </c>
      <c r="O1102" s="15">
        <v>3137.6915430000004</v>
      </c>
      <c r="P1102" s="15">
        <v>27273.801543000001</v>
      </c>
    </row>
    <row r="1103" spans="1:16" ht="15" x14ac:dyDescent="0.2">
      <c r="A1103" s="4" t="s">
        <v>584</v>
      </c>
      <c r="B1103" s="21" t="str">
        <f t="shared" si="34"/>
        <v>Oct-2025</v>
      </c>
      <c r="C1103" s="2" t="str">
        <f t="shared" si="35"/>
        <v>Q3</v>
      </c>
      <c r="D1103" s="2" t="s">
        <v>31</v>
      </c>
      <c r="E1103" s="13">
        <v>45944</v>
      </c>
      <c r="F1103" s="14" t="s">
        <v>292</v>
      </c>
      <c r="G1103" s="14" t="s">
        <v>14</v>
      </c>
      <c r="H1103" s="14" t="s">
        <v>120</v>
      </c>
      <c r="I1103" s="15">
        <v>1</v>
      </c>
      <c r="J1103" s="15">
        <v>40</v>
      </c>
      <c r="K1103" s="15">
        <v>81.94</v>
      </c>
      <c r="L1103" s="15">
        <v>3277.6</v>
      </c>
      <c r="M1103" s="15">
        <v>-252.05</v>
      </c>
      <c r="N1103" s="15">
        <v>0</v>
      </c>
      <c r="O1103" s="15">
        <v>393.32115399999998</v>
      </c>
      <c r="P1103" s="15">
        <v>3418.8711539999999</v>
      </c>
    </row>
    <row r="1104" spans="1:16" ht="15" x14ac:dyDescent="0.2">
      <c r="A1104" s="4" t="s">
        <v>581</v>
      </c>
      <c r="B1104" s="21" t="str">
        <f t="shared" si="34"/>
        <v>Oct-2025</v>
      </c>
      <c r="C1104" s="2" t="str">
        <f t="shared" si="35"/>
        <v>Q3</v>
      </c>
      <c r="D1104" s="2" t="s">
        <v>31</v>
      </c>
      <c r="E1104" s="13">
        <v>45944</v>
      </c>
      <c r="F1104" s="14" t="s">
        <v>292</v>
      </c>
      <c r="G1104" s="14" t="s">
        <v>14</v>
      </c>
      <c r="H1104" s="14" t="s">
        <v>96</v>
      </c>
      <c r="I1104" s="15">
        <v>3</v>
      </c>
      <c r="J1104" s="15">
        <v>120</v>
      </c>
      <c r="K1104" s="15">
        <v>67.040000000000006</v>
      </c>
      <c r="L1104" s="15">
        <v>8044.8</v>
      </c>
      <c r="M1104" s="15">
        <v>-618.65</v>
      </c>
      <c r="N1104" s="15">
        <v>0</v>
      </c>
      <c r="O1104" s="15">
        <v>965.39865199999997</v>
      </c>
      <c r="P1104" s="15">
        <v>8391.5486519999995</v>
      </c>
    </row>
    <row r="1105" spans="1:16" ht="15" x14ac:dyDescent="0.2">
      <c r="A1105" s="4" t="s">
        <v>577</v>
      </c>
      <c r="B1105" s="21" t="str">
        <f t="shared" si="34"/>
        <v>Oct-2025</v>
      </c>
      <c r="C1105" s="2" t="str">
        <f t="shared" si="35"/>
        <v>Q3</v>
      </c>
      <c r="D1105" s="2" t="s">
        <v>31</v>
      </c>
      <c r="E1105" s="13">
        <v>45944</v>
      </c>
      <c r="F1105" s="14" t="s">
        <v>293</v>
      </c>
      <c r="G1105" s="14" t="s">
        <v>119</v>
      </c>
      <c r="H1105" s="14" t="s">
        <v>57</v>
      </c>
      <c r="I1105" s="15">
        <v>3</v>
      </c>
      <c r="J1105" s="15">
        <v>540</v>
      </c>
      <c r="K1105" s="15">
        <v>18.62</v>
      </c>
      <c r="L1105" s="15">
        <v>10054.799999999999</v>
      </c>
      <c r="M1105" s="15">
        <v>-773.20999999999992</v>
      </c>
      <c r="N1105" s="15">
        <v>0</v>
      </c>
      <c r="O1105" s="15">
        <v>1206.6041290000001</v>
      </c>
      <c r="P1105" s="15">
        <v>10488.194129</v>
      </c>
    </row>
    <row r="1106" spans="1:16" ht="15" x14ac:dyDescent="0.2">
      <c r="A1106" s="4" t="s">
        <v>589</v>
      </c>
      <c r="B1106" s="21" t="str">
        <f t="shared" si="34"/>
        <v>Oct-2025</v>
      </c>
      <c r="C1106" s="2" t="str">
        <f t="shared" si="35"/>
        <v>Q3</v>
      </c>
      <c r="D1106" s="2" t="s">
        <v>31</v>
      </c>
      <c r="E1106" s="13">
        <v>45944</v>
      </c>
      <c r="F1106" s="14" t="s">
        <v>293</v>
      </c>
      <c r="G1106" s="14" t="s">
        <v>119</v>
      </c>
      <c r="H1106" s="14" t="s">
        <v>98</v>
      </c>
      <c r="I1106" s="15">
        <v>1</v>
      </c>
      <c r="J1106" s="15">
        <v>60</v>
      </c>
      <c r="K1106" s="15">
        <v>145.26</v>
      </c>
      <c r="L1106" s="15">
        <v>8715.6</v>
      </c>
      <c r="M1106" s="15">
        <v>-670.23</v>
      </c>
      <c r="N1106" s="15">
        <v>0</v>
      </c>
      <c r="O1106" s="15">
        <v>1045.8958709999999</v>
      </c>
      <c r="P1106" s="15">
        <v>9091.2658709999996</v>
      </c>
    </row>
    <row r="1107" spans="1:16" ht="15" x14ac:dyDescent="0.2">
      <c r="A1107" s="4" t="s">
        <v>591</v>
      </c>
      <c r="B1107" s="21" t="str">
        <f t="shared" si="34"/>
        <v>Oct-2025</v>
      </c>
      <c r="C1107" s="2" t="str">
        <f t="shared" si="35"/>
        <v>Q3</v>
      </c>
      <c r="D1107" s="2" t="s">
        <v>31</v>
      </c>
      <c r="E1107" s="13">
        <v>45944</v>
      </c>
      <c r="F1107" s="14" t="s">
        <v>294</v>
      </c>
      <c r="G1107" s="14" t="s">
        <v>171</v>
      </c>
      <c r="H1107" s="14" t="s">
        <v>106</v>
      </c>
      <c r="I1107" s="15">
        <v>3</v>
      </c>
      <c r="J1107" s="15">
        <v>180</v>
      </c>
      <c r="K1107" s="15">
        <v>111.74</v>
      </c>
      <c r="L1107" s="15">
        <v>20113.2</v>
      </c>
      <c r="M1107" s="15">
        <v>-1546.71</v>
      </c>
      <c r="N1107" s="15">
        <v>0</v>
      </c>
      <c r="O1107" s="15">
        <v>2413.6442320000001</v>
      </c>
      <c r="P1107" s="15">
        <v>20980.134232</v>
      </c>
    </row>
    <row r="1108" spans="1:16" ht="15" x14ac:dyDescent="0.2">
      <c r="A1108" s="4" t="s">
        <v>573</v>
      </c>
      <c r="B1108" s="21" t="str">
        <f t="shared" si="34"/>
        <v>Oct-2025</v>
      </c>
      <c r="C1108" s="2" t="str">
        <f t="shared" si="35"/>
        <v>Q3</v>
      </c>
      <c r="D1108" s="2" t="s">
        <v>31</v>
      </c>
      <c r="E1108" s="13">
        <v>45944</v>
      </c>
      <c r="F1108" s="14" t="s">
        <v>294</v>
      </c>
      <c r="G1108" s="14" t="s">
        <v>171</v>
      </c>
      <c r="H1108" s="14" t="s">
        <v>138</v>
      </c>
      <c r="I1108" s="15">
        <v>2</v>
      </c>
      <c r="J1108" s="15">
        <v>80</v>
      </c>
      <c r="K1108" s="15">
        <v>111.74</v>
      </c>
      <c r="L1108" s="15">
        <v>8939.2000000000007</v>
      </c>
      <c r="M1108" s="15">
        <v>-687.42</v>
      </c>
      <c r="N1108" s="15">
        <v>0</v>
      </c>
      <c r="O1108" s="15">
        <v>1072.7316370000001</v>
      </c>
      <c r="P1108" s="15">
        <v>9324.5116369999996</v>
      </c>
    </row>
    <row r="1109" spans="1:16" ht="15" x14ac:dyDescent="0.2">
      <c r="A1109" s="4" t="s">
        <v>582</v>
      </c>
      <c r="B1109" s="21" t="str">
        <f t="shared" si="34"/>
        <v>Oct-2025</v>
      </c>
      <c r="C1109" s="2" t="str">
        <f t="shared" si="35"/>
        <v>Q3</v>
      </c>
      <c r="D1109" s="2" t="s">
        <v>31</v>
      </c>
      <c r="E1109" s="13">
        <v>45944</v>
      </c>
      <c r="F1109" s="14" t="s">
        <v>294</v>
      </c>
      <c r="G1109" s="14" t="s">
        <v>171</v>
      </c>
      <c r="H1109" s="14" t="s">
        <v>77</v>
      </c>
      <c r="I1109" s="15">
        <v>3</v>
      </c>
      <c r="J1109" s="15">
        <v>72</v>
      </c>
      <c r="K1109" s="15">
        <v>204.85</v>
      </c>
      <c r="L1109" s="15">
        <v>14749.199999999999</v>
      </c>
      <c r="M1109" s="15">
        <v>-1134.21</v>
      </c>
      <c r="N1109" s="15">
        <v>0</v>
      </c>
      <c r="O1109" s="15">
        <v>1769.9490900000001</v>
      </c>
      <c r="P1109" s="15">
        <v>15384.93909</v>
      </c>
    </row>
    <row r="1110" spans="1:16" ht="15" x14ac:dyDescent="0.2">
      <c r="A1110" s="4" t="s">
        <v>579</v>
      </c>
      <c r="B1110" s="21" t="str">
        <f t="shared" si="34"/>
        <v>Oct-2025</v>
      </c>
      <c r="C1110" s="2" t="str">
        <f t="shared" si="35"/>
        <v>Q3</v>
      </c>
      <c r="D1110" s="2" t="s">
        <v>31</v>
      </c>
      <c r="E1110" s="13">
        <v>45944</v>
      </c>
      <c r="F1110" s="14" t="s">
        <v>294</v>
      </c>
      <c r="G1110" s="14" t="s">
        <v>171</v>
      </c>
      <c r="H1110" s="14" t="s">
        <v>140</v>
      </c>
      <c r="I1110" s="15">
        <v>4</v>
      </c>
      <c r="J1110" s="15">
        <v>80</v>
      </c>
      <c r="K1110" s="15">
        <v>204.85</v>
      </c>
      <c r="L1110" s="15">
        <v>16388</v>
      </c>
      <c r="M1110" s="15">
        <v>-1260.24</v>
      </c>
      <c r="N1110" s="15">
        <v>0</v>
      </c>
      <c r="O1110" s="15">
        <v>1966.609234</v>
      </c>
      <c r="P1110" s="15">
        <v>17094.369234000002</v>
      </c>
    </row>
    <row r="1111" spans="1:16" ht="15" x14ac:dyDescent="0.2">
      <c r="A1111" s="4" t="s">
        <v>583</v>
      </c>
      <c r="B1111" s="21" t="str">
        <f t="shared" si="34"/>
        <v>Oct-2025</v>
      </c>
      <c r="C1111" s="2" t="str">
        <f t="shared" si="35"/>
        <v>Q3</v>
      </c>
      <c r="D1111" s="2" t="s">
        <v>31</v>
      </c>
      <c r="E1111" s="13">
        <v>45944</v>
      </c>
      <c r="F1111" s="14" t="s">
        <v>294</v>
      </c>
      <c r="G1111" s="14" t="s">
        <v>171</v>
      </c>
      <c r="H1111" s="14" t="s">
        <v>113</v>
      </c>
      <c r="I1111" s="15">
        <v>2</v>
      </c>
      <c r="J1111" s="15">
        <v>30</v>
      </c>
      <c r="K1111" s="15">
        <v>260.72000000000003</v>
      </c>
      <c r="L1111" s="15">
        <v>7821.6</v>
      </c>
      <c r="M1111" s="15">
        <v>-601.48</v>
      </c>
      <c r="N1111" s="15">
        <v>0</v>
      </c>
      <c r="O1111" s="15">
        <v>938.6158069999999</v>
      </c>
      <c r="P1111" s="15">
        <v>8158.735807</v>
      </c>
    </row>
    <row r="1112" spans="1:16" ht="15" x14ac:dyDescent="0.2">
      <c r="A1112" s="4" t="s">
        <v>577</v>
      </c>
      <c r="B1112" s="21" t="str">
        <f t="shared" si="34"/>
        <v>Oct-2025</v>
      </c>
      <c r="C1112" s="2" t="str">
        <f t="shared" si="35"/>
        <v>Q3</v>
      </c>
      <c r="D1112" s="2" t="s">
        <v>31</v>
      </c>
      <c r="E1112" s="13">
        <v>45945</v>
      </c>
      <c r="F1112" s="14" t="s">
        <v>295</v>
      </c>
      <c r="G1112" s="14" t="s">
        <v>80</v>
      </c>
      <c r="H1112" s="14" t="s">
        <v>57</v>
      </c>
      <c r="I1112" s="15">
        <v>1.94</v>
      </c>
      <c r="J1112" s="15">
        <v>350</v>
      </c>
      <c r="K1112" s="15">
        <v>15.35</v>
      </c>
      <c r="L1112" s="15">
        <v>5372.5</v>
      </c>
      <c r="M1112" s="15">
        <v>0</v>
      </c>
      <c r="N1112" s="15">
        <v>0</v>
      </c>
      <c r="O1112" s="15">
        <v>698.43000000000006</v>
      </c>
      <c r="P1112" s="15">
        <v>6070.93</v>
      </c>
    </row>
    <row r="1113" spans="1:16" ht="15" x14ac:dyDescent="0.2">
      <c r="A1113" s="4" t="s">
        <v>581</v>
      </c>
      <c r="B1113" s="21" t="str">
        <f t="shared" si="34"/>
        <v>Oct-2025</v>
      </c>
      <c r="C1113" s="2" t="str">
        <f t="shared" si="35"/>
        <v>Q3</v>
      </c>
      <c r="D1113" s="2" t="s">
        <v>31</v>
      </c>
      <c r="E1113" s="13">
        <v>45946</v>
      </c>
      <c r="F1113" s="14" t="s">
        <v>296</v>
      </c>
      <c r="G1113" s="14" t="s">
        <v>130</v>
      </c>
      <c r="H1113" s="14" t="s">
        <v>104</v>
      </c>
      <c r="I1113" s="15">
        <v>10</v>
      </c>
      <c r="J1113" s="15">
        <v>400</v>
      </c>
      <c r="K1113" s="15">
        <v>67.040000000000006</v>
      </c>
      <c r="L1113" s="15">
        <v>26816</v>
      </c>
      <c r="M1113" s="15">
        <v>-2062.15</v>
      </c>
      <c r="N1113" s="15">
        <v>0</v>
      </c>
      <c r="O1113" s="15">
        <v>3218.00072</v>
      </c>
      <c r="P1113" s="15">
        <v>27971.850719999999</v>
      </c>
    </row>
    <row r="1114" spans="1:16" ht="15" x14ac:dyDescent="0.2">
      <c r="A1114" s="4" t="s">
        <v>583</v>
      </c>
      <c r="B1114" s="21" t="str">
        <f t="shared" si="34"/>
        <v>Oct-2025</v>
      </c>
      <c r="C1114" s="2" t="str">
        <f t="shared" si="35"/>
        <v>Q3</v>
      </c>
      <c r="D1114" s="2" t="s">
        <v>31</v>
      </c>
      <c r="E1114" s="13">
        <v>45946</v>
      </c>
      <c r="F1114" s="14" t="s">
        <v>296</v>
      </c>
      <c r="G1114" s="14" t="s">
        <v>130</v>
      </c>
      <c r="H1114" s="14" t="s">
        <v>109</v>
      </c>
      <c r="I1114" s="15">
        <v>15</v>
      </c>
      <c r="J1114" s="15">
        <v>225</v>
      </c>
      <c r="K1114" s="15">
        <v>260.72000000000003</v>
      </c>
      <c r="L1114" s="15">
        <v>58662</v>
      </c>
      <c r="M1114" s="15">
        <v>-4511.1099999999997</v>
      </c>
      <c r="N1114" s="15">
        <v>0</v>
      </c>
      <c r="O1114" s="15">
        <v>7039.6161820000007</v>
      </c>
      <c r="P1114" s="15">
        <v>61190.506181999997</v>
      </c>
    </row>
    <row r="1115" spans="1:16" ht="15" x14ac:dyDescent="0.2">
      <c r="A1115" s="4" t="s">
        <v>578</v>
      </c>
      <c r="B1115" s="21" t="str">
        <f t="shared" si="34"/>
        <v>Oct-2025</v>
      </c>
      <c r="C1115" s="2" t="str">
        <f t="shared" si="35"/>
        <v>Q3</v>
      </c>
      <c r="D1115" s="2" t="s">
        <v>31</v>
      </c>
      <c r="E1115" s="13">
        <v>45946</v>
      </c>
      <c r="F1115" s="14" t="s">
        <v>296</v>
      </c>
      <c r="G1115" s="14" t="s">
        <v>130</v>
      </c>
      <c r="H1115" s="14" t="s">
        <v>60</v>
      </c>
      <c r="I1115" s="15">
        <v>8</v>
      </c>
      <c r="J1115" s="15">
        <v>336</v>
      </c>
      <c r="K1115" s="15">
        <v>74.489999999999995</v>
      </c>
      <c r="L1115" s="15">
        <v>25028.639999999999</v>
      </c>
      <c r="M1115" s="15">
        <v>-1924.7</v>
      </c>
      <c r="N1115" s="15">
        <v>0</v>
      </c>
      <c r="O1115" s="15">
        <v>3003.5124059999998</v>
      </c>
      <c r="P1115" s="15">
        <v>26107.452406</v>
      </c>
    </row>
    <row r="1116" spans="1:16" ht="15" x14ac:dyDescent="0.2">
      <c r="A1116" s="4" t="s">
        <v>575</v>
      </c>
      <c r="B1116" s="21" t="str">
        <f t="shared" si="34"/>
        <v>Oct-2025</v>
      </c>
      <c r="C1116" s="2" t="str">
        <f t="shared" si="35"/>
        <v>Q3</v>
      </c>
      <c r="D1116" s="2" t="s">
        <v>31</v>
      </c>
      <c r="E1116" s="13">
        <v>45946</v>
      </c>
      <c r="F1116" s="14" t="s">
        <v>296</v>
      </c>
      <c r="G1116" s="14" t="s">
        <v>130</v>
      </c>
      <c r="H1116" s="14" t="s">
        <v>55</v>
      </c>
      <c r="I1116" s="15">
        <v>50</v>
      </c>
      <c r="J1116" s="15">
        <v>1000</v>
      </c>
      <c r="K1116" s="15">
        <v>186.22</v>
      </c>
      <c r="L1116" s="15">
        <v>186220</v>
      </c>
      <c r="M1116" s="15">
        <v>-14320.32</v>
      </c>
      <c r="N1116" s="15">
        <v>0</v>
      </c>
      <c r="O1116" s="15">
        <v>22346.959930999998</v>
      </c>
      <c r="P1116" s="15">
        <v>194246.63993100001</v>
      </c>
    </row>
    <row r="1117" spans="1:16" ht="15" x14ac:dyDescent="0.2">
      <c r="A1117" s="4" t="s">
        <v>583</v>
      </c>
      <c r="B1117" s="21" t="str">
        <f t="shared" si="34"/>
        <v>Oct-2025</v>
      </c>
      <c r="C1117" s="2" t="str">
        <f t="shared" si="35"/>
        <v>Q3</v>
      </c>
      <c r="D1117" s="2" t="s">
        <v>31</v>
      </c>
      <c r="E1117" s="13">
        <v>45946</v>
      </c>
      <c r="F1117" s="14" t="s">
        <v>296</v>
      </c>
      <c r="G1117" s="14" t="s">
        <v>130</v>
      </c>
      <c r="H1117" s="14" t="s">
        <v>113</v>
      </c>
      <c r="I1117" s="15">
        <v>20</v>
      </c>
      <c r="J1117" s="15">
        <v>300</v>
      </c>
      <c r="K1117" s="15">
        <v>260.72000000000003</v>
      </c>
      <c r="L1117" s="15">
        <v>78216</v>
      </c>
      <c r="M1117" s="15">
        <v>-6014.81</v>
      </c>
      <c r="N1117" s="15">
        <v>0</v>
      </c>
      <c r="O1117" s="15">
        <v>9386.1553430000004</v>
      </c>
      <c r="P1117" s="15">
        <v>81587.345342999994</v>
      </c>
    </row>
    <row r="1118" spans="1:16" ht="15" x14ac:dyDescent="0.2">
      <c r="A1118" s="4" t="s">
        <v>578</v>
      </c>
      <c r="B1118" s="21" t="str">
        <f t="shared" si="34"/>
        <v>Oct-2025</v>
      </c>
      <c r="C1118" s="2" t="str">
        <f t="shared" si="35"/>
        <v>Q3</v>
      </c>
      <c r="D1118" s="2" t="s">
        <v>31</v>
      </c>
      <c r="E1118" s="13">
        <v>45946</v>
      </c>
      <c r="F1118" s="14" t="s">
        <v>296</v>
      </c>
      <c r="G1118" s="14" t="s">
        <v>130</v>
      </c>
      <c r="H1118" s="14" t="s">
        <v>59</v>
      </c>
      <c r="I1118" s="15">
        <v>8.1199999999999992</v>
      </c>
      <c r="J1118" s="15">
        <v>341</v>
      </c>
      <c r="K1118" s="15">
        <v>74.489999999999995</v>
      </c>
      <c r="L1118" s="15">
        <v>25401.09</v>
      </c>
      <c r="M1118" s="15">
        <v>-1953.3400000000001</v>
      </c>
      <c r="N1118" s="15">
        <v>0</v>
      </c>
      <c r="O1118" s="15">
        <v>3048.2077090000002</v>
      </c>
      <c r="P1118" s="15">
        <v>26495.957708999998</v>
      </c>
    </row>
    <row r="1119" spans="1:16" ht="15" x14ac:dyDescent="0.2">
      <c r="A1119" s="4" t="s">
        <v>578</v>
      </c>
      <c r="B1119" s="21" t="str">
        <f t="shared" si="34"/>
        <v>Oct-2025</v>
      </c>
      <c r="C1119" s="2" t="str">
        <f t="shared" si="35"/>
        <v>Q3</v>
      </c>
      <c r="D1119" s="2" t="s">
        <v>31</v>
      </c>
      <c r="E1119" s="13">
        <v>45946</v>
      </c>
      <c r="F1119" s="14" t="s">
        <v>296</v>
      </c>
      <c r="G1119" s="14" t="s">
        <v>130</v>
      </c>
      <c r="H1119" s="14" t="s">
        <v>62</v>
      </c>
      <c r="I1119" s="15">
        <v>8.1199999999999992</v>
      </c>
      <c r="J1119" s="15">
        <v>341</v>
      </c>
      <c r="K1119" s="15">
        <v>74.489999999999995</v>
      </c>
      <c r="L1119" s="15">
        <v>25401.09</v>
      </c>
      <c r="M1119" s="15">
        <v>-1953.3400000000001</v>
      </c>
      <c r="N1119" s="15">
        <v>0</v>
      </c>
      <c r="O1119" s="15">
        <v>3048.2077090000002</v>
      </c>
      <c r="P1119" s="15">
        <v>26495.957708999998</v>
      </c>
    </row>
    <row r="1120" spans="1:16" ht="15" x14ac:dyDescent="0.2">
      <c r="A1120" s="4" t="s">
        <v>578</v>
      </c>
      <c r="B1120" s="21" t="str">
        <f t="shared" si="34"/>
        <v>Oct-2025</v>
      </c>
      <c r="C1120" s="2" t="str">
        <f t="shared" si="35"/>
        <v>Q3</v>
      </c>
      <c r="D1120" s="2" t="s">
        <v>31</v>
      </c>
      <c r="E1120" s="13">
        <v>45946</v>
      </c>
      <c r="F1120" s="14" t="s">
        <v>297</v>
      </c>
      <c r="G1120" s="14" t="s">
        <v>21</v>
      </c>
      <c r="H1120" s="14" t="s">
        <v>60</v>
      </c>
      <c r="I1120" s="15">
        <v>-8</v>
      </c>
      <c r="J1120" s="15">
        <v>-336</v>
      </c>
      <c r="K1120" s="15">
        <v>68.760000000000005</v>
      </c>
      <c r="L1120" s="15">
        <v>-23103.360000000001</v>
      </c>
      <c r="M1120" s="15">
        <v>0</v>
      </c>
      <c r="N1120" s="15">
        <v>0</v>
      </c>
      <c r="O1120" s="15">
        <v>-3003.437328</v>
      </c>
      <c r="P1120" s="15">
        <v>-26106.797328000001</v>
      </c>
    </row>
    <row r="1121" spans="1:16" ht="15" x14ac:dyDescent="0.2">
      <c r="A1121" s="4" t="s">
        <v>578</v>
      </c>
      <c r="B1121" s="21" t="str">
        <f t="shared" si="34"/>
        <v>Oct-2025</v>
      </c>
      <c r="C1121" s="2" t="str">
        <f t="shared" si="35"/>
        <v>Q3</v>
      </c>
      <c r="D1121" s="2" t="s">
        <v>31</v>
      </c>
      <c r="E1121" s="13">
        <v>45946</v>
      </c>
      <c r="F1121" s="14" t="s">
        <v>297</v>
      </c>
      <c r="G1121" s="14" t="s">
        <v>21</v>
      </c>
      <c r="H1121" s="14" t="s">
        <v>59</v>
      </c>
      <c r="I1121" s="15">
        <v>-8.1199999999999992</v>
      </c>
      <c r="J1121" s="15">
        <v>-341</v>
      </c>
      <c r="K1121" s="15">
        <v>68.760000000000005</v>
      </c>
      <c r="L1121" s="15">
        <v>-23447.16</v>
      </c>
      <c r="M1121" s="15">
        <v>0</v>
      </c>
      <c r="N1121" s="15">
        <v>0</v>
      </c>
      <c r="O1121" s="15">
        <v>-3048.1313359999999</v>
      </c>
      <c r="P1121" s="15">
        <v>-26495.291335999998</v>
      </c>
    </row>
    <row r="1122" spans="1:16" ht="15" x14ac:dyDescent="0.2">
      <c r="A1122" s="4" t="s">
        <v>578</v>
      </c>
      <c r="B1122" s="21" t="str">
        <f t="shared" si="34"/>
        <v>Oct-2025</v>
      </c>
      <c r="C1122" s="2" t="str">
        <f t="shared" si="35"/>
        <v>Q3</v>
      </c>
      <c r="D1122" s="2" t="s">
        <v>31</v>
      </c>
      <c r="E1122" s="13">
        <v>45946</v>
      </c>
      <c r="F1122" s="14" t="s">
        <v>297</v>
      </c>
      <c r="G1122" s="14" t="s">
        <v>21</v>
      </c>
      <c r="H1122" s="14" t="s">
        <v>62</v>
      </c>
      <c r="I1122" s="15">
        <v>-8.1199999999999992</v>
      </c>
      <c r="J1122" s="15">
        <v>-341</v>
      </c>
      <c r="K1122" s="15">
        <v>68.760000000000005</v>
      </c>
      <c r="L1122" s="15">
        <v>-23447.16</v>
      </c>
      <c r="M1122" s="15">
        <v>0</v>
      </c>
      <c r="N1122" s="15">
        <v>0</v>
      </c>
      <c r="O1122" s="15">
        <v>-3048.1313359999999</v>
      </c>
      <c r="P1122" s="15">
        <v>-26495.291335999998</v>
      </c>
    </row>
    <row r="1123" spans="1:16" ht="15" x14ac:dyDescent="0.2">
      <c r="A1123" s="4" t="s">
        <v>577</v>
      </c>
      <c r="B1123" s="21" t="str">
        <f t="shared" si="34"/>
        <v>Oct-2025</v>
      </c>
      <c r="C1123" s="2" t="str">
        <f t="shared" si="35"/>
        <v>Q3</v>
      </c>
      <c r="D1123" s="2" t="s">
        <v>31</v>
      </c>
      <c r="E1123" s="13">
        <v>45947</v>
      </c>
      <c r="F1123" s="14" t="s">
        <v>298</v>
      </c>
      <c r="G1123" s="14" t="s">
        <v>24</v>
      </c>
      <c r="H1123" s="14" t="s">
        <v>57</v>
      </c>
      <c r="I1123" s="15">
        <v>1.67</v>
      </c>
      <c r="J1123" s="15">
        <v>300</v>
      </c>
      <c r="K1123" s="15">
        <v>15.35</v>
      </c>
      <c r="L1123" s="15">
        <v>4605</v>
      </c>
      <c r="M1123" s="15">
        <v>0</v>
      </c>
      <c r="N1123" s="15">
        <v>0</v>
      </c>
      <c r="O1123" s="15">
        <v>598.65</v>
      </c>
      <c r="P1123" s="15">
        <v>5203.6499999999996</v>
      </c>
    </row>
    <row r="1124" spans="1:16" ht="15" x14ac:dyDescent="0.2">
      <c r="A1124" s="4" t="s">
        <v>577</v>
      </c>
      <c r="B1124" s="21" t="str">
        <f t="shared" si="34"/>
        <v>Oct-2025</v>
      </c>
      <c r="C1124" s="2" t="str">
        <f t="shared" si="35"/>
        <v>Q3</v>
      </c>
      <c r="D1124" s="2" t="s">
        <v>31</v>
      </c>
      <c r="E1124" s="13">
        <v>45947</v>
      </c>
      <c r="F1124" s="14" t="s">
        <v>299</v>
      </c>
      <c r="G1124" s="14" t="s">
        <v>80</v>
      </c>
      <c r="H1124" s="14" t="s">
        <v>57</v>
      </c>
      <c r="I1124" s="15">
        <v>8.17</v>
      </c>
      <c r="J1124" s="15">
        <v>1470</v>
      </c>
      <c r="K1124" s="15">
        <v>15.35</v>
      </c>
      <c r="L1124" s="15">
        <v>22564.5</v>
      </c>
      <c r="M1124" s="15">
        <v>0</v>
      </c>
      <c r="N1124" s="15">
        <v>0</v>
      </c>
      <c r="O1124" s="15">
        <v>2933.39</v>
      </c>
      <c r="P1124" s="15">
        <v>25497.89</v>
      </c>
    </row>
    <row r="1125" spans="1:16" ht="15" x14ac:dyDescent="0.2">
      <c r="A1125" s="4" t="s">
        <v>580</v>
      </c>
      <c r="B1125" s="21" t="str">
        <f t="shared" si="34"/>
        <v>Oct-2025</v>
      </c>
      <c r="C1125" s="2" t="str">
        <f t="shared" si="35"/>
        <v>Q3</v>
      </c>
      <c r="D1125" s="2" t="s">
        <v>31</v>
      </c>
      <c r="E1125" s="13">
        <v>45947</v>
      </c>
      <c r="F1125" s="14" t="s">
        <v>300</v>
      </c>
      <c r="G1125" s="14" t="s">
        <v>130</v>
      </c>
      <c r="H1125" s="14" t="s">
        <v>89</v>
      </c>
      <c r="I1125" s="15">
        <v>50</v>
      </c>
      <c r="J1125" s="15">
        <v>3500</v>
      </c>
      <c r="K1125" s="15">
        <v>37.25</v>
      </c>
      <c r="L1125" s="15">
        <v>130375</v>
      </c>
      <c r="M1125" s="15">
        <v>-10025.84</v>
      </c>
      <c r="N1125" s="15">
        <v>0</v>
      </c>
      <c r="O1125" s="15">
        <v>15645.389285000001</v>
      </c>
      <c r="P1125" s="15">
        <v>135994.54928499999</v>
      </c>
    </row>
    <row r="1126" spans="1:16" ht="15" x14ac:dyDescent="0.2">
      <c r="A1126" s="4" t="s">
        <v>581</v>
      </c>
      <c r="B1126" s="21" t="str">
        <f t="shared" si="34"/>
        <v>Oct-2025</v>
      </c>
      <c r="C1126" s="2" t="str">
        <f t="shared" si="35"/>
        <v>Q3</v>
      </c>
      <c r="D1126" s="2" t="s">
        <v>31</v>
      </c>
      <c r="E1126" s="13">
        <v>45947</v>
      </c>
      <c r="F1126" s="14" t="s">
        <v>300</v>
      </c>
      <c r="G1126" s="14" t="s">
        <v>130</v>
      </c>
      <c r="H1126" s="14" t="s">
        <v>96</v>
      </c>
      <c r="I1126" s="15">
        <v>28</v>
      </c>
      <c r="J1126" s="15">
        <v>1120</v>
      </c>
      <c r="K1126" s="15">
        <v>67.040000000000006</v>
      </c>
      <c r="L1126" s="15">
        <v>75084.800000000003</v>
      </c>
      <c r="M1126" s="15">
        <v>-5774.02</v>
      </c>
      <c r="N1126" s="15">
        <v>0</v>
      </c>
      <c r="O1126" s="15">
        <v>9010.4005269999998</v>
      </c>
      <c r="P1126" s="15">
        <v>78321.180527000004</v>
      </c>
    </row>
    <row r="1127" spans="1:16" ht="15" x14ac:dyDescent="0.2">
      <c r="A1127" s="4" t="s">
        <v>581</v>
      </c>
      <c r="B1127" s="21" t="str">
        <f t="shared" si="34"/>
        <v>Oct-2025</v>
      </c>
      <c r="C1127" s="2" t="str">
        <f t="shared" si="35"/>
        <v>Q3</v>
      </c>
      <c r="D1127" s="2" t="s">
        <v>31</v>
      </c>
      <c r="E1127" s="13">
        <v>45947</v>
      </c>
      <c r="F1127" s="14" t="s">
        <v>300</v>
      </c>
      <c r="G1127" s="14" t="s">
        <v>130</v>
      </c>
      <c r="H1127" s="14" t="s">
        <v>104</v>
      </c>
      <c r="I1127" s="15">
        <v>10</v>
      </c>
      <c r="J1127" s="15">
        <v>400</v>
      </c>
      <c r="K1127" s="15">
        <v>67.040000000000006</v>
      </c>
      <c r="L1127" s="15">
        <v>26816</v>
      </c>
      <c r="M1127" s="15">
        <v>-2062.15</v>
      </c>
      <c r="N1127" s="15">
        <v>0</v>
      </c>
      <c r="O1127" s="15">
        <v>3218.000188</v>
      </c>
      <c r="P1127" s="15">
        <v>27971.850188</v>
      </c>
    </row>
    <row r="1128" spans="1:16" ht="15" x14ac:dyDescent="0.2">
      <c r="A1128" s="4" t="s">
        <v>589</v>
      </c>
      <c r="B1128" s="21" t="str">
        <f t="shared" si="34"/>
        <v>Oct-2025</v>
      </c>
      <c r="C1128" s="2" t="str">
        <f t="shared" si="35"/>
        <v>Q3</v>
      </c>
      <c r="D1128" s="2" t="s">
        <v>31</v>
      </c>
      <c r="E1128" s="13">
        <v>45958</v>
      </c>
      <c r="F1128" s="14" t="s">
        <v>301</v>
      </c>
      <c r="G1128" s="14" t="s">
        <v>25</v>
      </c>
      <c r="H1128" s="14" t="s">
        <v>98</v>
      </c>
      <c r="I1128" s="15">
        <v>6</v>
      </c>
      <c r="J1128" s="15">
        <v>360</v>
      </c>
      <c r="K1128" s="15">
        <v>129.41999999999999</v>
      </c>
      <c r="L1128" s="15">
        <v>46591.199999999997</v>
      </c>
      <c r="M1128" s="15">
        <v>0</v>
      </c>
      <c r="N1128" s="15">
        <v>0</v>
      </c>
      <c r="O1128" s="15">
        <v>6056.86</v>
      </c>
      <c r="P1128" s="15">
        <v>52648.06</v>
      </c>
    </row>
    <row r="1129" spans="1:16" ht="15" x14ac:dyDescent="0.2">
      <c r="A1129" s="4" t="s">
        <v>576</v>
      </c>
      <c r="B1129" s="21" t="str">
        <f t="shared" si="34"/>
        <v>Oct-2025</v>
      </c>
      <c r="C1129" s="2" t="str">
        <f t="shared" si="35"/>
        <v>Q3</v>
      </c>
      <c r="D1129" s="2" t="s">
        <v>31</v>
      </c>
      <c r="E1129" s="13">
        <v>45960</v>
      </c>
      <c r="F1129" s="14" t="s">
        <v>302</v>
      </c>
      <c r="G1129" s="14" t="s">
        <v>80</v>
      </c>
      <c r="H1129" s="14" t="s">
        <v>56</v>
      </c>
      <c r="I1129" s="15">
        <v>0.05</v>
      </c>
      <c r="J1129" s="15">
        <v>1</v>
      </c>
      <c r="K1129" s="15">
        <v>175.05</v>
      </c>
      <c r="L1129" s="15">
        <v>175.05</v>
      </c>
      <c r="M1129" s="15">
        <v>-13.46</v>
      </c>
      <c r="N1129" s="15">
        <v>0</v>
      </c>
      <c r="O1129" s="15">
        <v>21.006668999999999</v>
      </c>
      <c r="P1129" s="15">
        <v>182.59666899999999</v>
      </c>
    </row>
    <row r="1130" spans="1:16" ht="15" x14ac:dyDescent="0.2">
      <c r="A1130" s="4" t="s">
        <v>584</v>
      </c>
      <c r="B1130" s="21" t="str">
        <f t="shared" si="34"/>
        <v>Oct-2025</v>
      </c>
      <c r="C1130" s="2" t="str">
        <f t="shared" si="35"/>
        <v>Q3</v>
      </c>
      <c r="D1130" s="2" t="s">
        <v>31</v>
      </c>
      <c r="E1130" s="13">
        <v>45960</v>
      </c>
      <c r="F1130" s="14" t="s">
        <v>302</v>
      </c>
      <c r="G1130" s="14" t="s">
        <v>80</v>
      </c>
      <c r="H1130" s="14" t="s">
        <v>120</v>
      </c>
      <c r="I1130" s="15">
        <v>0.03</v>
      </c>
      <c r="J1130" s="15">
        <v>1</v>
      </c>
      <c r="K1130" s="15">
        <v>81.94</v>
      </c>
      <c r="L1130" s="15">
        <v>81.94</v>
      </c>
      <c r="M1130" s="15">
        <v>-6.3</v>
      </c>
      <c r="N1130" s="15">
        <v>0</v>
      </c>
      <c r="O1130" s="15">
        <v>9.8331850000000003</v>
      </c>
      <c r="P1130" s="15">
        <v>85.473185000000001</v>
      </c>
    </row>
    <row r="1131" spans="1:16" ht="15" x14ac:dyDescent="0.2">
      <c r="A1131" s="4" t="s">
        <v>575</v>
      </c>
      <c r="B1131" s="21" t="str">
        <f t="shared" si="34"/>
        <v>Oct-2025</v>
      </c>
      <c r="C1131" s="2" t="str">
        <f t="shared" si="35"/>
        <v>Q3</v>
      </c>
      <c r="D1131" s="2" t="s">
        <v>31</v>
      </c>
      <c r="E1131" s="13">
        <v>45960</v>
      </c>
      <c r="F1131" s="14" t="s">
        <v>302</v>
      </c>
      <c r="G1131" s="14" t="s">
        <v>80</v>
      </c>
      <c r="H1131" s="14" t="s">
        <v>55</v>
      </c>
      <c r="I1131" s="15">
        <v>0.05</v>
      </c>
      <c r="J1131" s="15">
        <v>1</v>
      </c>
      <c r="K1131" s="15">
        <v>186.23</v>
      </c>
      <c r="L1131" s="15">
        <v>186.23</v>
      </c>
      <c r="M1131" s="15">
        <v>-14.32</v>
      </c>
      <c r="N1131" s="15">
        <v>0</v>
      </c>
      <c r="O1131" s="15">
        <v>22.348267</v>
      </c>
      <c r="P1131" s="15">
        <v>194.25826699999999</v>
      </c>
    </row>
    <row r="1132" spans="1:16" ht="15" x14ac:dyDescent="0.2">
      <c r="A1132" s="4" t="s">
        <v>576</v>
      </c>
      <c r="B1132" s="21" t="str">
        <f t="shared" si="34"/>
        <v>Oct-2025</v>
      </c>
      <c r="C1132" s="2" t="str">
        <f t="shared" si="35"/>
        <v>Q3</v>
      </c>
      <c r="D1132" s="2" t="s">
        <v>31</v>
      </c>
      <c r="E1132" s="13">
        <v>45960</v>
      </c>
      <c r="F1132" s="14" t="s">
        <v>302</v>
      </c>
      <c r="G1132" s="14" t="s">
        <v>80</v>
      </c>
      <c r="H1132" s="14" t="s">
        <v>61</v>
      </c>
      <c r="I1132" s="15">
        <v>0.05</v>
      </c>
      <c r="J1132" s="15">
        <v>1</v>
      </c>
      <c r="K1132" s="15">
        <v>175.05</v>
      </c>
      <c r="L1132" s="15">
        <v>175.05</v>
      </c>
      <c r="M1132" s="15">
        <v>-13.46</v>
      </c>
      <c r="N1132" s="15">
        <v>0</v>
      </c>
      <c r="O1132" s="15">
        <v>21.006668999999999</v>
      </c>
      <c r="P1132" s="15">
        <v>182.59666899999999</v>
      </c>
    </row>
    <row r="1133" spans="1:16" ht="15" x14ac:dyDescent="0.2">
      <c r="A1133" s="4" t="s">
        <v>587</v>
      </c>
      <c r="B1133" s="21" t="str">
        <f t="shared" si="34"/>
        <v>Oct-2025</v>
      </c>
      <c r="C1133" s="2" t="str">
        <f t="shared" si="35"/>
        <v>Q3</v>
      </c>
      <c r="D1133" s="2" t="s">
        <v>31</v>
      </c>
      <c r="E1133" s="13">
        <v>45960</v>
      </c>
      <c r="F1133" s="14" t="s">
        <v>302</v>
      </c>
      <c r="G1133" s="14" t="s">
        <v>80</v>
      </c>
      <c r="H1133" s="14" t="s">
        <v>94</v>
      </c>
      <c r="I1133" s="15">
        <v>0.02</v>
      </c>
      <c r="J1133" s="15">
        <v>1</v>
      </c>
      <c r="K1133" s="15">
        <v>111.74</v>
      </c>
      <c r="L1133" s="15">
        <v>111.74</v>
      </c>
      <c r="M1133" s="15">
        <v>-8.59</v>
      </c>
      <c r="N1133" s="15">
        <v>0</v>
      </c>
      <c r="O1133" s="15">
        <v>13.40948</v>
      </c>
      <c r="P1133" s="15">
        <v>116.55947999999999</v>
      </c>
    </row>
    <row r="1134" spans="1:16" ht="15" x14ac:dyDescent="0.2">
      <c r="A1134" s="4" t="s">
        <v>583</v>
      </c>
      <c r="B1134" s="21" t="str">
        <f t="shared" si="34"/>
        <v>Oct-2025</v>
      </c>
      <c r="C1134" s="2" t="str">
        <f t="shared" si="35"/>
        <v>Q3</v>
      </c>
      <c r="D1134" s="2" t="s">
        <v>31</v>
      </c>
      <c r="E1134" s="13">
        <v>45960</v>
      </c>
      <c r="F1134" s="14" t="s">
        <v>302</v>
      </c>
      <c r="G1134" s="14" t="s">
        <v>80</v>
      </c>
      <c r="H1134" s="14" t="s">
        <v>71</v>
      </c>
      <c r="I1134" s="15">
        <v>7.0000000000000007E-2</v>
      </c>
      <c r="J1134" s="15">
        <v>1</v>
      </c>
      <c r="K1134" s="15">
        <v>260.72000000000003</v>
      </c>
      <c r="L1134" s="15">
        <v>260.72000000000003</v>
      </c>
      <c r="M1134" s="15">
        <v>-20.05</v>
      </c>
      <c r="N1134" s="15">
        <v>0</v>
      </c>
      <c r="O1134" s="15">
        <v>31.287054000000001</v>
      </c>
      <c r="P1134" s="15">
        <v>271.95705400000003</v>
      </c>
    </row>
    <row r="1135" spans="1:16" ht="15" x14ac:dyDescent="0.2">
      <c r="A1135" s="4" t="s">
        <v>573</v>
      </c>
      <c r="B1135" s="21" t="str">
        <f t="shared" si="34"/>
        <v>Oct-2025</v>
      </c>
      <c r="C1135" s="2" t="str">
        <f t="shared" si="35"/>
        <v>Q3</v>
      </c>
      <c r="D1135" s="2" t="s">
        <v>31</v>
      </c>
      <c r="E1135" s="13">
        <v>45960</v>
      </c>
      <c r="F1135" s="14" t="s">
        <v>302</v>
      </c>
      <c r="G1135" s="14" t="s">
        <v>80</v>
      </c>
      <c r="H1135" s="14" t="s">
        <v>47</v>
      </c>
      <c r="I1135" s="15">
        <v>0.03</v>
      </c>
      <c r="J1135" s="15">
        <v>1</v>
      </c>
      <c r="K1135" s="15">
        <v>111.74</v>
      </c>
      <c r="L1135" s="15">
        <v>111.74</v>
      </c>
      <c r="M1135" s="15">
        <v>-8.59</v>
      </c>
      <c r="N1135" s="15">
        <v>0</v>
      </c>
      <c r="O1135" s="15">
        <v>13.40948</v>
      </c>
      <c r="P1135" s="15">
        <v>116.55947999999999</v>
      </c>
    </row>
    <row r="1136" spans="1:16" ht="15" x14ac:dyDescent="0.2">
      <c r="A1136" s="4" t="s">
        <v>591</v>
      </c>
      <c r="B1136" s="21" t="str">
        <f t="shared" si="34"/>
        <v>Oct-2025</v>
      </c>
      <c r="C1136" s="2" t="str">
        <f t="shared" si="35"/>
        <v>Q3</v>
      </c>
      <c r="D1136" s="2" t="s">
        <v>31</v>
      </c>
      <c r="E1136" s="13">
        <v>45960</v>
      </c>
      <c r="F1136" s="14" t="s">
        <v>302</v>
      </c>
      <c r="G1136" s="14" t="s">
        <v>80</v>
      </c>
      <c r="H1136" s="14" t="s">
        <v>106</v>
      </c>
      <c r="I1136" s="15">
        <v>0.02</v>
      </c>
      <c r="J1136" s="15">
        <v>1</v>
      </c>
      <c r="K1136" s="15">
        <v>111.74</v>
      </c>
      <c r="L1136" s="15">
        <v>111.74</v>
      </c>
      <c r="M1136" s="15">
        <v>-8.59</v>
      </c>
      <c r="N1136" s="15">
        <v>0</v>
      </c>
      <c r="O1136" s="15">
        <v>13.40948</v>
      </c>
      <c r="P1136" s="15">
        <v>116.55947999999999</v>
      </c>
    </row>
    <row r="1137" spans="1:16" ht="15" x14ac:dyDescent="0.2">
      <c r="A1137" s="4" t="s">
        <v>582</v>
      </c>
      <c r="B1137" s="21" t="str">
        <f t="shared" si="34"/>
        <v>Oct-2025</v>
      </c>
      <c r="C1137" s="2" t="str">
        <f t="shared" si="35"/>
        <v>Q3</v>
      </c>
      <c r="D1137" s="2" t="s">
        <v>31</v>
      </c>
      <c r="E1137" s="13">
        <v>45960</v>
      </c>
      <c r="F1137" s="14" t="s">
        <v>302</v>
      </c>
      <c r="G1137" s="14" t="s">
        <v>80</v>
      </c>
      <c r="H1137" s="14" t="s">
        <v>101</v>
      </c>
      <c r="I1137" s="15">
        <v>0.04</v>
      </c>
      <c r="J1137" s="15">
        <v>1</v>
      </c>
      <c r="K1137" s="15">
        <v>186.23</v>
      </c>
      <c r="L1137" s="15">
        <v>186.23</v>
      </c>
      <c r="M1137" s="15">
        <v>-14.32</v>
      </c>
      <c r="N1137" s="15">
        <v>0</v>
      </c>
      <c r="O1137" s="15">
        <v>22.348267</v>
      </c>
      <c r="P1137" s="15">
        <v>194.25826699999999</v>
      </c>
    </row>
    <row r="1138" spans="1:16" ht="15" x14ac:dyDescent="0.2">
      <c r="A1138" s="4" t="s">
        <v>573</v>
      </c>
      <c r="B1138" s="21" t="str">
        <f t="shared" si="34"/>
        <v>Oct-2025</v>
      </c>
      <c r="C1138" s="2" t="str">
        <f t="shared" si="35"/>
        <v>Q3</v>
      </c>
      <c r="D1138" s="2" t="s">
        <v>31</v>
      </c>
      <c r="E1138" s="13">
        <v>45960</v>
      </c>
      <c r="F1138" s="14" t="s">
        <v>302</v>
      </c>
      <c r="G1138" s="14" t="s">
        <v>80</v>
      </c>
      <c r="H1138" s="14" t="s">
        <v>49</v>
      </c>
      <c r="I1138" s="15">
        <v>0.03</v>
      </c>
      <c r="J1138" s="15">
        <v>1</v>
      </c>
      <c r="K1138" s="15">
        <v>111.74</v>
      </c>
      <c r="L1138" s="15">
        <v>111.74</v>
      </c>
      <c r="M1138" s="15">
        <v>-8.59</v>
      </c>
      <c r="N1138" s="15">
        <v>0</v>
      </c>
      <c r="O1138" s="15">
        <v>13.40948</v>
      </c>
      <c r="P1138" s="15">
        <v>116.55947999999999</v>
      </c>
    </row>
    <row r="1139" spans="1:16" ht="15" x14ac:dyDescent="0.2">
      <c r="A1139" s="4" t="s">
        <v>580</v>
      </c>
      <c r="B1139" s="21" t="str">
        <f t="shared" si="34"/>
        <v>Oct-2025</v>
      </c>
      <c r="C1139" s="2" t="str">
        <f t="shared" si="35"/>
        <v>Q3</v>
      </c>
      <c r="D1139" s="2" t="s">
        <v>31</v>
      </c>
      <c r="E1139" s="13">
        <v>45960</v>
      </c>
      <c r="F1139" s="14" t="s">
        <v>302</v>
      </c>
      <c r="G1139" s="14" t="s">
        <v>80</v>
      </c>
      <c r="H1139" s="14" t="s">
        <v>65</v>
      </c>
      <c r="I1139" s="15">
        <v>0.01</v>
      </c>
      <c r="J1139" s="15">
        <v>1</v>
      </c>
      <c r="K1139" s="15">
        <v>37.25</v>
      </c>
      <c r="L1139" s="15">
        <v>37.25</v>
      </c>
      <c r="M1139" s="15">
        <v>-2.86</v>
      </c>
      <c r="N1139" s="15">
        <v>0</v>
      </c>
      <c r="O1139" s="15">
        <v>4.4706929999999998</v>
      </c>
      <c r="P1139" s="15">
        <v>38.860692999999998</v>
      </c>
    </row>
    <row r="1140" spans="1:16" ht="15" x14ac:dyDescent="0.2">
      <c r="A1140" s="4" t="s">
        <v>579</v>
      </c>
      <c r="B1140" s="21" t="str">
        <f t="shared" si="34"/>
        <v>Oct-2025</v>
      </c>
      <c r="C1140" s="2" t="str">
        <f t="shared" si="35"/>
        <v>Q3</v>
      </c>
      <c r="D1140" s="2" t="s">
        <v>31</v>
      </c>
      <c r="E1140" s="13">
        <v>45960</v>
      </c>
      <c r="F1140" s="14" t="s">
        <v>302</v>
      </c>
      <c r="G1140" s="14" t="s">
        <v>80</v>
      </c>
      <c r="H1140" s="14" t="s">
        <v>69</v>
      </c>
      <c r="I1140" s="15">
        <v>0.05</v>
      </c>
      <c r="J1140" s="15">
        <v>1</v>
      </c>
      <c r="K1140" s="15">
        <v>204.85</v>
      </c>
      <c r="L1140" s="15">
        <v>204.85</v>
      </c>
      <c r="M1140" s="15">
        <v>-15.75</v>
      </c>
      <c r="N1140" s="15">
        <v>0</v>
      </c>
      <c r="O1140" s="15">
        <v>24.582964</v>
      </c>
      <c r="P1140" s="15">
        <v>213.682964</v>
      </c>
    </row>
    <row r="1141" spans="1:16" ht="15" x14ac:dyDescent="0.2">
      <c r="A1141" s="4" t="s">
        <v>581</v>
      </c>
      <c r="B1141" s="21" t="str">
        <f t="shared" si="34"/>
        <v>Oct-2025</v>
      </c>
      <c r="C1141" s="2" t="str">
        <f t="shared" si="35"/>
        <v>Q3</v>
      </c>
      <c r="D1141" s="2" t="s">
        <v>31</v>
      </c>
      <c r="E1141" s="13">
        <v>45960</v>
      </c>
      <c r="F1141" s="14" t="s">
        <v>302</v>
      </c>
      <c r="G1141" s="14" t="s">
        <v>80</v>
      </c>
      <c r="H1141" s="14" t="s">
        <v>66</v>
      </c>
      <c r="I1141" s="15">
        <v>0.04</v>
      </c>
      <c r="J1141" s="15">
        <v>1</v>
      </c>
      <c r="K1141" s="15">
        <v>141.54</v>
      </c>
      <c r="L1141" s="15">
        <v>141.54</v>
      </c>
      <c r="M1141" s="15">
        <v>-10.88</v>
      </c>
      <c r="N1141" s="15">
        <v>0</v>
      </c>
      <c r="O1141" s="15">
        <v>16.985775</v>
      </c>
      <c r="P1141" s="15">
        <v>147.64577499999999</v>
      </c>
    </row>
    <row r="1142" spans="1:16" ht="15" x14ac:dyDescent="0.2">
      <c r="A1142" s="4" t="s">
        <v>582</v>
      </c>
      <c r="B1142" s="21" t="str">
        <f t="shared" si="34"/>
        <v>Oct-2025</v>
      </c>
      <c r="C1142" s="2" t="str">
        <f t="shared" si="35"/>
        <v>Q3</v>
      </c>
      <c r="D1142" s="2" t="s">
        <v>31</v>
      </c>
      <c r="E1142" s="13">
        <v>45960</v>
      </c>
      <c r="F1142" s="14" t="s">
        <v>302</v>
      </c>
      <c r="G1142" s="14" t="s">
        <v>80</v>
      </c>
      <c r="H1142" s="14" t="s">
        <v>77</v>
      </c>
      <c r="I1142" s="15">
        <v>0.04</v>
      </c>
      <c r="J1142" s="15">
        <v>1</v>
      </c>
      <c r="K1142" s="15">
        <v>204.85</v>
      </c>
      <c r="L1142" s="15">
        <v>204.85</v>
      </c>
      <c r="M1142" s="15">
        <v>-15.75</v>
      </c>
      <c r="N1142" s="15">
        <v>0</v>
      </c>
      <c r="O1142" s="15">
        <v>24.582964</v>
      </c>
      <c r="P1142" s="15">
        <v>213.682964</v>
      </c>
    </row>
    <row r="1143" spans="1:16" ht="15" x14ac:dyDescent="0.2">
      <c r="A1143" s="4" t="s">
        <v>582</v>
      </c>
      <c r="B1143" s="21" t="str">
        <f t="shared" si="34"/>
        <v>Oct-2025</v>
      </c>
      <c r="C1143" s="2" t="str">
        <f t="shared" si="35"/>
        <v>Q3</v>
      </c>
      <c r="D1143" s="2" t="s">
        <v>31</v>
      </c>
      <c r="E1143" s="13">
        <v>45960</v>
      </c>
      <c r="F1143" s="14" t="s">
        <v>302</v>
      </c>
      <c r="G1143" s="14" t="s">
        <v>80</v>
      </c>
      <c r="H1143" s="14" t="s">
        <v>108</v>
      </c>
      <c r="I1143" s="15">
        <v>0.04</v>
      </c>
      <c r="J1143" s="15">
        <v>1</v>
      </c>
      <c r="K1143" s="15">
        <v>186.23</v>
      </c>
      <c r="L1143" s="15">
        <v>186.23</v>
      </c>
      <c r="M1143" s="15">
        <v>-14.32</v>
      </c>
      <c r="N1143" s="15">
        <v>0</v>
      </c>
      <c r="O1143" s="15">
        <v>22.348267</v>
      </c>
      <c r="P1143" s="15">
        <v>194.25826699999999</v>
      </c>
    </row>
    <row r="1144" spans="1:16" ht="15" x14ac:dyDescent="0.2">
      <c r="A1144" s="4" t="s">
        <v>582</v>
      </c>
      <c r="B1144" s="21" t="str">
        <f t="shared" si="34"/>
        <v>Oct-2025</v>
      </c>
      <c r="C1144" s="2" t="str">
        <f t="shared" si="35"/>
        <v>Q3</v>
      </c>
      <c r="D1144" s="2" t="s">
        <v>31</v>
      </c>
      <c r="E1144" s="13">
        <v>45960</v>
      </c>
      <c r="F1144" s="14" t="s">
        <v>302</v>
      </c>
      <c r="G1144" s="14" t="s">
        <v>80</v>
      </c>
      <c r="H1144" s="14" t="s">
        <v>67</v>
      </c>
      <c r="I1144" s="15">
        <v>0.04</v>
      </c>
      <c r="J1144" s="15">
        <v>1</v>
      </c>
      <c r="K1144" s="15">
        <v>186.23</v>
      </c>
      <c r="L1144" s="15">
        <v>186.23</v>
      </c>
      <c r="M1144" s="15">
        <v>-14.32</v>
      </c>
      <c r="N1144" s="15">
        <v>0</v>
      </c>
      <c r="O1144" s="15">
        <v>22.348267</v>
      </c>
      <c r="P1144" s="15">
        <v>194.25826699999999</v>
      </c>
    </row>
    <row r="1145" spans="1:16" ht="15" x14ac:dyDescent="0.2">
      <c r="A1145" s="4" t="s">
        <v>576</v>
      </c>
      <c r="B1145" s="21" t="str">
        <f t="shared" si="34"/>
        <v>Oct-2025</v>
      </c>
      <c r="C1145" s="2" t="str">
        <f t="shared" si="35"/>
        <v>Q3</v>
      </c>
      <c r="D1145" s="2" t="s">
        <v>31</v>
      </c>
      <c r="E1145" s="13">
        <v>45960</v>
      </c>
      <c r="F1145" s="14" t="s">
        <v>302</v>
      </c>
      <c r="G1145" s="14" t="s">
        <v>80</v>
      </c>
      <c r="H1145" s="14" t="s">
        <v>68</v>
      </c>
      <c r="I1145" s="15">
        <v>0.05</v>
      </c>
      <c r="J1145" s="15">
        <v>1</v>
      </c>
      <c r="K1145" s="15">
        <v>175.05</v>
      </c>
      <c r="L1145" s="15">
        <v>175.05</v>
      </c>
      <c r="M1145" s="15">
        <v>-13.46</v>
      </c>
      <c r="N1145" s="15">
        <v>0</v>
      </c>
      <c r="O1145" s="15">
        <v>21.006668999999999</v>
      </c>
      <c r="P1145" s="15">
        <v>182.59666899999999</v>
      </c>
    </row>
    <row r="1146" spans="1:16" ht="15" x14ac:dyDescent="0.2">
      <c r="A1146" s="4" t="s">
        <v>584</v>
      </c>
      <c r="B1146" s="21" t="str">
        <f t="shared" si="34"/>
        <v>Oct-2025</v>
      </c>
      <c r="C1146" s="2" t="str">
        <f t="shared" si="35"/>
        <v>Q3</v>
      </c>
      <c r="D1146" s="2" t="s">
        <v>31</v>
      </c>
      <c r="E1146" s="13">
        <v>45960</v>
      </c>
      <c r="F1146" s="14" t="s">
        <v>302</v>
      </c>
      <c r="G1146" s="14" t="s">
        <v>80</v>
      </c>
      <c r="H1146" s="14" t="s">
        <v>99</v>
      </c>
      <c r="I1146" s="15">
        <v>0.03</v>
      </c>
      <c r="J1146" s="15">
        <v>1</v>
      </c>
      <c r="K1146" s="15">
        <v>81.94</v>
      </c>
      <c r="L1146" s="15">
        <v>81.94</v>
      </c>
      <c r="M1146" s="15">
        <v>-6.3</v>
      </c>
      <c r="N1146" s="15">
        <v>0</v>
      </c>
      <c r="O1146" s="15">
        <v>9.8331850000000003</v>
      </c>
      <c r="P1146" s="15">
        <v>85.473185000000001</v>
      </c>
    </row>
    <row r="1147" spans="1:16" ht="15" x14ac:dyDescent="0.2">
      <c r="A1147" s="4" t="s">
        <v>584</v>
      </c>
      <c r="B1147" s="21" t="str">
        <f t="shared" si="34"/>
        <v>Oct-2025</v>
      </c>
      <c r="C1147" s="2" t="str">
        <f t="shared" si="35"/>
        <v>Q3</v>
      </c>
      <c r="D1147" s="2" t="s">
        <v>31</v>
      </c>
      <c r="E1147" s="13">
        <v>45960</v>
      </c>
      <c r="F1147" s="14" t="s">
        <v>302</v>
      </c>
      <c r="G1147" s="14" t="s">
        <v>80</v>
      </c>
      <c r="H1147" s="14" t="s">
        <v>100</v>
      </c>
      <c r="I1147" s="15">
        <v>0.03</v>
      </c>
      <c r="J1147" s="15">
        <v>1</v>
      </c>
      <c r="K1147" s="15">
        <v>81.94</v>
      </c>
      <c r="L1147" s="15">
        <v>81.94</v>
      </c>
      <c r="M1147" s="15">
        <v>-6.3</v>
      </c>
      <c r="N1147" s="15">
        <v>0</v>
      </c>
      <c r="O1147" s="15">
        <v>9.8331850000000003</v>
      </c>
      <c r="P1147" s="15">
        <v>85.473185000000001</v>
      </c>
    </row>
    <row r="1148" spans="1:16" ht="15" x14ac:dyDescent="0.2">
      <c r="A1148" s="4" t="s">
        <v>590</v>
      </c>
      <c r="B1148" s="21" t="str">
        <f t="shared" si="34"/>
        <v>Oct-2025</v>
      </c>
      <c r="C1148" s="2" t="str">
        <f t="shared" si="35"/>
        <v>Q3</v>
      </c>
      <c r="D1148" s="2" t="s">
        <v>31</v>
      </c>
      <c r="E1148" s="13">
        <v>45960</v>
      </c>
      <c r="F1148" s="14" t="s">
        <v>303</v>
      </c>
      <c r="G1148" s="14" t="s">
        <v>80</v>
      </c>
      <c r="H1148" s="14" t="s">
        <v>102</v>
      </c>
      <c r="I1148" s="15">
        <v>0.05</v>
      </c>
      <c r="J1148" s="15">
        <v>1</v>
      </c>
      <c r="K1148" s="15">
        <v>249.55</v>
      </c>
      <c r="L1148" s="15">
        <v>249.55</v>
      </c>
      <c r="M1148" s="15">
        <v>-19.190000000000001</v>
      </c>
      <c r="N1148" s="15">
        <v>0</v>
      </c>
      <c r="O1148" s="15">
        <v>29.947030999999999</v>
      </c>
      <c r="P1148" s="15">
        <v>260.30703099999999</v>
      </c>
    </row>
    <row r="1149" spans="1:16" ht="15" x14ac:dyDescent="0.2">
      <c r="A1149" s="4" t="s">
        <v>576</v>
      </c>
      <c r="B1149" s="21" t="str">
        <f t="shared" si="34"/>
        <v>Oct-2025</v>
      </c>
      <c r="C1149" s="2" t="str">
        <f t="shared" si="35"/>
        <v>Q3</v>
      </c>
      <c r="D1149" s="2" t="s">
        <v>31</v>
      </c>
      <c r="E1149" s="13">
        <v>45960</v>
      </c>
      <c r="F1149" s="14" t="s">
        <v>303</v>
      </c>
      <c r="G1149" s="14" t="s">
        <v>80</v>
      </c>
      <c r="H1149" s="14" t="s">
        <v>124</v>
      </c>
      <c r="I1149" s="15">
        <v>0.05</v>
      </c>
      <c r="J1149" s="15">
        <v>1</v>
      </c>
      <c r="K1149" s="15">
        <v>175.06</v>
      </c>
      <c r="L1149" s="15">
        <v>175.06</v>
      </c>
      <c r="M1149" s="15">
        <v>-13.46</v>
      </c>
      <c r="N1149" s="15">
        <v>0</v>
      </c>
      <c r="O1149" s="15">
        <v>21.008161999999999</v>
      </c>
      <c r="P1149" s="15">
        <v>182.60816199999999</v>
      </c>
    </row>
    <row r="1150" spans="1:16" ht="15" x14ac:dyDescent="0.2">
      <c r="A1150" s="4" t="s">
        <v>573</v>
      </c>
      <c r="B1150" s="21" t="str">
        <f t="shared" si="34"/>
        <v>Oct-2025</v>
      </c>
      <c r="C1150" s="2" t="str">
        <f t="shared" si="35"/>
        <v>Q3</v>
      </c>
      <c r="D1150" s="2" t="s">
        <v>31</v>
      </c>
      <c r="E1150" s="13">
        <v>45960</v>
      </c>
      <c r="F1150" s="14" t="s">
        <v>303</v>
      </c>
      <c r="G1150" s="14" t="s">
        <v>80</v>
      </c>
      <c r="H1150" s="14" t="s">
        <v>138</v>
      </c>
      <c r="I1150" s="15">
        <v>0.03</v>
      </c>
      <c r="J1150" s="15">
        <v>1</v>
      </c>
      <c r="K1150" s="15">
        <v>111.74</v>
      </c>
      <c r="L1150" s="15">
        <v>111.74</v>
      </c>
      <c r="M1150" s="15">
        <v>-8.59</v>
      </c>
      <c r="N1150" s="15">
        <v>0</v>
      </c>
      <c r="O1150" s="15">
        <v>13.409604</v>
      </c>
      <c r="P1150" s="15">
        <v>116.55960399999999</v>
      </c>
    </row>
    <row r="1151" spans="1:16" ht="15" x14ac:dyDescent="0.2">
      <c r="A1151" s="4" t="s">
        <v>573</v>
      </c>
      <c r="B1151" s="21" t="str">
        <f t="shared" si="34"/>
        <v>Oct-2025</v>
      </c>
      <c r="C1151" s="2" t="str">
        <f t="shared" si="35"/>
        <v>Q3</v>
      </c>
      <c r="D1151" s="2" t="s">
        <v>31</v>
      </c>
      <c r="E1151" s="13">
        <v>45960</v>
      </c>
      <c r="F1151" s="14" t="s">
        <v>303</v>
      </c>
      <c r="G1151" s="14" t="s">
        <v>80</v>
      </c>
      <c r="H1151" s="14" t="s">
        <v>136</v>
      </c>
      <c r="I1151" s="15">
        <v>0.03</v>
      </c>
      <c r="J1151" s="15">
        <v>1</v>
      </c>
      <c r="K1151" s="15">
        <v>111.74</v>
      </c>
      <c r="L1151" s="15">
        <v>111.74</v>
      </c>
      <c r="M1151" s="15">
        <v>-8.59</v>
      </c>
      <c r="N1151" s="15">
        <v>0</v>
      </c>
      <c r="O1151" s="15">
        <v>13.409604</v>
      </c>
      <c r="P1151" s="15">
        <v>116.55960399999999</v>
      </c>
    </row>
    <row r="1152" spans="1:16" ht="15" x14ac:dyDescent="0.2">
      <c r="A1152" s="4" t="s">
        <v>579</v>
      </c>
      <c r="B1152" s="21" t="str">
        <f t="shared" si="34"/>
        <v>Oct-2025</v>
      </c>
      <c r="C1152" s="2" t="str">
        <f t="shared" si="35"/>
        <v>Q3</v>
      </c>
      <c r="D1152" s="2" t="s">
        <v>31</v>
      </c>
      <c r="E1152" s="13">
        <v>45960</v>
      </c>
      <c r="F1152" s="14" t="s">
        <v>303</v>
      </c>
      <c r="G1152" s="14" t="s">
        <v>80</v>
      </c>
      <c r="H1152" s="14" t="s">
        <v>90</v>
      </c>
      <c r="I1152" s="15">
        <v>0.05</v>
      </c>
      <c r="J1152" s="15">
        <v>1</v>
      </c>
      <c r="K1152" s="15">
        <v>204.85</v>
      </c>
      <c r="L1152" s="15">
        <v>204.85</v>
      </c>
      <c r="M1152" s="15">
        <v>-15.75</v>
      </c>
      <c r="N1152" s="15">
        <v>0</v>
      </c>
      <c r="O1152" s="15">
        <v>24.583189999999998</v>
      </c>
      <c r="P1152" s="15">
        <v>213.68319</v>
      </c>
    </row>
    <row r="1153" spans="1:16" ht="15" x14ac:dyDescent="0.2">
      <c r="A1153" s="4" t="s">
        <v>576</v>
      </c>
      <c r="B1153" s="21" t="str">
        <f t="shared" si="34"/>
        <v>Oct-2025</v>
      </c>
      <c r="C1153" s="2" t="str">
        <f t="shared" si="35"/>
        <v>Q3</v>
      </c>
      <c r="D1153" s="2" t="s">
        <v>31</v>
      </c>
      <c r="E1153" s="13">
        <v>45960</v>
      </c>
      <c r="F1153" s="14" t="s">
        <v>303</v>
      </c>
      <c r="G1153" s="14" t="s">
        <v>80</v>
      </c>
      <c r="H1153" s="14" t="s">
        <v>123</v>
      </c>
      <c r="I1153" s="15">
        <v>0.05</v>
      </c>
      <c r="J1153" s="15">
        <v>1</v>
      </c>
      <c r="K1153" s="15">
        <v>175.06</v>
      </c>
      <c r="L1153" s="15">
        <v>175.06</v>
      </c>
      <c r="M1153" s="15">
        <v>-13.46</v>
      </c>
      <c r="N1153" s="15">
        <v>0</v>
      </c>
      <c r="O1153" s="15">
        <v>21.008161999999999</v>
      </c>
      <c r="P1153" s="15">
        <v>182.60816199999999</v>
      </c>
    </row>
    <row r="1154" spans="1:16" ht="15" x14ac:dyDescent="0.2">
      <c r="A1154" s="4" t="s">
        <v>579</v>
      </c>
      <c r="B1154" s="21" t="str">
        <f t="shared" si="34"/>
        <v>Oct-2025</v>
      </c>
      <c r="C1154" s="2" t="str">
        <f t="shared" si="35"/>
        <v>Q3</v>
      </c>
      <c r="D1154" s="2" t="s">
        <v>31</v>
      </c>
      <c r="E1154" s="13">
        <v>45960</v>
      </c>
      <c r="F1154" s="14" t="s">
        <v>303</v>
      </c>
      <c r="G1154" s="14" t="s">
        <v>80</v>
      </c>
      <c r="H1154" s="14" t="s">
        <v>140</v>
      </c>
      <c r="I1154" s="15">
        <v>0.05</v>
      </c>
      <c r="J1154" s="15">
        <v>1</v>
      </c>
      <c r="K1154" s="15">
        <v>204.85</v>
      </c>
      <c r="L1154" s="15">
        <v>204.85</v>
      </c>
      <c r="M1154" s="15">
        <v>-15.75</v>
      </c>
      <c r="N1154" s="15">
        <v>0</v>
      </c>
      <c r="O1154" s="15">
        <v>24.583189999999998</v>
      </c>
      <c r="P1154" s="15">
        <v>213.68319</v>
      </c>
    </row>
    <row r="1155" spans="1:16" ht="15" x14ac:dyDescent="0.2">
      <c r="A1155" s="4" t="s">
        <v>579</v>
      </c>
      <c r="B1155" s="21" t="str">
        <f t="shared" ref="B1155:B1218" si="36">+TEXT(E1155,"MMM-yyy")</f>
        <v>Oct-2025</v>
      </c>
      <c r="C1155" s="2" t="str">
        <f t="shared" ref="C1155:C1218" si="37">"Q" &amp; CHOOSE(MONTH(E1155),4,4,4,1,1,1,2,2,2,3,3,3)</f>
        <v>Q3</v>
      </c>
      <c r="D1155" s="2" t="s">
        <v>31</v>
      </c>
      <c r="E1155" s="13">
        <v>45960</v>
      </c>
      <c r="F1155" s="14" t="s">
        <v>303</v>
      </c>
      <c r="G1155" s="14" t="s">
        <v>80</v>
      </c>
      <c r="H1155" s="14" t="s">
        <v>112</v>
      </c>
      <c r="I1155" s="15">
        <v>0.05</v>
      </c>
      <c r="J1155" s="15">
        <v>1</v>
      </c>
      <c r="K1155" s="15">
        <v>204.85</v>
      </c>
      <c r="L1155" s="15">
        <v>204.85</v>
      </c>
      <c r="M1155" s="15">
        <v>-15.75</v>
      </c>
      <c r="N1155" s="15">
        <v>0</v>
      </c>
      <c r="O1155" s="15">
        <v>24.583189999999998</v>
      </c>
      <c r="P1155" s="15">
        <v>213.68319</v>
      </c>
    </row>
    <row r="1156" spans="1:16" ht="15" x14ac:dyDescent="0.2">
      <c r="A1156" s="4" t="s">
        <v>579</v>
      </c>
      <c r="B1156" s="21" t="str">
        <f t="shared" si="36"/>
        <v>Oct-2025</v>
      </c>
      <c r="C1156" s="2" t="str">
        <f t="shared" si="37"/>
        <v>Q3</v>
      </c>
      <c r="D1156" s="2" t="s">
        <v>31</v>
      </c>
      <c r="E1156" s="13">
        <v>45960</v>
      </c>
      <c r="F1156" s="14" t="s">
        <v>303</v>
      </c>
      <c r="G1156" s="14" t="s">
        <v>80</v>
      </c>
      <c r="H1156" s="14" t="s">
        <v>92</v>
      </c>
      <c r="I1156" s="15">
        <v>0.05</v>
      </c>
      <c r="J1156" s="15">
        <v>1</v>
      </c>
      <c r="K1156" s="15">
        <v>242.1</v>
      </c>
      <c r="L1156" s="15">
        <v>242.1</v>
      </c>
      <c r="M1156" s="15">
        <v>-18.62</v>
      </c>
      <c r="N1156" s="15">
        <v>0</v>
      </c>
      <c r="O1156" s="15">
        <v>29.052624000000002</v>
      </c>
      <c r="P1156" s="15">
        <v>252.532624</v>
      </c>
    </row>
    <row r="1157" spans="1:16" ht="15" x14ac:dyDescent="0.2">
      <c r="A1157" s="4" t="s">
        <v>576</v>
      </c>
      <c r="B1157" s="21" t="str">
        <f t="shared" si="36"/>
        <v>Oct-2025</v>
      </c>
      <c r="C1157" s="2" t="str">
        <f t="shared" si="37"/>
        <v>Q3</v>
      </c>
      <c r="D1157" s="2" t="s">
        <v>31</v>
      </c>
      <c r="E1157" s="13">
        <v>45960</v>
      </c>
      <c r="F1157" s="14" t="s">
        <v>303</v>
      </c>
      <c r="G1157" s="14" t="s">
        <v>80</v>
      </c>
      <c r="H1157" s="14" t="s">
        <v>110</v>
      </c>
      <c r="I1157" s="15">
        <v>0.05</v>
      </c>
      <c r="J1157" s="15">
        <v>1</v>
      </c>
      <c r="K1157" s="15">
        <v>175.06</v>
      </c>
      <c r="L1157" s="15">
        <v>175.06</v>
      </c>
      <c r="M1157" s="15">
        <v>-13.46</v>
      </c>
      <c r="N1157" s="15">
        <v>0</v>
      </c>
      <c r="O1157" s="15">
        <v>21.008161999999999</v>
      </c>
      <c r="P1157" s="15">
        <v>182.60816199999999</v>
      </c>
    </row>
    <row r="1158" spans="1:16" ht="15" x14ac:dyDescent="0.2">
      <c r="A1158" s="4" t="s">
        <v>583</v>
      </c>
      <c r="B1158" s="21" t="str">
        <f t="shared" si="36"/>
        <v>Oct-2025</v>
      </c>
      <c r="C1158" s="2" t="str">
        <f t="shared" si="37"/>
        <v>Q3</v>
      </c>
      <c r="D1158" s="2" t="s">
        <v>31</v>
      </c>
      <c r="E1158" s="13">
        <v>45960</v>
      </c>
      <c r="F1158" s="14" t="s">
        <v>303</v>
      </c>
      <c r="G1158" s="14" t="s">
        <v>80</v>
      </c>
      <c r="H1158" s="14" t="s">
        <v>109</v>
      </c>
      <c r="I1158" s="15">
        <v>7.0000000000000007E-2</v>
      </c>
      <c r="J1158" s="15">
        <v>1</v>
      </c>
      <c r="K1158" s="15">
        <v>260.72000000000003</v>
      </c>
      <c r="L1158" s="15">
        <v>260.72000000000003</v>
      </c>
      <c r="M1158" s="15">
        <v>-20.05</v>
      </c>
      <c r="N1158" s="15">
        <v>0</v>
      </c>
      <c r="O1158" s="15">
        <v>31.287341999999999</v>
      </c>
      <c r="P1158" s="15">
        <v>271.95734199999998</v>
      </c>
    </row>
    <row r="1159" spans="1:16" ht="15" x14ac:dyDescent="0.2">
      <c r="A1159" s="4" t="s">
        <v>588</v>
      </c>
      <c r="B1159" s="21" t="str">
        <f t="shared" si="36"/>
        <v>Oct-2025</v>
      </c>
      <c r="C1159" s="2" t="str">
        <f t="shared" si="37"/>
        <v>Q3</v>
      </c>
      <c r="D1159" s="2" t="s">
        <v>31</v>
      </c>
      <c r="E1159" s="13">
        <v>45960</v>
      </c>
      <c r="F1159" s="14" t="s">
        <v>303</v>
      </c>
      <c r="G1159" s="14" t="s">
        <v>80</v>
      </c>
      <c r="H1159" s="14" t="s">
        <v>95</v>
      </c>
      <c r="I1159" s="15">
        <v>0.02</v>
      </c>
      <c r="J1159" s="15">
        <v>1</v>
      </c>
      <c r="K1159" s="15">
        <v>111.74</v>
      </c>
      <c r="L1159" s="15">
        <v>111.74</v>
      </c>
      <c r="M1159" s="15">
        <v>-8.59</v>
      </c>
      <c r="N1159" s="15">
        <v>0</v>
      </c>
      <c r="O1159" s="15">
        <v>13.409604</v>
      </c>
      <c r="P1159" s="15">
        <v>116.55960399999999</v>
      </c>
    </row>
    <row r="1160" spans="1:16" ht="15" x14ac:dyDescent="0.2">
      <c r="A1160" s="4" t="s">
        <v>573</v>
      </c>
      <c r="B1160" s="21" t="str">
        <f t="shared" si="36"/>
        <v>Oct-2025</v>
      </c>
      <c r="C1160" s="2" t="str">
        <f t="shared" si="37"/>
        <v>Q3</v>
      </c>
      <c r="D1160" s="2" t="s">
        <v>31</v>
      </c>
      <c r="E1160" s="13">
        <v>45960</v>
      </c>
      <c r="F1160" s="14" t="s">
        <v>303</v>
      </c>
      <c r="G1160" s="14" t="s">
        <v>80</v>
      </c>
      <c r="H1160" s="14" t="s">
        <v>111</v>
      </c>
      <c r="I1160" s="15">
        <v>0.03</v>
      </c>
      <c r="J1160" s="15">
        <v>1</v>
      </c>
      <c r="K1160" s="15">
        <v>111.74</v>
      </c>
      <c r="L1160" s="15">
        <v>111.74</v>
      </c>
      <c r="M1160" s="15">
        <v>-8.59</v>
      </c>
      <c r="N1160" s="15">
        <v>0</v>
      </c>
      <c r="O1160" s="15">
        <v>13.409604</v>
      </c>
      <c r="P1160" s="15">
        <v>116.55960399999999</v>
      </c>
    </row>
    <row r="1161" spans="1:16" ht="15" x14ac:dyDescent="0.2">
      <c r="A1161" s="4" t="s">
        <v>579</v>
      </c>
      <c r="B1161" s="21" t="str">
        <f t="shared" si="36"/>
        <v>Oct-2025</v>
      </c>
      <c r="C1161" s="2" t="str">
        <f t="shared" si="37"/>
        <v>Q3</v>
      </c>
      <c r="D1161" s="2" t="s">
        <v>31</v>
      </c>
      <c r="E1161" s="13">
        <v>45960</v>
      </c>
      <c r="F1161" s="14" t="s">
        <v>303</v>
      </c>
      <c r="G1161" s="14" t="s">
        <v>80</v>
      </c>
      <c r="H1161" s="14" t="s">
        <v>91</v>
      </c>
      <c r="I1161" s="15">
        <v>0.05</v>
      </c>
      <c r="J1161" s="15">
        <v>1</v>
      </c>
      <c r="K1161" s="15">
        <v>204.85</v>
      </c>
      <c r="L1161" s="15">
        <v>204.85</v>
      </c>
      <c r="M1161" s="15">
        <v>-15.75</v>
      </c>
      <c r="N1161" s="15">
        <v>0</v>
      </c>
      <c r="O1161" s="15">
        <v>24.583189999999998</v>
      </c>
      <c r="P1161" s="15">
        <v>213.68319</v>
      </c>
    </row>
    <row r="1162" spans="1:16" ht="15" x14ac:dyDescent="0.2">
      <c r="A1162" s="4" t="s">
        <v>583</v>
      </c>
      <c r="B1162" s="21" t="str">
        <f t="shared" si="36"/>
        <v>Oct-2025</v>
      </c>
      <c r="C1162" s="2" t="str">
        <f t="shared" si="37"/>
        <v>Q3</v>
      </c>
      <c r="D1162" s="2" t="s">
        <v>31</v>
      </c>
      <c r="E1162" s="13">
        <v>45960</v>
      </c>
      <c r="F1162" s="14" t="s">
        <v>303</v>
      </c>
      <c r="G1162" s="14" t="s">
        <v>80</v>
      </c>
      <c r="H1162" s="14" t="s">
        <v>113</v>
      </c>
      <c r="I1162" s="15">
        <v>7.0000000000000007E-2</v>
      </c>
      <c r="J1162" s="15">
        <v>1</v>
      </c>
      <c r="K1162" s="15">
        <v>260.72000000000003</v>
      </c>
      <c r="L1162" s="15">
        <v>260.72000000000003</v>
      </c>
      <c r="M1162" s="15">
        <v>-20.05</v>
      </c>
      <c r="N1162" s="15">
        <v>0</v>
      </c>
      <c r="O1162" s="15">
        <v>31.287341999999999</v>
      </c>
      <c r="P1162" s="15">
        <v>271.95734199999998</v>
      </c>
    </row>
    <row r="1163" spans="1:16" ht="15" x14ac:dyDescent="0.2">
      <c r="A1163" s="4" t="s">
        <v>576</v>
      </c>
      <c r="B1163" s="21" t="str">
        <f t="shared" si="36"/>
        <v>Oct-2025</v>
      </c>
      <c r="C1163" s="2" t="str">
        <f t="shared" si="37"/>
        <v>Q3</v>
      </c>
      <c r="D1163" s="2" t="s">
        <v>31</v>
      </c>
      <c r="E1163" s="13">
        <v>45960</v>
      </c>
      <c r="F1163" s="14" t="s">
        <v>304</v>
      </c>
      <c r="G1163" s="14" t="s">
        <v>142</v>
      </c>
      <c r="H1163" s="14" t="s">
        <v>123</v>
      </c>
      <c r="I1163" s="15">
        <v>2</v>
      </c>
      <c r="J1163" s="15">
        <v>40</v>
      </c>
      <c r="K1163" s="15">
        <v>175.06</v>
      </c>
      <c r="L1163" s="15">
        <v>7002.4</v>
      </c>
      <c r="M1163" s="15">
        <v>-538.48</v>
      </c>
      <c r="N1163" s="15">
        <v>0</v>
      </c>
      <c r="O1163" s="15">
        <v>840.30961600000012</v>
      </c>
      <c r="P1163" s="15">
        <v>7304.2296159999996</v>
      </c>
    </row>
    <row r="1164" spans="1:16" ht="15" x14ac:dyDescent="0.2">
      <c r="A1164" s="4" t="s">
        <v>576</v>
      </c>
      <c r="B1164" s="21" t="str">
        <f t="shared" si="36"/>
        <v>Oct-2025</v>
      </c>
      <c r="C1164" s="2" t="str">
        <f t="shared" si="37"/>
        <v>Q3</v>
      </c>
      <c r="D1164" s="2" t="s">
        <v>31</v>
      </c>
      <c r="E1164" s="13">
        <v>45960</v>
      </c>
      <c r="F1164" s="14" t="s">
        <v>304</v>
      </c>
      <c r="G1164" s="14" t="s">
        <v>142</v>
      </c>
      <c r="H1164" s="14" t="s">
        <v>124</v>
      </c>
      <c r="I1164" s="15">
        <v>2</v>
      </c>
      <c r="J1164" s="15">
        <v>40</v>
      </c>
      <c r="K1164" s="15">
        <v>175.06</v>
      </c>
      <c r="L1164" s="15">
        <v>7002.4</v>
      </c>
      <c r="M1164" s="15">
        <v>-538.48</v>
      </c>
      <c r="N1164" s="15">
        <v>0</v>
      </c>
      <c r="O1164" s="15">
        <v>840.30961600000012</v>
      </c>
      <c r="P1164" s="15">
        <v>7304.2296159999996</v>
      </c>
    </row>
    <row r="1165" spans="1:16" ht="15" x14ac:dyDescent="0.2">
      <c r="A1165" s="4" t="s">
        <v>583</v>
      </c>
      <c r="B1165" s="21" t="str">
        <f t="shared" si="36"/>
        <v>Oct-2025</v>
      </c>
      <c r="C1165" s="2" t="str">
        <f t="shared" si="37"/>
        <v>Q3</v>
      </c>
      <c r="D1165" s="2" t="s">
        <v>31</v>
      </c>
      <c r="E1165" s="13">
        <v>45960</v>
      </c>
      <c r="F1165" s="14" t="s">
        <v>304</v>
      </c>
      <c r="G1165" s="14" t="s">
        <v>142</v>
      </c>
      <c r="H1165" s="14" t="s">
        <v>109</v>
      </c>
      <c r="I1165" s="15">
        <v>2</v>
      </c>
      <c r="J1165" s="15">
        <v>30</v>
      </c>
      <c r="K1165" s="15">
        <v>260.72000000000003</v>
      </c>
      <c r="L1165" s="15">
        <v>7821.6</v>
      </c>
      <c r="M1165" s="15">
        <v>-601.48</v>
      </c>
      <c r="N1165" s="15">
        <v>0</v>
      </c>
      <c r="O1165" s="15">
        <v>938.61561800000004</v>
      </c>
      <c r="P1165" s="15">
        <v>8158.7356179999997</v>
      </c>
    </row>
    <row r="1166" spans="1:16" ht="15" x14ac:dyDescent="0.2">
      <c r="A1166" s="4" t="s">
        <v>573</v>
      </c>
      <c r="B1166" s="21" t="str">
        <f t="shared" si="36"/>
        <v>Oct-2025</v>
      </c>
      <c r="C1166" s="2" t="str">
        <f t="shared" si="37"/>
        <v>Q3</v>
      </c>
      <c r="D1166" s="2" t="s">
        <v>31</v>
      </c>
      <c r="E1166" s="13">
        <v>45960</v>
      </c>
      <c r="F1166" s="14" t="s">
        <v>304</v>
      </c>
      <c r="G1166" s="14" t="s">
        <v>142</v>
      </c>
      <c r="H1166" s="14" t="s">
        <v>136</v>
      </c>
      <c r="I1166" s="15">
        <v>2</v>
      </c>
      <c r="J1166" s="15">
        <v>80</v>
      </c>
      <c r="K1166" s="15">
        <v>111.74</v>
      </c>
      <c r="L1166" s="15">
        <v>8939.2000000000007</v>
      </c>
      <c r="M1166" s="15">
        <v>-687.42</v>
      </c>
      <c r="N1166" s="15">
        <v>0</v>
      </c>
      <c r="O1166" s="15">
        <v>1072.7314200000001</v>
      </c>
      <c r="P1166" s="15">
        <v>9324.5114200000007</v>
      </c>
    </row>
    <row r="1167" spans="1:16" ht="15" x14ac:dyDescent="0.2">
      <c r="A1167" s="4" t="s">
        <v>593</v>
      </c>
      <c r="B1167" s="21" t="str">
        <f t="shared" si="36"/>
        <v>Oct-2025</v>
      </c>
      <c r="C1167" s="2" t="str">
        <f t="shared" si="37"/>
        <v>Q3</v>
      </c>
      <c r="D1167" s="2" t="s">
        <v>31</v>
      </c>
      <c r="E1167" s="13">
        <v>45960</v>
      </c>
      <c r="F1167" s="14" t="s">
        <v>304</v>
      </c>
      <c r="G1167" s="14" t="s">
        <v>142</v>
      </c>
      <c r="H1167" s="14" t="s">
        <v>117</v>
      </c>
      <c r="I1167" s="15">
        <v>3</v>
      </c>
      <c r="J1167" s="15">
        <v>12</v>
      </c>
      <c r="K1167" s="15">
        <v>595.92999999999995</v>
      </c>
      <c r="L1167" s="15">
        <v>7151.16</v>
      </c>
      <c r="M1167" s="15">
        <v>-549.91999999999996</v>
      </c>
      <c r="N1167" s="15">
        <v>0</v>
      </c>
      <c r="O1167" s="15">
        <v>858.16121599999997</v>
      </c>
      <c r="P1167" s="15">
        <v>7459.4012160000002</v>
      </c>
    </row>
    <row r="1168" spans="1:16" ht="15" x14ac:dyDescent="0.2">
      <c r="A1168" s="4" t="s">
        <v>581</v>
      </c>
      <c r="B1168" s="21" t="str">
        <f t="shared" si="36"/>
        <v>Oct-2025</v>
      </c>
      <c r="C1168" s="2" t="str">
        <f t="shared" si="37"/>
        <v>Q3</v>
      </c>
      <c r="D1168" s="2" t="s">
        <v>31</v>
      </c>
      <c r="E1168" s="13">
        <v>45960</v>
      </c>
      <c r="F1168" s="14" t="s">
        <v>304</v>
      </c>
      <c r="G1168" s="14" t="s">
        <v>142</v>
      </c>
      <c r="H1168" s="14" t="s">
        <v>96</v>
      </c>
      <c r="I1168" s="15">
        <v>1</v>
      </c>
      <c r="J1168" s="15">
        <v>40</v>
      </c>
      <c r="K1168" s="15">
        <v>67.040000000000006</v>
      </c>
      <c r="L1168" s="15">
        <v>2681.6</v>
      </c>
      <c r="M1168" s="15">
        <v>-206.22</v>
      </c>
      <c r="N1168" s="15">
        <v>0</v>
      </c>
      <c r="O1168" s="15">
        <v>321.79940600000003</v>
      </c>
      <c r="P1168" s="15">
        <v>2797.1794060000002</v>
      </c>
    </row>
    <row r="1169" spans="1:16" ht="15" x14ac:dyDescent="0.2">
      <c r="A1169" s="4" t="s">
        <v>573</v>
      </c>
      <c r="B1169" s="21" t="str">
        <f t="shared" si="36"/>
        <v>Oct-2025</v>
      </c>
      <c r="C1169" s="2" t="str">
        <f t="shared" si="37"/>
        <v>Q3</v>
      </c>
      <c r="D1169" s="2" t="s">
        <v>31</v>
      </c>
      <c r="E1169" s="13">
        <v>45960</v>
      </c>
      <c r="F1169" s="14" t="s">
        <v>304</v>
      </c>
      <c r="G1169" s="14" t="s">
        <v>142</v>
      </c>
      <c r="H1169" s="14" t="s">
        <v>138</v>
      </c>
      <c r="I1169" s="15">
        <v>2</v>
      </c>
      <c r="J1169" s="15">
        <v>80</v>
      </c>
      <c r="K1169" s="15">
        <v>111.74</v>
      </c>
      <c r="L1169" s="15">
        <v>8939.2000000000007</v>
      </c>
      <c r="M1169" s="15">
        <v>-687.42</v>
      </c>
      <c r="N1169" s="15">
        <v>0</v>
      </c>
      <c r="O1169" s="15">
        <v>1072.7314200000001</v>
      </c>
      <c r="P1169" s="15">
        <v>9324.5114200000007</v>
      </c>
    </row>
    <row r="1170" spans="1:16" ht="15" x14ac:dyDescent="0.2">
      <c r="A1170" s="4" t="s">
        <v>589</v>
      </c>
      <c r="B1170" s="21" t="str">
        <f t="shared" si="36"/>
        <v>Oct-2025</v>
      </c>
      <c r="C1170" s="2" t="str">
        <f t="shared" si="37"/>
        <v>Q3</v>
      </c>
      <c r="D1170" s="2" t="s">
        <v>31</v>
      </c>
      <c r="E1170" s="13">
        <v>45960</v>
      </c>
      <c r="F1170" s="14" t="s">
        <v>304</v>
      </c>
      <c r="G1170" s="14" t="s">
        <v>142</v>
      </c>
      <c r="H1170" s="14" t="s">
        <v>98</v>
      </c>
      <c r="I1170" s="15">
        <v>2</v>
      </c>
      <c r="J1170" s="15">
        <v>120</v>
      </c>
      <c r="K1170" s="15">
        <v>145.26</v>
      </c>
      <c r="L1170" s="15">
        <v>17431.2</v>
      </c>
      <c r="M1170" s="15">
        <v>-1340.46</v>
      </c>
      <c r="N1170" s="15">
        <v>0</v>
      </c>
      <c r="O1170" s="15">
        <v>2091.7962389999998</v>
      </c>
      <c r="P1170" s="15">
        <v>18182.536239000001</v>
      </c>
    </row>
    <row r="1171" spans="1:16" ht="15" x14ac:dyDescent="0.2">
      <c r="A1171" s="4" t="s">
        <v>573</v>
      </c>
      <c r="B1171" s="21" t="str">
        <f t="shared" si="36"/>
        <v>Oct-2025</v>
      </c>
      <c r="C1171" s="2" t="str">
        <f t="shared" si="37"/>
        <v>Q3</v>
      </c>
      <c r="D1171" s="2" t="s">
        <v>31</v>
      </c>
      <c r="E1171" s="13">
        <v>45960</v>
      </c>
      <c r="F1171" s="14" t="s">
        <v>304</v>
      </c>
      <c r="G1171" s="14" t="s">
        <v>142</v>
      </c>
      <c r="H1171" s="14" t="s">
        <v>111</v>
      </c>
      <c r="I1171" s="15">
        <v>10</v>
      </c>
      <c r="J1171" s="15">
        <v>400</v>
      </c>
      <c r="K1171" s="15">
        <v>111.74</v>
      </c>
      <c r="L1171" s="15">
        <v>44696</v>
      </c>
      <c r="M1171" s="15">
        <v>-3437.12</v>
      </c>
      <c r="N1171" s="15">
        <v>0</v>
      </c>
      <c r="O1171" s="15">
        <v>5363.654501</v>
      </c>
      <c r="P1171" s="15">
        <v>46622.534501000002</v>
      </c>
    </row>
    <row r="1172" spans="1:16" ht="15" x14ac:dyDescent="0.2">
      <c r="A1172" s="4" t="s">
        <v>583</v>
      </c>
      <c r="B1172" s="21" t="str">
        <f t="shared" si="36"/>
        <v>Oct-2025</v>
      </c>
      <c r="C1172" s="2" t="str">
        <f t="shared" si="37"/>
        <v>Q3</v>
      </c>
      <c r="D1172" s="2" t="s">
        <v>31</v>
      </c>
      <c r="E1172" s="13">
        <v>45960</v>
      </c>
      <c r="F1172" s="14" t="s">
        <v>304</v>
      </c>
      <c r="G1172" s="14" t="s">
        <v>142</v>
      </c>
      <c r="H1172" s="14" t="s">
        <v>113</v>
      </c>
      <c r="I1172" s="15">
        <v>5</v>
      </c>
      <c r="J1172" s="15">
        <v>75</v>
      </c>
      <c r="K1172" s="15">
        <v>260.72000000000003</v>
      </c>
      <c r="L1172" s="15">
        <v>19554</v>
      </c>
      <c r="M1172" s="15">
        <v>-1503.6999999999998</v>
      </c>
      <c r="N1172" s="15">
        <v>0</v>
      </c>
      <c r="O1172" s="15">
        <v>2346.5390440000001</v>
      </c>
      <c r="P1172" s="15">
        <v>20396.839044</v>
      </c>
    </row>
    <row r="1173" spans="1:16" ht="15" x14ac:dyDescent="0.2">
      <c r="A1173" s="4" t="s">
        <v>579</v>
      </c>
      <c r="B1173" s="21" t="str">
        <f t="shared" si="36"/>
        <v>Oct-2025</v>
      </c>
      <c r="C1173" s="2" t="str">
        <f t="shared" si="37"/>
        <v>Q3</v>
      </c>
      <c r="D1173" s="2" t="s">
        <v>31</v>
      </c>
      <c r="E1173" s="13">
        <v>45960</v>
      </c>
      <c r="F1173" s="14" t="s">
        <v>304</v>
      </c>
      <c r="G1173" s="14" t="s">
        <v>142</v>
      </c>
      <c r="H1173" s="14" t="s">
        <v>140</v>
      </c>
      <c r="I1173" s="15">
        <v>2</v>
      </c>
      <c r="J1173" s="15">
        <v>40</v>
      </c>
      <c r="K1173" s="15">
        <v>204.85</v>
      </c>
      <c r="L1173" s="15">
        <v>8194</v>
      </c>
      <c r="M1173" s="15">
        <v>-630.12</v>
      </c>
      <c r="N1173" s="15">
        <v>0</v>
      </c>
      <c r="O1173" s="15">
        <v>983.30441799999994</v>
      </c>
      <c r="P1173" s="15">
        <v>8547.1844180000007</v>
      </c>
    </row>
    <row r="1174" spans="1:16" ht="15" x14ac:dyDescent="0.2">
      <c r="A1174" s="4" t="s">
        <v>579</v>
      </c>
      <c r="B1174" s="21" t="str">
        <f t="shared" si="36"/>
        <v>Oct-2025</v>
      </c>
      <c r="C1174" s="2" t="str">
        <f t="shared" si="37"/>
        <v>Q3</v>
      </c>
      <c r="D1174" s="2" t="s">
        <v>31</v>
      </c>
      <c r="E1174" s="13">
        <v>45960</v>
      </c>
      <c r="F1174" s="14" t="s">
        <v>304</v>
      </c>
      <c r="G1174" s="14" t="s">
        <v>142</v>
      </c>
      <c r="H1174" s="14" t="s">
        <v>91</v>
      </c>
      <c r="I1174" s="15">
        <v>2</v>
      </c>
      <c r="J1174" s="15">
        <v>40</v>
      </c>
      <c r="K1174" s="15">
        <v>204.85</v>
      </c>
      <c r="L1174" s="15">
        <v>8194</v>
      </c>
      <c r="M1174" s="15">
        <v>-630.12</v>
      </c>
      <c r="N1174" s="15">
        <v>0</v>
      </c>
      <c r="O1174" s="15">
        <v>983.30441799999994</v>
      </c>
      <c r="P1174" s="15">
        <v>8547.1844180000007</v>
      </c>
    </row>
    <row r="1175" spans="1:16" ht="15" x14ac:dyDescent="0.2">
      <c r="A1175" s="4" t="s">
        <v>576</v>
      </c>
      <c r="B1175" s="21" t="str">
        <f t="shared" si="36"/>
        <v>Oct-2025</v>
      </c>
      <c r="C1175" s="2" t="str">
        <f t="shared" si="37"/>
        <v>Q3</v>
      </c>
      <c r="D1175" s="2" t="s">
        <v>31</v>
      </c>
      <c r="E1175" s="13">
        <v>45960</v>
      </c>
      <c r="F1175" s="14" t="s">
        <v>304</v>
      </c>
      <c r="G1175" s="14" t="s">
        <v>142</v>
      </c>
      <c r="H1175" s="14" t="s">
        <v>110</v>
      </c>
      <c r="I1175" s="15">
        <v>10</v>
      </c>
      <c r="J1175" s="15">
        <v>200</v>
      </c>
      <c r="K1175" s="15">
        <v>175.06</v>
      </c>
      <c r="L1175" s="15">
        <v>35012</v>
      </c>
      <c r="M1175" s="15">
        <v>-2692.42</v>
      </c>
      <c r="N1175" s="15">
        <v>0</v>
      </c>
      <c r="O1175" s="15">
        <v>4201.5454789999994</v>
      </c>
      <c r="P1175" s="15">
        <v>36521.125479000002</v>
      </c>
    </row>
    <row r="1176" spans="1:16" ht="15" x14ac:dyDescent="0.2">
      <c r="A1176" s="4" t="s">
        <v>580</v>
      </c>
      <c r="B1176" s="21" t="str">
        <f t="shared" si="36"/>
        <v>Oct-2025</v>
      </c>
      <c r="C1176" s="2" t="str">
        <f t="shared" si="37"/>
        <v>Q3</v>
      </c>
      <c r="D1176" s="2" t="s">
        <v>31</v>
      </c>
      <c r="E1176" s="13">
        <v>45960</v>
      </c>
      <c r="F1176" s="14" t="s">
        <v>304</v>
      </c>
      <c r="G1176" s="14" t="s">
        <v>142</v>
      </c>
      <c r="H1176" s="14" t="s">
        <v>89</v>
      </c>
      <c r="I1176" s="15">
        <v>15</v>
      </c>
      <c r="J1176" s="15">
        <v>1050</v>
      </c>
      <c r="K1176" s="15">
        <v>37.25</v>
      </c>
      <c r="L1176" s="15">
        <v>39112.5</v>
      </c>
      <c r="M1176" s="15">
        <v>-3007.75</v>
      </c>
      <c r="N1176" s="15">
        <v>0</v>
      </c>
      <c r="O1176" s="15">
        <v>4693.6175880000001</v>
      </c>
      <c r="P1176" s="15">
        <v>40798.367588000001</v>
      </c>
    </row>
    <row r="1177" spans="1:16" ht="15" x14ac:dyDescent="0.2">
      <c r="A1177" s="4" t="s">
        <v>588</v>
      </c>
      <c r="B1177" s="21" t="str">
        <f t="shared" si="36"/>
        <v>Oct-2025</v>
      </c>
      <c r="C1177" s="2" t="str">
        <f t="shared" si="37"/>
        <v>Q3</v>
      </c>
      <c r="D1177" s="2" t="s">
        <v>31</v>
      </c>
      <c r="E1177" s="13">
        <v>45960</v>
      </c>
      <c r="F1177" s="14" t="s">
        <v>305</v>
      </c>
      <c r="G1177" s="14" t="s">
        <v>306</v>
      </c>
      <c r="H1177" s="14" t="s">
        <v>95</v>
      </c>
      <c r="I1177" s="15">
        <v>0.08</v>
      </c>
      <c r="J1177" s="15">
        <v>5</v>
      </c>
      <c r="K1177" s="15">
        <v>106.19</v>
      </c>
      <c r="L1177" s="15">
        <v>530.95000000000005</v>
      </c>
      <c r="M1177" s="15">
        <v>0</v>
      </c>
      <c r="N1177" s="15">
        <v>0</v>
      </c>
      <c r="O1177" s="15">
        <v>69.023409999999998</v>
      </c>
      <c r="P1177" s="15">
        <v>599.97340999999994</v>
      </c>
    </row>
    <row r="1178" spans="1:16" ht="15" x14ac:dyDescent="0.2">
      <c r="A1178" s="4" t="s">
        <v>581</v>
      </c>
      <c r="B1178" s="21" t="str">
        <f t="shared" si="36"/>
        <v>Oct-2025</v>
      </c>
      <c r="C1178" s="2" t="str">
        <f t="shared" si="37"/>
        <v>Q3</v>
      </c>
      <c r="D1178" s="2" t="s">
        <v>31</v>
      </c>
      <c r="E1178" s="13">
        <v>45960</v>
      </c>
      <c r="F1178" s="14" t="s">
        <v>305</v>
      </c>
      <c r="G1178" s="14" t="s">
        <v>306</v>
      </c>
      <c r="H1178" s="14" t="s">
        <v>104</v>
      </c>
      <c r="I1178" s="15">
        <v>0.38</v>
      </c>
      <c r="J1178" s="15">
        <v>15</v>
      </c>
      <c r="K1178" s="15">
        <v>63.72</v>
      </c>
      <c r="L1178" s="15">
        <v>955.8</v>
      </c>
      <c r="M1178" s="15">
        <v>0</v>
      </c>
      <c r="N1178" s="15">
        <v>0</v>
      </c>
      <c r="O1178" s="15">
        <v>124.253839</v>
      </c>
      <c r="P1178" s="15">
        <v>1080.0538389999999</v>
      </c>
    </row>
    <row r="1179" spans="1:16" ht="15" x14ac:dyDescent="0.2">
      <c r="A1179" s="4" t="s">
        <v>589</v>
      </c>
      <c r="B1179" s="21" t="str">
        <f t="shared" si="36"/>
        <v>Oct-2025</v>
      </c>
      <c r="C1179" s="2" t="str">
        <f t="shared" si="37"/>
        <v>Q3</v>
      </c>
      <c r="D1179" s="2" t="s">
        <v>31</v>
      </c>
      <c r="E1179" s="13">
        <v>45960</v>
      </c>
      <c r="F1179" s="14" t="s">
        <v>305</v>
      </c>
      <c r="G1179" s="14" t="s">
        <v>306</v>
      </c>
      <c r="H1179" s="14" t="s">
        <v>98</v>
      </c>
      <c r="I1179" s="15">
        <v>0.08</v>
      </c>
      <c r="J1179" s="15">
        <v>5</v>
      </c>
      <c r="K1179" s="15">
        <v>138.05000000000001</v>
      </c>
      <c r="L1179" s="15">
        <v>690.24999999999989</v>
      </c>
      <c r="M1179" s="15">
        <v>0</v>
      </c>
      <c r="N1179" s="15">
        <v>0</v>
      </c>
      <c r="O1179" s="15">
        <v>89.732383999999996</v>
      </c>
      <c r="P1179" s="15">
        <v>779.98238400000002</v>
      </c>
    </row>
    <row r="1180" spans="1:16" ht="15" x14ac:dyDescent="0.2">
      <c r="A1180" s="4" t="s">
        <v>591</v>
      </c>
      <c r="B1180" s="21" t="str">
        <f t="shared" si="36"/>
        <v>Oct-2025</v>
      </c>
      <c r="C1180" s="2" t="str">
        <f t="shared" si="37"/>
        <v>Q3</v>
      </c>
      <c r="D1180" s="2" t="s">
        <v>31</v>
      </c>
      <c r="E1180" s="13">
        <v>45960</v>
      </c>
      <c r="F1180" s="14" t="s">
        <v>305</v>
      </c>
      <c r="G1180" s="14" t="s">
        <v>306</v>
      </c>
      <c r="H1180" s="14" t="s">
        <v>106</v>
      </c>
      <c r="I1180" s="15">
        <v>0.08</v>
      </c>
      <c r="J1180" s="15">
        <v>5</v>
      </c>
      <c r="K1180" s="15">
        <v>106.19</v>
      </c>
      <c r="L1180" s="15">
        <v>530.95000000000005</v>
      </c>
      <c r="M1180" s="15">
        <v>0</v>
      </c>
      <c r="N1180" s="15">
        <v>0</v>
      </c>
      <c r="O1180" s="15">
        <v>69.023409999999998</v>
      </c>
      <c r="P1180" s="15">
        <v>599.97340999999994</v>
      </c>
    </row>
    <row r="1181" spans="1:16" ht="15" x14ac:dyDescent="0.2">
      <c r="A1181" s="4" t="s">
        <v>590</v>
      </c>
      <c r="B1181" s="21" t="str">
        <f t="shared" si="36"/>
        <v>Oct-2025</v>
      </c>
      <c r="C1181" s="2" t="str">
        <f t="shared" si="37"/>
        <v>Q3</v>
      </c>
      <c r="D1181" s="2" t="s">
        <v>31</v>
      </c>
      <c r="E1181" s="13">
        <v>45960</v>
      </c>
      <c r="F1181" s="14" t="s">
        <v>305</v>
      </c>
      <c r="G1181" s="14" t="s">
        <v>306</v>
      </c>
      <c r="H1181" s="14" t="s">
        <v>102</v>
      </c>
      <c r="I1181" s="15">
        <v>0.25</v>
      </c>
      <c r="J1181" s="15">
        <v>5</v>
      </c>
      <c r="K1181" s="15">
        <v>237.17</v>
      </c>
      <c r="L1181" s="15">
        <v>1185.8499999999999</v>
      </c>
      <c r="M1181" s="15">
        <v>0</v>
      </c>
      <c r="N1181" s="15">
        <v>0</v>
      </c>
      <c r="O1181" s="15">
        <v>154.16030000000001</v>
      </c>
      <c r="P1181" s="15">
        <v>1340.0102999999999</v>
      </c>
    </row>
    <row r="1182" spans="1:16" ht="15" x14ac:dyDescent="0.2">
      <c r="A1182" s="4" t="s">
        <v>581</v>
      </c>
      <c r="B1182" s="21" t="str">
        <f t="shared" si="36"/>
        <v>Oct-2025</v>
      </c>
      <c r="C1182" s="2" t="str">
        <f t="shared" si="37"/>
        <v>Q3</v>
      </c>
      <c r="D1182" s="2" t="s">
        <v>31</v>
      </c>
      <c r="E1182" s="13">
        <v>45960</v>
      </c>
      <c r="F1182" s="14" t="s">
        <v>305</v>
      </c>
      <c r="G1182" s="14" t="s">
        <v>306</v>
      </c>
      <c r="H1182" s="14" t="s">
        <v>97</v>
      </c>
      <c r="I1182" s="15">
        <v>0.13</v>
      </c>
      <c r="J1182" s="15">
        <v>5</v>
      </c>
      <c r="K1182" s="15">
        <v>63.72</v>
      </c>
      <c r="L1182" s="15">
        <v>318.60000000000002</v>
      </c>
      <c r="M1182" s="15">
        <v>0</v>
      </c>
      <c r="N1182" s="15">
        <v>0</v>
      </c>
      <c r="O1182" s="15">
        <v>41.417946000000001</v>
      </c>
      <c r="P1182" s="15">
        <v>360.01794599999999</v>
      </c>
    </row>
    <row r="1183" spans="1:16" ht="15" x14ac:dyDescent="0.2">
      <c r="A1183" s="4" t="s">
        <v>584</v>
      </c>
      <c r="B1183" s="21" t="str">
        <f t="shared" si="36"/>
        <v>Oct-2025</v>
      </c>
      <c r="C1183" s="2" t="str">
        <f t="shared" si="37"/>
        <v>Q3</v>
      </c>
      <c r="D1183" s="2" t="s">
        <v>31</v>
      </c>
      <c r="E1183" s="13">
        <v>45960</v>
      </c>
      <c r="F1183" s="14" t="s">
        <v>305</v>
      </c>
      <c r="G1183" s="14" t="s">
        <v>306</v>
      </c>
      <c r="H1183" s="14" t="s">
        <v>100</v>
      </c>
      <c r="I1183" s="15">
        <v>0.25</v>
      </c>
      <c r="J1183" s="15">
        <v>10</v>
      </c>
      <c r="K1183" s="15">
        <v>77.88</v>
      </c>
      <c r="L1183" s="15">
        <v>778.8</v>
      </c>
      <c r="M1183" s="15">
        <v>0</v>
      </c>
      <c r="N1183" s="15">
        <v>0</v>
      </c>
      <c r="O1183" s="15">
        <v>101.24386899999999</v>
      </c>
      <c r="P1183" s="15">
        <v>880.04386899999997</v>
      </c>
    </row>
    <row r="1184" spans="1:16" ht="15" x14ac:dyDescent="0.2">
      <c r="A1184" s="4" t="s">
        <v>584</v>
      </c>
      <c r="B1184" s="21" t="str">
        <f t="shared" si="36"/>
        <v>Oct-2025</v>
      </c>
      <c r="C1184" s="2" t="str">
        <f t="shared" si="37"/>
        <v>Q3</v>
      </c>
      <c r="D1184" s="2" t="s">
        <v>31</v>
      </c>
      <c r="E1184" s="13">
        <v>45960</v>
      </c>
      <c r="F1184" s="14" t="s">
        <v>305</v>
      </c>
      <c r="G1184" s="14" t="s">
        <v>306</v>
      </c>
      <c r="H1184" s="14" t="s">
        <v>120</v>
      </c>
      <c r="I1184" s="15">
        <v>0.25</v>
      </c>
      <c r="J1184" s="15">
        <v>10</v>
      </c>
      <c r="K1184" s="15">
        <v>77.88</v>
      </c>
      <c r="L1184" s="15">
        <v>778.8</v>
      </c>
      <c r="M1184" s="15">
        <v>0</v>
      </c>
      <c r="N1184" s="15">
        <v>0</v>
      </c>
      <c r="O1184" s="15">
        <v>101.24386899999999</v>
      </c>
      <c r="P1184" s="15">
        <v>880.04386899999997</v>
      </c>
    </row>
    <row r="1185" spans="1:16" ht="15" x14ac:dyDescent="0.2">
      <c r="A1185" s="4" t="s">
        <v>573</v>
      </c>
      <c r="B1185" s="21" t="str">
        <f t="shared" si="36"/>
        <v>Oct-2025</v>
      </c>
      <c r="C1185" s="2" t="str">
        <f t="shared" si="37"/>
        <v>Q3</v>
      </c>
      <c r="D1185" s="2" t="s">
        <v>31</v>
      </c>
      <c r="E1185" s="13">
        <v>45960</v>
      </c>
      <c r="F1185" s="14" t="s">
        <v>305</v>
      </c>
      <c r="G1185" s="14" t="s">
        <v>306</v>
      </c>
      <c r="H1185" s="14" t="s">
        <v>138</v>
      </c>
      <c r="I1185" s="15">
        <v>0.13</v>
      </c>
      <c r="J1185" s="15">
        <v>5</v>
      </c>
      <c r="K1185" s="15">
        <v>106.19</v>
      </c>
      <c r="L1185" s="15">
        <v>530.95000000000005</v>
      </c>
      <c r="M1185" s="15">
        <v>0</v>
      </c>
      <c r="N1185" s="15">
        <v>0</v>
      </c>
      <c r="O1185" s="15">
        <v>69.023409999999998</v>
      </c>
      <c r="P1185" s="15">
        <v>599.97340999999994</v>
      </c>
    </row>
    <row r="1186" spans="1:16" ht="15" x14ac:dyDescent="0.2">
      <c r="A1186" s="4" t="s">
        <v>587</v>
      </c>
      <c r="B1186" s="21" t="str">
        <f t="shared" si="36"/>
        <v>Oct-2025</v>
      </c>
      <c r="C1186" s="2" t="str">
        <f t="shared" si="37"/>
        <v>Q3</v>
      </c>
      <c r="D1186" s="2" t="s">
        <v>31</v>
      </c>
      <c r="E1186" s="13">
        <v>45960</v>
      </c>
      <c r="F1186" s="14" t="s">
        <v>305</v>
      </c>
      <c r="G1186" s="14" t="s">
        <v>306</v>
      </c>
      <c r="H1186" s="14" t="s">
        <v>94</v>
      </c>
      <c r="I1186" s="15">
        <v>0.17</v>
      </c>
      <c r="J1186" s="15">
        <v>10</v>
      </c>
      <c r="K1186" s="15">
        <v>106.19</v>
      </c>
      <c r="L1186" s="15">
        <v>1061.9000000000001</v>
      </c>
      <c r="M1186" s="15">
        <v>0</v>
      </c>
      <c r="N1186" s="15">
        <v>0</v>
      </c>
      <c r="O1186" s="15">
        <v>138.04682099999999</v>
      </c>
      <c r="P1186" s="15">
        <v>1199.946821</v>
      </c>
    </row>
    <row r="1187" spans="1:16" ht="15" x14ac:dyDescent="0.2">
      <c r="A1187" s="4" t="s">
        <v>573</v>
      </c>
      <c r="B1187" s="21" t="str">
        <f t="shared" si="36"/>
        <v>Oct-2025</v>
      </c>
      <c r="C1187" s="2" t="str">
        <f t="shared" si="37"/>
        <v>Q3</v>
      </c>
      <c r="D1187" s="2" t="s">
        <v>31</v>
      </c>
      <c r="E1187" s="13">
        <v>45960</v>
      </c>
      <c r="F1187" s="14" t="s">
        <v>305</v>
      </c>
      <c r="G1187" s="14" t="s">
        <v>306</v>
      </c>
      <c r="H1187" s="14" t="s">
        <v>111</v>
      </c>
      <c r="I1187" s="15">
        <v>0.13</v>
      </c>
      <c r="J1187" s="15">
        <v>5</v>
      </c>
      <c r="K1187" s="15">
        <v>106.19</v>
      </c>
      <c r="L1187" s="15">
        <v>530.95000000000005</v>
      </c>
      <c r="M1187" s="15">
        <v>0</v>
      </c>
      <c r="N1187" s="15">
        <v>0</v>
      </c>
      <c r="O1187" s="15">
        <v>69.023409999999998</v>
      </c>
      <c r="P1187" s="15">
        <v>599.97340999999994</v>
      </c>
    </row>
    <row r="1188" spans="1:16" ht="15" x14ac:dyDescent="0.2">
      <c r="A1188" s="4" t="s">
        <v>584</v>
      </c>
      <c r="B1188" s="21" t="str">
        <f t="shared" si="36"/>
        <v>Oct-2025</v>
      </c>
      <c r="C1188" s="2" t="str">
        <f t="shared" si="37"/>
        <v>Q3</v>
      </c>
      <c r="D1188" s="2" t="s">
        <v>31</v>
      </c>
      <c r="E1188" s="13">
        <v>45960</v>
      </c>
      <c r="F1188" s="14" t="s">
        <v>305</v>
      </c>
      <c r="G1188" s="14" t="s">
        <v>306</v>
      </c>
      <c r="H1188" s="14" t="s">
        <v>99</v>
      </c>
      <c r="I1188" s="15">
        <v>0.25</v>
      </c>
      <c r="J1188" s="15">
        <v>10</v>
      </c>
      <c r="K1188" s="15">
        <v>77.88</v>
      </c>
      <c r="L1188" s="15">
        <v>778.8</v>
      </c>
      <c r="M1188" s="15">
        <v>0</v>
      </c>
      <c r="N1188" s="15">
        <v>0</v>
      </c>
      <c r="O1188" s="15">
        <v>101.24386899999999</v>
      </c>
      <c r="P1188" s="15">
        <v>880.04386899999997</v>
      </c>
    </row>
    <row r="1189" spans="1:16" ht="15" x14ac:dyDescent="0.2">
      <c r="A1189" s="4" t="s">
        <v>582</v>
      </c>
      <c r="B1189" s="21" t="str">
        <f t="shared" si="36"/>
        <v>Oct-2025</v>
      </c>
      <c r="C1189" s="2" t="str">
        <f t="shared" si="37"/>
        <v>Q3</v>
      </c>
      <c r="D1189" s="2" t="s">
        <v>31</v>
      </c>
      <c r="E1189" s="13">
        <v>45960</v>
      </c>
      <c r="F1189" s="14" t="s">
        <v>305</v>
      </c>
      <c r="G1189" s="14" t="s">
        <v>306</v>
      </c>
      <c r="H1189" s="14" t="s">
        <v>101</v>
      </c>
      <c r="I1189" s="15">
        <v>0.21</v>
      </c>
      <c r="J1189" s="15">
        <v>5</v>
      </c>
      <c r="K1189" s="15">
        <v>176.99</v>
      </c>
      <c r="L1189" s="15">
        <v>884.95</v>
      </c>
      <c r="M1189" s="15">
        <v>0</v>
      </c>
      <c r="N1189" s="15">
        <v>0</v>
      </c>
      <c r="O1189" s="15">
        <v>115.043351</v>
      </c>
      <c r="P1189" s="15">
        <v>999.99335099999996</v>
      </c>
    </row>
    <row r="1190" spans="1:16" ht="15" x14ac:dyDescent="0.2">
      <c r="A1190" s="4" t="s">
        <v>573</v>
      </c>
      <c r="B1190" s="21" t="str">
        <f t="shared" si="36"/>
        <v>Oct-2025</v>
      </c>
      <c r="C1190" s="2" t="str">
        <f t="shared" si="37"/>
        <v>Q3</v>
      </c>
      <c r="D1190" s="2" t="s">
        <v>31</v>
      </c>
      <c r="E1190" s="13">
        <v>45960</v>
      </c>
      <c r="F1190" s="14" t="s">
        <v>305</v>
      </c>
      <c r="G1190" s="14" t="s">
        <v>306</v>
      </c>
      <c r="H1190" s="14" t="s">
        <v>136</v>
      </c>
      <c r="I1190" s="15">
        <v>0.13</v>
      </c>
      <c r="J1190" s="15">
        <v>5</v>
      </c>
      <c r="K1190" s="15">
        <v>106.19</v>
      </c>
      <c r="L1190" s="15">
        <v>530.95000000000005</v>
      </c>
      <c r="M1190" s="15">
        <v>0</v>
      </c>
      <c r="N1190" s="15">
        <v>0</v>
      </c>
      <c r="O1190" s="15">
        <v>69.023409999999998</v>
      </c>
      <c r="P1190" s="15">
        <v>599.97340999999994</v>
      </c>
    </row>
    <row r="1191" spans="1:16" ht="15" x14ac:dyDescent="0.2">
      <c r="A1191" s="4" t="s">
        <v>575</v>
      </c>
      <c r="B1191" s="21" t="str">
        <f t="shared" si="36"/>
        <v>Oct-2025</v>
      </c>
      <c r="C1191" s="2" t="str">
        <f t="shared" si="37"/>
        <v>Q3</v>
      </c>
      <c r="D1191" s="2" t="s">
        <v>31</v>
      </c>
      <c r="E1191" s="13">
        <v>45960</v>
      </c>
      <c r="F1191" s="14" t="s">
        <v>305</v>
      </c>
      <c r="G1191" s="14" t="s">
        <v>306</v>
      </c>
      <c r="H1191" s="14" t="s">
        <v>55</v>
      </c>
      <c r="I1191" s="15">
        <v>0.5</v>
      </c>
      <c r="J1191" s="15">
        <v>10</v>
      </c>
      <c r="K1191" s="15">
        <v>176.99</v>
      </c>
      <c r="L1191" s="15">
        <v>1769.9</v>
      </c>
      <c r="M1191" s="15">
        <v>0</v>
      </c>
      <c r="N1191" s="15">
        <v>0</v>
      </c>
      <c r="O1191" s="15">
        <v>230.08670100000001</v>
      </c>
      <c r="P1191" s="15">
        <v>1999.986701</v>
      </c>
    </row>
    <row r="1192" spans="1:16" ht="15" x14ac:dyDescent="0.2">
      <c r="A1192" s="4" t="s">
        <v>582</v>
      </c>
      <c r="B1192" s="21" t="str">
        <f t="shared" si="36"/>
        <v>Oct-2025</v>
      </c>
      <c r="C1192" s="2" t="str">
        <f t="shared" si="37"/>
        <v>Q3</v>
      </c>
      <c r="D1192" s="2" t="s">
        <v>31</v>
      </c>
      <c r="E1192" s="13">
        <v>45960</v>
      </c>
      <c r="F1192" s="14" t="s">
        <v>307</v>
      </c>
      <c r="G1192" s="14" t="s">
        <v>306</v>
      </c>
      <c r="H1192" s="14" t="s">
        <v>108</v>
      </c>
      <c r="I1192" s="15">
        <v>0.21</v>
      </c>
      <c r="J1192" s="15">
        <v>5</v>
      </c>
      <c r="K1192" s="15">
        <v>176.99</v>
      </c>
      <c r="L1192" s="15">
        <v>884.95</v>
      </c>
      <c r="M1192" s="15">
        <v>0</v>
      </c>
      <c r="N1192" s="15">
        <v>0</v>
      </c>
      <c r="O1192" s="15">
        <v>115.04373799999999</v>
      </c>
      <c r="P1192" s="15">
        <v>999.99373800000001</v>
      </c>
    </row>
    <row r="1193" spans="1:16" ht="15" x14ac:dyDescent="0.2">
      <c r="A1193" s="4" t="s">
        <v>579</v>
      </c>
      <c r="B1193" s="21" t="str">
        <f t="shared" si="36"/>
        <v>Oct-2025</v>
      </c>
      <c r="C1193" s="2" t="str">
        <f t="shared" si="37"/>
        <v>Q3</v>
      </c>
      <c r="D1193" s="2" t="s">
        <v>31</v>
      </c>
      <c r="E1193" s="13">
        <v>45960</v>
      </c>
      <c r="F1193" s="14" t="s">
        <v>307</v>
      </c>
      <c r="G1193" s="14" t="s">
        <v>306</v>
      </c>
      <c r="H1193" s="14" t="s">
        <v>140</v>
      </c>
      <c r="I1193" s="15">
        <v>0.25</v>
      </c>
      <c r="J1193" s="15">
        <v>5</v>
      </c>
      <c r="K1193" s="15">
        <v>194.69</v>
      </c>
      <c r="L1193" s="15">
        <v>973.44999999999993</v>
      </c>
      <c r="M1193" s="15">
        <v>0</v>
      </c>
      <c r="N1193" s="15">
        <v>0</v>
      </c>
      <c r="O1193" s="15">
        <v>126.548762</v>
      </c>
      <c r="P1193" s="15">
        <v>1099.9987619999999</v>
      </c>
    </row>
    <row r="1194" spans="1:16" ht="15" x14ac:dyDescent="0.2">
      <c r="A1194" s="4" t="s">
        <v>574</v>
      </c>
      <c r="B1194" s="21" t="str">
        <f t="shared" si="36"/>
        <v>Oct-2025</v>
      </c>
      <c r="C1194" s="2" t="str">
        <f t="shared" si="37"/>
        <v>Q3</v>
      </c>
      <c r="D1194" s="2" t="s">
        <v>31</v>
      </c>
      <c r="E1194" s="13">
        <v>45960</v>
      </c>
      <c r="F1194" s="14" t="s">
        <v>307</v>
      </c>
      <c r="G1194" s="14" t="s">
        <v>306</v>
      </c>
      <c r="H1194" s="14" t="s">
        <v>86</v>
      </c>
      <c r="I1194" s="15">
        <v>0.28000000000000003</v>
      </c>
      <c r="J1194" s="15">
        <v>5</v>
      </c>
      <c r="K1194" s="15">
        <v>169.91</v>
      </c>
      <c r="L1194" s="15">
        <v>849.55000000000007</v>
      </c>
      <c r="M1194" s="15">
        <v>0</v>
      </c>
      <c r="N1194" s="15">
        <v>0</v>
      </c>
      <c r="O1194" s="15">
        <v>110.441729</v>
      </c>
      <c r="P1194" s="15">
        <v>959.99172899999996</v>
      </c>
    </row>
    <row r="1195" spans="1:16" ht="15" x14ac:dyDescent="0.2">
      <c r="A1195" s="4" t="s">
        <v>574</v>
      </c>
      <c r="B1195" s="21" t="str">
        <f t="shared" si="36"/>
        <v>Oct-2025</v>
      </c>
      <c r="C1195" s="2" t="str">
        <f t="shared" si="37"/>
        <v>Q3</v>
      </c>
      <c r="D1195" s="2" t="s">
        <v>31</v>
      </c>
      <c r="E1195" s="13">
        <v>45960</v>
      </c>
      <c r="F1195" s="14" t="s">
        <v>307</v>
      </c>
      <c r="G1195" s="14" t="s">
        <v>306</v>
      </c>
      <c r="H1195" s="14" t="s">
        <v>85</v>
      </c>
      <c r="I1195" s="15">
        <v>0.28000000000000003</v>
      </c>
      <c r="J1195" s="15">
        <v>5</v>
      </c>
      <c r="K1195" s="15">
        <v>169.91</v>
      </c>
      <c r="L1195" s="15">
        <v>849.55000000000007</v>
      </c>
      <c r="M1195" s="15">
        <v>0</v>
      </c>
      <c r="N1195" s="15">
        <v>0</v>
      </c>
      <c r="O1195" s="15">
        <v>110.441729</v>
      </c>
      <c r="P1195" s="15">
        <v>959.99172899999996</v>
      </c>
    </row>
    <row r="1196" spans="1:16" ht="15" x14ac:dyDescent="0.2">
      <c r="A1196" s="4" t="s">
        <v>579</v>
      </c>
      <c r="B1196" s="21" t="str">
        <f t="shared" si="36"/>
        <v>Oct-2025</v>
      </c>
      <c r="C1196" s="2" t="str">
        <f t="shared" si="37"/>
        <v>Q3</v>
      </c>
      <c r="D1196" s="2" t="s">
        <v>31</v>
      </c>
      <c r="E1196" s="13">
        <v>45960</v>
      </c>
      <c r="F1196" s="14" t="s">
        <v>307</v>
      </c>
      <c r="G1196" s="14" t="s">
        <v>306</v>
      </c>
      <c r="H1196" s="14" t="s">
        <v>112</v>
      </c>
      <c r="I1196" s="15">
        <v>0.25</v>
      </c>
      <c r="J1196" s="15">
        <v>5</v>
      </c>
      <c r="K1196" s="15">
        <v>194.69</v>
      </c>
      <c r="L1196" s="15">
        <v>973.44999999999993</v>
      </c>
      <c r="M1196" s="15">
        <v>0</v>
      </c>
      <c r="N1196" s="15">
        <v>0</v>
      </c>
      <c r="O1196" s="15">
        <v>126.548762</v>
      </c>
      <c r="P1196" s="15">
        <v>1099.9987619999999</v>
      </c>
    </row>
    <row r="1197" spans="1:16" ht="15" x14ac:dyDescent="0.2">
      <c r="A1197" s="4" t="s">
        <v>579</v>
      </c>
      <c r="B1197" s="21" t="str">
        <f t="shared" si="36"/>
        <v>Oct-2025</v>
      </c>
      <c r="C1197" s="2" t="str">
        <f t="shared" si="37"/>
        <v>Q3</v>
      </c>
      <c r="D1197" s="2" t="s">
        <v>31</v>
      </c>
      <c r="E1197" s="13">
        <v>45960</v>
      </c>
      <c r="F1197" s="14" t="s">
        <v>307</v>
      </c>
      <c r="G1197" s="14" t="s">
        <v>306</v>
      </c>
      <c r="H1197" s="14" t="s">
        <v>90</v>
      </c>
      <c r="I1197" s="15">
        <v>0.25</v>
      </c>
      <c r="J1197" s="15">
        <v>5</v>
      </c>
      <c r="K1197" s="15">
        <v>194.69</v>
      </c>
      <c r="L1197" s="15">
        <v>973.44999999999993</v>
      </c>
      <c r="M1197" s="15">
        <v>0</v>
      </c>
      <c r="N1197" s="15">
        <v>0</v>
      </c>
      <c r="O1197" s="15">
        <v>126.548762</v>
      </c>
      <c r="P1197" s="15">
        <v>1099.9987619999999</v>
      </c>
    </row>
    <row r="1198" spans="1:16" ht="15" x14ac:dyDescent="0.2">
      <c r="A1198" s="4" t="s">
        <v>582</v>
      </c>
      <c r="B1198" s="21" t="str">
        <f t="shared" si="36"/>
        <v>Oct-2025</v>
      </c>
      <c r="C1198" s="2" t="str">
        <f t="shared" si="37"/>
        <v>Q3</v>
      </c>
      <c r="D1198" s="2" t="s">
        <v>31</v>
      </c>
      <c r="E1198" s="13">
        <v>45960</v>
      </c>
      <c r="F1198" s="14" t="s">
        <v>307</v>
      </c>
      <c r="G1198" s="14" t="s">
        <v>306</v>
      </c>
      <c r="H1198" s="14" t="s">
        <v>77</v>
      </c>
      <c r="I1198" s="15">
        <v>0.42</v>
      </c>
      <c r="J1198" s="15">
        <v>10</v>
      </c>
      <c r="K1198" s="15">
        <v>194.69</v>
      </c>
      <c r="L1198" s="15">
        <v>1946.8999999999999</v>
      </c>
      <c r="M1198" s="15">
        <v>0</v>
      </c>
      <c r="N1198" s="15">
        <v>0</v>
      </c>
      <c r="O1198" s="15">
        <v>253.09752500000002</v>
      </c>
      <c r="P1198" s="15">
        <v>2199.9975250000002</v>
      </c>
    </row>
    <row r="1199" spans="1:16" ht="15" x14ac:dyDescent="0.2">
      <c r="A1199" s="4" t="s">
        <v>581</v>
      </c>
      <c r="B1199" s="21" t="str">
        <f t="shared" si="36"/>
        <v>Oct-2025</v>
      </c>
      <c r="C1199" s="2" t="str">
        <f t="shared" si="37"/>
        <v>Q3</v>
      </c>
      <c r="D1199" s="2" t="s">
        <v>31</v>
      </c>
      <c r="E1199" s="13">
        <v>45960</v>
      </c>
      <c r="F1199" s="14" t="s">
        <v>307</v>
      </c>
      <c r="G1199" s="14" t="s">
        <v>306</v>
      </c>
      <c r="H1199" s="14" t="s">
        <v>66</v>
      </c>
      <c r="I1199" s="15">
        <v>0.83</v>
      </c>
      <c r="J1199" s="15">
        <v>20</v>
      </c>
      <c r="K1199" s="15">
        <v>134.51</v>
      </c>
      <c r="L1199" s="15">
        <v>2690.2000000000003</v>
      </c>
      <c r="M1199" s="15">
        <v>0</v>
      </c>
      <c r="N1199" s="15">
        <v>0</v>
      </c>
      <c r="O1199" s="15">
        <v>349.72672499999999</v>
      </c>
      <c r="P1199" s="15">
        <v>3039.9267249999998</v>
      </c>
    </row>
    <row r="1200" spans="1:16" ht="15" x14ac:dyDescent="0.2">
      <c r="A1200" s="4" t="s">
        <v>579</v>
      </c>
      <c r="B1200" s="21" t="str">
        <f t="shared" si="36"/>
        <v>Oct-2025</v>
      </c>
      <c r="C1200" s="2" t="str">
        <f t="shared" si="37"/>
        <v>Q3</v>
      </c>
      <c r="D1200" s="2" t="s">
        <v>31</v>
      </c>
      <c r="E1200" s="13">
        <v>45960</v>
      </c>
      <c r="F1200" s="14" t="s">
        <v>307</v>
      </c>
      <c r="G1200" s="14" t="s">
        <v>306</v>
      </c>
      <c r="H1200" s="14" t="s">
        <v>92</v>
      </c>
      <c r="I1200" s="15">
        <v>0.25</v>
      </c>
      <c r="J1200" s="15">
        <v>5</v>
      </c>
      <c r="K1200" s="15">
        <v>230.09</v>
      </c>
      <c r="L1200" s="15">
        <v>1150.45</v>
      </c>
      <c r="M1200" s="15">
        <v>0</v>
      </c>
      <c r="N1200" s="15">
        <v>0</v>
      </c>
      <c r="O1200" s="15">
        <v>149.55880999999999</v>
      </c>
      <c r="P1200" s="15">
        <v>1300.00881</v>
      </c>
    </row>
    <row r="1201" spans="1:16" ht="15" x14ac:dyDescent="0.2">
      <c r="A1201" s="4" t="s">
        <v>574</v>
      </c>
      <c r="B1201" s="21" t="str">
        <f t="shared" si="36"/>
        <v>Oct-2025</v>
      </c>
      <c r="C1201" s="2" t="str">
        <f t="shared" si="37"/>
        <v>Q3</v>
      </c>
      <c r="D1201" s="2" t="s">
        <v>31</v>
      </c>
      <c r="E1201" s="13">
        <v>45960</v>
      </c>
      <c r="F1201" s="14" t="s">
        <v>307</v>
      </c>
      <c r="G1201" s="14" t="s">
        <v>306</v>
      </c>
      <c r="H1201" s="14" t="s">
        <v>52</v>
      </c>
      <c r="I1201" s="15">
        <v>0.28000000000000003</v>
      </c>
      <c r="J1201" s="15">
        <v>5</v>
      </c>
      <c r="K1201" s="15">
        <v>169.91</v>
      </c>
      <c r="L1201" s="15">
        <v>849.55000000000007</v>
      </c>
      <c r="M1201" s="15">
        <v>0</v>
      </c>
      <c r="N1201" s="15">
        <v>0</v>
      </c>
      <c r="O1201" s="15">
        <v>110.441729</v>
      </c>
      <c r="P1201" s="15">
        <v>959.99172899999996</v>
      </c>
    </row>
    <row r="1202" spans="1:16" ht="15" x14ac:dyDescent="0.2">
      <c r="A1202" s="4" t="s">
        <v>574</v>
      </c>
      <c r="B1202" s="21" t="str">
        <f t="shared" si="36"/>
        <v>Oct-2025</v>
      </c>
      <c r="C1202" s="2" t="str">
        <f t="shared" si="37"/>
        <v>Q3</v>
      </c>
      <c r="D1202" s="2" t="s">
        <v>31</v>
      </c>
      <c r="E1202" s="13">
        <v>45960</v>
      </c>
      <c r="F1202" s="14" t="s">
        <v>307</v>
      </c>
      <c r="G1202" s="14" t="s">
        <v>306</v>
      </c>
      <c r="H1202" s="14" t="s">
        <v>84</v>
      </c>
      <c r="I1202" s="15">
        <v>0.28000000000000003</v>
      </c>
      <c r="J1202" s="15">
        <v>5</v>
      </c>
      <c r="K1202" s="15">
        <v>169.91</v>
      </c>
      <c r="L1202" s="15">
        <v>849.55000000000007</v>
      </c>
      <c r="M1202" s="15">
        <v>0</v>
      </c>
      <c r="N1202" s="15">
        <v>0</v>
      </c>
      <c r="O1202" s="15">
        <v>110.441729</v>
      </c>
      <c r="P1202" s="15">
        <v>959.99172899999996</v>
      </c>
    </row>
    <row r="1203" spans="1:16" ht="15" x14ac:dyDescent="0.2">
      <c r="A1203" s="4" t="s">
        <v>584</v>
      </c>
      <c r="B1203" s="21" t="str">
        <f t="shared" si="36"/>
        <v>Oct-2025</v>
      </c>
      <c r="C1203" s="2" t="str">
        <f t="shared" si="37"/>
        <v>Q3</v>
      </c>
      <c r="D1203" s="2" t="s">
        <v>31</v>
      </c>
      <c r="E1203" s="13">
        <v>45960</v>
      </c>
      <c r="F1203" s="14" t="s">
        <v>308</v>
      </c>
      <c r="G1203" s="14" t="s">
        <v>12</v>
      </c>
      <c r="H1203" s="14" t="s">
        <v>99</v>
      </c>
      <c r="I1203" s="15">
        <v>1</v>
      </c>
      <c r="J1203" s="15">
        <v>40</v>
      </c>
      <c r="K1203" s="15">
        <v>81.94</v>
      </c>
      <c r="L1203" s="15">
        <v>3277.6</v>
      </c>
      <c r="M1203" s="15">
        <v>-252.05</v>
      </c>
      <c r="N1203" s="15">
        <v>0</v>
      </c>
      <c r="O1203" s="15">
        <v>393.32158599999997</v>
      </c>
      <c r="P1203" s="15">
        <v>3418.8715860000002</v>
      </c>
    </row>
    <row r="1204" spans="1:16" ht="15" x14ac:dyDescent="0.2">
      <c r="A1204" s="4" t="s">
        <v>581</v>
      </c>
      <c r="B1204" s="21" t="str">
        <f t="shared" si="36"/>
        <v>Oct-2025</v>
      </c>
      <c r="C1204" s="2" t="str">
        <f t="shared" si="37"/>
        <v>Q3</v>
      </c>
      <c r="D1204" s="2" t="s">
        <v>31</v>
      </c>
      <c r="E1204" s="13">
        <v>45960</v>
      </c>
      <c r="F1204" s="14" t="s">
        <v>308</v>
      </c>
      <c r="G1204" s="14" t="s">
        <v>12</v>
      </c>
      <c r="H1204" s="14" t="s">
        <v>96</v>
      </c>
      <c r="I1204" s="15">
        <v>4</v>
      </c>
      <c r="J1204" s="15">
        <v>160</v>
      </c>
      <c r="K1204" s="15">
        <v>67.040000000000006</v>
      </c>
      <c r="L1204" s="15">
        <v>10726.4</v>
      </c>
      <c r="M1204" s="15">
        <v>-824.86</v>
      </c>
      <c r="N1204" s="15">
        <v>0</v>
      </c>
      <c r="O1204" s="15">
        <v>1287.200482</v>
      </c>
      <c r="P1204" s="15">
        <v>11188.740481999999</v>
      </c>
    </row>
    <row r="1205" spans="1:16" ht="15" x14ac:dyDescent="0.2">
      <c r="A1205" s="4" t="s">
        <v>576</v>
      </c>
      <c r="B1205" s="21" t="str">
        <f t="shared" si="36"/>
        <v>Oct-2025</v>
      </c>
      <c r="C1205" s="2" t="str">
        <f t="shared" si="37"/>
        <v>Q3</v>
      </c>
      <c r="D1205" s="2" t="s">
        <v>31</v>
      </c>
      <c r="E1205" s="13">
        <v>45960</v>
      </c>
      <c r="F1205" s="14" t="s">
        <v>308</v>
      </c>
      <c r="G1205" s="14" t="s">
        <v>12</v>
      </c>
      <c r="H1205" s="14" t="s">
        <v>124</v>
      </c>
      <c r="I1205" s="15">
        <v>1</v>
      </c>
      <c r="J1205" s="15">
        <v>20</v>
      </c>
      <c r="K1205" s="15">
        <v>175.06</v>
      </c>
      <c r="L1205" s="15">
        <v>3501.2</v>
      </c>
      <c r="M1205" s="15">
        <v>-269.24</v>
      </c>
      <c r="N1205" s="15">
        <v>0</v>
      </c>
      <c r="O1205" s="15">
        <v>420.15489200000002</v>
      </c>
      <c r="P1205" s="15">
        <v>3652.1148920000001</v>
      </c>
    </row>
    <row r="1206" spans="1:16" ht="15" x14ac:dyDescent="0.2">
      <c r="A1206" s="4" t="s">
        <v>583</v>
      </c>
      <c r="B1206" s="21" t="str">
        <f t="shared" si="36"/>
        <v>Oct-2025</v>
      </c>
      <c r="C1206" s="2" t="str">
        <f t="shared" si="37"/>
        <v>Q3</v>
      </c>
      <c r="D1206" s="2" t="s">
        <v>31</v>
      </c>
      <c r="E1206" s="13">
        <v>45960</v>
      </c>
      <c r="F1206" s="14" t="s">
        <v>308</v>
      </c>
      <c r="G1206" s="14" t="s">
        <v>12</v>
      </c>
      <c r="H1206" s="14" t="s">
        <v>113</v>
      </c>
      <c r="I1206" s="15">
        <v>6</v>
      </c>
      <c r="J1206" s="15">
        <v>90</v>
      </c>
      <c r="K1206" s="15">
        <v>260.72000000000003</v>
      </c>
      <c r="L1206" s="15">
        <v>23464.799999999999</v>
      </c>
      <c r="M1206" s="15">
        <v>-1804.44</v>
      </c>
      <c r="N1206" s="15">
        <v>0</v>
      </c>
      <c r="O1206" s="15">
        <v>2815.8474179999998</v>
      </c>
      <c r="P1206" s="15">
        <v>24476.207418000002</v>
      </c>
    </row>
    <row r="1207" spans="1:16" ht="15" x14ac:dyDescent="0.2">
      <c r="A1207" s="4" t="s">
        <v>576</v>
      </c>
      <c r="B1207" s="21" t="str">
        <f t="shared" si="36"/>
        <v>Oct-2025</v>
      </c>
      <c r="C1207" s="2" t="str">
        <f t="shared" si="37"/>
        <v>Q3</v>
      </c>
      <c r="D1207" s="2" t="s">
        <v>31</v>
      </c>
      <c r="E1207" s="13">
        <v>45960</v>
      </c>
      <c r="F1207" s="14" t="s">
        <v>308</v>
      </c>
      <c r="G1207" s="14" t="s">
        <v>12</v>
      </c>
      <c r="H1207" s="14" t="s">
        <v>110</v>
      </c>
      <c r="I1207" s="15">
        <v>2</v>
      </c>
      <c r="J1207" s="15">
        <v>40</v>
      </c>
      <c r="K1207" s="15">
        <v>175.06</v>
      </c>
      <c r="L1207" s="15">
        <v>7002.4</v>
      </c>
      <c r="M1207" s="15">
        <v>-538.48</v>
      </c>
      <c r="N1207" s="15">
        <v>0</v>
      </c>
      <c r="O1207" s="15">
        <v>840.30978400000004</v>
      </c>
      <c r="P1207" s="15">
        <v>7304.2297840000001</v>
      </c>
    </row>
    <row r="1208" spans="1:16" ht="15" x14ac:dyDescent="0.2">
      <c r="A1208" s="4" t="s">
        <v>582</v>
      </c>
      <c r="B1208" s="21" t="str">
        <f t="shared" si="36"/>
        <v>Oct-2025</v>
      </c>
      <c r="C1208" s="2" t="str">
        <f t="shared" si="37"/>
        <v>Q3</v>
      </c>
      <c r="D1208" s="2" t="s">
        <v>31</v>
      </c>
      <c r="E1208" s="13">
        <v>45960</v>
      </c>
      <c r="F1208" s="14" t="s">
        <v>308</v>
      </c>
      <c r="G1208" s="14" t="s">
        <v>12</v>
      </c>
      <c r="H1208" s="14" t="s">
        <v>77</v>
      </c>
      <c r="I1208" s="15">
        <v>2</v>
      </c>
      <c r="J1208" s="15">
        <v>48</v>
      </c>
      <c r="K1208" s="15">
        <v>204.85</v>
      </c>
      <c r="L1208" s="15">
        <v>9832.8000000000011</v>
      </c>
      <c r="M1208" s="15">
        <v>-756.14</v>
      </c>
      <c r="N1208" s="15">
        <v>0</v>
      </c>
      <c r="O1208" s="15">
        <v>1179.9660590000001</v>
      </c>
      <c r="P1208" s="15">
        <v>10256.626059</v>
      </c>
    </row>
    <row r="1209" spans="1:16" ht="15" x14ac:dyDescent="0.2">
      <c r="A1209" s="4" t="s">
        <v>584</v>
      </c>
      <c r="B1209" s="21" t="str">
        <f t="shared" si="36"/>
        <v>Oct-2025</v>
      </c>
      <c r="C1209" s="2" t="str">
        <f t="shared" si="37"/>
        <v>Q3</v>
      </c>
      <c r="D1209" s="2" t="s">
        <v>31</v>
      </c>
      <c r="E1209" s="13">
        <v>45960</v>
      </c>
      <c r="F1209" s="14" t="s">
        <v>308</v>
      </c>
      <c r="G1209" s="14" t="s">
        <v>12</v>
      </c>
      <c r="H1209" s="14" t="s">
        <v>100</v>
      </c>
      <c r="I1209" s="15">
        <v>1</v>
      </c>
      <c r="J1209" s="15">
        <v>40</v>
      </c>
      <c r="K1209" s="15">
        <v>81.94</v>
      </c>
      <c r="L1209" s="15">
        <v>3277.6</v>
      </c>
      <c r="M1209" s="15">
        <v>-252.05</v>
      </c>
      <c r="N1209" s="15">
        <v>0</v>
      </c>
      <c r="O1209" s="15">
        <v>393.32158599999997</v>
      </c>
      <c r="P1209" s="15">
        <v>3418.8715860000002</v>
      </c>
    </row>
    <row r="1210" spans="1:16" ht="15" x14ac:dyDescent="0.2">
      <c r="A1210" s="4" t="s">
        <v>581</v>
      </c>
      <c r="B1210" s="21" t="str">
        <f t="shared" si="36"/>
        <v>Oct-2025</v>
      </c>
      <c r="C1210" s="2" t="str">
        <f t="shared" si="37"/>
        <v>Q3</v>
      </c>
      <c r="D1210" s="2" t="s">
        <v>31</v>
      </c>
      <c r="E1210" s="13">
        <v>45960</v>
      </c>
      <c r="F1210" s="14" t="s">
        <v>308</v>
      </c>
      <c r="G1210" s="14" t="s">
        <v>12</v>
      </c>
      <c r="H1210" s="14" t="s">
        <v>97</v>
      </c>
      <c r="I1210" s="15">
        <v>2</v>
      </c>
      <c r="J1210" s="15">
        <v>80</v>
      </c>
      <c r="K1210" s="15">
        <v>67.040000000000006</v>
      </c>
      <c r="L1210" s="15">
        <v>5363.2</v>
      </c>
      <c r="M1210" s="15">
        <v>-412.43</v>
      </c>
      <c r="N1210" s="15">
        <v>0</v>
      </c>
      <c r="O1210" s="15">
        <v>643.60024099999998</v>
      </c>
      <c r="P1210" s="15">
        <v>5594.3702409999996</v>
      </c>
    </row>
    <row r="1211" spans="1:16" ht="15" x14ac:dyDescent="0.2">
      <c r="A1211" s="4" t="s">
        <v>579</v>
      </c>
      <c r="B1211" s="21" t="str">
        <f t="shared" si="36"/>
        <v>Oct-2025</v>
      </c>
      <c r="C1211" s="2" t="str">
        <f t="shared" si="37"/>
        <v>Q3</v>
      </c>
      <c r="D1211" s="2" t="s">
        <v>31</v>
      </c>
      <c r="E1211" s="13">
        <v>45960</v>
      </c>
      <c r="F1211" s="14" t="s">
        <v>308</v>
      </c>
      <c r="G1211" s="14" t="s">
        <v>12</v>
      </c>
      <c r="H1211" s="14" t="s">
        <v>140</v>
      </c>
      <c r="I1211" s="15">
        <v>1</v>
      </c>
      <c r="J1211" s="15">
        <v>20</v>
      </c>
      <c r="K1211" s="15">
        <v>204.85</v>
      </c>
      <c r="L1211" s="15">
        <v>4097</v>
      </c>
      <c r="M1211" s="15">
        <v>-315.06</v>
      </c>
      <c r="N1211" s="15">
        <v>0</v>
      </c>
      <c r="O1211" s="15">
        <v>491.652308</v>
      </c>
      <c r="P1211" s="15">
        <v>4273.5923080000002</v>
      </c>
    </row>
    <row r="1212" spans="1:16" ht="15" x14ac:dyDescent="0.2">
      <c r="A1212" s="4" t="s">
        <v>579</v>
      </c>
      <c r="B1212" s="21" t="str">
        <f t="shared" si="36"/>
        <v>Oct-2025</v>
      </c>
      <c r="C1212" s="2" t="str">
        <f t="shared" si="37"/>
        <v>Q3</v>
      </c>
      <c r="D1212" s="2" t="s">
        <v>31</v>
      </c>
      <c r="E1212" s="13">
        <v>45960</v>
      </c>
      <c r="F1212" s="14" t="s">
        <v>308</v>
      </c>
      <c r="G1212" s="14" t="s">
        <v>12</v>
      </c>
      <c r="H1212" s="14" t="s">
        <v>90</v>
      </c>
      <c r="I1212" s="15">
        <v>3</v>
      </c>
      <c r="J1212" s="15">
        <v>60</v>
      </c>
      <c r="K1212" s="15">
        <v>204.85</v>
      </c>
      <c r="L1212" s="15">
        <v>12291</v>
      </c>
      <c r="M1212" s="15">
        <v>-945.18</v>
      </c>
      <c r="N1212" s="15">
        <v>0</v>
      </c>
      <c r="O1212" s="15">
        <v>1474.9569230000002</v>
      </c>
      <c r="P1212" s="15">
        <v>12820.776922999999</v>
      </c>
    </row>
    <row r="1213" spans="1:16" ht="15" x14ac:dyDescent="0.2">
      <c r="A1213" s="4" t="s">
        <v>576</v>
      </c>
      <c r="B1213" s="21" t="str">
        <f t="shared" si="36"/>
        <v>Oct-2025</v>
      </c>
      <c r="C1213" s="2" t="str">
        <f t="shared" si="37"/>
        <v>Q3</v>
      </c>
      <c r="D1213" s="2" t="s">
        <v>31</v>
      </c>
      <c r="E1213" s="13">
        <v>45960</v>
      </c>
      <c r="F1213" s="14" t="s">
        <v>308</v>
      </c>
      <c r="G1213" s="14" t="s">
        <v>12</v>
      </c>
      <c r="H1213" s="14" t="s">
        <v>123</v>
      </c>
      <c r="I1213" s="15">
        <v>1</v>
      </c>
      <c r="J1213" s="15">
        <v>20</v>
      </c>
      <c r="K1213" s="15">
        <v>175.06</v>
      </c>
      <c r="L1213" s="15">
        <v>3501.2</v>
      </c>
      <c r="M1213" s="15">
        <v>-269.24</v>
      </c>
      <c r="N1213" s="15">
        <v>0</v>
      </c>
      <c r="O1213" s="15">
        <v>420.15489200000002</v>
      </c>
      <c r="P1213" s="15">
        <v>3652.1148920000001</v>
      </c>
    </row>
    <row r="1214" spans="1:16" ht="15" x14ac:dyDescent="0.2">
      <c r="A1214" s="4" t="s">
        <v>579</v>
      </c>
      <c r="B1214" s="21" t="str">
        <f t="shared" si="36"/>
        <v>Oct-2025</v>
      </c>
      <c r="C1214" s="2" t="str">
        <f t="shared" si="37"/>
        <v>Q3</v>
      </c>
      <c r="D1214" s="2" t="s">
        <v>31</v>
      </c>
      <c r="E1214" s="13">
        <v>45960</v>
      </c>
      <c r="F1214" s="14" t="s">
        <v>308</v>
      </c>
      <c r="G1214" s="14" t="s">
        <v>12</v>
      </c>
      <c r="H1214" s="14" t="s">
        <v>112</v>
      </c>
      <c r="I1214" s="15">
        <v>1</v>
      </c>
      <c r="J1214" s="15">
        <v>20</v>
      </c>
      <c r="K1214" s="15">
        <v>204.85</v>
      </c>
      <c r="L1214" s="15">
        <v>4097</v>
      </c>
      <c r="M1214" s="15">
        <v>-315.06</v>
      </c>
      <c r="N1214" s="15">
        <v>0</v>
      </c>
      <c r="O1214" s="15">
        <v>491.652308</v>
      </c>
      <c r="P1214" s="15">
        <v>4273.5923080000002</v>
      </c>
    </row>
    <row r="1215" spans="1:16" ht="15" x14ac:dyDescent="0.2">
      <c r="A1215" s="4" t="s">
        <v>581</v>
      </c>
      <c r="B1215" s="21" t="str">
        <f t="shared" si="36"/>
        <v>Oct-2025</v>
      </c>
      <c r="C1215" s="2" t="str">
        <f t="shared" si="37"/>
        <v>Q3</v>
      </c>
      <c r="D1215" s="2" t="s">
        <v>31</v>
      </c>
      <c r="E1215" s="13">
        <v>45960</v>
      </c>
      <c r="F1215" s="14" t="s">
        <v>308</v>
      </c>
      <c r="G1215" s="14" t="s">
        <v>12</v>
      </c>
      <c r="H1215" s="14" t="s">
        <v>104</v>
      </c>
      <c r="I1215" s="15">
        <v>2</v>
      </c>
      <c r="J1215" s="15">
        <v>80</v>
      </c>
      <c r="K1215" s="15">
        <v>67.040000000000006</v>
      </c>
      <c r="L1215" s="15">
        <v>5363.2</v>
      </c>
      <c r="M1215" s="15">
        <v>-412.43</v>
      </c>
      <c r="N1215" s="15">
        <v>0</v>
      </c>
      <c r="O1215" s="15">
        <v>643.60024099999998</v>
      </c>
      <c r="P1215" s="15">
        <v>5594.3702409999996</v>
      </c>
    </row>
    <row r="1216" spans="1:16" ht="15" x14ac:dyDescent="0.2">
      <c r="A1216" s="4" t="s">
        <v>581</v>
      </c>
      <c r="B1216" s="21" t="str">
        <f t="shared" si="36"/>
        <v>Oct-2025</v>
      </c>
      <c r="C1216" s="2" t="str">
        <f t="shared" si="37"/>
        <v>Q3</v>
      </c>
      <c r="D1216" s="2" t="s">
        <v>31</v>
      </c>
      <c r="E1216" s="13">
        <v>45960</v>
      </c>
      <c r="F1216" s="14" t="s">
        <v>308</v>
      </c>
      <c r="G1216" s="14" t="s">
        <v>12</v>
      </c>
      <c r="H1216" s="14" t="s">
        <v>66</v>
      </c>
      <c r="I1216" s="15">
        <v>2</v>
      </c>
      <c r="J1216" s="15">
        <v>48</v>
      </c>
      <c r="K1216" s="15">
        <v>141.54</v>
      </c>
      <c r="L1216" s="15">
        <v>6793.92</v>
      </c>
      <c r="M1216" s="15">
        <v>-522.45000000000005</v>
      </c>
      <c r="N1216" s="15">
        <v>0</v>
      </c>
      <c r="O1216" s="15">
        <v>815.29127900000003</v>
      </c>
      <c r="P1216" s="15">
        <v>7086.7612790000003</v>
      </c>
    </row>
    <row r="1217" spans="1:16" ht="15" x14ac:dyDescent="0.2">
      <c r="A1217" s="4" t="s">
        <v>576</v>
      </c>
      <c r="B1217" s="21" t="str">
        <f t="shared" si="36"/>
        <v>Oct-2025</v>
      </c>
      <c r="C1217" s="2" t="str">
        <f t="shared" si="37"/>
        <v>Q3</v>
      </c>
      <c r="D1217" s="2" t="s">
        <v>31</v>
      </c>
      <c r="E1217" s="13">
        <v>45961</v>
      </c>
      <c r="F1217" s="14" t="s">
        <v>309</v>
      </c>
      <c r="G1217" s="14" t="s">
        <v>187</v>
      </c>
      <c r="H1217" s="14" t="s">
        <v>124</v>
      </c>
      <c r="I1217" s="15">
        <v>2</v>
      </c>
      <c r="J1217" s="15">
        <v>40</v>
      </c>
      <c r="K1217" s="15">
        <v>175.06</v>
      </c>
      <c r="L1217" s="15">
        <v>7002.4</v>
      </c>
      <c r="M1217" s="15">
        <v>-538.48</v>
      </c>
      <c r="N1217" s="15">
        <v>0</v>
      </c>
      <c r="O1217" s="15">
        <v>840.30952100000002</v>
      </c>
      <c r="P1217" s="15">
        <v>7304.2295210000002</v>
      </c>
    </row>
    <row r="1218" spans="1:16" ht="15" x14ac:dyDescent="0.2">
      <c r="A1218" s="4" t="s">
        <v>581</v>
      </c>
      <c r="B1218" s="21" t="str">
        <f t="shared" si="36"/>
        <v>Oct-2025</v>
      </c>
      <c r="C1218" s="2" t="str">
        <f t="shared" si="37"/>
        <v>Q3</v>
      </c>
      <c r="D1218" s="2" t="s">
        <v>31</v>
      </c>
      <c r="E1218" s="13">
        <v>45961</v>
      </c>
      <c r="F1218" s="14" t="s">
        <v>309</v>
      </c>
      <c r="G1218" s="14" t="s">
        <v>187</v>
      </c>
      <c r="H1218" s="14" t="s">
        <v>104</v>
      </c>
      <c r="I1218" s="15">
        <v>1</v>
      </c>
      <c r="J1218" s="15">
        <v>40</v>
      </c>
      <c r="K1218" s="15">
        <v>67.040000000000006</v>
      </c>
      <c r="L1218" s="15">
        <v>2681.6</v>
      </c>
      <c r="M1218" s="15">
        <v>-206.22</v>
      </c>
      <c r="N1218" s="15">
        <v>0</v>
      </c>
      <c r="O1218" s="15">
        <v>321.79937000000001</v>
      </c>
      <c r="P1218" s="15">
        <v>2797.1793699999998</v>
      </c>
    </row>
    <row r="1219" spans="1:16" ht="15" x14ac:dyDescent="0.2">
      <c r="A1219" s="4" t="s">
        <v>573</v>
      </c>
      <c r="B1219" s="21" t="str">
        <f t="shared" ref="B1219:B1282" si="38">+TEXT(E1219,"MMM-yyy")</f>
        <v>Oct-2025</v>
      </c>
      <c r="C1219" s="2" t="str">
        <f t="shared" ref="C1219:C1282" si="39">"Q" &amp; CHOOSE(MONTH(E1219),4,4,4,1,1,1,2,2,2,3,3,3)</f>
        <v>Q3</v>
      </c>
      <c r="D1219" s="2" t="s">
        <v>31</v>
      </c>
      <c r="E1219" s="13">
        <v>45961</v>
      </c>
      <c r="F1219" s="14" t="s">
        <v>309</v>
      </c>
      <c r="G1219" s="14" t="s">
        <v>187</v>
      </c>
      <c r="H1219" s="14" t="s">
        <v>47</v>
      </c>
      <c r="I1219" s="15">
        <v>1</v>
      </c>
      <c r="J1219" s="15">
        <v>40</v>
      </c>
      <c r="K1219" s="15">
        <v>111.74</v>
      </c>
      <c r="L1219" s="15">
        <v>4469.6000000000004</v>
      </c>
      <c r="M1219" s="15">
        <v>-343.71</v>
      </c>
      <c r="N1219" s="15">
        <v>0</v>
      </c>
      <c r="O1219" s="15">
        <v>536.36564999999996</v>
      </c>
      <c r="P1219" s="15">
        <v>4662.2556500000001</v>
      </c>
    </row>
    <row r="1220" spans="1:16" ht="15" x14ac:dyDescent="0.2">
      <c r="A1220" s="4" t="s">
        <v>584</v>
      </c>
      <c r="B1220" s="21" t="str">
        <f t="shared" si="38"/>
        <v>Oct-2025</v>
      </c>
      <c r="C1220" s="2" t="str">
        <f t="shared" si="39"/>
        <v>Q3</v>
      </c>
      <c r="D1220" s="2" t="s">
        <v>31</v>
      </c>
      <c r="E1220" s="13">
        <v>45961</v>
      </c>
      <c r="F1220" s="14" t="s">
        <v>309</v>
      </c>
      <c r="G1220" s="14" t="s">
        <v>187</v>
      </c>
      <c r="H1220" s="14" t="s">
        <v>99</v>
      </c>
      <c r="I1220" s="15">
        <v>1</v>
      </c>
      <c r="J1220" s="15">
        <v>40</v>
      </c>
      <c r="K1220" s="15">
        <v>81.94</v>
      </c>
      <c r="L1220" s="15">
        <v>3277.6</v>
      </c>
      <c r="M1220" s="15">
        <v>-252.05</v>
      </c>
      <c r="N1220" s="15">
        <v>0</v>
      </c>
      <c r="O1220" s="15">
        <v>393.32146299999999</v>
      </c>
      <c r="P1220" s="15">
        <v>3418.8714629999999</v>
      </c>
    </row>
    <row r="1221" spans="1:16" ht="15" x14ac:dyDescent="0.2">
      <c r="A1221" s="4" t="s">
        <v>573</v>
      </c>
      <c r="B1221" s="21" t="str">
        <f t="shared" si="38"/>
        <v>Oct-2025</v>
      </c>
      <c r="C1221" s="2" t="str">
        <f t="shared" si="39"/>
        <v>Q3</v>
      </c>
      <c r="D1221" s="2" t="s">
        <v>31</v>
      </c>
      <c r="E1221" s="13">
        <v>45961</v>
      </c>
      <c r="F1221" s="14" t="s">
        <v>309</v>
      </c>
      <c r="G1221" s="14" t="s">
        <v>187</v>
      </c>
      <c r="H1221" s="14" t="s">
        <v>136</v>
      </c>
      <c r="I1221" s="15">
        <v>2</v>
      </c>
      <c r="J1221" s="15">
        <v>80</v>
      </c>
      <c r="K1221" s="15">
        <v>111.74</v>
      </c>
      <c r="L1221" s="15">
        <v>8939.2000000000007</v>
      </c>
      <c r="M1221" s="15">
        <v>-687.42</v>
      </c>
      <c r="N1221" s="15">
        <v>0</v>
      </c>
      <c r="O1221" s="15">
        <v>1072.7312999999999</v>
      </c>
      <c r="P1221" s="15">
        <v>9324.5113000000001</v>
      </c>
    </row>
    <row r="1222" spans="1:16" ht="15" x14ac:dyDescent="0.2">
      <c r="A1222" s="4" t="s">
        <v>576</v>
      </c>
      <c r="B1222" s="21" t="str">
        <f t="shared" si="38"/>
        <v>Oct-2025</v>
      </c>
      <c r="C1222" s="2" t="str">
        <f t="shared" si="39"/>
        <v>Q3</v>
      </c>
      <c r="D1222" s="2" t="s">
        <v>31</v>
      </c>
      <c r="E1222" s="13">
        <v>45961</v>
      </c>
      <c r="F1222" s="14" t="s">
        <v>309</v>
      </c>
      <c r="G1222" s="14" t="s">
        <v>187</v>
      </c>
      <c r="H1222" s="14" t="s">
        <v>110</v>
      </c>
      <c r="I1222" s="15">
        <v>3</v>
      </c>
      <c r="J1222" s="15">
        <v>60</v>
      </c>
      <c r="K1222" s="15">
        <v>175.06</v>
      </c>
      <c r="L1222" s="15">
        <v>10503.6</v>
      </c>
      <c r="M1222" s="15">
        <v>-807.7299999999999</v>
      </c>
      <c r="N1222" s="15">
        <v>0</v>
      </c>
      <c r="O1222" s="15">
        <v>1260.462982</v>
      </c>
      <c r="P1222" s="15">
        <v>10956.332982</v>
      </c>
    </row>
    <row r="1223" spans="1:16" ht="15" x14ac:dyDescent="0.2">
      <c r="A1223" s="4" t="s">
        <v>583</v>
      </c>
      <c r="B1223" s="21" t="str">
        <f t="shared" si="38"/>
        <v>Oct-2025</v>
      </c>
      <c r="C1223" s="2" t="str">
        <f t="shared" si="39"/>
        <v>Q3</v>
      </c>
      <c r="D1223" s="2" t="s">
        <v>31</v>
      </c>
      <c r="E1223" s="13">
        <v>45961</v>
      </c>
      <c r="F1223" s="14" t="s">
        <v>309</v>
      </c>
      <c r="G1223" s="14" t="s">
        <v>187</v>
      </c>
      <c r="H1223" s="14" t="s">
        <v>113</v>
      </c>
      <c r="I1223" s="15">
        <v>5</v>
      </c>
      <c r="J1223" s="15">
        <v>75</v>
      </c>
      <c r="K1223" s="15">
        <v>260.72000000000003</v>
      </c>
      <c r="L1223" s="15">
        <v>19554</v>
      </c>
      <c r="M1223" s="15">
        <v>-1503.6999999999998</v>
      </c>
      <c r="N1223" s="15">
        <v>0</v>
      </c>
      <c r="O1223" s="15">
        <v>2346.5387799999999</v>
      </c>
      <c r="P1223" s="15">
        <v>20396.838779999998</v>
      </c>
    </row>
    <row r="1224" spans="1:16" ht="15" x14ac:dyDescent="0.2">
      <c r="A1224" s="4" t="s">
        <v>584</v>
      </c>
      <c r="B1224" s="21" t="str">
        <f t="shared" si="38"/>
        <v>Oct-2025</v>
      </c>
      <c r="C1224" s="2" t="str">
        <f t="shared" si="39"/>
        <v>Q3</v>
      </c>
      <c r="D1224" s="2" t="s">
        <v>31</v>
      </c>
      <c r="E1224" s="13">
        <v>45961</v>
      </c>
      <c r="F1224" s="14" t="s">
        <v>309</v>
      </c>
      <c r="G1224" s="14" t="s">
        <v>187</v>
      </c>
      <c r="H1224" s="14" t="s">
        <v>120</v>
      </c>
      <c r="I1224" s="15">
        <v>1</v>
      </c>
      <c r="J1224" s="15">
        <v>40</v>
      </c>
      <c r="K1224" s="15">
        <v>81.94</v>
      </c>
      <c r="L1224" s="15">
        <v>3277.6</v>
      </c>
      <c r="M1224" s="15">
        <v>-252.05</v>
      </c>
      <c r="N1224" s="15">
        <v>0</v>
      </c>
      <c r="O1224" s="15">
        <v>393.32146299999999</v>
      </c>
      <c r="P1224" s="15">
        <v>3418.8714629999999</v>
      </c>
    </row>
    <row r="1225" spans="1:16" ht="15" x14ac:dyDescent="0.2">
      <c r="A1225" s="4" t="s">
        <v>582</v>
      </c>
      <c r="B1225" s="21" t="str">
        <f t="shared" si="38"/>
        <v>Oct-2025</v>
      </c>
      <c r="C1225" s="2" t="str">
        <f t="shared" si="39"/>
        <v>Q3</v>
      </c>
      <c r="D1225" s="2" t="s">
        <v>31</v>
      </c>
      <c r="E1225" s="13">
        <v>45961</v>
      </c>
      <c r="F1225" s="14" t="s">
        <v>309</v>
      </c>
      <c r="G1225" s="14" t="s">
        <v>187</v>
      </c>
      <c r="H1225" s="14" t="s">
        <v>77</v>
      </c>
      <c r="I1225" s="15">
        <v>1</v>
      </c>
      <c r="J1225" s="15">
        <v>24</v>
      </c>
      <c r="K1225" s="15">
        <v>204.85</v>
      </c>
      <c r="L1225" s="15">
        <v>4916.4000000000005</v>
      </c>
      <c r="M1225" s="15">
        <v>-378.07</v>
      </c>
      <c r="N1225" s="15">
        <v>0</v>
      </c>
      <c r="O1225" s="15">
        <v>589.982845</v>
      </c>
      <c r="P1225" s="15">
        <v>5128.3128450000004</v>
      </c>
    </row>
    <row r="1226" spans="1:16" ht="15" x14ac:dyDescent="0.2">
      <c r="A1226" s="4" t="s">
        <v>584</v>
      </c>
      <c r="B1226" s="21" t="str">
        <f t="shared" si="38"/>
        <v>Oct-2025</v>
      </c>
      <c r="C1226" s="2" t="str">
        <f t="shared" si="39"/>
        <v>Q3</v>
      </c>
      <c r="D1226" s="2" t="s">
        <v>31</v>
      </c>
      <c r="E1226" s="13">
        <v>45961</v>
      </c>
      <c r="F1226" s="14" t="s">
        <v>309</v>
      </c>
      <c r="G1226" s="14" t="s">
        <v>187</v>
      </c>
      <c r="H1226" s="14" t="s">
        <v>100</v>
      </c>
      <c r="I1226" s="15">
        <v>1</v>
      </c>
      <c r="J1226" s="15">
        <v>40</v>
      </c>
      <c r="K1226" s="15">
        <v>81.94</v>
      </c>
      <c r="L1226" s="15">
        <v>3277.6</v>
      </c>
      <c r="M1226" s="15">
        <v>-252.05</v>
      </c>
      <c r="N1226" s="15">
        <v>0</v>
      </c>
      <c r="O1226" s="15">
        <v>393.32146299999999</v>
      </c>
      <c r="P1226" s="15">
        <v>3418.8714629999999</v>
      </c>
    </row>
    <row r="1227" spans="1:16" ht="15" x14ac:dyDescent="0.2">
      <c r="A1227" s="4" t="s">
        <v>575</v>
      </c>
      <c r="B1227" s="21" t="str">
        <f t="shared" si="38"/>
        <v>Oct-2025</v>
      </c>
      <c r="C1227" s="2" t="str">
        <f t="shared" si="39"/>
        <v>Q3</v>
      </c>
      <c r="D1227" s="2" t="s">
        <v>31</v>
      </c>
      <c r="E1227" s="13">
        <v>45961</v>
      </c>
      <c r="F1227" s="14" t="s">
        <v>309</v>
      </c>
      <c r="G1227" s="14" t="s">
        <v>187</v>
      </c>
      <c r="H1227" s="14" t="s">
        <v>55</v>
      </c>
      <c r="I1227" s="15">
        <v>2</v>
      </c>
      <c r="J1227" s="15">
        <v>40</v>
      </c>
      <c r="K1227" s="15">
        <v>186.22</v>
      </c>
      <c r="L1227" s="15">
        <v>7448.8</v>
      </c>
      <c r="M1227" s="15">
        <v>-572.80999999999995</v>
      </c>
      <c r="N1227" s="15">
        <v>0</v>
      </c>
      <c r="O1227" s="15">
        <v>893.87861600000008</v>
      </c>
      <c r="P1227" s="15">
        <v>7769.8686159999997</v>
      </c>
    </row>
    <row r="1228" spans="1:16" ht="15" x14ac:dyDescent="0.2">
      <c r="A1228" s="4" t="s">
        <v>573</v>
      </c>
      <c r="B1228" s="21" t="str">
        <f t="shared" si="38"/>
        <v>Oct-2025</v>
      </c>
      <c r="C1228" s="2" t="str">
        <f t="shared" si="39"/>
        <v>Q3</v>
      </c>
      <c r="D1228" s="2" t="s">
        <v>31</v>
      </c>
      <c r="E1228" s="13">
        <v>45961</v>
      </c>
      <c r="F1228" s="14" t="s">
        <v>309</v>
      </c>
      <c r="G1228" s="14" t="s">
        <v>187</v>
      </c>
      <c r="H1228" s="14" t="s">
        <v>111</v>
      </c>
      <c r="I1228" s="15">
        <v>5</v>
      </c>
      <c r="J1228" s="15">
        <v>200</v>
      </c>
      <c r="K1228" s="15">
        <v>111.74</v>
      </c>
      <c r="L1228" s="15">
        <v>22348</v>
      </c>
      <c r="M1228" s="15">
        <v>-1718.56</v>
      </c>
      <c r="N1228" s="15">
        <v>0</v>
      </c>
      <c r="O1228" s="15">
        <v>2681.8269489999998</v>
      </c>
      <c r="P1228" s="15">
        <v>23311.266949000001</v>
      </c>
    </row>
    <row r="1229" spans="1:16" ht="15" x14ac:dyDescent="0.2">
      <c r="A1229" s="4" t="s">
        <v>579</v>
      </c>
      <c r="B1229" s="21" t="str">
        <f t="shared" si="38"/>
        <v>Oct-2025</v>
      </c>
      <c r="C1229" s="2" t="str">
        <f t="shared" si="39"/>
        <v>Q3</v>
      </c>
      <c r="D1229" s="2" t="s">
        <v>31</v>
      </c>
      <c r="E1229" s="13">
        <v>45961</v>
      </c>
      <c r="F1229" s="14" t="s">
        <v>309</v>
      </c>
      <c r="G1229" s="14" t="s">
        <v>187</v>
      </c>
      <c r="H1229" s="14" t="s">
        <v>112</v>
      </c>
      <c r="I1229" s="15">
        <v>2</v>
      </c>
      <c r="J1229" s="15">
        <v>40</v>
      </c>
      <c r="K1229" s="15">
        <v>204.85</v>
      </c>
      <c r="L1229" s="15">
        <v>8194</v>
      </c>
      <c r="M1229" s="15">
        <v>-630.12</v>
      </c>
      <c r="N1229" s="15">
        <v>0</v>
      </c>
      <c r="O1229" s="15">
        <v>983.30430800000011</v>
      </c>
      <c r="P1229" s="15">
        <v>8547.1843079999999</v>
      </c>
    </row>
    <row r="1230" spans="1:16" ht="15" x14ac:dyDescent="0.2">
      <c r="A1230" s="4" t="s">
        <v>593</v>
      </c>
      <c r="B1230" s="21" t="str">
        <f t="shared" si="38"/>
        <v>Oct-2025</v>
      </c>
      <c r="C1230" s="2" t="str">
        <f t="shared" si="39"/>
        <v>Q3</v>
      </c>
      <c r="D1230" s="2" t="s">
        <v>31</v>
      </c>
      <c r="E1230" s="13">
        <v>45961</v>
      </c>
      <c r="F1230" s="14" t="s">
        <v>309</v>
      </c>
      <c r="G1230" s="14" t="s">
        <v>187</v>
      </c>
      <c r="H1230" s="14" t="s">
        <v>117</v>
      </c>
      <c r="I1230" s="15">
        <v>10</v>
      </c>
      <c r="J1230" s="15">
        <v>40</v>
      </c>
      <c r="K1230" s="15">
        <v>595.92999999999995</v>
      </c>
      <c r="L1230" s="15">
        <v>23837.200000000001</v>
      </c>
      <c r="M1230" s="15">
        <v>-1833.08</v>
      </c>
      <c r="N1230" s="15">
        <v>0</v>
      </c>
      <c r="O1230" s="15">
        <v>2860.5353319999999</v>
      </c>
      <c r="P1230" s="15">
        <v>24864.655331999998</v>
      </c>
    </row>
    <row r="1231" spans="1:16" ht="15" x14ac:dyDescent="0.2">
      <c r="A1231" s="4" t="s">
        <v>588</v>
      </c>
      <c r="B1231" s="21" t="str">
        <f t="shared" si="38"/>
        <v>Oct-2025</v>
      </c>
      <c r="C1231" s="2" t="str">
        <f t="shared" si="39"/>
        <v>Q3</v>
      </c>
      <c r="D1231" s="2" t="s">
        <v>31</v>
      </c>
      <c r="E1231" s="13">
        <v>45961</v>
      </c>
      <c r="F1231" s="14" t="s">
        <v>309</v>
      </c>
      <c r="G1231" s="14" t="s">
        <v>187</v>
      </c>
      <c r="H1231" s="14" t="s">
        <v>95</v>
      </c>
      <c r="I1231" s="15">
        <v>2</v>
      </c>
      <c r="J1231" s="15">
        <v>120</v>
      </c>
      <c r="K1231" s="15">
        <v>111.74</v>
      </c>
      <c r="L1231" s="15">
        <v>13408.8</v>
      </c>
      <c r="M1231" s="15">
        <v>-1031.1400000000001</v>
      </c>
      <c r="N1231" s="15">
        <v>0</v>
      </c>
      <c r="O1231" s="15">
        <v>1609.0956490000001</v>
      </c>
      <c r="P1231" s="15">
        <v>13986.755649000001</v>
      </c>
    </row>
    <row r="1232" spans="1:16" ht="15" x14ac:dyDescent="0.2">
      <c r="A1232" s="4" t="s">
        <v>579</v>
      </c>
      <c r="B1232" s="21" t="str">
        <f t="shared" si="38"/>
        <v>Oct-2025</v>
      </c>
      <c r="C1232" s="2" t="str">
        <f t="shared" si="39"/>
        <v>Q3</v>
      </c>
      <c r="D1232" s="2" t="s">
        <v>31</v>
      </c>
      <c r="E1232" s="13">
        <v>45961</v>
      </c>
      <c r="F1232" s="14" t="s">
        <v>309</v>
      </c>
      <c r="G1232" s="14" t="s">
        <v>187</v>
      </c>
      <c r="H1232" s="14" t="s">
        <v>91</v>
      </c>
      <c r="I1232" s="15">
        <v>2</v>
      </c>
      <c r="J1232" s="15">
        <v>40</v>
      </c>
      <c r="K1232" s="15">
        <v>204.85</v>
      </c>
      <c r="L1232" s="15">
        <v>8194</v>
      </c>
      <c r="M1232" s="15">
        <v>-630.12</v>
      </c>
      <c r="N1232" s="15">
        <v>0</v>
      </c>
      <c r="O1232" s="15">
        <v>983.30430800000011</v>
      </c>
      <c r="P1232" s="15">
        <v>8547.1843079999999</v>
      </c>
    </row>
    <row r="1233" spans="1:16" ht="15" x14ac:dyDescent="0.2">
      <c r="A1233" s="4" t="s">
        <v>589</v>
      </c>
      <c r="B1233" s="21" t="str">
        <f t="shared" si="38"/>
        <v>Oct-2025</v>
      </c>
      <c r="C1233" s="2" t="str">
        <f t="shared" si="39"/>
        <v>Q3</v>
      </c>
      <c r="D1233" s="2" t="s">
        <v>31</v>
      </c>
      <c r="E1233" s="13">
        <v>45961</v>
      </c>
      <c r="F1233" s="14" t="s">
        <v>310</v>
      </c>
      <c r="G1233" s="14" t="s">
        <v>15</v>
      </c>
      <c r="H1233" s="14" t="s">
        <v>98</v>
      </c>
      <c r="I1233" s="15">
        <v>1</v>
      </c>
      <c r="J1233" s="15">
        <v>60</v>
      </c>
      <c r="K1233" s="15">
        <v>145.26</v>
      </c>
      <c r="L1233" s="15">
        <v>8715.6</v>
      </c>
      <c r="M1233" s="15">
        <v>-670.23</v>
      </c>
      <c r="N1233" s="15">
        <v>0</v>
      </c>
      <c r="O1233" s="15">
        <v>1045.8980260000001</v>
      </c>
      <c r="P1233" s="15">
        <v>9091.2680259999997</v>
      </c>
    </row>
    <row r="1234" spans="1:16" ht="15" x14ac:dyDescent="0.2">
      <c r="A1234" s="4" t="s">
        <v>581</v>
      </c>
      <c r="B1234" s="21" t="str">
        <f t="shared" si="38"/>
        <v>Oct-2025</v>
      </c>
      <c r="C1234" s="2" t="str">
        <f t="shared" si="39"/>
        <v>Q3</v>
      </c>
      <c r="D1234" s="2" t="s">
        <v>31</v>
      </c>
      <c r="E1234" s="13">
        <v>45961</v>
      </c>
      <c r="F1234" s="14" t="s">
        <v>310</v>
      </c>
      <c r="G1234" s="14" t="s">
        <v>15</v>
      </c>
      <c r="H1234" s="14" t="s">
        <v>66</v>
      </c>
      <c r="I1234" s="15">
        <v>3</v>
      </c>
      <c r="J1234" s="15">
        <v>72</v>
      </c>
      <c r="K1234" s="15">
        <v>141.54</v>
      </c>
      <c r="L1234" s="15">
        <v>10190.879999999999</v>
      </c>
      <c r="M1234" s="15">
        <v>-783.68</v>
      </c>
      <c r="N1234" s="15">
        <v>0</v>
      </c>
      <c r="O1234" s="15">
        <v>1222.9359139999999</v>
      </c>
      <c r="P1234" s="15">
        <v>10630.135914</v>
      </c>
    </row>
    <row r="1235" spans="1:16" ht="15" x14ac:dyDescent="0.2">
      <c r="A1235" s="4" t="s">
        <v>576</v>
      </c>
      <c r="B1235" s="21" t="str">
        <f t="shared" si="38"/>
        <v>Oct-2025</v>
      </c>
      <c r="C1235" s="2" t="str">
        <f t="shared" si="39"/>
        <v>Q3</v>
      </c>
      <c r="D1235" s="2" t="s">
        <v>31</v>
      </c>
      <c r="E1235" s="13">
        <v>45961</v>
      </c>
      <c r="F1235" s="14" t="s">
        <v>310</v>
      </c>
      <c r="G1235" s="14" t="s">
        <v>15</v>
      </c>
      <c r="H1235" s="14" t="s">
        <v>123</v>
      </c>
      <c r="I1235" s="15">
        <v>1</v>
      </c>
      <c r="J1235" s="15">
        <v>20</v>
      </c>
      <c r="K1235" s="15">
        <v>175.05</v>
      </c>
      <c r="L1235" s="15">
        <v>3500.9999999999995</v>
      </c>
      <c r="M1235" s="15">
        <v>-269.23</v>
      </c>
      <c r="N1235" s="15">
        <v>0</v>
      </c>
      <c r="O1235" s="15">
        <v>420.13006999999999</v>
      </c>
      <c r="P1235" s="15">
        <v>3651.9000700000001</v>
      </c>
    </row>
    <row r="1236" spans="1:16" ht="15" x14ac:dyDescent="0.2">
      <c r="A1236" s="4" t="s">
        <v>575</v>
      </c>
      <c r="B1236" s="21" t="str">
        <f t="shared" si="38"/>
        <v>Oct-2025</v>
      </c>
      <c r="C1236" s="2" t="str">
        <f t="shared" si="39"/>
        <v>Q3</v>
      </c>
      <c r="D1236" s="2" t="s">
        <v>31</v>
      </c>
      <c r="E1236" s="13">
        <v>45961</v>
      </c>
      <c r="F1236" s="14" t="s">
        <v>310</v>
      </c>
      <c r="G1236" s="14" t="s">
        <v>15</v>
      </c>
      <c r="H1236" s="14" t="s">
        <v>55</v>
      </c>
      <c r="I1236" s="15">
        <v>5</v>
      </c>
      <c r="J1236" s="15">
        <v>100</v>
      </c>
      <c r="K1236" s="15">
        <v>186.22</v>
      </c>
      <c r="L1236" s="15">
        <v>18622</v>
      </c>
      <c r="M1236" s="15">
        <v>-1432.03</v>
      </c>
      <c r="N1236" s="15">
        <v>0</v>
      </c>
      <c r="O1236" s="15">
        <v>2234.6959430000002</v>
      </c>
      <c r="P1236" s="15">
        <v>19424.665943</v>
      </c>
    </row>
    <row r="1237" spans="1:16" ht="15" x14ac:dyDescent="0.2">
      <c r="A1237" s="4" t="s">
        <v>581</v>
      </c>
      <c r="B1237" s="21" t="str">
        <f t="shared" si="38"/>
        <v>Oct-2025</v>
      </c>
      <c r="C1237" s="2" t="str">
        <f t="shared" si="39"/>
        <v>Q3</v>
      </c>
      <c r="D1237" s="2" t="s">
        <v>31</v>
      </c>
      <c r="E1237" s="13">
        <v>45961</v>
      </c>
      <c r="F1237" s="14" t="s">
        <v>310</v>
      </c>
      <c r="G1237" s="14" t="s">
        <v>15</v>
      </c>
      <c r="H1237" s="14" t="s">
        <v>97</v>
      </c>
      <c r="I1237" s="15">
        <v>1</v>
      </c>
      <c r="J1237" s="15">
        <v>40</v>
      </c>
      <c r="K1237" s="15">
        <v>67.040000000000006</v>
      </c>
      <c r="L1237" s="15">
        <v>2681.6</v>
      </c>
      <c r="M1237" s="15">
        <v>-206.22</v>
      </c>
      <c r="N1237" s="15">
        <v>0</v>
      </c>
      <c r="O1237" s="15">
        <v>321.79937699999999</v>
      </c>
      <c r="P1237" s="15">
        <v>2797.1793769999999</v>
      </c>
    </row>
    <row r="1238" spans="1:16" ht="15" x14ac:dyDescent="0.2">
      <c r="A1238" s="4" t="s">
        <v>581</v>
      </c>
      <c r="B1238" s="21" t="str">
        <f t="shared" si="38"/>
        <v>Oct-2025</v>
      </c>
      <c r="C1238" s="2" t="str">
        <f t="shared" si="39"/>
        <v>Q3</v>
      </c>
      <c r="D1238" s="2" t="s">
        <v>31</v>
      </c>
      <c r="E1238" s="13">
        <v>45961</v>
      </c>
      <c r="F1238" s="14" t="s">
        <v>310</v>
      </c>
      <c r="G1238" s="14" t="s">
        <v>15</v>
      </c>
      <c r="H1238" s="14" t="s">
        <v>104</v>
      </c>
      <c r="I1238" s="15">
        <v>3</v>
      </c>
      <c r="J1238" s="15">
        <v>120</v>
      </c>
      <c r="K1238" s="15">
        <v>67.040000000000006</v>
      </c>
      <c r="L1238" s="15">
        <v>8044.8</v>
      </c>
      <c r="M1238" s="15">
        <v>-618.65</v>
      </c>
      <c r="N1238" s="15">
        <v>0</v>
      </c>
      <c r="O1238" s="15">
        <v>965.39943199999993</v>
      </c>
      <c r="P1238" s="15">
        <v>8391.5494319999998</v>
      </c>
    </row>
    <row r="1239" spans="1:16" ht="15" x14ac:dyDescent="0.2">
      <c r="A1239" s="4" t="s">
        <v>576</v>
      </c>
      <c r="B1239" s="21" t="str">
        <f t="shared" si="38"/>
        <v>Oct-2025</v>
      </c>
      <c r="C1239" s="2" t="str">
        <f t="shared" si="39"/>
        <v>Q3</v>
      </c>
      <c r="D1239" s="2" t="s">
        <v>31</v>
      </c>
      <c r="E1239" s="13">
        <v>45961</v>
      </c>
      <c r="F1239" s="14" t="s">
        <v>310</v>
      </c>
      <c r="G1239" s="14" t="s">
        <v>15</v>
      </c>
      <c r="H1239" s="14" t="s">
        <v>124</v>
      </c>
      <c r="I1239" s="15">
        <v>1</v>
      </c>
      <c r="J1239" s="15">
        <v>20</v>
      </c>
      <c r="K1239" s="15">
        <v>175.06</v>
      </c>
      <c r="L1239" s="15">
        <v>3501.2</v>
      </c>
      <c r="M1239" s="15">
        <v>-269.24</v>
      </c>
      <c r="N1239" s="15">
        <v>0</v>
      </c>
      <c r="O1239" s="15">
        <v>420.15476999999998</v>
      </c>
      <c r="P1239" s="15">
        <v>3652.1147700000001</v>
      </c>
    </row>
    <row r="1240" spans="1:16" ht="15" x14ac:dyDescent="0.2">
      <c r="A1240" s="4" t="s">
        <v>576</v>
      </c>
      <c r="B1240" s="21" t="str">
        <f t="shared" si="38"/>
        <v>Oct-2025</v>
      </c>
      <c r="C1240" s="2" t="str">
        <f t="shared" si="39"/>
        <v>Q3</v>
      </c>
      <c r="D1240" s="2" t="s">
        <v>31</v>
      </c>
      <c r="E1240" s="13">
        <v>45961</v>
      </c>
      <c r="F1240" s="14" t="s">
        <v>310</v>
      </c>
      <c r="G1240" s="14" t="s">
        <v>15</v>
      </c>
      <c r="H1240" s="14" t="s">
        <v>110</v>
      </c>
      <c r="I1240" s="15">
        <v>1</v>
      </c>
      <c r="J1240" s="15">
        <v>20</v>
      </c>
      <c r="K1240" s="15">
        <v>175.06</v>
      </c>
      <c r="L1240" s="15">
        <v>3501.2</v>
      </c>
      <c r="M1240" s="15">
        <v>-269.24</v>
      </c>
      <c r="N1240" s="15">
        <v>0</v>
      </c>
      <c r="O1240" s="15">
        <v>420.15476999999998</v>
      </c>
      <c r="P1240" s="15">
        <v>3652.1147700000001</v>
      </c>
    </row>
    <row r="1241" spans="1:16" ht="15" x14ac:dyDescent="0.2">
      <c r="A1241" s="4" t="s">
        <v>583</v>
      </c>
      <c r="B1241" s="21" t="str">
        <f t="shared" si="38"/>
        <v>Oct-2025</v>
      </c>
      <c r="C1241" s="2" t="str">
        <f t="shared" si="39"/>
        <v>Q3</v>
      </c>
      <c r="D1241" s="2" t="s">
        <v>31</v>
      </c>
      <c r="E1241" s="13">
        <v>45961</v>
      </c>
      <c r="F1241" s="14" t="s">
        <v>310</v>
      </c>
      <c r="G1241" s="14" t="s">
        <v>15</v>
      </c>
      <c r="H1241" s="14" t="s">
        <v>113</v>
      </c>
      <c r="I1241" s="15">
        <v>1</v>
      </c>
      <c r="J1241" s="15">
        <v>15</v>
      </c>
      <c r="K1241" s="15">
        <v>260.72000000000003</v>
      </c>
      <c r="L1241" s="15">
        <v>3910.8</v>
      </c>
      <c r="M1241" s="15">
        <v>-300.74</v>
      </c>
      <c r="N1241" s="15">
        <v>0</v>
      </c>
      <c r="O1241" s="15">
        <v>469.30776699999996</v>
      </c>
      <c r="P1241" s="15">
        <v>4079.3677670000002</v>
      </c>
    </row>
    <row r="1242" spans="1:16" ht="15" x14ac:dyDescent="0.2">
      <c r="A1242" s="4" t="s">
        <v>583</v>
      </c>
      <c r="B1242" s="21" t="str">
        <f t="shared" si="38"/>
        <v>Oct-2025</v>
      </c>
      <c r="C1242" s="2" t="str">
        <f t="shared" si="39"/>
        <v>Q3</v>
      </c>
      <c r="D1242" s="2" t="s">
        <v>31</v>
      </c>
      <c r="E1242" s="13">
        <v>45961</v>
      </c>
      <c r="F1242" s="14" t="s">
        <v>310</v>
      </c>
      <c r="G1242" s="14" t="s">
        <v>15</v>
      </c>
      <c r="H1242" s="14" t="s">
        <v>109</v>
      </c>
      <c r="I1242" s="15">
        <v>1</v>
      </c>
      <c r="J1242" s="15">
        <v>15</v>
      </c>
      <c r="K1242" s="15">
        <v>260.72000000000003</v>
      </c>
      <c r="L1242" s="15">
        <v>3910.8</v>
      </c>
      <c r="M1242" s="15">
        <v>-300.74</v>
      </c>
      <c r="N1242" s="15">
        <v>0</v>
      </c>
      <c r="O1242" s="15">
        <v>469.30776699999996</v>
      </c>
      <c r="P1242" s="15">
        <v>4079.3677670000002</v>
      </c>
    </row>
    <row r="1243" spans="1:16" ht="15" x14ac:dyDescent="0.2">
      <c r="A1243" s="4" t="s">
        <v>573</v>
      </c>
      <c r="B1243" s="21" t="str">
        <f t="shared" si="38"/>
        <v>Oct-2025</v>
      </c>
      <c r="C1243" s="2" t="str">
        <f t="shared" si="39"/>
        <v>Q3</v>
      </c>
      <c r="D1243" s="2" t="s">
        <v>31</v>
      </c>
      <c r="E1243" s="13">
        <v>45961</v>
      </c>
      <c r="F1243" s="14" t="s">
        <v>310</v>
      </c>
      <c r="G1243" s="14" t="s">
        <v>15</v>
      </c>
      <c r="H1243" s="14" t="s">
        <v>111</v>
      </c>
      <c r="I1243" s="15">
        <v>2</v>
      </c>
      <c r="J1243" s="15">
        <v>80</v>
      </c>
      <c r="K1243" s="15">
        <v>111.74</v>
      </c>
      <c r="L1243" s="15">
        <v>8939.2000000000007</v>
      </c>
      <c r="M1243" s="15">
        <v>-687.42</v>
      </c>
      <c r="N1243" s="15">
        <v>0</v>
      </c>
      <c r="O1243" s="15">
        <v>1072.731325</v>
      </c>
      <c r="P1243" s="15">
        <v>9324.5113249999995</v>
      </c>
    </row>
    <row r="1244" spans="1:16" ht="15" x14ac:dyDescent="0.2">
      <c r="A1244" s="4" t="s">
        <v>573</v>
      </c>
      <c r="B1244" s="21" t="str">
        <f t="shared" si="38"/>
        <v>Oct-2025</v>
      </c>
      <c r="C1244" s="2" t="str">
        <f t="shared" si="39"/>
        <v>Q3</v>
      </c>
      <c r="D1244" s="2" t="s">
        <v>31</v>
      </c>
      <c r="E1244" s="13">
        <v>45961</v>
      </c>
      <c r="F1244" s="14" t="s">
        <v>310</v>
      </c>
      <c r="G1244" s="14" t="s">
        <v>15</v>
      </c>
      <c r="H1244" s="14" t="s">
        <v>138</v>
      </c>
      <c r="I1244" s="15">
        <v>2</v>
      </c>
      <c r="J1244" s="15">
        <v>80</v>
      </c>
      <c r="K1244" s="15">
        <v>111.74</v>
      </c>
      <c r="L1244" s="15">
        <v>8939.2000000000007</v>
      </c>
      <c r="M1244" s="15">
        <v>-687.42</v>
      </c>
      <c r="N1244" s="15">
        <v>0</v>
      </c>
      <c r="O1244" s="15">
        <v>1072.731325</v>
      </c>
      <c r="P1244" s="15">
        <v>9324.5113249999995</v>
      </c>
    </row>
    <row r="1245" spans="1:16" ht="15" x14ac:dyDescent="0.2">
      <c r="A1245" s="4" t="s">
        <v>573</v>
      </c>
      <c r="B1245" s="21" t="str">
        <f t="shared" si="38"/>
        <v>Oct-2025</v>
      </c>
      <c r="C1245" s="2" t="str">
        <f t="shared" si="39"/>
        <v>Q3</v>
      </c>
      <c r="D1245" s="2" t="s">
        <v>31</v>
      </c>
      <c r="E1245" s="13">
        <v>45961</v>
      </c>
      <c r="F1245" s="14" t="s">
        <v>310</v>
      </c>
      <c r="G1245" s="14" t="s">
        <v>15</v>
      </c>
      <c r="H1245" s="14" t="s">
        <v>136</v>
      </c>
      <c r="I1245" s="15">
        <v>2</v>
      </c>
      <c r="J1245" s="15">
        <v>80</v>
      </c>
      <c r="K1245" s="15">
        <v>111.74</v>
      </c>
      <c r="L1245" s="15">
        <v>8939.2000000000007</v>
      </c>
      <c r="M1245" s="15">
        <v>-687.42</v>
      </c>
      <c r="N1245" s="15">
        <v>0</v>
      </c>
      <c r="O1245" s="15">
        <v>1072.731325</v>
      </c>
      <c r="P1245" s="15">
        <v>9324.5113249999995</v>
      </c>
    </row>
    <row r="1246" spans="1:16" ht="15" x14ac:dyDescent="0.2">
      <c r="A1246" s="4" t="s">
        <v>582</v>
      </c>
      <c r="B1246" s="21" t="str">
        <f t="shared" si="38"/>
        <v>Oct-2025</v>
      </c>
      <c r="C1246" s="2" t="str">
        <f t="shared" si="39"/>
        <v>Q3</v>
      </c>
      <c r="D1246" s="2" t="s">
        <v>31</v>
      </c>
      <c r="E1246" s="13">
        <v>45961</v>
      </c>
      <c r="F1246" s="14" t="s">
        <v>310</v>
      </c>
      <c r="G1246" s="14" t="s">
        <v>15</v>
      </c>
      <c r="H1246" s="14" t="s">
        <v>77</v>
      </c>
      <c r="I1246" s="15">
        <v>3</v>
      </c>
      <c r="J1246" s="15">
        <v>72</v>
      </c>
      <c r="K1246" s="15">
        <v>204.85</v>
      </c>
      <c r="L1246" s="15">
        <v>14749.199999999999</v>
      </c>
      <c r="M1246" s="15">
        <v>-1134.21</v>
      </c>
      <c r="N1246" s="15">
        <v>0</v>
      </c>
      <c r="O1246" s="15">
        <v>1769.9485759999998</v>
      </c>
      <c r="P1246" s="15">
        <v>15384.938576</v>
      </c>
    </row>
    <row r="1247" spans="1:16" ht="15" x14ac:dyDescent="0.2">
      <c r="A1247" s="4" t="s">
        <v>582</v>
      </c>
      <c r="B1247" s="21" t="str">
        <f t="shared" si="38"/>
        <v>Oct-2025</v>
      </c>
      <c r="C1247" s="2" t="str">
        <f t="shared" si="39"/>
        <v>Q3</v>
      </c>
      <c r="D1247" s="2" t="s">
        <v>31</v>
      </c>
      <c r="E1247" s="13">
        <v>45961</v>
      </c>
      <c r="F1247" s="14" t="s">
        <v>310</v>
      </c>
      <c r="G1247" s="14" t="s">
        <v>15</v>
      </c>
      <c r="H1247" s="14" t="s">
        <v>101</v>
      </c>
      <c r="I1247" s="15">
        <v>1</v>
      </c>
      <c r="J1247" s="15">
        <v>24</v>
      </c>
      <c r="K1247" s="15">
        <v>186.23</v>
      </c>
      <c r="L1247" s="15">
        <v>4469.5200000000004</v>
      </c>
      <c r="M1247" s="15">
        <v>-343.71</v>
      </c>
      <c r="N1247" s="15">
        <v>0</v>
      </c>
      <c r="O1247" s="15">
        <v>536.35526200000004</v>
      </c>
      <c r="P1247" s="15">
        <v>4662.1652620000004</v>
      </c>
    </row>
    <row r="1248" spans="1:16" ht="15" x14ac:dyDescent="0.2">
      <c r="A1248" s="4" t="s">
        <v>581</v>
      </c>
      <c r="B1248" s="21" t="str">
        <f t="shared" si="38"/>
        <v>Oct-2025</v>
      </c>
      <c r="C1248" s="2" t="str">
        <f t="shared" si="39"/>
        <v>Q3</v>
      </c>
      <c r="D1248" s="2" t="s">
        <v>31</v>
      </c>
      <c r="E1248" s="13">
        <v>45961</v>
      </c>
      <c r="F1248" s="14" t="s">
        <v>310</v>
      </c>
      <c r="G1248" s="14" t="s">
        <v>15</v>
      </c>
      <c r="H1248" s="14" t="s">
        <v>125</v>
      </c>
      <c r="I1248" s="15">
        <v>1</v>
      </c>
      <c r="J1248" s="15">
        <v>800</v>
      </c>
      <c r="K1248" s="15">
        <v>7.45</v>
      </c>
      <c r="L1248" s="15">
        <v>5960</v>
      </c>
      <c r="M1248" s="15">
        <v>-458.32</v>
      </c>
      <c r="N1248" s="15">
        <v>0</v>
      </c>
      <c r="O1248" s="15">
        <v>715.21834999999999</v>
      </c>
      <c r="P1248" s="15">
        <v>6216.8983500000004</v>
      </c>
    </row>
    <row r="1249" spans="1:16" ht="15" x14ac:dyDescent="0.2">
      <c r="A1249" s="4" t="s">
        <v>583</v>
      </c>
      <c r="B1249" s="21" t="str">
        <f t="shared" si="38"/>
        <v>Oct-2025</v>
      </c>
      <c r="C1249" s="2" t="str">
        <f t="shared" si="39"/>
        <v>Q3</v>
      </c>
      <c r="D1249" s="2" t="s">
        <v>31</v>
      </c>
      <c r="E1249" s="13">
        <v>45961</v>
      </c>
      <c r="F1249" s="14" t="s">
        <v>311</v>
      </c>
      <c r="G1249" s="14" t="s">
        <v>206</v>
      </c>
      <c r="H1249" s="14" t="s">
        <v>109</v>
      </c>
      <c r="I1249" s="15">
        <v>2</v>
      </c>
      <c r="J1249" s="15">
        <v>30</v>
      </c>
      <c r="K1249" s="15">
        <v>260.72000000000003</v>
      </c>
      <c r="L1249" s="15">
        <v>7821.6</v>
      </c>
      <c r="M1249" s="15">
        <v>-601.48</v>
      </c>
      <c r="N1249" s="15">
        <v>0</v>
      </c>
      <c r="O1249" s="15">
        <v>938.615588</v>
      </c>
      <c r="P1249" s="15">
        <v>8158.7355879999996</v>
      </c>
    </row>
    <row r="1250" spans="1:16" ht="15" x14ac:dyDescent="0.2">
      <c r="A1250" s="4" t="s">
        <v>574</v>
      </c>
      <c r="B1250" s="21" t="str">
        <f t="shared" si="38"/>
        <v>Oct-2025</v>
      </c>
      <c r="C1250" s="2" t="str">
        <f t="shared" si="39"/>
        <v>Q3</v>
      </c>
      <c r="D1250" s="2" t="s">
        <v>31</v>
      </c>
      <c r="E1250" s="13">
        <v>45961</v>
      </c>
      <c r="F1250" s="14" t="s">
        <v>311</v>
      </c>
      <c r="G1250" s="14" t="s">
        <v>206</v>
      </c>
      <c r="H1250" s="14" t="s">
        <v>86</v>
      </c>
      <c r="I1250" s="15">
        <v>1</v>
      </c>
      <c r="J1250" s="15">
        <v>18</v>
      </c>
      <c r="K1250" s="15">
        <v>178.78</v>
      </c>
      <c r="L1250" s="15">
        <v>3218.0400000000004</v>
      </c>
      <c r="M1250" s="15">
        <v>-247.47</v>
      </c>
      <c r="N1250" s="15">
        <v>0</v>
      </c>
      <c r="O1250" s="15">
        <v>386.17409500000002</v>
      </c>
      <c r="P1250" s="15">
        <v>3356.744095</v>
      </c>
    </row>
    <row r="1251" spans="1:16" ht="15" x14ac:dyDescent="0.2">
      <c r="A1251" s="4" t="s">
        <v>573</v>
      </c>
      <c r="B1251" s="21" t="str">
        <f t="shared" si="38"/>
        <v>Oct-2025</v>
      </c>
      <c r="C1251" s="2" t="str">
        <f t="shared" si="39"/>
        <v>Q3</v>
      </c>
      <c r="D1251" s="2" t="s">
        <v>31</v>
      </c>
      <c r="E1251" s="13">
        <v>45961</v>
      </c>
      <c r="F1251" s="14" t="s">
        <v>311</v>
      </c>
      <c r="G1251" s="14" t="s">
        <v>206</v>
      </c>
      <c r="H1251" s="14" t="s">
        <v>138</v>
      </c>
      <c r="I1251" s="15">
        <v>1</v>
      </c>
      <c r="J1251" s="15">
        <v>40</v>
      </c>
      <c r="K1251" s="15">
        <v>111.74</v>
      </c>
      <c r="L1251" s="15">
        <v>4469.6000000000004</v>
      </c>
      <c r="M1251" s="15">
        <v>-343.71</v>
      </c>
      <c r="N1251" s="15">
        <v>0</v>
      </c>
      <c r="O1251" s="15">
        <v>536.36569299999996</v>
      </c>
      <c r="P1251" s="15">
        <v>4662.2556930000001</v>
      </c>
    </row>
    <row r="1252" spans="1:16" ht="15" x14ac:dyDescent="0.2">
      <c r="A1252" s="4" t="s">
        <v>576</v>
      </c>
      <c r="B1252" s="21" t="str">
        <f t="shared" si="38"/>
        <v>Oct-2025</v>
      </c>
      <c r="C1252" s="2" t="str">
        <f t="shared" si="39"/>
        <v>Q3</v>
      </c>
      <c r="D1252" s="2" t="s">
        <v>31</v>
      </c>
      <c r="E1252" s="13">
        <v>45961</v>
      </c>
      <c r="F1252" s="14" t="s">
        <v>311</v>
      </c>
      <c r="G1252" s="14" t="s">
        <v>206</v>
      </c>
      <c r="H1252" s="14" t="s">
        <v>110</v>
      </c>
      <c r="I1252" s="15">
        <v>3</v>
      </c>
      <c r="J1252" s="15">
        <v>60</v>
      </c>
      <c r="K1252" s="15">
        <v>175.06</v>
      </c>
      <c r="L1252" s="15">
        <v>10503.6</v>
      </c>
      <c r="M1252" s="15">
        <v>-807.7299999999999</v>
      </c>
      <c r="N1252" s="15">
        <v>0</v>
      </c>
      <c r="O1252" s="15">
        <v>1260.463084</v>
      </c>
      <c r="P1252" s="15">
        <v>10956.333084</v>
      </c>
    </row>
    <row r="1253" spans="1:16" ht="15" x14ac:dyDescent="0.2">
      <c r="A1253" s="4" t="s">
        <v>575</v>
      </c>
      <c r="B1253" s="21" t="str">
        <f t="shared" si="38"/>
        <v>Oct-2025</v>
      </c>
      <c r="C1253" s="2" t="str">
        <f t="shared" si="39"/>
        <v>Q3</v>
      </c>
      <c r="D1253" s="2" t="s">
        <v>31</v>
      </c>
      <c r="E1253" s="13">
        <v>45961</v>
      </c>
      <c r="F1253" s="14" t="s">
        <v>311</v>
      </c>
      <c r="G1253" s="14" t="s">
        <v>206</v>
      </c>
      <c r="H1253" s="14" t="s">
        <v>55</v>
      </c>
      <c r="I1253" s="15">
        <v>5</v>
      </c>
      <c r="J1253" s="15">
        <v>100</v>
      </c>
      <c r="K1253" s="15">
        <v>186.22</v>
      </c>
      <c r="L1253" s="15">
        <v>18622</v>
      </c>
      <c r="M1253" s="15">
        <v>-1432.03</v>
      </c>
      <c r="N1253" s="15">
        <v>0</v>
      </c>
      <c r="O1253" s="15">
        <v>2234.6960720000002</v>
      </c>
      <c r="P1253" s="15">
        <v>19424.666072</v>
      </c>
    </row>
    <row r="1254" spans="1:16" ht="15" x14ac:dyDescent="0.2">
      <c r="A1254" s="4" t="s">
        <v>586</v>
      </c>
      <c r="B1254" s="21" t="str">
        <f t="shared" si="38"/>
        <v>Oct-2025</v>
      </c>
      <c r="C1254" s="2" t="str">
        <f t="shared" si="39"/>
        <v>Q3</v>
      </c>
      <c r="D1254" s="2" t="s">
        <v>31</v>
      </c>
      <c r="E1254" s="13">
        <v>45961</v>
      </c>
      <c r="F1254" s="14" t="s">
        <v>311</v>
      </c>
      <c r="G1254" s="14" t="s">
        <v>206</v>
      </c>
      <c r="H1254" s="14" t="s">
        <v>76</v>
      </c>
      <c r="I1254" s="15">
        <v>1</v>
      </c>
      <c r="J1254" s="15">
        <v>240</v>
      </c>
      <c r="K1254" s="15">
        <v>14.9</v>
      </c>
      <c r="L1254" s="15">
        <v>3576</v>
      </c>
      <c r="M1254" s="15">
        <v>-274.99</v>
      </c>
      <c r="N1254" s="15">
        <v>0</v>
      </c>
      <c r="O1254" s="15">
        <v>429.13129500000002</v>
      </c>
      <c r="P1254" s="15">
        <v>3730.1412949999999</v>
      </c>
    </row>
    <row r="1255" spans="1:16" ht="15" x14ac:dyDescent="0.2">
      <c r="A1255" s="4" t="s">
        <v>585</v>
      </c>
      <c r="B1255" s="21" t="str">
        <f t="shared" si="38"/>
        <v>Oct-2025</v>
      </c>
      <c r="C1255" s="2" t="str">
        <f t="shared" si="39"/>
        <v>Q3</v>
      </c>
      <c r="D1255" s="2" t="s">
        <v>31</v>
      </c>
      <c r="E1255" s="13">
        <v>45961</v>
      </c>
      <c r="F1255" s="14" t="s">
        <v>311</v>
      </c>
      <c r="G1255" s="14" t="s">
        <v>206</v>
      </c>
      <c r="H1255" s="14" t="s">
        <v>180</v>
      </c>
      <c r="I1255" s="15">
        <v>1</v>
      </c>
      <c r="J1255" s="15">
        <v>1000</v>
      </c>
      <c r="K1255" s="15">
        <v>1.86</v>
      </c>
      <c r="L1255" s="15">
        <v>1860</v>
      </c>
      <c r="M1255" s="15">
        <v>-143.03</v>
      </c>
      <c r="N1255" s="15">
        <v>0</v>
      </c>
      <c r="O1255" s="15">
        <v>223.206097</v>
      </c>
      <c r="P1255" s="15">
        <v>1940.176097</v>
      </c>
    </row>
    <row r="1256" spans="1:16" ht="15" x14ac:dyDescent="0.2">
      <c r="A1256" s="4" t="s">
        <v>590</v>
      </c>
      <c r="B1256" s="21" t="str">
        <f t="shared" si="38"/>
        <v>Oct-2025</v>
      </c>
      <c r="C1256" s="2" t="str">
        <f t="shared" si="39"/>
        <v>Q3</v>
      </c>
      <c r="D1256" s="2" t="s">
        <v>31</v>
      </c>
      <c r="E1256" s="13">
        <v>45961</v>
      </c>
      <c r="F1256" s="14" t="s">
        <v>311</v>
      </c>
      <c r="G1256" s="14" t="s">
        <v>206</v>
      </c>
      <c r="H1256" s="14" t="s">
        <v>102</v>
      </c>
      <c r="I1256" s="15">
        <v>1</v>
      </c>
      <c r="J1256" s="15">
        <v>20</v>
      </c>
      <c r="K1256" s="15">
        <v>249.55</v>
      </c>
      <c r="L1256" s="15">
        <v>4991</v>
      </c>
      <c r="M1256" s="15">
        <v>-383.81</v>
      </c>
      <c r="N1256" s="15">
        <v>0</v>
      </c>
      <c r="O1256" s="15">
        <v>598.93469300000004</v>
      </c>
      <c r="P1256" s="15">
        <v>5206.1246929999998</v>
      </c>
    </row>
    <row r="1257" spans="1:16" ht="15" x14ac:dyDescent="0.2">
      <c r="A1257" s="4" t="s">
        <v>583</v>
      </c>
      <c r="B1257" s="21" t="str">
        <f t="shared" si="38"/>
        <v>Oct-2025</v>
      </c>
      <c r="C1257" s="2" t="str">
        <f t="shared" si="39"/>
        <v>Q3</v>
      </c>
      <c r="D1257" s="2" t="s">
        <v>31</v>
      </c>
      <c r="E1257" s="13">
        <v>45961</v>
      </c>
      <c r="F1257" s="14" t="s">
        <v>311</v>
      </c>
      <c r="G1257" s="14" t="s">
        <v>206</v>
      </c>
      <c r="H1257" s="14" t="s">
        <v>113</v>
      </c>
      <c r="I1257" s="15">
        <v>3</v>
      </c>
      <c r="J1257" s="15">
        <v>45</v>
      </c>
      <c r="K1257" s="15">
        <v>260.72000000000003</v>
      </c>
      <c r="L1257" s="15">
        <v>11732.4</v>
      </c>
      <c r="M1257" s="15">
        <v>-902.22</v>
      </c>
      <c r="N1257" s="15">
        <v>0</v>
      </c>
      <c r="O1257" s="15">
        <v>1407.9233819999999</v>
      </c>
      <c r="P1257" s="15">
        <v>12238.103381999999</v>
      </c>
    </row>
    <row r="1258" spans="1:16" ht="15" x14ac:dyDescent="0.2">
      <c r="A1258" s="4" t="s">
        <v>573</v>
      </c>
      <c r="B1258" s="21" t="str">
        <f t="shared" si="38"/>
        <v>Oct-2025</v>
      </c>
      <c r="C1258" s="2" t="str">
        <f t="shared" si="39"/>
        <v>Q3</v>
      </c>
      <c r="D1258" s="2" t="s">
        <v>31</v>
      </c>
      <c r="E1258" s="13">
        <v>45961</v>
      </c>
      <c r="F1258" s="14" t="s">
        <v>312</v>
      </c>
      <c r="G1258" s="14" t="s">
        <v>130</v>
      </c>
      <c r="H1258" s="14" t="s">
        <v>111</v>
      </c>
      <c r="I1258" s="15">
        <v>2</v>
      </c>
      <c r="J1258" s="15">
        <v>80</v>
      </c>
      <c r="K1258" s="15">
        <v>111.74</v>
      </c>
      <c r="L1258" s="15">
        <v>8939.2000000000007</v>
      </c>
      <c r="M1258" s="15">
        <v>-687.42</v>
      </c>
      <c r="N1258" s="15">
        <v>0</v>
      </c>
      <c r="O1258" s="15">
        <v>1072.7314269999999</v>
      </c>
      <c r="P1258" s="15">
        <v>9324.5114269999995</v>
      </c>
    </row>
    <row r="1259" spans="1:16" ht="15" x14ac:dyDescent="0.2">
      <c r="A1259" s="4" t="s">
        <v>576</v>
      </c>
      <c r="B1259" s="21" t="str">
        <f t="shared" si="38"/>
        <v>Oct-2025</v>
      </c>
      <c r="C1259" s="2" t="str">
        <f t="shared" si="39"/>
        <v>Q3</v>
      </c>
      <c r="D1259" s="2" t="s">
        <v>31</v>
      </c>
      <c r="E1259" s="13">
        <v>45961</v>
      </c>
      <c r="F1259" s="14" t="s">
        <v>312</v>
      </c>
      <c r="G1259" s="14" t="s">
        <v>130</v>
      </c>
      <c r="H1259" s="14" t="s">
        <v>110</v>
      </c>
      <c r="I1259" s="15">
        <v>5</v>
      </c>
      <c r="J1259" s="15">
        <v>100</v>
      </c>
      <c r="K1259" s="15">
        <v>175.05</v>
      </c>
      <c r="L1259" s="15">
        <v>17505</v>
      </c>
      <c r="M1259" s="15">
        <v>-1346.1299999999999</v>
      </c>
      <c r="N1259" s="15">
        <v>0</v>
      </c>
      <c r="O1259" s="15">
        <v>2100.6531530000002</v>
      </c>
      <c r="P1259" s="15">
        <v>18259.523152999998</v>
      </c>
    </row>
    <row r="1260" spans="1:16" ht="15" x14ac:dyDescent="0.2">
      <c r="A1260" s="4" t="s">
        <v>575</v>
      </c>
      <c r="B1260" s="21" t="str">
        <f t="shared" si="38"/>
        <v>Oct-2025</v>
      </c>
      <c r="C1260" s="2" t="str">
        <f t="shared" si="39"/>
        <v>Q3</v>
      </c>
      <c r="D1260" s="2" t="s">
        <v>31</v>
      </c>
      <c r="E1260" s="13">
        <v>45961</v>
      </c>
      <c r="F1260" s="14" t="s">
        <v>312</v>
      </c>
      <c r="G1260" s="14" t="s">
        <v>130</v>
      </c>
      <c r="H1260" s="14" t="s">
        <v>55</v>
      </c>
      <c r="I1260" s="15">
        <v>40</v>
      </c>
      <c r="J1260" s="15">
        <v>800</v>
      </c>
      <c r="K1260" s="15">
        <v>186.22</v>
      </c>
      <c r="L1260" s="15">
        <v>148976</v>
      </c>
      <c r="M1260" s="15">
        <v>-11456.25</v>
      </c>
      <c r="N1260" s="15">
        <v>0</v>
      </c>
      <c r="O1260" s="15">
        <v>17877.567947</v>
      </c>
      <c r="P1260" s="15">
        <v>155397.317947</v>
      </c>
    </row>
    <row r="1261" spans="1:16" ht="15" x14ac:dyDescent="0.2">
      <c r="A1261" s="4" t="s">
        <v>573</v>
      </c>
      <c r="B1261" s="21" t="str">
        <f t="shared" si="38"/>
        <v>Oct-2025</v>
      </c>
      <c r="C1261" s="2" t="str">
        <f t="shared" si="39"/>
        <v>Q3</v>
      </c>
      <c r="D1261" s="2" t="s">
        <v>31</v>
      </c>
      <c r="E1261" s="13">
        <v>45961</v>
      </c>
      <c r="F1261" s="14" t="s">
        <v>312</v>
      </c>
      <c r="G1261" s="14" t="s">
        <v>130</v>
      </c>
      <c r="H1261" s="14" t="s">
        <v>136</v>
      </c>
      <c r="I1261" s="15">
        <v>2</v>
      </c>
      <c r="J1261" s="15">
        <v>80</v>
      </c>
      <c r="K1261" s="15">
        <v>111.74</v>
      </c>
      <c r="L1261" s="15">
        <v>8939.2000000000007</v>
      </c>
      <c r="M1261" s="15">
        <v>-687.42</v>
      </c>
      <c r="N1261" s="15">
        <v>0</v>
      </c>
      <c r="O1261" s="15">
        <v>1072.7314269999999</v>
      </c>
      <c r="P1261" s="15">
        <v>9324.5114269999995</v>
      </c>
    </row>
    <row r="1262" spans="1:16" ht="15" x14ac:dyDescent="0.2">
      <c r="A1262" s="4" t="s">
        <v>593</v>
      </c>
      <c r="B1262" s="21" t="str">
        <f t="shared" si="38"/>
        <v>Oct-2025</v>
      </c>
      <c r="C1262" s="2" t="str">
        <f t="shared" si="39"/>
        <v>Q3</v>
      </c>
      <c r="D1262" s="2" t="s">
        <v>31</v>
      </c>
      <c r="E1262" s="13">
        <v>45961</v>
      </c>
      <c r="F1262" s="14" t="s">
        <v>312</v>
      </c>
      <c r="G1262" s="14" t="s">
        <v>130</v>
      </c>
      <c r="H1262" s="14" t="s">
        <v>117</v>
      </c>
      <c r="I1262" s="15">
        <v>100</v>
      </c>
      <c r="J1262" s="15">
        <v>400</v>
      </c>
      <c r="K1262" s="15">
        <v>595.92999999999995</v>
      </c>
      <c r="L1262" s="15">
        <v>238372</v>
      </c>
      <c r="M1262" s="15">
        <v>-18330.810000000001</v>
      </c>
      <c r="N1262" s="15">
        <v>0</v>
      </c>
      <c r="O1262" s="15">
        <v>28605.355415999999</v>
      </c>
      <c r="P1262" s="15">
        <v>248646.54541600001</v>
      </c>
    </row>
    <row r="1263" spans="1:16" ht="15" x14ac:dyDescent="0.2">
      <c r="A1263" s="4" t="s">
        <v>589</v>
      </c>
      <c r="B1263" s="21" t="str">
        <f t="shared" si="38"/>
        <v>Oct-2025</v>
      </c>
      <c r="C1263" s="2" t="str">
        <f t="shared" si="39"/>
        <v>Q3</v>
      </c>
      <c r="D1263" s="2" t="s">
        <v>31</v>
      </c>
      <c r="E1263" s="13">
        <v>45961</v>
      </c>
      <c r="F1263" s="14" t="s">
        <v>312</v>
      </c>
      <c r="G1263" s="14" t="s">
        <v>130</v>
      </c>
      <c r="H1263" s="14" t="s">
        <v>98</v>
      </c>
      <c r="I1263" s="15">
        <v>5</v>
      </c>
      <c r="J1263" s="15">
        <v>300</v>
      </c>
      <c r="K1263" s="15">
        <v>145.26</v>
      </c>
      <c r="L1263" s="15">
        <v>43578</v>
      </c>
      <c r="M1263" s="15">
        <v>-3351.1499999999996</v>
      </c>
      <c r="N1263" s="15">
        <v>0</v>
      </c>
      <c r="O1263" s="15">
        <v>5229.4906309999997</v>
      </c>
      <c r="P1263" s="15">
        <v>45456.340630999999</v>
      </c>
    </row>
    <row r="1264" spans="1:16" ht="15" x14ac:dyDescent="0.2">
      <c r="A1264" s="4" t="s">
        <v>576</v>
      </c>
      <c r="B1264" s="21" t="str">
        <f t="shared" si="38"/>
        <v>Oct-2025</v>
      </c>
      <c r="C1264" s="2" t="str">
        <f t="shared" si="39"/>
        <v>Q3</v>
      </c>
      <c r="D1264" s="2" t="s">
        <v>31</v>
      </c>
      <c r="E1264" s="13">
        <v>45961</v>
      </c>
      <c r="F1264" s="14" t="s">
        <v>313</v>
      </c>
      <c r="G1264" s="14" t="s">
        <v>23</v>
      </c>
      <c r="H1264" s="14" t="s">
        <v>110</v>
      </c>
      <c r="I1264" s="15">
        <v>15</v>
      </c>
      <c r="J1264" s="15">
        <v>300</v>
      </c>
      <c r="K1264" s="15">
        <v>175.05</v>
      </c>
      <c r="L1264" s="15">
        <v>52515</v>
      </c>
      <c r="M1264" s="15">
        <v>-4038.4</v>
      </c>
      <c r="N1264" s="15">
        <v>0</v>
      </c>
      <c r="O1264" s="15">
        <v>6301.9562519999999</v>
      </c>
      <c r="P1264" s="15">
        <v>54778.556252000002</v>
      </c>
    </row>
    <row r="1265" spans="1:16" ht="15" x14ac:dyDescent="0.2">
      <c r="A1265" s="4" t="s">
        <v>583</v>
      </c>
      <c r="B1265" s="21" t="str">
        <f t="shared" si="38"/>
        <v>Oct-2025</v>
      </c>
      <c r="C1265" s="2" t="str">
        <f t="shared" si="39"/>
        <v>Q3</v>
      </c>
      <c r="D1265" s="2" t="s">
        <v>31</v>
      </c>
      <c r="E1265" s="13">
        <v>45961</v>
      </c>
      <c r="F1265" s="14" t="s">
        <v>313</v>
      </c>
      <c r="G1265" s="14" t="s">
        <v>23</v>
      </c>
      <c r="H1265" s="14" t="s">
        <v>113</v>
      </c>
      <c r="I1265" s="15">
        <v>15</v>
      </c>
      <c r="J1265" s="15">
        <v>225</v>
      </c>
      <c r="K1265" s="15">
        <v>260.72000000000003</v>
      </c>
      <c r="L1265" s="15">
        <v>58662</v>
      </c>
      <c r="M1265" s="15">
        <v>-4511.1099999999997</v>
      </c>
      <c r="N1265" s="15">
        <v>0</v>
      </c>
      <c r="O1265" s="15">
        <v>7039.6137479999998</v>
      </c>
      <c r="P1265" s="15">
        <v>61190.503748000003</v>
      </c>
    </row>
    <row r="1266" spans="1:16" ht="15" x14ac:dyDescent="0.2">
      <c r="A1266" s="4" t="s">
        <v>573</v>
      </c>
      <c r="B1266" s="21" t="str">
        <f t="shared" si="38"/>
        <v>Nov-2025</v>
      </c>
      <c r="C1266" s="2" t="str">
        <f t="shared" si="39"/>
        <v>Q3</v>
      </c>
      <c r="D1266" s="2" t="s">
        <v>31</v>
      </c>
      <c r="E1266" s="13">
        <v>45967</v>
      </c>
      <c r="F1266" s="14" t="s">
        <v>314</v>
      </c>
      <c r="G1266" s="14" t="s">
        <v>182</v>
      </c>
      <c r="H1266" s="14" t="s">
        <v>111</v>
      </c>
      <c r="I1266" s="15">
        <v>1</v>
      </c>
      <c r="J1266" s="15">
        <v>40</v>
      </c>
      <c r="K1266" s="15">
        <v>111.74</v>
      </c>
      <c r="L1266" s="15">
        <v>4469.6000000000004</v>
      </c>
      <c r="M1266" s="15">
        <v>-223.48</v>
      </c>
      <c r="N1266" s="15">
        <v>-84.922056999999995</v>
      </c>
      <c r="O1266" s="15">
        <v>540.95562500000005</v>
      </c>
      <c r="P1266" s="15">
        <v>4702.1535679999997</v>
      </c>
    </row>
    <row r="1267" spans="1:16" ht="15" x14ac:dyDescent="0.2">
      <c r="A1267" s="4" t="s">
        <v>590</v>
      </c>
      <c r="B1267" s="21" t="str">
        <f t="shared" si="38"/>
        <v>Nov-2025</v>
      </c>
      <c r="C1267" s="2" t="str">
        <f t="shared" si="39"/>
        <v>Q3</v>
      </c>
      <c r="D1267" s="2" t="s">
        <v>31</v>
      </c>
      <c r="E1267" s="13">
        <v>45967</v>
      </c>
      <c r="F1267" s="14" t="s">
        <v>314</v>
      </c>
      <c r="G1267" s="14" t="s">
        <v>182</v>
      </c>
      <c r="H1267" s="14" t="s">
        <v>102</v>
      </c>
      <c r="I1267" s="15">
        <v>1</v>
      </c>
      <c r="J1267" s="15">
        <v>20</v>
      </c>
      <c r="K1267" s="15">
        <v>249.55</v>
      </c>
      <c r="L1267" s="15">
        <v>4991</v>
      </c>
      <c r="M1267" s="15">
        <v>-249.55</v>
      </c>
      <c r="N1267" s="15">
        <v>-94.828616999999994</v>
      </c>
      <c r="O1267" s="15">
        <v>604.0606600000001</v>
      </c>
      <c r="P1267" s="15">
        <v>5250.6820429999998</v>
      </c>
    </row>
    <row r="1268" spans="1:16" ht="15" x14ac:dyDescent="0.2">
      <c r="A1268" s="4" t="s">
        <v>576</v>
      </c>
      <c r="B1268" s="21" t="str">
        <f t="shared" si="38"/>
        <v>Nov-2025</v>
      </c>
      <c r="C1268" s="2" t="str">
        <f t="shared" si="39"/>
        <v>Q3</v>
      </c>
      <c r="D1268" s="2" t="s">
        <v>31</v>
      </c>
      <c r="E1268" s="13">
        <v>45967</v>
      </c>
      <c r="F1268" s="14" t="s">
        <v>314</v>
      </c>
      <c r="G1268" s="14" t="s">
        <v>182</v>
      </c>
      <c r="H1268" s="14" t="s">
        <v>124</v>
      </c>
      <c r="I1268" s="15">
        <v>1</v>
      </c>
      <c r="J1268" s="15">
        <v>20</v>
      </c>
      <c r="K1268" s="15">
        <v>175.05</v>
      </c>
      <c r="L1268" s="15">
        <v>3500.9999999999995</v>
      </c>
      <c r="M1268" s="15">
        <v>-175.05</v>
      </c>
      <c r="N1268" s="15">
        <v>-66.518731000000002</v>
      </c>
      <c r="O1268" s="15">
        <v>423.72598099999999</v>
      </c>
      <c r="P1268" s="15">
        <v>3683.1572500000002</v>
      </c>
    </row>
    <row r="1269" spans="1:16" ht="15" x14ac:dyDescent="0.2">
      <c r="A1269" s="4" t="s">
        <v>576</v>
      </c>
      <c r="B1269" s="21" t="str">
        <f t="shared" si="38"/>
        <v>Nov-2025</v>
      </c>
      <c r="C1269" s="2" t="str">
        <f t="shared" si="39"/>
        <v>Q3</v>
      </c>
      <c r="D1269" s="2" t="s">
        <v>31</v>
      </c>
      <c r="E1269" s="13">
        <v>45967</v>
      </c>
      <c r="F1269" s="14" t="s">
        <v>314</v>
      </c>
      <c r="G1269" s="14" t="s">
        <v>182</v>
      </c>
      <c r="H1269" s="14" t="s">
        <v>110</v>
      </c>
      <c r="I1269" s="15">
        <v>1</v>
      </c>
      <c r="J1269" s="15">
        <v>20</v>
      </c>
      <c r="K1269" s="15">
        <v>175.05</v>
      </c>
      <c r="L1269" s="15">
        <v>3500.9999999999995</v>
      </c>
      <c r="M1269" s="15">
        <v>-175.05</v>
      </c>
      <c r="N1269" s="15">
        <v>-66.518731000000002</v>
      </c>
      <c r="O1269" s="15">
        <v>423.72598099999999</v>
      </c>
      <c r="P1269" s="15">
        <v>3683.1572500000002</v>
      </c>
    </row>
    <row r="1270" spans="1:16" ht="15" x14ac:dyDescent="0.2">
      <c r="A1270" s="4" t="s">
        <v>574</v>
      </c>
      <c r="B1270" s="21" t="str">
        <f t="shared" si="38"/>
        <v>Nov-2025</v>
      </c>
      <c r="C1270" s="2" t="str">
        <f t="shared" si="39"/>
        <v>Q3</v>
      </c>
      <c r="D1270" s="2" t="s">
        <v>31</v>
      </c>
      <c r="E1270" s="13">
        <v>45967</v>
      </c>
      <c r="F1270" s="14" t="s">
        <v>314</v>
      </c>
      <c r="G1270" s="14" t="s">
        <v>182</v>
      </c>
      <c r="H1270" s="14" t="s">
        <v>84</v>
      </c>
      <c r="I1270" s="15">
        <v>1</v>
      </c>
      <c r="J1270" s="15">
        <v>18</v>
      </c>
      <c r="K1270" s="15">
        <v>178.78</v>
      </c>
      <c r="L1270" s="15">
        <v>3218.0400000000004</v>
      </c>
      <c r="M1270" s="15">
        <v>-160.9</v>
      </c>
      <c r="N1270" s="15">
        <v>-61.142552999999992</v>
      </c>
      <c r="O1270" s="15">
        <v>389.47959099999997</v>
      </c>
      <c r="P1270" s="15">
        <v>3385.477038</v>
      </c>
    </row>
    <row r="1271" spans="1:16" ht="15" x14ac:dyDescent="0.2">
      <c r="A1271" s="4" t="s">
        <v>573</v>
      </c>
      <c r="B1271" s="21" t="str">
        <f t="shared" si="38"/>
        <v>Nov-2025</v>
      </c>
      <c r="C1271" s="2" t="str">
        <f t="shared" si="39"/>
        <v>Q3</v>
      </c>
      <c r="D1271" s="2" t="s">
        <v>31</v>
      </c>
      <c r="E1271" s="13">
        <v>45967</v>
      </c>
      <c r="F1271" s="14" t="s">
        <v>314</v>
      </c>
      <c r="G1271" s="14" t="s">
        <v>182</v>
      </c>
      <c r="H1271" s="14" t="s">
        <v>47</v>
      </c>
      <c r="I1271" s="15">
        <v>1</v>
      </c>
      <c r="J1271" s="15">
        <v>40</v>
      </c>
      <c r="K1271" s="15">
        <v>111.74</v>
      </c>
      <c r="L1271" s="15">
        <v>4469.6000000000004</v>
      </c>
      <c r="M1271" s="15">
        <v>-223.48</v>
      </c>
      <c r="N1271" s="15">
        <v>-84.922056999999995</v>
      </c>
      <c r="O1271" s="15">
        <v>540.95562500000005</v>
      </c>
      <c r="P1271" s="15">
        <v>4702.1535679999997</v>
      </c>
    </row>
    <row r="1272" spans="1:16" ht="15" x14ac:dyDescent="0.2">
      <c r="A1272" s="4" t="s">
        <v>573</v>
      </c>
      <c r="B1272" s="21" t="str">
        <f t="shared" si="38"/>
        <v>Nov-2025</v>
      </c>
      <c r="C1272" s="2" t="str">
        <f t="shared" si="39"/>
        <v>Q3</v>
      </c>
      <c r="D1272" s="2" t="s">
        <v>31</v>
      </c>
      <c r="E1272" s="13">
        <v>45967</v>
      </c>
      <c r="F1272" s="14" t="s">
        <v>314</v>
      </c>
      <c r="G1272" s="14" t="s">
        <v>182</v>
      </c>
      <c r="H1272" s="14" t="s">
        <v>136</v>
      </c>
      <c r="I1272" s="15">
        <v>1</v>
      </c>
      <c r="J1272" s="15">
        <v>40</v>
      </c>
      <c r="K1272" s="15">
        <v>111.74</v>
      </c>
      <c r="L1272" s="15">
        <v>4469.6000000000004</v>
      </c>
      <c r="M1272" s="15">
        <v>-223.48</v>
      </c>
      <c r="N1272" s="15">
        <v>-84.922056999999995</v>
      </c>
      <c r="O1272" s="15">
        <v>540.95562500000005</v>
      </c>
      <c r="P1272" s="15">
        <v>4702.1535679999997</v>
      </c>
    </row>
    <row r="1273" spans="1:16" ht="15" x14ac:dyDescent="0.2">
      <c r="A1273" s="4" t="s">
        <v>579</v>
      </c>
      <c r="B1273" s="21" t="str">
        <f t="shared" si="38"/>
        <v>Nov-2025</v>
      </c>
      <c r="C1273" s="2" t="str">
        <f t="shared" si="39"/>
        <v>Q3</v>
      </c>
      <c r="D1273" s="2" t="s">
        <v>31</v>
      </c>
      <c r="E1273" s="13">
        <v>45967</v>
      </c>
      <c r="F1273" s="14" t="s">
        <v>314</v>
      </c>
      <c r="G1273" s="14" t="s">
        <v>182</v>
      </c>
      <c r="H1273" s="14" t="s">
        <v>92</v>
      </c>
      <c r="I1273" s="15">
        <v>1</v>
      </c>
      <c r="J1273" s="15">
        <v>20</v>
      </c>
      <c r="K1273" s="15">
        <v>242.1</v>
      </c>
      <c r="L1273" s="15">
        <v>4841.9999999999991</v>
      </c>
      <c r="M1273" s="15">
        <v>-242.1</v>
      </c>
      <c r="N1273" s="15">
        <v>-91.997628000000006</v>
      </c>
      <c r="O1273" s="15">
        <v>586.02719200000001</v>
      </c>
      <c r="P1273" s="15">
        <v>5093.929564</v>
      </c>
    </row>
    <row r="1274" spans="1:16" ht="15" x14ac:dyDescent="0.2">
      <c r="A1274" s="4" t="s">
        <v>575</v>
      </c>
      <c r="B1274" s="21" t="str">
        <f t="shared" si="38"/>
        <v>Nov-2025</v>
      </c>
      <c r="C1274" s="2" t="str">
        <f t="shared" si="39"/>
        <v>Q3</v>
      </c>
      <c r="D1274" s="2" t="s">
        <v>31</v>
      </c>
      <c r="E1274" s="13">
        <v>45967</v>
      </c>
      <c r="F1274" s="14" t="s">
        <v>314</v>
      </c>
      <c r="G1274" s="14" t="s">
        <v>182</v>
      </c>
      <c r="H1274" s="14" t="s">
        <v>55</v>
      </c>
      <c r="I1274" s="15">
        <v>1</v>
      </c>
      <c r="J1274" s="15">
        <v>20</v>
      </c>
      <c r="K1274" s="15">
        <v>186.23</v>
      </c>
      <c r="L1274" s="15">
        <v>3724.6000000000004</v>
      </c>
      <c r="M1274" s="15">
        <v>-186.23</v>
      </c>
      <c r="N1274" s="15">
        <v>-70.767114000000007</v>
      </c>
      <c r="O1274" s="15">
        <v>450.78828600000003</v>
      </c>
      <c r="P1274" s="15">
        <v>3918.3911720000001</v>
      </c>
    </row>
    <row r="1275" spans="1:16" ht="15" x14ac:dyDescent="0.2">
      <c r="A1275" s="4" t="s">
        <v>582</v>
      </c>
      <c r="B1275" s="21" t="str">
        <f t="shared" si="38"/>
        <v>Nov-2025</v>
      </c>
      <c r="C1275" s="2" t="str">
        <f t="shared" si="39"/>
        <v>Q3</v>
      </c>
      <c r="D1275" s="2" t="s">
        <v>31</v>
      </c>
      <c r="E1275" s="13">
        <v>45967</v>
      </c>
      <c r="F1275" s="14" t="s">
        <v>314</v>
      </c>
      <c r="G1275" s="14" t="s">
        <v>182</v>
      </c>
      <c r="H1275" s="14" t="s">
        <v>108</v>
      </c>
      <c r="I1275" s="15">
        <v>1</v>
      </c>
      <c r="J1275" s="15">
        <v>24</v>
      </c>
      <c r="K1275" s="15">
        <v>186.23</v>
      </c>
      <c r="L1275" s="15">
        <v>4469.5200000000004</v>
      </c>
      <c r="M1275" s="15">
        <v>-223.48</v>
      </c>
      <c r="N1275" s="15">
        <v>-84.920456999999999</v>
      </c>
      <c r="O1275" s="15">
        <v>540.94543299999998</v>
      </c>
      <c r="P1275" s="15">
        <v>4702.0649759999997</v>
      </c>
    </row>
    <row r="1276" spans="1:16" ht="15" x14ac:dyDescent="0.2">
      <c r="A1276" s="4" t="s">
        <v>576</v>
      </c>
      <c r="B1276" s="21" t="str">
        <f t="shared" si="38"/>
        <v>Nov-2025</v>
      </c>
      <c r="C1276" s="2" t="str">
        <f t="shared" si="39"/>
        <v>Q3</v>
      </c>
      <c r="D1276" s="2" t="s">
        <v>31</v>
      </c>
      <c r="E1276" s="13">
        <v>45968</v>
      </c>
      <c r="F1276" s="14" t="s">
        <v>315</v>
      </c>
      <c r="G1276" s="14" t="s">
        <v>46</v>
      </c>
      <c r="H1276" s="14" t="s">
        <v>110</v>
      </c>
      <c r="I1276" s="15">
        <v>1</v>
      </c>
      <c r="J1276" s="15">
        <v>20</v>
      </c>
      <c r="K1276" s="15">
        <v>175.05</v>
      </c>
      <c r="L1276" s="15">
        <v>3500.9999999999995</v>
      </c>
      <c r="M1276" s="15">
        <v>-269.23</v>
      </c>
      <c r="N1276" s="15">
        <v>0</v>
      </c>
      <c r="O1276" s="15">
        <v>420.130132</v>
      </c>
      <c r="P1276" s="15">
        <v>3651.9001320000002</v>
      </c>
    </row>
    <row r="1277" spans="1:16" ht="15" x14ac:dyDescent="0.2">
      <c r="A1277" s="4" t="s">
        <v>580</v>
      </c>
      <c r="B1277" s="21" t="str">
        <f t="shared" si="38"/>
        <v>Nov-2025</v>
      </c>
      <c r="C1277" s="2" t="str">
        <f t="shared" si="39"/>
        <v>Q3</v>
      </c>
      <c r="D1277" s="2" t="s">
        <v>31</v>
      </c>
      <c r="E1277" s="13">
        <v>45968</v>
      </c>
      <c r="F1277" s="14" t="s">
        <v>315</v>
      </c>
      <c r="G1277" s="14" t="s">
        <v>46</v>
      </c>
      <c r="H1277" s="14" t="s">
        <v>89</v>
      </c>
      <c r="I1277" s="15">
        <v>1</v>
      </c>
      <c r="J1277" s="15">
        <v>70</v>
      </c>
      <c r="K1277" s="15">
        <v>37.25</v>
      </c>
      <c r="L1277" s="15">
        <v>2607.5</v>
      </c>
      <c r="M1277" s="15">
        <v>-200.52</v>
      </c>
      <c r="N1277" s="15">
        <v>0</v>
      </c>
      <c r="O1277" s="15">
        <v>312.90742399999999</v>
      </c>
      <c r="P1277" s="15">
        <v>2719.887424</v>
      </c>
    </row>
    <row r="1278" spans="1:16" ht="15" x14ac:dyDescent="0.2">
      <c r="A1278" s="4" t="s">
        <v>573</v>
      </c>
      <c r="B1278" s="21" t="str">
        <f t="shared" si="38"/>
        <v>Nov-2025</v>
      </c>
      <c r="C1278" s="2" t="str">
        <f t="shared" si="39"/>
        <v>Q3</v>
      </c>
      <c r="D1278" s="2" t="s">
        <v>31</v>
      </c>
      <c r="E1278" s="13">
        <v>45968</v>
      </c>
      <c r="F1278" s="14" t="s">
        <v>315</v>
      </c>
      <c r="G1278" s="14" t="s">
        <v>46</v>
      </c>
      <c r="H1278" s="14" t="s">
        <v>138</v>
      </c>
      <c r="I1278" s="15">
        <v>5</v>
      </c>
      <c r="J1278" s="15">
        <v>200</v>
      </c>
      <c r="K1278" s="15">
        <v>111.74</v>
      </c>
      <c r="L1278" s="15">
        <v>22348</v>
      </c>
      <c r="M1278" s="15">
        <v>-1718.56</v>
      </c>
      <c r="N1278" s="15">
        <v>0</v>
      </c>
      <c r="O1278" s="15">
        <v>2681.8274040000001</v>
      </c>
      <c r="P1278" s="15">
        <v>23311.267403999998</v>
      </c>
    </row>
    <row r="1279" spans="1:16" ht="15" x14ac:dyDescent="0.2">
      <c r="A1279" s="4" t="s">
        <v>580</v>
      </c>
      <c r="B1279" s="21" t="str">
        <f t="shared" si="38"/>
        <v>Nov-2025</v>
      </c>
      <c r="C1279" s="2" t="str">
        <f t="shared" si="39"/>
        <v>Q3</v>
      </c>
      <c r="D1279" s="2" t="s">
        <v>31</v>
      </c>
      <c r="E1279" s="13">
        <v>45968</v>
      </c>
      <c r="F1279" s="14" t="s">
        <v>315</v>
      </c>
      <c r="G1279" s="14" t="s">
        <v>46</v>
      </c>
      <c r="H1279" s="14" t="s">
        <v>65</v>
      </c>
      <c r="I1279" s="15">
        <v>1</v>
      </c>
      <c r="J1279" s="15">
        <v>130</v>
      </c>
      <c r="K1279" s="15">
        <v>33.520000000000003</v>
      </c>
      <c r="L1279" s="15">
        <v>4357.6000000000004</v>
      </c>
      <c r="M1279" s="15">
        <v>-335.1</v>
      </c>
      <c r="N1279" s="15">
        <v>0</v>
      </c>
      <c r="O1279" s="15">
        <v>522.92503999999997</v>
      </c>
      <c r="P1279" s="15">
        <v>4545.4250400000001</v>
      </c>
    </row>
    <row r="1280" spans="1:16" ht="15" x14ac:dyDescent="0.2">
      <c r="A1280" s="4" t="s">
        <v>581</v>
      </c>
      <c r="B1280" s="21" t="str">
        <f t="shared" si="38"/>
        <v>Nov-2025</v>
      </c>
      <c r="C1280" s="2" t="str">
        <f t="shared" si="39"/>
        <v>Q3</v>
      </c>
      <c r="D1280" s="2" t="s">
        <v>31</v>
      </c>
      <c r="E1280" s="13">
        <v>45968</v>
      </c>
      <c r="F1280" s="14" t="s">
        <v>316</v>
      </c>
      <c r="G1280" s="14" t="s">
        <v>171</v>
      </c>
      <c r="H1280" s="14" t="s">
        <v>125</v>
      </c>
      <c r="I1280" s="15">
        <v>2</v>
      </c>
      <c r="J1280" s="15">
        <v>1600</v>
      </c>
      <c r="K1280" s="15">
        <v>7.45</v>
      </c>
      <c r="L1280" s="15">
        <v>11920</v>
      </c>
      <c r="M1280" s="15">
        <v>-916.65</v>
      </c>
      <c r="N1280" s="15">
        <v>0</v>
      </c>
      <c r="O1280" s="15">
        <v>1430.435215</v>
      </c>
      <c r="P1280" s="15">
        <v>12433.785215</v>
      </c>
    </row>
    <row r="1281" spans="1:16" ht="15" x14ac:dyDescent="0.2">
      <c r="A1281" s="4" t="s">
        <v>576</v>
      </c>
      <c r="B1281" s="21" t="str">
        <f t="shared" si="38"/>
        <v>Nov-2025</v>
      </c>
      <c r="C1281" s="2" t="str">
        <f t="shared" si="39"/>
        <v>Q3</v>
      </c>
      <c r="D1281" s="2" t="s">
        <v>31</v>
      </c>
      <c r="E1281" s="13">
        <v>45968</v>
      </c>
      <c r="F1281" s="14" t="s">
        <v>316</v>
      </c>
      <c r="G1281" s="14" t="s">
        <v>171</v>
      </c>
      <c r="H1281" s="14" t="s">
        <v>110</v>
      </c>
      <c r="I1281" s="15">
        <v>2</v>
      </c>
      <c r="J1281" s="15">
        <v>40</v>
      </c>
      <c r="K1281" s="15">
        <v>175.05</v>
      </c>
      <c r="L1281" s="15">
        <v>7001.9999999999991</v>
      </c>
      <c r="M1281" s="15">
        <v>-538.45000000000005</v>
      </c>
      <c r="N1281" s="15">
        <v>0</v>
      </c>
      <c r="O1281" s="15">
        <v>840.26133200000004</v>
      </c>
      <c r="P1281" s="15">
        <v>7303.8113320000002</v>
      </c>
    </row>
    <row r="1282" spans="1:16" ht="15" x14ac:dyDescent="0.2">
      <c r="A1282" s="4" t="s">
        <v>580</v>
      </c>
      <c r="B1282" s="21" t="str">
        <f t="shared" si="38"/>
        <v>Nov-2025</v>
      </c>
      <c r="C1282" s="2" t="str">
        <f t="shared" si="39"/>
        <v>Q3</v>
      </c>
      <c r="D1282" s="2" t="s">
        <v>31</v>
      </c>
      <c r="E1282" s="13">
        <v>45968</v>
      </c>
      <c r="F1282" s="14" t="s">
        <v>316</v>
      </c>
      <c r="G1282" s="14" t="s">
        <v>171</v>
      </c>
      <c r="H1282" s="14" t="s">
        <v>89</v>
      </c>
      <c r="I1282" s="15">
        <v>10</v>
      </c>
      <c r="J1282" s="15">
        <v>700</v>
      </c>
      <c r="K1282" s="15">
        <v>37.25</v>
      </c>
      <c r="L1282" s="15">
        <v>26075</v>
      </c>
      <c r="M1282" s="15">
        <v>-2005.1699999999998</v>
      </c>
      <c r="N1282" s="15">
        <v>0</v>
      </c>
      <c r="O1282" s="15">
        <v>3129.077276</v>
      </c>
      <c r="P1282" s="15">
        <v>27198.907276000002</v>
      </c>
    </row>
    <row r="1283" spans="1:16" ht="15" x14ac:dyDescent="0.2">
      <c r="A1283" s="4" t="s">
        <v>581</v>
      </c>
      <c r="B1283" s="21" t="str">
        <f t="shared" ref="B1283:B1346" si="40">+TEXT(E1283,"MMM-yyy")</f>
        <v>Nov-2025</v>
      </c>
      <c r="C1283" s="2" t="str">
        <f t="shared" ref="C1283:C1346" si="41">"Q" &amp; CHOOSE(MONTH(E1283),4,4,4,1,1,1,2,2,2,3,3,3)</f>
        <v>Q3</v>
      </c>
      <c r="D1283" s="2" t="s">
        <v>31</v>
      </c>
      <c r="E1283" s="13">
        <v>45968</v>
      </c>
      <c r="F1283" s="14" t="s">
        <v>316</v>
      </c>
      <c r="G1283" s="14" t="s">
        <v>171</v>
      </c>
      <c r="H1283" s="14" t="s">
        <v>66</v>
      </c>
      <c r="I1283" s="15">
        <v>2</v>
      </c>
      <c r="J1283" s="15">
        <v>48</v>
      </c>
      <c r="K1283" s="15">
        <v>141.53</v>
      </c>
      <c r="L1283" s="15">
        <v>6793.44</v>
      </c>
      <c r="M1283" s="15">
        <v>-522.41999999999996</v>
      </c>
      <c r="N1283" s="15">
        <v>0</v>
      </c>
      <c r="O1283" s="15">
        <v>815.232437</v>
      </c>
      <c r="P1283" s="15">
        <v>7086.2524370000001</v>
      </c>
    </row>
    <row r="1284" spans="1:16" ht="15" x14ac:dyDescent="0.2">
      <c r="A1284" s="4" t="s">
        <v>583</v>
      </c>
      <c r="B1284" s="21" t="str">
        <f t="shared" si="40"/>
        <v>Nov-2025</v>
      </c>
      <c r="C1284" s="2" t="str">
        <f t="shared" si="41"/>
        <v>Q3</v>
      </c>
      <c r="D1284" s="2" t="s">
        <v>31</v>
      </c>
      <c r="E1284" s="13">
        <v>45968</v>
      </c>
      <c r="F1284" s="14" t="s">
        <v>316</v>
      </c>
      <c r="G1284" s="14" t="s">
        <v>171</v>
      </c>
      <c r="H1284" s="14" t="s">
        <v>113</v>
      </c>
      <c r="I1284" s="15">
        <v>2</v>
      </c>
      <c r="J1284" s="15">
        <v>30</v>
      </c>
      <c r="K1284" s="15">
        <v>260.72000000000003</v>
      </c>
      <c r="L1284" s="15">
        <v>7821.6</v>
      </c>
      <c r="M1284" s="15">
        <v>-601.48</v>
      </c>
      <c r="N1284" s="15">
        <v>0</v>
      </c>
      <c r="O1284" s="15">
        <v>938.61541299999999</v>
      </c>
      <c r="P1284" s="15">
        <v>8158.7354130000003</v>
      </c>
    </row>
    <row r="1285" spans="1:16" ht="15" x14ac:dyDescent="0.2">
      <c r="A1285" s="4" t="s">
        <v>589</v>
      </c>
      <c r="B1285" s="21" t="str">
        <f t="shared" si="40"/>
        <v>Nov-2025</v>
      </c>
      <c r="C1285" s="2" t="str">
        <f t="shared" si="41"/>
        <v>Q3</v>
      </c>
      <c r="D1285" s="2" t="s">
        <v>31</v>
      </c>
      <c r="E1285" s="13">
        <v>45968</v>
      </c>
      <c r="F1285" s="14" t="s">
        <v>316</v>
      </c>
      <c r="G1285" s="14" t="s">
        <v>171</v>
      </c>
      <c r="H1285" s="14" t="s">
        <v>98</v>
      </c>
      <c r="I1285" s="15">
        <v>2</v>
      </c>
      <c r="J1285" s="15">
        <v>120</v>
      </c>
      <c r="K1285" s="15">
        <v>145.26</v>
      </c>
      <c r="L1285" s="15">
        <v>17431.2</v>
      </c>
      <c r="M1285" s="15">
        <v>-1340.46</v>
      </c>
      <c r="N1285" s="15">
        <v>0</v>
      </c>
      <c r="O1285" s="15">
        <v>2091.795783</v>
      </c>
      <c r="P1285" s="15">
        <v>18182.535782999999</v>
      </c>
    </row>
    <row r="1286" spans="1:16" ht="15" x14ac:dyDescent="0.2">
      <c r="A1286" s="4" t="s">
        <v>593</v>
      </c>
      <c r="B1286" s="21" t="str">
        <f t="shared" si="40"/>
        <v>Nov-2025</v>
      </c>
      <c r="C1286" s="2" t="str">
        <f t="shared" si="41"/>
        <v>Q3</v>
      </c>
      <c r="D1286" s="2" t="s">
        <v>31</v>
      </c>
      <c r="E1286" s="13">
        <v>45968</v>
      </c>
      <c r="F1286" s="14" t="s">
        <v>316</v>
      </c>
      <c r="G1286" s="14" t="s">
        <v>171</v>
      </c>
      <c r="H1286" s="14" t="s">
        <v>117</v>
      </c>
      <c r="I1286" s="15">
        <v>15</v>
      </c>
      <c r="J1286" s="15">
        <v>60</v>
      </c>
      <c r="K1286" s="15">
        <v>595.92999999999995</v>
      </c>
      <c r="L1286" s="15">
        <v>35755.799999999996</v>
      </c>
      <c r="M1286" s="15">
        <v>-2749.62</v>
      </c>
      <c r="N1286" s="15">
        <v>0</v>
      </c>
      <c r="O1286" s="15">
        <v>4290.8025440000001</v>
      </c>
      <c r="P1286" s="15">
        <v>37296.982543999999</v>
      </c>
    </row>
    <row r="1287" spans="1:16" ht="15" x14ac:dyDescent="0.2">
      <c r="A1287" s="4" t="s">
        <v>575</v>
      </c>
      <c r="B1287" s="21" t="str">
        <f t="shared" si="40"/>
        <v>Nov-2025</v>
      </c>
      <c r="C1287" s="2" t="str">
        <f t="shared" si="41"/>
        <v>Q3</v>
      </c>
      <c r="D1287" s="2" t="s">
        <v>31</v>
      </c>
      <c r="E1287" s="13">
        <v>45970</v>
      </c>
      <c r="F1287" s="14" t="s">
        <v>317</v>
      </c>
      <c r="G1287" s="14" t="s">
        <v>88</v>
      </c>
      <c r="H1287" s="14" t="s">
        <v>55</v>
      </c>
      <c r="I1287" s="15">
        <v>4</v>
      </c>
      <c r="J1287" s="15">
        <v>80</v>
      </c>
      <c r="K1287" s="15">
        <v>186.23</v>
      </c>
      <c r="L1287" s="15">
        <v>14898.400000000001</v>
      </c>
      <c r="M1287" s="15">
        <v>-1145.6899999999998</v>
      </c>
      <c r="N1287" s="15">
        <v>0</v>
      </c>
      <c r="O1287" s="15">
        <v>1787.8519509999999</v>
      </c>
      <c r="P1287" s="15">
        <v>15540.561951</v>
      </c>
    </row>
    <row r="1288" spans="1:16" ht="15" x14ac:dyDescent="0.2">
      <c r="A1288" s="4" t="s">
        <v>574</v>
      </c>
      <c r="B1288" s="21" t="str">
        <f t="shared" si="40"/>
        <v>Nov-2025</v>
      </c>
      <c r="C1288" s="2" t="str">
        <f t="shared" si="41"/>
        <v>Q3</v>
      </c>
      <c r="D1288" s="2" t="s">
        <v>31</v>
      </c>
      <c r="E1288" s="13">
        <v>45970</v>
      </c>
      <c r="F1288" s="14" t="s">
        <v>317</v>
      </c>
      <c r="G1288" s="14" t="s">
        <v>88</v>
      </c>
      <c r="H1288" s="14" t="s">
        <v>52</v>
      </c>
      <c r="I1288" s="15">
        <v>1</v>
      </c>
      <c r="J1288" s="15">
        <v>18</v>
      </c>
      <c r="K1288" s="15">
        <v>178.78</v>
      </c>
      <c r="L1288" s="15">
        <v>3218.0400000000004</v>
      </c>
      <c r="M1288" s="15">
        <v>-247.47</v>
      </c>
      <c r="N1288" s="15">
        <v>0</v>
      </c>
      <c r="O1288" s="15">
        <v>386.17402500000003</v>
      </c>
      <c r="P1288" s="15">
        <v>3356.744025</v>
      </c>
    </row>
    <row r="1289" spans="1:16" ht="15" x14ac:dyDescent="0.2">
      <c r="A1289" s="4" t="s">
        <v>574</v>
      </c>
      <c r="B1289" s="21" t="str">
        <f t="shared" si="40"/>
        <v>Nov-2025</v>
      </c>
      <c r="C1289" s="2" t="str">
        <f t="shared" si="41"/>
        <v>Q3</v>
      </c>
      <c r="D1289" s="2" t="s">
        <v>31</v>
      </c>
      <c r="E1289" s="13">
        <v>45970</v>
      </c>
      <c r="F1289" s="14" t="s">
        <v>317</v>
      </c>
      <c r="G1289" s="14" t="s">
        <v>88</v>
      </c>
      <c r="H1289" s="14" t="s">
        <v>85</v>
      </c>
      <c r="I1289" s="15">
        <v>1</v>
      </c>
      <c r="J1289" s="15">
        <v>18</v>
      </c>
      <c r="K1289" s="15">
        <v>178.78</v>
      </c>
      <c r="L1289" s="15">
        <v>3218.0400000000004</v>
      </c>
      <c r="M1289" s="15">
        <v>-247.47</v>
      </c>
      <c r="N1289" s="15">
        <v>0</v>
      </c>
      <c r="O1289" s="15">
        <v>386.17402500000003</v>
      </c>
      <c r="P1289" s="15">
        <v>3356.744025</v>
      </c>
    </row>
    <row r="1290" spans="1:16" ht="15" x14ac:dyDescent="0.2">
      <c r="A1290" s="4" t="s">
        <v>590</v>
      </c>
      <c r="B1290" s="21" t="str">
        <f t="shared" si="40"/>
        <v>Nov-2025</v>
      </c>
      <c r="C1290" s="2" t="str">
        <f t="shared" si="41"/>
        <v>Q3</v>
      </c>
      <c r="D1290" s="2" t="s">
        <v>31</v>
      </c>
      <c r="E1290" s="13">
        <v>45971</v>
      </c>
      <c r="F1290" s="14" t="s">
        <v>318</v>
      </c>
      <c r="G1290" s="14" t="s">
        <v>88</v>
      </c>
      <c r="H1290" s="14" t="s">
        <v>102</v>
      </c>
      <c r="I1290" s="15">
        <v>2</v>
      </c>
      <c r="J1290" s="15">
        <v>40</v>
      </c>
      <c r="K1290" s="15">
        <v>249.55</v>
      </c>
      <c r="L1290" s="15">
        <v>9982</v>
      </c>
      <c r="M1290" s="15">
        <v>-767.62</v>
      </c>
      <c r="N1290" s="15">
        <v>0</v>
      </c>
      <c r="O1290" s="15">
        <v>1197.870212</v>
      </c>
      <c r="P1290" s="15">
        <v>10412.250212000001</v>
      </c>
    </row>
    <row r="1291" spans="1:16" ht="15" x14ac:dyDescent="0.2">
      <c r="A1291" s="4" t="s">
        <v>579</v>
      </c>
      <c r="B1291" s="21" t="str">
        <f t="shared" si="40"/>
        <v>Nov-2025</v>
      </c>
      <c r="C1291" s="2" t="str">
        <f t="shared" si="41"/>
        <v>Q3</v>
      </c>
      <c r="D1291" s="2" t="s">
        <v>31</v>
      </c>
      <c r="E1291" s="13">
        <v>45971</v>
      </c>
      <c r="F1291" s="14" t="s">
        <v>318</v>
      </c>
      <c r="G1291" s="14" t="s">
        <v>88</v>
      </c>
      <c r="H1291" s="14" t="s">
        <v>92</v>
      </c>
      <c r="I1291" s="15">
        <v>2</v>
      </c>
      <c r="J1291" s="15">
        <v>40</v>
      </c>
      <c r="K1291" s="15">
        <v>242.1</v>
      </c>
      <c r="L1291" s="15">
        <v>9683.9999999999982</v>
      </c>
      <c r="M1291" s="15">
        <v>-744.7</v>
      </c>
      <c r="N1291" s="15">
        <v>0</v>
      </c>
      <c r="O1291" s="15">
        <v>1162.109788</v>
      </c>
      <c r="P1291" s="15">
        <v>10101.409788000001</v>
      </c>
    </row>
    <row r="1292" spans="1:16" ht="15" x14ac:dyDescent="0.2">
      <c r="A1292" s="4" t="s">
        <v>589</v>
      </c>
      <c r="B1292" s="21" t="str">
        <f t="shared" si="40"/>
        <v>Nov-2025</v>
      </c>
      <c r="C1292" s="2" t="str">
        <f t="shared" si="41"/>
        <v>Q3</v>
      </c>
      <c r="D1292" s="2" t="s">
        <v>31</v>
      </c>
      <c r="E1292" s="13">
        <v>45971</v>
      </c>
      <c r="F1292" s="14" t="s">
        <v>319</v>
      </c>
      <c r="G1292" s="14" t="s">
        <v>25</v>
      </c>
      <c r="H1292" s="14" t="s">
        <v>98</v>
      </c>
      <c r="I1292" s="15">
        <v>1</v>
      </c>
      <c r="J1292" s="15">
        <v>60</v>
      </c>
      <c r="K1292" s="15">
        <v>129.41999999999999</v>
      </c>
      <c r="L1292" s="15">
        <v>7765.2</v>
      </c>
      <c r="M1292" s="15">
        <v>0</v>
      </c>
      <c r="N1292" s="15">
        <v>0</v>
      </c>
      <c r="O1292" s="15">
        <v>1009.4752540000001</v>
      </c>
      <c r="P1292" s="15">
        <v>8774.6752539999998</v>
      </c>
    </row>
    <row r="1293" spans="1:16" ht="15" x14ac:dyDescent="0.2">
      <c r="A1293" s="4" t="s">
        <v>589</v>
      </c>
      <c r="B1293" s="21" t="str">
        <f t="shared" si="40"/>
        <v>Nov-2025</v>
      </c>
      <c r="C1293" s="2" t="str">
        <f t="shared" si="41"/>
        <v>Q3</v>
      </c>
      <c r="D1293" s="2" t="s">
        <v>31</v>
      </c>
      <c r="E1293" s="13">
        <v>45971</v>
      </c>
      <c r="F1293" s="14" t="s">
        <v>319</v>
      </c>
      <c r="G1293" s="14" t="s">
        <v>25</v>
      </c>
      <c r="H1293" s="14" t="s">
        <v>105</v>
      </c>
      <c r="I1293" s="15">
        <v>4</v>
      </c>
      <c r="J1293" s="15">
        <v>120</v>
      </c>
      <c r="K1293" s="15">
        <v>282.08</v>
      </c>
      <c r="L1293" s="15">
        <v>33849.599999999999</v>
      </c>
      <c r="M1293" s="15">
        <v>0</v>
      </c>
      <c r="N1293" s="15">
        <v>0</v>
      </c>
      <c r="O1293" s="15">
        <v>4400.4447460000001</v>
      </c>
      <c r="P1293" s="15">
        <v>38250.044746</v>
      </c>
    </row>
    <row r="1294" spans="1:16" ht="15" x14ac:dyDescent="0.2">
      <c r="A1294" s="4" t="s">
        <v>574</v>
      </c>
      <c r="B1294" s="21" t="str">
        <f t="shared" si="40"/>
        <v>Nov-2025</v>
      </c>
      <c r="C1294" s="2" t="str">
        <f t="shared" si="41"/>
        <v>Q3</v>
      </c>
      <c r="D1294" s="2" t="s">
        <v>31</v>
      </c>
      <c r="E1294" s="13">
        <v>45971</v>
      </c>
      <c r="F1294" s="14" t="s">
        <v>320</v>
      </c>
      <c r="G1294" s="14" t="s">
        <v>12</v>
      </c>
      <c r="H1294" s="14" t="s">
        <v>52</v>
      </c>
      <c r="I1294" s="15">
        <v>10</v>
      </c>
      <c r="J1294" s="15">
        <v>180</v>
      </c>
      <c r="K1294" s="15">
        <v>178.78</v>
      </c>
      <c r="L1294" s="15">
        <v>32180.400000000001</v>
      </c>
      <c r="M1294" s="15">
        <v>-2474.6699999999996</v>
      </c>
      <c r="N1294" s="15">
        <v>0</v>
      </c>
      <c r="O1294" s="15">
        <v>3861.7429509999997</v>
      </c>
      <c r="P1294" s="15">
        <v>33567.472951000003</v>
      </c>
    </row>
    <row r="1295" spans="1:16" ht="15" x14ac:dyDescent="0.2">
      <c r="A1295" s="4" t="s">
        <v>574</v>
      </c>
      <c r="B1295" s="21" t="str">
        <f t="shared" si="40"/>
        <v>Nov-2025</v>
      </c>
      <c r="C1295" s="2" t="str">
        <f t="shared" si="41"/>
        <v>Q3</v>
      </c>
      <c r="D1295" s="2" t="s">
        <v>31</v>
      </c>
      <c r="E1295" s="13">
        <v>45971</v>
      </c>
      <c r="F1295" s="14" t="s">
        <v>320</v>
      </c>
      <c r="G1295" s="14" t="s">
        <v>12</v>
      </c>
      <c r="H1295" s="14" t="s">
        <v>84</v>
      </c>
      <c r="I1295" s="15">
        <v>10</v>
      </c>
      <c r="J1295" s="15">
        <v>180</v>
      </c>
      <c r="K1295" s="15">
        <v>178.78</v>
      </c>
      <c r="L1295" s="15">
        <v>32180.400000000001</v>
      </c>
      <c r="M1295" s="15">
        <v>-2474.6699999999996</v>
      </c>
      <c r="N1295" s="15">
        <v>0</v>
      </c>
      <c r="O1295" s="15">
        <v>3861.7429509999997</v>
      </c>
      <c r="P1295" s="15">
        <v>33567.472951000003</v>
      </c>
    </row>
    <row r="1296" spans="1:16" ht="15" x14ac:dyDescent="0.2">
      <c r="A1296" s="4" t="s">
        <v>574</v>
      </c>
      <c r="B1296" s="21" t="str">
        <f t="shared" si="40"/>
        <v>Nov-2025</v>
      </c>
      <c r="C1296" s="2" t="str">
        <f t="shared" si="41"/>
        <v>Q3</v>
      </c>
      <c r="D1296" s="2" t="s">
        <v>31</v>
      </c>
      <c r="E1296" s="13">
        <v>45971</v>
      </c>
      <c r="F1296" s="14" t="s">
        <v>320</v>
      </c>
      <c r="G1296" s="14" t="s">
        <v>12</v>
      </c>
      <c r="H1296" s="14" t="s">
        <v>85</v>
      </c>
      <c r="I1296" s="15">
        <v>3</v>
      </c>
      <c r="J1296" s="15">
        <v>54</v>
      </c>
      <c r="K1296" s="15">
        <v>178.78</v>
      </c>
      <c r="L1296" s="15">
        <v>9654.119999999999</v>
      </c>
      <c r="M1296" s="15">
        <v>-742.4</v>
      </c>
      <c r="N1296" s="15">
        <v>0</v>
      </c>
      <c r="O1296" s="15">
        <v>1158.523015</v>
      </c>
      <c r="P1296" s="15">
        <v>10070.243015</v>
      </c>
    </row>
    <row r="1297" spans="1:16" ht="15" x14ac:dyDescent="0.2">
      <c r="A1297" s="4" t="s">
        <v>586</v>
      </c>
      <c r="B1297" s="21" t="str">
        <f t="shared" si="40"/>
        <v>Nov-2025</v>
      </c>
      <c r="C1297" s="2" t="str">
        <f t="shared" si="41"/>
        <v>Q3</v>
      </c>
      <c r="D1297" s="2" t="s">
        <v>31</v>
      </c>
      <c r="E1297" s="13">
        <v>45971</v>
      </c>
      <c r="F1297" s="14" t="s">
        <v>320</v>
      </c>
      <c r="G1297" s="14" t="s">
        <v>12</v>
      </c>
      <c r="H1297" s="14" t="s">
        <v>76</v>
      </c>
      <c r="I1297" s="15">
        <v>1</v>
      </c>
      <c r="J1297" s="15">
        <v>240</v>
      </c>
      <c r="K1297" s="15">
        <v>14.9</v>
      </c>
      <c r="L1297" s="15">
        <v>3576</v>
      </c>
      <c r="M1297" s="15">
        <v>-274.99</v>
      </c>
      <c r="N1297" s="15">
        <v>0</v>
      </c>
      <c r="O1297" s="15">
        <v>429.13108300000005</v>
      </c>
      <c r="P1297" s="15">
        <v>3730.141083</v>
      </c>
    </row>
    <row r="1298" spans="1:16" ht="15" x14ac:dyDescent="0.2">
      <c r="A1298" s="4" t="s">
        <v>589</v>
      </c>
      <c r="B1298" s="21" t="str">
        <f t="shared" si="40"/>
        <v>Nov-2025</v>
      </c>
      <c r="C1298" s="2" t="str">
        <f t="shared" si="41"/>
        <v>Q3</v>
      </c>
      <c r="D1298" s="2" t="s">
        <v>31</v>
      </c>
      <c r="E1298" s="13">
        <v>45972</v>
      </c>
      <c r="F1298" s="14" t="s">
        <v>321</v>
      </c>
      <c r="G1298" s="14" t="s">
        <v>13</v>
      </c>
      <c r="H1298" s="14" t="s">
        <v>98</v>
      </c>
      <c r="I1298" s="15">
        <v>1</v>
      </c>
      <c r="J1298" s="15">
        <v>60</v>
      </c>
      <c r="K1298" s="15">
        <v>145.26</v>
      </c>
      <c r="L1298" s="15">
        <v>8715.6</v>
      </c>
      <c r="M1298" s="15">
        <v>-670.23</v>
      </c>
      <c r="N1298" s="15">
        <v>0</v>
      </c>
      <c r="O1298" s="15">
        <v>1045.897825</v>
      </c>
      <c r="P1298" s="15">
        <v>9091.2678250000008</v>
      </c>
    </row>
    <row r="1299" spans="1:16" ht="15" x14ac:dyDescent="0.2">
      <c r="A1299" s="4" t="s">
        <v>583</v>
      </c>
      <c r="B1299" s="21" t="str">
        <f t="shared" si="40"/>
        <v>Nov-2025</v>
      </c>
      <c r="C1299" s="2" t="str">
        <f t="shared" si="41"/>
        <v>Q3</v>
      </c>
      <c r="D1299" s="2" t="s">
        <v>31</v>
      </c>
      <c r="E1299" s="13">
        <v>45972</v>
      </c>
      <c r="F1299" s="14" t="s">
        <v>321</v>
      </c>
      <c r="G1299" s="14" t="s">
        <v>13</v>
      </c>
      <c r="H1299" s="14" t="s">
        <v>113</v>
      </c>
      <c r="I1299" s="15">
        <v>2</v>
      </c>
      <c r="J1299" s="15">
        <v>30</v>
      </c>
      <c r="K1299" s="15">
        <v>260.72000000000003</v>
      </c>
      <c r="L1299" s="15">
        <v>7821.6</v>
      </c>
      <c r="M1299" s="15">
        <v>-601.48</v>
      </c>
      <c r="N1299" s="15">
        <v>0</v>
      </c>
      <c r="O1299" s="15">
        <v>938.61535299999991</v>
      </c>
      <c r="P1299" s="15">
        <v>8158.735353</v>
      </c>
    </row>
    <row r="1300" spans="1:16" ht="15" x14ac:dyDescent="0.2">
      <c r="A1300" s="4" t="s">
        <v>580</v>
      </c>
      <c r="B1300" s="21" t="str">
        <f t="shared" si="40"/>
        <v>Nov-2025</v>
      </c>
      <c r="C1300" s="2" t="str">
        <f t="shared" si="41"/>
        <v>Q3</v>
      </c>
      <c r="D1300" s="2" t="s">
        <v>31</v>
      </c>
      <c r="E1300" s="13">
        <v>45972</v>
      </c>
      <c r="F1300" s="14" t="s">
        <v>321</v>
      </c>
      <c r="G1300" s="14" t="s">
        <v>13</v>
      </c>
      <c r="H1300" s="14" t="s">
        <v>65</v>
      </c>
      <c r="I1300" s="15">
        <v>2</v>
      </c>
      <c r="J1300" s="15">
        <v>260</v>
      </c>
      <c r="K1300" s="15">
        <v>37.25</v>
      </c>
      <c r="L1300" s="15">
        <v>9685</v>
      </c>
      <c r="M1300" s="15">
        <v>-744.78</v>
      </c>
      <c r="N1300" s="15">
        <v>0</v>
      </c>
      <c r="O1300" s="15">
        <v>1162.2282950000001</v>
      </c>
      <c r="P1300" s="15">
        <v>10102.448295</v>
      </c>
    </row>
    <row r="1301" spans="1:16" ht="15" x14ac:dyDescent="0.2">
      <c r="A1301" s="4" t="s">
        <v>573</v>
      </c>
      <c r="B1301" s="21" t="str">
        <f t="shared" si="40"/>
        <v>Nov-2025</v>
      </c>
      <c r="C1301" s="2" t="str">
        <f t="shared" si="41"/>
        <v>Q3</v>
      </c>
      <c r="D1301" s="2" t="s">
        <v>31</v>
      </c>
      <c r="E1301" s="13">
        <v>45972</v>
      </c>
      <c r="F1301" s="14" t="s">
        <v>321</v>
      </c>
      <c r="G1301" s="14" t="s">
        <v>13</v>
      </c>
      <c r="H1301" s="14" t="s">
        <v>136</v>
      </c>
      <c r="I1301" s="15">
        <v>2</v>
      </c>
      <c r="J1301" s="15">
        <v>80</v>
      </c>
      <c r="K1301" s="15">
        <v>111.74</v>
      </c>
      <c r="L1301" s="15">
        <v>8939.2000000000007</v>
      </c>
      <c r="M1301" s="15">
        <v>-687.42</v>
      </c>
      <c r="N1301" s="15">
        <v>0</v>
      </c>
      <c r="O1301" s="15">
        <v>1072.7311179999999</v>
      </c>
      <c r="P1301" s="15">
        <v>9324.5111180000004</v>
      </c>
    </row>
    <row r="1302" spans="1:16" ht="15" x14ac:dyDescent="0.2">
      <c r="A1302" s="4" t="s">
        <v>581</v>
      </c>
      <c r="B1302" s="21" t="str">
        <f t="shared" si="40"/>
        <v>Nov-2025</v>
      </c>
      <c r="C1302" s="2" t="str">
        <f t="shared" si="41"/>
        <v>Q3</v>
      </c>
      <c r="D1302" s="2" t="s">
        <v>31</v>
      </c>
      <c r="E1302" s="13">
        <v>45972</v>
      </c>
      <c r="F1302" s="14" t="s">
        <v>321</v>
      </c>
      <c r="G1302" s="14" t="s">
        <v>13</v>
      </c>
      <c r="H1302" s="14" t="s">
        <v>66</v>
      </c>
      <c r="I1302" s="15">
        <v>1</v>
      </c>
      <c r="J1302" s="15">
        <v>24</v>
      </c>
      <c r="K1302" s="15">
        <v>141.53</v>
      </c>
      <c r="L1302" s="15">
        <v>3396.72</v>
      </c>
      <c r="M1302" s="15">
        <v>-261.20999999999998</v>
      </c>
      <c r="N1302" s="15">
        <v>0</v>
      </c>
      <c r="O1302" s="15">
        <v>407.61619300000001</v>
      </c>
      <c r="P1302" s="15">
        <v>3543.1261930000001</v>
      </c>
    </row>
    <row r="1303" spans="1:16" ht="15" x14ac:dyDescent="0.2">
      <c r="A1303" s="4" t="s">
        <v>583</v>
      </c>
      <c r="B1303" s="21" t="str">
        <f t="shared" si="40"/>
        <v>Nov-2025</v>
      </c>
      <c r="C1303" s="2" t="str">
        <f t="shared" si="41"/>
        <v>Q3</v>
      </c>
      <c r="D1303" s="2" t="s">
        <v>31</v>
      </c>
      <c r="E1303" s="13">
        <v>45972</v>
      </c>
      <c r="F1303" s="14" t="s">
        <v>321</v>
      </c>
      <c r="G1303" s="14" t="s">
        <v>13</v>
      </c>
      <c r="H1303" s="14" t="s">
        <v>109</v>
      </c>
      <c r="I1303" s="15">
        <v>2</v>
      </c>
      <c r="J1303" s="15">
        <v>30</v>
      </c>
      <c r="K1303" s="15">
        <v>260.72000000000003</v>
      </c>
      <c r="L1303" s="15">
        <v>7821.6</v>
      </c>
      <c r="M1303" s="15">
        <v>-601.48</v>
      </c>
      <c r="N1303" s="15">
        <v>0</v>
      </c>
      <c r="O1303" s="15">
        <v>938.61535299999991</v>
      </c>
      <c r="P1303" s="15">
        <v>8158.735353</v>
      </c>
    </row>
    <row r="1304" spans="1:16" ht="15" x14ac:dyDescent="0.2">
      <c r="A1304" s="4" t="s">
        <v>576</v>
      </c>
      <c r="B1304" s="21" t="str">
        <f t="shared" si="40"/>
        <v>Nov-2025</v>
      </c>
      <c r="C1304" s="2" t="str">
        <f t="shared" si="41"/>
        <v>Q3</v>
      </c>
      <c r="D1304" s="2" t="s">
        <v>31</v>
      </c>
      <c r="E1304" s="13">
        <v>45972</v>
      </c>
      <c r="F1304" s="14" t="s">
        <v>321</v>
      </c>
      <c r="G1304" s="14" t="s">
        <v>13</v>
      </c>
      <c r="H1304" s="14" t="s">
        <v>110</v>
      </c>
      <c r="I1304" s="15">
        <v>2</v>
      </c>
      <c r="J1304" s="15">
        <v>40</v>
      </c>
      <c r="K1304" s="15">
        <v>175.05</v>
      </c>
      <c r="L1304" s="15">
        <v>7001.9999999999991</v>
      </c>
      <c r="M1304" s="15">
        <v>-538.45000000000005</v>
      </c>
      <c r="N1304" s="15">
        <v>0</v>
      </c>
      <c r="O1304" s="15">
        <v>840.26127899999994</v>
      </c>
      <c r="P1304" s="15">
        <v>7303.8112789999996</v>
      </c>
    </row>
    <row r="1305" spans="1:16" ht="15" x14ac:dyDescent="0.2">
      <c r="A1305" s="4" t="s">
        <v>580</v>
      </c>
      <c r="B1305" s="21" t="str">
        <f t="shared" si="40"/>
        <v>Nov-2025</v>
      </c>
      <c r="C1305" s="2" t="str">
        <f t="shared" si="41"/>
        <v>Q3</v>
      </c>
      <c r="D1305" s="2" t="s">
        <v>31</v>
      </c>
      <c r="E1305" s="13">
        <v>45972</v>
      </c>
      <c r="F1305" s="14" t="s">
        <v>321</v>
      </c>
      <c r="G1305" s="14" t="s">
        <v>13</v>
      </c>
      <c r="H1305" s="14" t="s">
        <v>89</v>
      </c>
      <c r="I1305" s="15">
        <v>2</v>
      </c>
      <c r="J1305" s="15">
        <v>140</v>
      </c>
      <c r="K1305" s="15">
        <v>37.25</v>
      </c>
      <c r="L1305" s="15">
        <v>5215</v>
      </c>
      <c r="M1305" s="15">
        <v>-401.03</v>
      </c>
      <c r="N1305" s="15">
        <v>0</v>
      </c>
      <c r="O1305" s="15">
        <v>625.81593599999997</v>
      </c>
      <c r="P1305" s="15">
        <v>5439.7859360000002</v>
      </c>
    </row>
    <row r="1306" spans="1:16" ht="15" x14ac:dyDescent="0.2">
      <c r="A1306" s="4" t="s">
        <v>584</v>
      </c>
      <c r="B1306" s="21" t="str">
        <f t="shared" si="40"/>
        <v>Nov-2025</v>
      </c>
      <c r="C1306" s="2" t="str">
        <f t="shared" si="41"/>
        <v>Q3</v>
      </c>
      <c r="D1306" s="2" t="s">
        <v>31</v>
      </c>
      <c r="E1306" s="13">
        <v>45972</v>
      </c>
      <c r="F1306" s="14" t="s">
        <v>321</v>
      </c>
      <c r="G1306" s="14" t="s">
        <v>13</v>
      </c>
      <c r="H1306" s="14" t="s">
        <v>99</v>
      </c>
      <c r="I1306" s="15">
        <v>1</v>
      </c>
      <c r="J1306" s="15">
        <v>40</v>
      </c>
      <c r="K1306" s="15">
        <v>81.94</v>
      </c>
      <c r="L1306" s="15">
        <v>3277.6</v>
      </c>
      <c r="M1306" s="15">
        <v>-252.05</v>
      </c>
      <c r="N1306" s="15">
        <v>0</v>
      </c>
      <c r="O1306" s="15">
        <v>393.32139699999999</v>
      </c>
      <c r="P1306" s="15">
        <v>3418.8713969999999</v>
      </c>
    </row>
    <row r="1307" spans="1:16" ht="15" x14ac:dyDescent="0.2">
      <c r="A1307" s="4" t="s">
        <v>593</v>
      </c>
      <c r="B1307" s="21" t="str">
        <f t="shared" si="40"/>
        <v>Nov-2025</v>
      </c>
      <c r="C1307" s="2" t="str">
        <f t="shared" si="41"/>
        <v>Q3</v>
      </c>
      <c r="D1307" s="2" t="s">
        <v>31</v>
      </c>
      <c r="E1307" s="13">
        <v>45972</v>
      </c>
      <c r="F1307" s="14" t="s">
        <v>321</v>
      </c>
      <c r="G1307" s="14" t="s">
        <v>13</v>
      </c>
      <c r="H1307" s="14" t="s">
        <v>117</v>
      </c>
      <c r="I1307" s="15">
        <v>2</v>
      </c>
      <c r="J1307" s="15">
        <v>8</v>
      </c>
      <c r="K1307" s="15">
        <v>595.92999999999995</v>
      </c>
      <c r="L1307" s="15">
        <v>4767.4399999999996</v>
      </c>
      <c r="M1307" s="15">
        <v>-366.62</v>
      </c>
      <c r="N1307" s="15">
        <v>0</v>
      </c>
      <c r="O1307" s="15">
        <v>572.10645</v>
      </c>
      <c r="P1307" s="15">
        <v>4972.9264499999999</v>
      </c>
    </row>
    <row r="1308" spans="1:16" ht="15" x14ac:dyDescent="0.2">
      <c r="A1308" s="4" t="s">
        <v>573</v>
      </c>
      <c r="B1308" s="21" t="str">
        <f t="shared" si="40"/>
        <v>Nov-2025</v>
      </c>
      <c r="C1308" s="2" t="str">
        <f t="shared" si="41"/>
        <v>Q3</v>
      </c>
      <c r="D1308" s="2" t="s">
        <v>31</v>
      </c>
      <c r="E1308" s="13">
        <v>45972</v>
      </c>
      <c r="F1308" s="14" t="s">
        <v>321</v>
      </c>
      <c r="G1308" s="14" t="s">
        <v>13</v>
      </c>
      <c r="H1308" s="14" t="s">
        <v>47</v>
      </c>
      <c r="I1308" s="15">
        <v>2</v>
      </c>
      <c r="J1308" s="15">
        <v>80</v>
      </c>
      <c r="K1308" s="15">
        <v>111.74</v>
      </c>
      <c r="L1308" s="15">
        <v>8939.2000000000007</v>
      </c>
      <c r="M1308" s="15">
        <v>-687.42</v>
      </c>
      <c r="N1308" s="15">
        <v>0</v>
      </c>
      <c r="O1308" s="15">
        <v>1072.7311179999999</v>
      </c>
      <c r="P1308" s="15">
        <v>9324.5111180000004</v>
      </c>
    </row>
    <row r="1309" spans="1:16" ht="15" x14ac:dyDescent="0.2">
      <c r="A1309" s="4" t="s">
        <v>590</v>
      </c>
      <c r="B1309" s="21" t="str">
        <f t="shared" si="40"/>
        <v>Nov-2025</v>
      </c>
      <c r="C1309" s="2" t="str">
        <f t="shared" si="41"/>
        <v>Q3</v>
      </c>
      <c r="D1309" s="2" t="s">
        <v>31</v>
      </c>
      <c r="E1309" s="13">
        <v>45972</v>
      </c>
      <c r="F1309" s="14" t="s">
        <v>321</v>
      </c>
      <c r="G1309" s="14" t="s">
        <v>13</v>
      </c>
      <c r="H1309" s="14" t="s">
        <v>102</v>
      </c>
      <c r="I1309" s="15">
        <v>2</v>
      </c>
      <c r="J1309" s="15">
        <v>40</v>
      </c>
      <c r="K1309" s="15">
        <v>249.55</v>
      </c>
      <c r="L1309" s="15">
        <v>9982</v>
      </c>
      <c r="M1309" s="15">
        <v>-767.62</v>
      </c>
      <c r="N1309" s="15">
        <v>0</v>
      </c>
      <c r="O1309" s="15">
        <v>1197.869085</v>
      </c>
      <c r="P1309" s="15">
        <v>10412.249084999999</v>
      </c>
    </row>
    <row r="1310" spans="1:16" ht="15" x14ac:dyDescent="0.2">
      <c r="A1310" s="4" t="s">
        <v>576</v>
      </c>
      <c r="B1310" s="21" t="str">
        <f t="shared" si="40"/>
        <v>Nov-2025</v>
      </c>
      <c r="C1310" s="2" t="str">
        <f t="shared" si="41"/>
        <v>Q3</v>
      </c>
      <c r="D1310" s="2" t="s">
        <v>31</v>
      </c>
      <c r="E1310" s="13">
        <v>45972</v>
      </c>
      <c r="F1310" s="14" t="s">
        <v>321</v>
      </c>
      <c r="G1310" s="14" t="s">
        <v>13</v>
      </c>
      <c r="H1310" s="14" t="s">
        <v>124</v>
      </c>
      <c r="I1310" s="15">
        <v>2</v>
      </c>
      <c r="J1310" s="15">
        <v>40</v>
      </c>
      <c r="K1310" s="15">
        <v>175.05</v>
      </c>
      <c r="L1310" s="15">
        <v>7001.9999999999991</v>
      </c>
      <c r="M1310" s="15">
        <v>-538.45000000000005</v>
      </c>
      <c r="N1310" s="15">
        <v>0</v>
      </c>
      <c r="O1310" s="15">
        <v>840.26127899999994</v>
      </c>
      <c r="P1310" s="15">
        <v>7303.8112789999996</v>
      </c>
    </row>
    <row r="1311" spans="1:16" ht="15" x14ac:dyDescent="0.2">
      <c r="A1311" s="4" t="s">
        <v>573</v>
      </c>
      <c r="B1311" s="21" t="str">
        <f t="shared" si="40"/>
        <v>Nov-2025</v>
      </c>
      <c r="C1311" s="2" t="str">
        <f t="shared" si="41"/>
        <v>Q3</v>
      </c>
      <c r="D1311" s="2" t="s">
        <v>31</v>
      </c>
      <c r="E1311" s="13">
        <v>45972</v>
      </c>
      <c r="F1311" s="14" t="s">
        <v>321</v>
      </c>
      <c r="G1311" s="14" t="s">
        <v>13</v>
      </c>
      <c r="H1311" s="14" t="s">
        <v>111</v>
      </c>
      <c r="I1311" s="15">
        <v>2</v>
      </c>
      <c r="J1311" s="15">
        <v>80</v>
      </c>
      <c r="K1311" s="15">
        <v>111.74</v>
      </c>
      <c r="L1311" s="15">
        <v>8939.2000000000007</v>
      </c>
      <c r="M1311" s="15">
        <v>-687.42</v>
      </c>
      <c r="N1311" s="15">
        <v>0</v>
      </c>
      <c r="O1311" s="15">
        <v>1072.7311179999999</v>
      </c>
      <c r="P1311" s="15">
        <v>9324.5111180000004</v>
      </c>
    </row>
    <row r="1312" spans="1:16" ht="15" x14ac:dyDescent="0.2">
      <c r="A1312" s="4" t="s">
        <v>576</v>
      </c>
      <c r="B1312" s="21" t="str">
        <f t="shared" si="40"/>
        <v>Nov-2025</v>
      </c>
      <c r="C1312" s="2" t="str">
        <f t="shared" si="41"/>
        <v>Q3</v>
      </c>
      <c r="D1312" s="2" t="s">
        <v>31</v>
      </c>
      <c r="E1312" s="13">
        <v>45972</v>
      </c>
      <c r="F1312" s="14" t="s">
        <v>321</v>
      </c>
      <c r="G1312" s="14" t="s">
        <v>13</v>
      </c>
      <c r="H1312" s="14" t="s">
        <v>123</v>
      </c>
      <c r="I1312" s="15">
        <v>1</v>
      </c>
      <c r="J1312" s="15">
        <v>20</v>
      </c>
      <c r="K1312" s="15">
        <v>175.05</v>
      </c>
      <c r="L1312" s="15">
        <v>3500.9999999999995</v>
      </c>
      <c r="M1312" s="15">
        <v>-269.23</v>
      </c>
      <c r="N1312" s="15">
        <v>0</v>
      </c>
      <c r="O1312" s="15">
        <v>420.12998999999996</v>
      </c>
      <c r="P1312" s="15">
        <v>3651.8999899999999</v>
      </c>
    </row>
    <row r="1313" spans="1:16" ht="15" x14ac:dyDescent="0.2">
      <c r="A1313" s="4" t="s">
        <v>581</v>
      </c>
      <c r="B1313" s="21" t="str">
        <f t="shared" si="40"/>
        <v>Nov-2025</v>
      </c>
      <c r="C1313" s="2" t="str">
        <f t="shared" si="41"/>
        <v>Q3</v>
      </c>
      <c r="D1313" s="2" t="s">
        <v>31</v>
      </c>
      <c r="E1313" s="13">
        <v>45972</v>
      </c>
      <c r="F1313" s="14" t="s">
        <v>321</v>
      </c>
      <c r="G1313" s="14" t="s">
        <v>13</v>
      </c>
      <c r="H1313" s="14" t="s">
        <v>125</v>
      </c>
      <c r="I1313" s="15">
        <v>1</v>
      </c>
      <c r="J1313" s="15">
        <v>800</v>
      </c>
      <c r="K1313" s="15">
        <v>7.45</v>
      </c>
      <c r="L1313" s="15">
        <v>5960</v>
      </c>
      <c r="M1313" s="15">
        <v>-458.32</v>
      </c>
      <c r="N1313" s="15">
        <v>0</v>
      </c>
      <c r="O1313" s="15">
        <v>715.21821199999999</v>
      </c>
      <c r="P1313" s="15">
        <v>6216.8982120000001</v>
      </c>
    </row>
    <row r="1314" spans="1:16" ht="15" x14ac:dyDescent="0.2">
      <c r="A1314" s="4" t="s">
        <v>581</v>
      </c>
      <c r="B1314" s="21" t="str">
        <f t="shared" si="40"/>
        <v>Nov-2025</v>
      </c>
      <c r="C1314" s="2" t="str">
        <f t="shared" si="41"/>
        <v>Q3</v>
      </c>
      <c r="D1314" s="2" t="s">
        <v>31</v>
      </c>
      <c r="E1314" s="13">
        <v>45975</v>
      </c>
      <c r="F1314" s="14" t="s">
        <v>322</v>
      </c>
      <c r="G1314" s="14" t="s">
        <v>16</v>
      </c>
      <c r="H1314" s="14" t="s">
        <v>125</v>
      </c>
      <c r="I1314" s="15">
        <v>2</v>
      </c>
      <c r="J1314" s="15">
        <v>1600</v>
      </c>
      <c r="K1314" s="15">
        <v>7.45</v>
      </c>
      <c r="L1314" s="15">
        <v>11920</v>
      </c>
      <c r="M1314" s="15">
        <v>-916.65</v>
      </c>
      <c r="N1314" s="15">
        <v>0</v>
      </c>
      <c r="O1314" s="15">
        <v>1430.4352769999998</v>
      </c>
      <c r="P1314" s="15">
        <v>12433.785277000001</v>
      </c>
    </row>
    <row r="1315" spans="1:16" ht="15" x14ac:dyDescent="0.2">
      <c r="A1315" s="4" t="s">
        <v>589</v>
      </c>
      <c r="B1315" s="21" t="str">
        <f t="shared" si="40"/>
        <v>Nov-2025</v>
      </c>
      <c r="C1315" s="2" t="str">
        <f t="shared" si="41"/>
        <v>Q3</v>
      </c>
      <c r="D1315" s="2" t="s">
        <v>31</v>
      </c>
      <c r="E1315" s="13">
        <v>45975</v>
      </c>
      <c r="F1315" s="14" t="s">
        <v>322</v>
      </c>
      <c r="G1315" s="14" t="s">
        <v>16</v>
      </c>
      <c r="H1315" s="14" t="s">
        <v>98</v>
      </c>
      <c r="I1315" s="15">
        <v>2</v>
      </c>
      <c r="J1315" s="15">
        <v>120</v>
      </c>
      <c r="K1315" s="15">
        <v>145.26</v>
      </c>
      <c r="L1315" s="15">
        <v>17431.2</v>
      </c>
      <c r="M1315" s="15">
        <v>-1340.46</v>
      </c>
      <c r="N1315" s="15">
        <v>0</v>
      </c>
      <c r="O1315" s="15">
        <v>2091.7958739999999</v>
      </c>
      <c r="P1315" s="15">
        <v>18182.535874000001</v>
      </c>
    </row>
    <row r="1316" spans="1:16" ht="15" x14ac:dyDescent="0.2">
      <c r="A1316" s="4" t="s">
        <v>581</v>
      </c>
      <c r="B1316" s="21" t="str">
        <f t="shared" si="40"/>
        <v>Nov-2025</v>
      </c>
      <c r="C1316" s="2" t="str">
        <f t="shared" si="41"/>
        <v>Q3</v>
      </c>
      <c r="D1316" s="2" t="s">
        <v>31</v>
      </c>
      <c r="E1316" s="13">
        <v>45975</v>
      </c>
      <c r="F1316" s="14" t="s">
        <v>322</v>
      </c>
      <c r="G1316" s="14" t="s">
        <v>16</v>
      </c>
      <c r="H1316" s="14" t="s">
        <v>104</v>
      </c>
      <c r="I1316" s="15">
        <v>0.5</v>
      </c>
      <c r="J1316" s="15">
        <v>20</v>
      </c>
      <c r="K1316" s="15">
        <v>67.040000000000006</v>
      </c>
      <c r="L1316" s="15">
        <v>1340.8</v>
      </c>
      <c r="M1316" s="15">
        <v>-103.11</v>
      </c>
      <c r="N1316" s="15">
        <v>0</v>
      </c>
      <c r="O1316" s="15">
        <v>160.89967499999997</v>
      </c>
      <c r="P1316" s="15">
        <v>1398.5896749999999</v>
      </c>
    </row>
    <row r="1317" spans="1:16" ht="15" x14ac:dyDescent="0.2">
      <c r="A1317" s="4" t="s">
        <v>581</v>
      </c>
      <c r="B1317" s="21" t="str">
        <f t="shared" si="40"/>
        <v>Nov-2025</v>
      </c>
      <c r="C1317" s="2" t="str">
        <f t="shared" si="41"/>
        <v>Q3</v>
      </c>
      <c r="D1317" s="2" t="s">
        <v>31</v>
      </c>
      <c r="E1317" s="13">
        <v>45975</v>
      </c>
      <c r="F1317" s="14" t="s">
        <v>322</v>
      </c>
      <c r="G1317" s="14" t="s">
        <v>16</v>
      </c>
      <c r="H1317" s="14" t="s">
        <v>96</v>
      </c>
      <c r="I1317" s="15">
        <v>0.5</v>
      </c>
      <c r="J1317" s="15">
        <v>20</v>
      </c>
      <c r="K1317" s="15">
        <v>67.040000000000006</v>
      </c>
      <c r="L1317" s="15">
        <v>1340.8</v>
      </c>
      <c r="M1317" s="15">
        <v>-103.11</v>
      </c>
      <c r="N1317" s="15">
        <v>0</v>
      </c>
      <c r="O1317" s="15">
        <v>160.89967499999997</v>
      </c>
      <c r="P1317" s="15">
        <v>1398.5896749999999</v>
      </c>
    </row>
    <row r="1318" spans="1:16" ht="15" x14ac:dyDescent="0.2">
      <c r="A1318" s="4" t="s">
        <v>581</v>
      </c>
      <c r="B1318" s="21" t="str">
        <f t="shared" si="40"/>
        <v>Nov-2025</v>
      </c>
      <c r="C1318" s="2" t="str">
        <f t="shared" si="41"/>
        <v>Q3</v>
      </c>
      <c r="D1318" s="2" t="s">
        <v>31</v>
      </c>
      <c r="E1318" s="13">
        <v>45975</v>
      </c>
      <c r="F1318" s="14" t="s">
        <v>322</v>
      </c>
      <c r="G1318" s="14" t="s">
        <v>16</v>
      </c>
      <c r="H1318" s="14" t="s">
        <v>97</v>
      </c>
      <c r="I1318" s="15">
        <v>0.5</v>
      </c>
      <c r="J1318" s="15">
        <v>20</v>
      </c>
      <c r="K1318" s="15">
        <v>67.040000000000006</v>
      </c>
      <c r="L1318" s="15">
        <v>1340.8</v>
      </c>
      <c r="M1318" s="15">
        <v>-103.11</v>
      </c>
      <c r="N1318" s="15">
        <v>0</v>
      </c>
      <c r="O1318" s="15">
        <v>160.89967499999997</v>
      </c>
      <c r="P1318" s="15">
        <v>1398.5896749999999</v>
      </c>
    </row>
    <row r="1319" spans="1:16" ht="15" x14ac:dyDescent="0.2">
      <c r="A1319" s="4" t="s">
        <v>590</v>
      </c>
      <c r="B1319" s="21" t="str">
        <f t="shared" si="40"/>
        <v>Nov-2025</v>
      </c>
      <c r="C1319" s="2" t="str">
        <f t="shared" si="41"/>
        <v>Q3</v>
      </c>
      <c r="D1319" s="2" t="s">
        <v>31</v>
      </c>
      <c r="E1319" s="13">
        <v>45975</v>
      </c>
      <c r="F1319" s="14" t="s">
        <v>322</v>
      </c>
      <c r="G1319" s="14" t="s">
        <v>16</v>
      </c>
      <c r="H1319" s="14" t="s">
        <v>102</v>
      </c>
      <c r="I1319" s="15">
        <v>1</v>
      </c>
      <c r="J1319" s="15">
        <v>20</v>
      </c>
      <c r="K1319" s="15">
        <v>249.55</v>
      </c>
      <c r="L1319" s="15">
        <v>4991</v>
      </c>
      <c r="M1319" s="15">
        <v>-383.81</v>
      </c>
      <c r="N1319" s="15">
        <v>0</v>
      </c>
      <c r="O1319" s="15">
        <v>598.93460700000003</v>
      </c>
      <c r="P1319" s="15">
        <v>5206.1246069999997</v>
      </c>
    </row>
    <row r="1320" spans="1:16" ht="15" x14ac:dyDescent="0.2">
      <c r="A1320" s="4" t="s">
        <v>573</v>
      </c>
      <c r="B1320" s="21" t="str">
        <f t="shared" si="40"/>
        <v>Nov-2025</v>
      </c>
      <c r="C1320" s="2" t="str">
        <f t="shared" si="41"/>
        <v>Q3</v>
      </c>
      <c r="D1320" s="2" t="s">
        <v>31</v>
      </c>
      <c r="E1320" s="13">
        <v>45975</v>
      </c>
      <c r="F1320" s="14" t="s">
        <v>322</v>
      </c>
      <c r="G1320" s="14" t="s">
        <v>16</v>
      </c>
      <c r="H1320" s="14" t="s">
        <v>136</v>
      </c>
      <c r="I1320" s="15">
        <v>5</v>
      </c>
      <c r="J1320" s="15">
        <v>200</v>
      </c>
      <c r="K1320" s="15">
        <v>111.74</v>
      </c>
      <c r="L1320" s="15">
        <v>22348</v>
      </c>
      <c r="M1320" s="15">
        <v>-1718.56</v>
      </c>
      <c r="N1320" s="15">
        <v>0</v>
      </c>
      <c r="O1320" s="15">
        <v>2681.8267819999996</v>
      </c>
      <c r="P1320" s="15">
        <v>23311.266781999999</v>
      </c>
    </row>
    <row r="1321" spans="1:16" ht="15" x14ac:dyDescent="0.2">
      <c r="A1321" s="4" t="s">
        <v>583</v>
      </c>
      <c r="B1321" s="21" t="str">
        <f t="shared" si="40"/>
        <v>Nov-2025</v>
      </c>
      <c r="C1321" s="2" t="str">
        <f t="shared" si="41"/>
        <v>Q3</v>
      </c>
      <c r="D1321" s="2" t="s">
        <v>31</v>
      </c>
      <c r="E1321" s="13">
        <v>45975</v>
      </c>
      <c r="F1321" s="14" t="s">
        <v>322</v>
      </c>
      <c r="G1321" s="14" t="s">
        <v>16</v>
      </c>
      <c r="H1321" s="14" t="s">
        <v>109</v>
      </c>
      <c r="I1321" s="15">
        <v>1</v>
      </c>
      <c r="J1321" s="15">
        <v>15</v>
      </c>
      <c r="K1321" s="15">
        <v>260.72000000000003</v>
      </c>
      <c r="L1321" s="15">
        <v>3910.8</v>
      </c>
      <c r="M1321" s="15">
        <v>-300.74</v>
      </c>
      <c r="N1321" s="15">
        <v>0</v>
      </c>
      <c r="O1321" s="15">
        <v>469.307727</v>
      </c>
      <c r="P1321" s="15">
        <v>4079.3677269999998</v>
      </c>
    </row>
    <row r="1322" spans="1:16" ht="15" x14ac:dyDescent="0.2">
      <c r="A1322" s="4" t="s">
        <v>580</v>
      </c>
      <c r="B1322" s="21" t="str">
        <f t="shared" si="40"/>
        <v>Nov-2025</v>
      </c>
      <c r="C1322" s="2" t="str">
        <f t="shared" si="41"/>
        <v>Q3</v>
      </c>
      <c r="D1322" s="2" t="s">
        <v>31</v>
      </c>
      <c r="E1322" s="13">
        <v>45975</v>
      </c>
      <c r="F1322" s="14" t="s">
        <v>322</v>
      </c>
      <c r="G1322" s="14" t="s">
        <v>16</v>
      </c>
      <c r="H1322" s="14" t="s">
        <v>89</v>
      </c>
      <c r="I1322" s="15">
        <v>5</v>
      </c>
      <c r="J1322" s="15">
        <v>350</v>
      </c>
      <c r="K1322" s="15">
        <v>37.25</v>
      </c>
      <c r="L1322" s="15">
        <v>13037.5</v>
      </c>
      <c r="M1322" s="15">
        <v>-1002.58</v>
      </c>
      <c r="N1322" s="15">
        <v>0</v>
      </c>
      <c r="O1322" s="15">
        <v>1564.539356</v>
      </c>
      <c r="P1322" s="15">
        <v>13599.459355999999</v>
      </c>
    </row>
    <row r="1323" spans="1:16" ht="15" x14ac:dyDescent="0.2">
      <c r="A1323" s="4" t="s">
        <v>576</v>
      </c>
      <c r="B1323" s="21" t="str">
        <f t="shared" si="40"/>
        <v>Nov-2025</v>
      </c>
      <c r="C1323" s="2" t="str">
        <f t="shared" si="41"/>
        <v>Q3</v>
      </c>
      <c r="D1323" s="2" t="s">
        <v>31</v>
      </c>
      <c r="E1323" s="13">
        <v>45975</v>
      </c>
      <c r="F1323" s="14" t="s">
        <v>322</v>
      </c>
      <c r="G1323" s="14" t="s">
        <v>16</v>
      </c>
      <c r="H1323" s="14" t="s">
        <v>110</v>
      </c>
      <c r="I1323" s="15">
        <v>2</v>
      </c>
      <c r="J1323" s="15">
        <v>40</v>
      </c>
      <c r="K1323" s="15">
        <v>175.06</v>
      </c>
      <c r="L1323" s="15">
        <v>7002.4</v>
      </c>
      <c r="M1323" s="15">
        <v>-538.48</v>
      </c>
      <c r="N1323" s="15">
        <v>0</v>
      </c>
      <c r="O1323" s="15">
        <v>840.30946899999992</v>
      </c>
      <c r="P1323" s="15">
        <v>7304.2294689999999</v>
      </c>
    </row>
    <row r="1324" spans="1:16" ht="15" x14ac:dyDescent="0.2">
      <c r="A1324" s="4" t="s">
        <v>580</v>
      </c>
      <c r="B1324" s="21" t="str">
        <f t="shared" si="40"/>
        <v>Nov-2025</v>
      </c>
      <c r="C1324" s="2" t="str">
        <f t="shared" si="41"/>
        <v>Q3</v>
      </c>
      <c r="D1324" s="2" t="s">
        <v>31</v>
      </c>
      <c r="E1324" s="13">
        <v>45975</v>
      </c>
      <c r="F1324" s="14" t="s">
        <v>322</v>
      </c>
      <c r="G1324" s="14" t="s">
        <v>16</v>
      </c>
      <c r="H1324" s="14" t="s">
        <v>65</v>
      </c>
      <c r="I1324" s="15">
        <v>1</v>
      </c>
      <c r="J1324" s="15">
        <v>130</v>
      </c>
      <c r="K1324" s="15">
        <v>37.25</v>
      </c>
      <c r="L1324" s="15">
        <v>4842.5</v>
      </c>
      <c r="M1324" s="15">
        <v>-372.39</v>
      </c>
      <c r="N1324" s="15">
        <v>0</v>
      </c>
      <c r="O1324" s="15">
        <v>581.11420899999996</v>
      </c>
      <c r="P1324" s="15">
        <v>5051.224209</v>
      </c>
    </row>
    <row r="1325" spans="1:16" ht="15" x14ac:dyDescent="0.2">
      <c r="A1325" s="4" t="s">
        <v>576</v>
      </c>
      <c r="B1325" s="21" t="str">
        <f t="shared" si="40"/>
        <v>Nov-2025</v>
      </c>
      <c r="C1325" s="2" t="str">
        <f t="shared" si="41"/>
        <v>Q3</v>
      </c>
      <c r="D1325" s="2" t="s">
        <v>31</v>
      </c>
      <c r="E1325" s="13">
        <v>45975</v>
      </c>
      <c r="F1325" s="14" t="s">
        <v>322</v>
      </c>
      <c r="G1325" s="14" t="s">
        <v>16</v>
      </c>
      <c r="H1325" s="14" t="s">
        <v>124</v>
      </c>
      <c r="I1325" s="15">
        <v>2</v>
      </c>
      <c r="J1325" s="15">
        <v>40</v>
      </c>
      <c r="K1325" s="15">
        <v>175.06</v>
      </c>
      <c r="L1325" s="15">
        <v>7002.4</v>
      </c>
      <c r="M1325" s="15">
        <v>-538.48</v>
      </c>
      <c r="N1325" s="15">
        <v>0</v>
      </c>
      <c r="O1325" s="15">
        <v>840.30946899999992</v>
      </c>
      <c r="P1325" s="15">
        <v>7304.2294689999999</v>
      </c>
    </row>
    <row r="1326" spans="1:16" ht="15" x14ac:dyDescent="0.2">
      <c r="A1326" s="4" t="s">
        <v>573</v>
      </c>
      <c r="B1326" s="21" t="str">
        <f t="shared" si="40"/>
        <v>Nov-2025</v>
      </c>
      <c r="C1326" s="2" t="str">
        <f t="shared" si="41"/>
        <v>Q3</v>
      </c>
      <c r="D1326" s="2" t="s">
        <v>31</v>
      </c>
      <c r="E1326" s="13">
        <v>45975</v>
      </c>
      <c r="F1326" s="14" t="s">
        <v>322</v>
      </c>
      <c r="G1326" s="14" t="s">
        <v>16</v>
      </c>
      <c r="H1326" s="14" t="s">
        <v>111</v>
      </c>
      <c r="I1326" s="15">
        <v>5</v>
      </c>
      <c r="J1326" s="15">
        <v>200</v>
      </c>
      <c r="K1326" s="15">
        <v>111.74</v>
      </c>
      <c r="L1326" s="15">
        <v>22348</v>
      </c>
      <c r="M1326" s="15">
        <v>-1718.56</v>
      </c>
      <c r="N1326" s="15">
        <v>0</v>
      </c>
      <c r="O1326" s="15">
        <v>2681.8267819999996</v>
      </c>
      <c r="P1326" s="15">
        <v>23311.266781999999</v>
      </c>
    </row>
    <row r="1327" spans="1:16" ht="15" x14ac:dyDescent="0.2">
      <c r="A1327" s="4" t="s">
        <v>583</v>
      </c>
      <c r="B1327" s="21" t="str">
        <f t="shared" si="40"/>
        <v>Nov-2025</v>
      </c>
      <c r="C1327" s="2" t="str">
        <f t="shared" si="41"/>
        <v>Q3</v>
      </c>
      <c r="D1327" s="2" t="s">
        <v>31</v>
      </c>
      <c r="E1327" s="13">
        <v>45975</v>
      </c>
      <c r="F1327" s="14" t="s">
        <v>322</v>
      </c>
      <c r="G1327" s="14" t="s">
        <v>16</v>
      </c>
      <c r="H1327" s="14" t="s">
        <v>113</v>
      </c>
      <c r="I1327" s="15">
        <v>2</v>
      </c>
      <c r="J1327" s="15">
        <v>30</v>
      </c>
      <c r="K1327" s="15">
        <v>260.72000000000003</v>
      </c>
      <c r="L1327" s="15">
        <v>7821.6</v>
      </c>
      <c r="M1327" s="15">
        <v>-601.48</v>
      </c>
      <c r="N1327" s="15">
        <v>0</v>
      </c>
      <c r="O1327" s="15">
        <v>938.615454</v>
      </c>
      <c r="P1327" s="15">
        <v>8158.7354539999997</v>
      </c>
    </row>
    <row r="1328" spans="1:16" ht="15" x14ac:dyDescent="0.2">
      <c r="A1328" s="4" t="s">
        <v>573</v>
      </c>
      <c r="B1328" s="21" t="str">
        <f t="shared" si="40"/>
        <v>Nov-2025</v>
      </c>
      <c r="C1328" s="2" t="str">
        <f t="shared" si="41"/>
        <v>Q3</v>
      </c>
      <c r="D1328" s="2" t="s">
        <v>31</v>
      </c>
      <c r="E1328" s="13">
        <v>45975</v>
      </c>
      <c r="F1328" s="14" t="s">
        <v>322</v>
      </c>
      <c r="G1328" s="14" t="s">
        <v>16</v>
      </c>
      <c r="H1328" s="14" t="s">
        <v>47</v>
      </c>
      <c r="I1328" s="15">
        <v>2</v>
      </c>
      <c r="J1328" s="15">
        <v>80</v>
      </c>
      <c r="K1328" s="15">
        <v>111.74</v>
      </c>
      <c r="L1328" s="15">
        <v>8939.2000000000007</v>
      </c>
      <c r="M1328" s="15">
        <v>-687.42</v>
      </c>
      <c r="N1328" s="15">
        <v>0</v>
      </c>
      <c r="O1328" s="15">
        <v>1072.731233</v>
      </c>
      <c r="P1328" s="15">
        <v>9324.5112329999993</v>
      </c>
    </row>
    <row r="1329" spans="1:16" ht="15" x14ac:dyDescent="0.2">
      <c r="A1329" s="4" t="s">
        <v>576</v>
      </c>
      <c r="B1329" s="21" t="str">
        <f t="shared" si="40"/>
        <v>Nov-2025</v>
      </c>
      <c r="C1329" s="2" t="str">
        <f t="shared" si="41"/>
        <v>Q3</v>
      </c>
      <c r="D1329" s="2" t="s">
        <v>31</v>
      </c>
      <c r="E1329" s="13">
        <v>45975</v>
      </c>
      <c r="F1329" s="14" t="s">
        <v>322</v>
      </c>
      <c r="G1329" s="14" t="s">
        <v>16</v>
      </c>
      <c r="H1329" s="14" t="s">
        <v>123</v>
      </c>
      <c r="I1329" s="15">
        <v>1</v>
      </c>
      <c r="J1329" s="15">
        <v>20</v>
      </c>
      <c r="K1329" s="15">
        <v>175.06</v>
      </c>
      <c r="L1329" s="15">
        <v>3501.2</v>
      </c>
      <c r="M1329" s="15">
        <v>-269.24</v>
      </c>
      <c r="N1329" s="15">
        <v>0</v>
      </c>
      <c r="O1329" s="15">
        <v>420.15473500000002</v>
      </c>
      <c r="P1329" s="15">
        <v>3652.1147350000001</v>
      </c>
    </row>
    <row r="1330" spans="1:16" ht="15" x14ac:dyDescent="0.2">
      <c r="A1330" s="4" t="s">
        <v>581</v>
      </c>
      <c r="B1330" s="21" t="str">
        <f t="shared" si="40"/>
        <v>Nov-2025</v>
      </c>
      <c r="C1330" s="2" t="str">
        <f t="shared" si="41"/>
        <v>Q3</v>
      </c>
      <c r="D1330" s="2" t="s">
        <v>31</v>
      </c>
      <c r="E1330" s="13">
        <v>45975</v>
      </c>
      <c r="F1330" s="14" t="s">
        <v>323</v>
      </c>
      <c r="G1330" s="14" t="s">
        <v>17</v>
      </c>
      <c r="H1330" s="14" t="s">
        <v>66</v>
      </c>
      <c r="I1330" s="15">
        <v>2</v>
      </c>
      <c r="J1330" s="15">
        <v>48</v>
      </c>
      <c r="K1330" s="15">
        <v>141.54</v>
      </c>
      <c r="L1330" s="15">
        <v>6793.92</v>
      </c>
      <c r="M1330" s="15">
        <v>-522.45000000000005</v>
      </c>
      <c r="N1330" s="15">
        <v>0</v>
      </c>
      <c r="O1330" s="15">
        <v>815.29149900000004</v>
      </c>
      <c r="P1330" s="15">
        <v>7086.7614990000002</v>
      </c>
    </row>
    <row r="1331" spans="1:16" ht="15" x14ac:dyDescent="0.2">
      <c r="A1331" s="4" t="s">
        <v>593</v>
      </c>
      <c r="B1331" s="21" t="str">
        <f t="shared" si="40"/>
        <v>Nov-2025</v>
      </c>
      <c r="C1331" s="2" t="str">
        <f t="shared" si="41"/>
        <v>Q3</v>
      </c>
      <c r="D1331" s="2" t="s">
        <v>31</v>
      </c>
      <c r="E1331" s="13">
        <v>45975</v>
      </c>
      <c r="F1331" s="14" t="s">
        <v>323</v>
      </c>
      <c r="G1331" s="14" t="s">
        <v>17</v>
      </c>
      <c r="H1331" s="14" t="s">
        <v>117</v>
      </c>
      <c r="I1331" s="15">
        <v>5</v>
      </c>
      <c r="J1331" s="15">
        <v>20</v>
      </c>
      <c r="K1331" s="15">
        <v>595.92999999999995</v>
      </c>
      <c r="L1331" s="15">
        <v>11918.6</v>
      </c>
      <c r="M1331" s="15">
        <v>-916.54</v>
      </c>
      <c r="N1331" s="15">
        <v>0</v>
      </c>
      <c r="O1331" s="15">
        <v>1430.268501</v>
      </c>
      <c r="P1331" s="15">
        <v>12432.328501</v>
      </c>
    </row>
    <row r="1332" spans="1:16" ht="15" x14ac:dyDescent="0.2">
      <c r="A1332" s="4" t="s">
        <v>576</v>
      </c>
      <c r="B1332" s="21" t="str">
        <f t="shared" si="40"/>
        <v>Nov-2025</v>
      </c>
      <c r="C1332" s="2" t="str">
        <f t="shared" si="41"/>
        <v>Q3</v>
      </c>
      <c r="D1332" s="2" t="s">
        <v>31</v>
      </c>
      <c r="E1332" s="13">
        <v>45975</v>
      </c>
      <c r="F1332" s="14" t="s">
        <v>324</v>
      </c>
      <c r="G1332" s="14" t="s">
        <v>25</v>
      </c>
      <c r="H1332" s="14" t="s">
        <v>124</v>
      </c>
      <c r="I1332" s="15">
        <v>33</v>
      </c>
      <c r="J1332" s="15">
        <v>660</v>
      </c>
      <c r="K1332" s="15">
        <v>155.97</v>
      </c>
      <c r="L1332" s="15">
        <v>102940.2</v>
      </c>
      <c r="M1332" s="15">
        <v>0</v>
      </c>
      <c r="N1332" s="15">
        <v>0</v>
      </c>
      <c r="O1332" s="15">
        <v>13382.227031</v>
      </c>
      <c r="P1332" s="15">
        <v>116322.427031</v>
      </c>
    </row>
    <row r="1333" spans="1:16" ht="15" x14ac:dyDescent="0.2">
      <c r="A1333" s="4" t="s">
        <v>576</v>
      </c>
      <c r="B1333" s="21" t="str">
        <f t="shared" si="40"/>
        <v>Nov-2025</v>
      </c>
      <c r="C1333" s="2" t="str">
        <f t="shared" si="41"/>
        <v>Q3</v>
      </c>
      <c r="D1333" s="2" t="s">
        <v>31</v>
      </c>
      <c r="E1333" s="13">
        <v>45975</v>
      </c>
      <c r="F1333" s="14" t="s">
        <v>324</v>
      </c>
      <c r="G1333" s="14" t="s">
        <v>25</v>
      </c>
      <c r="H1333" s="14" t="s">
        <v>110</v>
      </c>
      <c r="I1333" s="15">
        <v>31</v>
      </c>
      <c r="J1333" s="15">
        <v>620</v>
      </c>
      <c r="K1333" s="15">
        <v>155.97</v>
      </c>
      <c r="L1333" s="15">
        <v>96701.4</v>
      </c>
      <c r="M1333" s="15">
        <v>0</v>
      </c>
      <c r="N1333" s="15">
        <v>0</v>
      </c>
      <c r="O1333" s="15">
        <v>12571.182969000001</v>
      </c>
      <c r="P1333" s="15">
        <v>109272.582969</v>
      </c>
    </row>
    <row r="1334" spans="1:16" ht="15" x14ac:dyDescent="0.2">
      <c r="A1334" s="4" t="s">
        <v>584</v>
      </c>
      <c r="B1334" s="21" t="str">
        <f t="shared" si="40"/>
        <v>Nov-2025</v>
      </c>
      <c r="C1334" s="2" t="str">
        <f t="shared" si="41"/>
        <v>Q3</v>
      </c>
      <c r="D1334" s="2" t="s">
        <v>31</v>
      </c>
      <c r="E1334" s="13">
        <v>45975</v>
      </c>
      <c r="F1334" s="14" t="s">
        <v>325</v>
      </c>
      <c r="G1334" s="14" t="s">
        <v>130</v>
      </c>
      <c r="H1334" s="14" t="s">
        <v>99</v>
      </c>
      <c r="I1334" s="15">
        <v>2</v>
      </c>
      <c r="J1334" s="15">
        <v>80</v>
      </c>
      <c r="K1334" s="15">
        <v>81.94</v>
      </c>
      <c r="L1334" s="15">
        <v>6555.2</v>
      </c>
      <c r="M1334" s="15">
        <v>-504.09</v>
      </c>
      <c r="N1334" s="15">
        <v>0</v>
      </c>
      <c r="O1334" s="15">
        <v>786.6442209999999</v>
      </c>
      <c r="P1334" s="15">
        <v>6837.7542210000001</v>
      </c>
    </row>
    <row r="1335" spans="1:16" ht="15" x14ac:dyDescent="0.2">
      <c r="A1335" s="4" t="s">
        <v>574</v>
      </c>
      <c r="B1335" s="21" t="str">
        <f t="shared" si="40"/>
        <v>Nov-2025</v>
      </c>
      <c r="C1335" s="2" t="str">
        <f t="shared" si="41"/>
        <v>Q3</v>
      </c>
      <c r="D1335" s="2" t="s">
        <v>31</v>
      </c>
      <c r="E1335" s="13">
        <v>45975</v>
      </c>
      <c r="F1335" s="14" t="s">
        <v>325</v>
      </c>
      <c r="G1335" s="14" t="s">
        <v>130</v>
      </c>
      <c r="H1335" s="14" t="s">
        <v>52</v>
      </c>
      <c r="I1335" s="15">
        <v>10</v>
      </c>
      <c r="J1335" s="15">
        <v>180</v>
      </c>
      <c r="K1335" s="15">
        <v>178.78</v>
      </c>
      <c r="L1335" s="15">
        <v>32180.400000000001</v>
      </c>
      <c r="M1335" s="15">
        <v>-2474.6699999999996</v>
      </c>
      <c r="N1335" s="15">
        <v>0</v>
      </c>
      <c r="O1335" s="15">
        <v>3861.7445130000001</v>
      </c>
      <c r="P1335" s="15">
        <v>33567.474513000001</v>
      </c>
    </row>
    <row r="1336" spans="1:16" ht="15" x14ac:dyDescent="0.2">
      <c r="A1336" s="4" t="s">
        <v>574</v>
      </c>
      <c r="B1336" s="21" t="str">
        <f t="shared" si="40"/>
        <v>Nov-2025</v>
      </c>
      <c r="C1336" s="2" t="str">
        <f t="shared" si="41"/>
        <v>Q3</v>
      </c>
      <c r="D1336" s="2" t="s">
        <v>31</v>
      </c>
      <c r="E1336" s="13">
        <v>45975</v>
      </c>
      <c r="F1336" s="14" t="s">
        <v>325</v>
      </c>
      <c r="G1336" s="14" t="s">
        <v>130</v>
      </c>
      <c r="H1336" s="14" t="s">
        <v>86</v>
      </c>
      <c r="I1336" s="15">
        <v>10</v>
      </c>
      <c r="J1336" s="15">
        <v>180</v>
      </c>
      <c r="K1336" s="15">
        <v>178.78</v>
      </c>
      <c r="L1336" s="15">
        <v>32180.400000000001</v>
      </c>
      <c r="M1336" s="15">
        <v>-2474.6699999999996</v>
      </c>
      <c r="N1336" s="15">
        <v>0</v>
      </c>
      <c r="O1336" s="15">
        <v>3861.7445130000001</v>
      </c>
      <c r="P1336" s="15">
        <v>33567.474513000001</v>
      </c>
    </row>
    <row r="1337" spans="1:16" ht="15" x14ac:dyDescent="0.2">
      <c r="A1337" s="4" t="s">
        <v>574</v>
      </c>
      <c r="B1337" s="21" t="str">
        <f t="shared" si="40"/>
        <v>Nov-2025</v>
      </c>
      <c r="C1337" s="2" t="str">
        <f t="shared" si="41"/>
        <v>Q3</v>
      </c>
      <c r="D1337" s="2" t="s">
        <v>31</v>
      </c>
      <c r="E1337" s="13">
        <v>45975</v>
      </c>
      <c r="F1337" s="14" t="s">
        <v>325</v>
      </c>
      <c r="G1337" s="14" t="s">
        <v>130</v>
      </c>
      <c r="H1337" s="14" t="s">
        <v>84</v>
      </c>
      <c r="I1337" s="15">
        <v>40</v>
      </c>
      <c r="J1337" s="15">
        <v>720</v>
      </c>
      <c r="K1337" s="15">
        <v>178.78</v>
      </c>
      <c r="L1337" s="15">
        <v>128721.60000000001</v>
      </c>
      <c r="M1337" s="15">
        <v>-9898.6899999999987</v>
      </c>
      <c r="N1337" s="15">
        <v>0</v>
      </c>
      <c r="O1337" s="15">
        <v>15446.976752999999</v>
      </c>
      <c r="P1337" s="15">
        <v>134269.886753</v>
      </c>
    </row>
    <row r="1338" spans="1:16" ht="15" x14ac:dyDescent="0.2">
      <c r="A1338" s="4" t="s">
        <v>590</v>
      </c>
      <c r="B1338" s="21" t="str">
        <f t="shared" si="40"/>
        <v>Nov-2025</v>
      </c>
      <c r="C1338" s="2" t="str">
        <f t="shared" si="41"/>
        <v>Q3</v>
      </c>
      <c r="D1338" s="2" t="s">
        <v>31</v>
      </c>
      <c r="E1338" s="13">
        <v>45975</v>
      </c>
      <c r="F1338" s="14" t="s">
        <v>326</v>
      </c>
      <c r="G1338" s="14" t="s">
        <v>187</v>
      </c>
      <c r="H1338" s="14" t="s">
        <v>102</v>
      </c>
      <c r="I1338" s="15">
        <v>2</v>
      </c>
      <c r="J1338" s="15">
        <v>40</v>
      </c>
      <c r="K1338" s="15">
        <v>249.55</v>
      </c>
      <c r="L1338" s="15">
        <v>9982</v>
      </c>
      <c r="M1338" s="15">
        <v>-767.62</v>
      </c>
      <c r="N1338" s="15">
        <v>0</v>
      </c>
      <c r="O1338" s="15">
        <v>1197.8698650000001</v>
      </c>
      <c r="P1338" s="15">
        <v>10412.249865</v>
      </c>
    </row>
    <row r="1339" spans="1:16" ht="15" x14ac:dyDescent="0.2">
      <c r="A1339" s="4" t="s">
        <v>576</v>
      </c>
      <c r="B1339" s="21" t="str">
        <f t="shared" si="40"/>
        <v>Nov-2025</v>
      </c>
      <c r="C1339" s="2" t="str">
        <f t="shared" si="41"/>
        <v>Q3</v>
      </c>
      <c r="D1339" s="2" t="s">
        <v>31</v>
      </c>
      <c r="E1339" s="13">
        <v>45975</v>
      </c>
      <c r="F1339" s="14" t="s">
        <v>326</v>
      </c>
      <c r="G1339" s="14" t="s">
        <v>187</v>
      </c>
      <c r="H1339" s="14" t="s">
        <v>123</v>
      </c>
      <c r="I1339" s="15">
        <v>1</v>
      </c>
      <c r="J1339" s="15">
        <v>20</v>
      </c>
      <c r="K1339" s="15">
        <v>175.06</v>
      </c>
      <c r="L1339" s="15">
        <v>3501.2</v>
      </c>
      <c r="M1339" s="15">
        <v>-269.24</v>
      </c>
      <c r="N1339" s="15">
        <v>0</v>
      </c>
      <c r="O1339" s="15">
        <v>420.15496300000001</v>
      </c>
      <c r="P1339" s="15">
        <v>3652.114963</v>
      </c>
    </row>
    <row r="1340" spans="1:16" ht="15" x14ac:dyDescent="0.2">
      <c r="A1340" s="4" t="s">
        <v>581</v>
      </c>
      <c r="B1340" s="21" t="str">
        <f t="shared" si="40"/>
        <v>Nov-2025</v>
      </c>
      <c r="C1340" s="2" t="str">
        <f t="shared" si="41"/>
        <v>Q3</v>
      </c>
      <c r="D1340" s="2" t="s">
        <v>31</v>
      </c>
      <c r="E1340" s="13">
        <v>45975</v>
      </c>
      <c r="F1340" s="14" t="s">
        <v>326</v>
      </c>
      <c r="G1340" s="14" t="s">
        <v>187</v>
      </c>
      <c r="H1340" s="14" t="s">
        <v>66</v>
      </c>
      <c r="I1340" s="15">
        <v>2</v>
      </c>
      <c r="J1340" s="15">
        <v>48</v>
      </c>
      <c r="K1340" s="15">
        <v>141.54</v>
      </c>
      <c r="L1340" s="15">
        <v>6793.92</v>
      </c>
      <c r="M1340" s="15">
        <v>-522.45000000000005</v>
      </c>
      <c r="N1340" s="15">
        <v>0</v>
      </c>
      <c r="O1340" s="15">
        <v>815.29141699999991</v>
      </c>
      <c r="P1340" s="15">
        <v>7086.7614169999997</v>
      </c>
    </row>
    <row r="1341" spans="1:16" ht="15" x14ac:dyDescent="0.2">
      <c r="A1341" s="4" t="s">
        <v>579</v>
      </c>
      <c r="B1341" s="21" t="str">
        <f t="shared" si="40"/>
        <v>Nov-2025</v>
      </c>
      <c r="C1341" s="2" t="str">
        <f t="shared" si="41"/>
        <v>Q3</v>
      </c>
      <c r="D1341" s="2" t="s">
        <v>31</v>
      </c>
      <c r="E1341" s="13">
        <v>45975</v>
      </c>
      <c r="F1341" s="14" t="s">
        <v>326</v>
      </c>
      <c r="G1341" s="14" t="s">
        <v>187</v>
      </c>
      <c r="H1341" s="14" t="s">
        <v>90</v>
      </c>
      <c r="I1341" s="15">
        <v>1</v>
      </c>
      <c r="J1341" s="15">
        <v>20</v>
      </c>
      <c r="K1341" s="15">
        <v>204.85</v>
      </c>
      <c r="L1341" s="15">
        <v>4097</v>
      </c>
      <c r="M1341" s="15">
        <v>-315.06</v>
      </c>
      <c r="N1341" s="15">
        <v>0</v>
      </c>
      <c r="O1341" s="15">
        <v>491.65239099999997</v>
      </c>
      <c r="P1341" s="15">
        <v>4273.5923910000001</v>
      </c>
    </row>
    <row r="1342" spans="1:16" ht="15" x14ac:dyDescent="0.2">
      <c r="A1342" s="4" t="s">
        <v>576</v>
      </c>
      <c r="B1342" s="21" t="str">
        <f t="shared" si="40"/>
        <v>Nov-2025</v>
      </c>
      <c r="C1342" s="2" t="str">
        <f t="shared" si="41"/>
        <v>Q3</v>
      </c>
      <c r="D1342" s="2" t="s">
        <v>31</v>
      </c>
      <c r="E1342" s="13">
        <v>45975</v>
      </c>
      <c r="F1342" s="14" t="s">
        <v>326</v>
      </c>
      <c r="G1342" s="14" t="s">
        <v>187</v>
      </c>
      <c r="H1342" s="14" t="s">
        <v>110</v>
      </c>
      <c r="I1342" s="15">
        <v>2</v>
      </c>
      <c r="J1342" s="15">
        <v>40</v>
      </c>
      <c r="K1342" s="15">
        <v>175.06</v>
      </c>
      <c r="L1342" s="15">
        <v>7002.4</v>
      </c>
      <c r="M1342" s="15">
        <v>-538.48</v>
      </c>
      <c r="N1342" s="15">
        <v>0</v>
      </c>
      <c r="O1342" s="15">
        <v>840.30992600000002</v>
      </c>
      <c r="P1342" s="15">
        <v>7304.229926</v>
      </c>
    </row>
    <row r="1343" spans="1:16" ht="15" x14ac:dyDescent="0.2">
      <c r="A1343" s="4" t="s">
        <v>579</v>
      </c>
      <c r="B1343" s="21" t="str">
        <f t="shared" si="40"/>
        <v>Nov-2025</v>
      </c>
      <c r="C1343" s="2" t="str">
        <f t="shared" si="41"/>
        <v>Q3</v>
      </c>
      <c r="D1343" s="2" t="s">
        <v>31</v>
      </c>
      <c r="E1343" s="13">
        <v>45975</v>
      </c>
      <c r="F1343" s="14" t="s">
        <v>326</v>
      </c>
      <c r="G1343" s="14" t="s">
        <v>187</v>
      </c>
      <c r="H1343" s="14" t="s">
        <v>92</v>
      </c>
      <c r="I1343" s="15">
        <v>1</v>
      </c>
      <c r="J1343" s="15">
        <v>20</v>
      </c>
      <c r="K1343" s="15">
        <v>242.1</v>
      </c>
      <c r="L1343" s="15">
        <v>4841.9999999999991</v>
      </c>
      <c r="M1343" s="15">
        <v>-372.35</v>
      </c>
      <c r="N1343" s="15">
        <v>0</v>
      </c>
      <c r="O1343" s="15">
        <v>581.05472599999996</v>
      </c>
      <c r="P1343" s="15">
        <v>5050.7047259999999</v>
      </c>
    </row>
    <row r="1344" spans="1:16" ht="15" x14ac:dyDescent="0.2">
      <c r="A1344" s="4" t="s">
        <v>593</v>
      </c>
      <c r="B1344" s="21" t="str">
        <f t="shared" si="40"/>
        <v>Nov-2025</v>
      </c>
      <c r="C1344" s="2" t="str">
        <f t="shared" si="41"/>
        <v>Q3</v>
      </c>
      <c r="D1344" s="2" t="s">
        <v>31</v>
      </c>
      <c r="E1344" s="13">
        <v>45975</v>
      </c>
      <c r="F1344" s="14" t="s">
        <v>326</v>
      </c>
      <c r="G1344" s="14" t="s">
        <v>187</v>
      </c>
      <c r="H1344" s="14" t="s">
        <v>117</v>
      </c>
      <c r="I1344" s="15">
        <v>10</v>
      </c>
      <c r="J1344" s="15">
        <v>40</v>
      </c>
      <c r="K1344" s="15">
        <v>595.92999999999995</v>
      </c>
      <c r="L1344" s="15">
        <v>23837.200000000001</v>
      </c>
      <c r="M1344" s="15">
        <v>-1833.08</v>
      </c>
      <c r="N1344" s="15">
        <v>0</v>
      </c>
      <c r="O1344" s="15">
        <v>2860.5367109999997</v>
      </c>
      <c r="P1344" s="15">
        <v>24864.656711</v>
      </c>
    </row>
    <row r="1345" spans="1:16" ht="15" x14ac:dyDescent="0.2">
      <c r="A1345" s="4" t="s">
        <v>584</v>
      </c>
      <c r="B1345" s="21" t="str">
        <f t="shared" si="40"/>
        <v>Nov-2025</v>
      </c>
      <c r="C1345" s="2" t="str">
        <f t="shared" si="41"/>
        <v>Q3</v>
      </c>
      <c r="D1345" s="2" t="s">
        <v>31</v>
      </c>
      <c r="E1345" s="13">
        <v>45975</v>
      </c>
      <c r="F1345" s="14" t="s">
        <v>327</v>
      </c>
      <c r="G1345" s="14" t="s">
        <v>12</v>
      </c>
      <c r="H1345" s="14" t="s">
        <v>120</v>
      </c>
      <c r="I1345" s="15">
        <v>2</v>
      </c>
      <c r="J1345" s="15">
        <v>80</v>
      </c>
      <c r="K1345" s="15">
        <v>81.94</v>
      </c>
      <c r="L1345" s="15">
        <v>6555.2</v>
      </c>
      <c r="M1345" s="15">
        <v>-504.09</v>
      </c>
      <c r="N1345" s="15">
        <v>0</v>
      </c>
      <c r="O1345" s="15">
        <v>786.644452</v>
      </c>
      <c r="P1345" s="15">
        <v>6837.7544520000001</v>
      </c>
    </row>
    <row r="1346" spans="1:16" ht="15" x14ac:dyDescent="0.2">
      <c r="A1346" s="4" t="s">
        <v>576</v>
      </c>
      <c r="B1346" s="21" t="str">
        <f t="shared" si="40"/>
        <v>Nov-2025</v>
      </c>
      <c r="C1346" s="2" t="str">
        <f t="shared" si="41"/>
        <v>Q3</v>
      </c>
      <c r="D1346" s="2" t="s">
        <v>31</v>
      </c>
      <c r="E1346" s="13">
        <v>45975</v>
      </c>
      <c r="F1346" s="14" t="s">
        <v>327</v>
      </c>
      <c r="G1346" s="14" t="s">
        <v>12</v>
      </c>
      <c r="H1346" s="14" t="s">
        <v>124</v>
      </c>
      <c r="I1346" s="15">
        <v>2</v>
      </c>
      <c r="J1346" s="15">
        <v>40</v>
      </c>
      <c r="K1346" s="15">
        <v>175.06</v>
      </c>
      <c r="L1346" s="15">
        <v>7002.4</v>
      </c>
      <c r="M1346" s="15">
        <v>-538.48</v>
      </c>
      <c r="N1346" s="15">
        <v>0</v>
      </c>
      <c r="O1346" s="15">
        <v>840.30976199999998</v>
      </c>
      <c r="P1346" s="15">
        <v>7304.2297619999999</v>
      </c>
    </row>
    <row r="1347" spans="1:16" ht="15" x14ac:dyDescent="0.2">
      <c r="A1347" s="4" t="s">
        <v>573</v>
      </c>
      <c r="B1347" s="21" t="str">
        <f t="shared" ref="B1347:B1410" si="42">+TEXT(E1347,"MMM-yyy")</f>
        <v>Nov-2025</v>
      </c>
      <c r="C1347" s="2" t="str">
        <f t="shared" ref="C1347:C1410" si="43">"Q" &amp; CHOOSE(MONTH(E1347),4,4,4,1,1,1,2,2,2,3,3,3)</f>
        <v>Q3</v>
      </c>
      <c r="D1347" s="2" t="s">
        <v>31</v>
      </c>
      <c r="E1347" s="13">
        <v>45975</v>
      </c>
      <c r="F1347" s="14" t="s">
        <v>327</v>
      </c>
      <c r="G1347" s="14" t="s">
        <v>12</v>
      </c>
      <c r="H1347" s="14" t="s">
        <v>111</v>
      </c>
      <c r="I1347" s="15">
        <v>3</v>
      </c>
      <c r="J1347" s="15">
        <v>120</v>
      </c>
      <c r="K1347" s="15">
        <v>111.74</v>
      </c>
      <c r="L1347" s="15">
        <v>13408.8</v>
      </c>
      <c r="M1347" s="15">
        <v>-1031.1400000000001</v>
      </c>
      <c r="N1347" s="15">
        <v>0</v>
      </c>
      <c r="O1347" s="15">
        <v>1609.0961109999998</v>
      </c>
      <c r="P1347" s="15">
        <v>13986.756111000001</v>
      </c>
    </row>
    <row r="1348" spans="1:16" ht="15" x14ac:dyDescent="0.2">
      <c r="A1348" s="4" t="s">
        <v>590</v>
      </c>
      <c r="B1348" s="21" t="str">
        <f t="shared" si="42"/>
        <v>Nov-2025</v>
      </c>
      <c r="C1348" s="2" t="str">
        <f t="shared" si="43"/>
        <v>Q3</v>
      </c>
      <c r="D1348" s="2" t="s">
        <v>31</v>
      </c>
      <c r="E1348" s="13">
        <v>45975</v>
      </c>
      <c r="F1348" s="14" t="s">
        <v>327</v>
      </c>
      <c r="G1348" s="14" t="s">
        <v>12</v>
      </c>
      <c r="H1348" s="14" t="s">
        <v>102</v>
      </c>
      <c r="I1348" s="15">
        <v>6</v>
      </c>
      <c r="J1348" s="15">
        <v>120</v>
      </c>
      <c r="K1348" s="15">
        <v>249.55</v>
      </c>
      <c r="L1348" s="15">
        <v>29946</v>
      </c>
      <c r="M1348" s="15">
        <v>-2302.85</v>
      </c>
      <c r="N1348" s="15">
        <v>0</v>
      </c>
      <c r="O1348" s="15">
        <v>3593.6101939999999</v>
      </c>
      <c r="P1348" s="15">
        <v>31236.760193999999</v>
      </c>
    </row>
    <row r="1349" spans="1:16" ht="15" x14ac:dyDescent="0.2">
      <c r="A1349" s="4" t="s">
        <v>573</v>
      </c>
      <c r="B1349" s="21" t="str">
        <f t="shared" si="42"/>
        <v>Nov-2025</v>
      </c>
      <c r="C1349" s="2" t="str">
        <f t="shared" si="43"/>
        <v>Q3</v>
      </c>
      <c r="D1349" s="2" t="s">
        <v>31</v>
      </c>
      <c r="E1349" s="13">
        <v>45975</v>
      </c>
      <c r="F1349" s="14" t="s">
        <v>327</v>
      </c>
      <c r="G1349" s="14" t="s">
        <v>12</v>
      </c>
      <c r="H1349" s="14" t="s">
        <v>136</v>
      </c>
      <c r="I1349" s="15">
        <v>2</v>
      </c>
      <c r="J1349" s="15">
        <v>80</v>
      </c>
      <c r="K1349" s="15">
        <v>111.74</v>
      </c>
      <c r="L1349" s="15">
        <v>8939.2000000000007</v>
      </c>
      <c r="M1349" s="15">
        <v>-687.42</v>
      </c>
      <c r="N1349" s="15">
        <v>0</v>
      </c>
      <c r="O1349" s="15">
        <v>1072.7316069999999</v>
      </c>
      <c r="P1349" s="15">
        <v>9324.5116070000004</v>
      </c>
    </row>
    <row r="1350" spans="1:16" ht="15" x14ac:dyDescent="0.2">
      <c r="A1350" s="4" t="s">
        <v>583</v>
      </c>
      <c r="B1350" s="21" t="str">
        <f t="shared" si="42"/>
        <v>Nov-2025</v>
      </c>
      <c r="C1350" s="2" t="str">
        <f t="shared" si="43"/>
        <v>Q3</v>
      </c>
      <c r="D1350" s="2" t="s">
        <v>31</v>
      </c>
      <c r="E1350" s="13">
        <v>45975</v>
      </c>
      <c r="F1350" s="14" t="s">
        <v>327</v>
      </c>
      <c r="G1350" s="14" t="s">
        <v>12</v>
      </c>
      <c r="H1350" s="14" t="s">
        <v>109</v>
      </c>
      <c r="I1350" s="15">
        <v>1</v>
      </c>
      <c r="J1350" s="15">
        <v>15</v>
      </c>
      <c r="K1350" s="15">
        <v>260.72000000000003</v>
      </c>
      <c r="L1350" s="15">
        <v>3910.8</v>
      </c>
      <c r="M1350" s="15">
        <v>-300.74</v>
      </c>
      <c r="N1350" s="15">
        <v>0</v>
      </c>
      <c r="O1350" s="15">
        <v>469.30789099999998</v>
      </c>
      <c r="P1350" s="15">
        <v>4079.3678909999999</v>
      </c>
    </row>
    <row r="1351" spans="1:16" ht="15" x14ac:dyDescent="0.2">
      <c r="A1351" s="4" t="s">
        <v>576</v>
      </c>
      <c r="B1351" s="21" t="str">
        <f t="shared" si="42"/>
        <v>Nov-2025</v>
      </c>
      <c r="C1351" s="2" t="str">
        <f t="shared" si="43"/>
        <v>Q3</v>
      </c>
      <c r="D1351" s="2" t="s">
        <v>31</v>
      </c>
      <c r="E1351" s="13">
        <v>45975</v>
      </c>
      <c r="F1351" s="14" t="s">
        <v>327</v>
      </c>
      <c r="G1351" s="14" t="s">
        <v>12</v>
      </c>
      <c r="H1351" s="14" t="s">
        <v>110</v>
      </c>
      <c r="I1351" s="15">
        <v>3</v>
      </c>
      <c r="J1351" s="15">
        <v>60</v>
      </c>
      <c r="K1351" s="15">
        <v>175.06</v>
      </c>
      <c r="L1351" s="15">
        <v>10503.6</v>
      </c>
      <c r="M1351" s="15">
        <v>-807.7299999999999</v>
      </c>
      <c r="N1351" s="15">
        <v>0</v>
      </c>
      <c r="O1351" s="15">
        <v>1260.4633429999999</v>
      </c>
      <c r="P1351" s="15">
        <v>10956.333343</v>
      </c>
    </row>
    <row r="1352" spans="1:16" ht="15" x14ac:dyDescent="0.2">
      <c r="A1352" s="4" t="s">
        <v>586</v>
      </c>
      <c r="B1352" s="21" t="str">
        <f t="shared" si="42"/>
        <v>Nov-2025</v>
      </c>
      <c r="C1352" s="2" t="str">
        <f t="shared" si="43"/>
        <v>Q3</v>
      </c>
      <c r="D1352" s="2" t="s">
        <v>31</v>
      </c>
      <c r="E1352" s="13">
        <v>45975</v>
      </c>
      <c r="F1352" s="14" t="s">
        <v>327</v>
      </c>
      <c r="G1352" s="14" t="s">
        <v>12</v>
      </c>
      <c r="H1352" s="14" t="s">
        <v>114</v>
      </c>
      <c r="I1352" s="15">
        <v>1</v>
      </c>
      <c r="J1352" s="15">
        <v>240</v>
      </c>
      <c r="K1352" s="15">
        <v>14.9</v>
      </c>
      <c r="L1352" s="15">
        <v>3576</v>
      </c>
      <c r="M1352" s="15">
        <v>-274.99</v>
      </c>
      <c r="N1352" s="15">
        <v>0</v>
      </c>
      <c r="O1352" s="15">
        <v>429.13138299999997</v>
      </c>
      <c r="P1352" s="15">
        <v>3730.1413830000001</v>
      </c>
    </row>
    <row r="1353" spans="1:16" ht="15" x14ac:dyDescent="0.2">
      <c r="A1353" s="4" t="s">
        <v>573</v>
      </c>
      <c r="B1353" s="21" t="str">
        <f t="shared" si="42"/>
        <v>Nov-2025</v>
      </c>
      <c r="C1353" s="2" t="str">
        <f t="shared" si="43"/>
        <v>Q3</v>
      </c>
      <c r="D1353" s="2" t="s">
        <v>31</v>
      </c>
      <c r="E1353" s="13">
        <v>45975</v>
      </c>
      <c r="F1353" s="14" t="s">
        <v>327</v>
      </c>
      <c r="G1353" s="14" t="s">
        <v>12</v>
      </c>
      <c r="H1353" s="14" t="s">
        <v>47</v>
      </c>
      <c r="I1353" s="15">
        <v>1</v>
      </c>
      <c r="J1353" s="15">
        <v>40</v>
      </c>
      <c r="K1353" s="15">
        <v>111.74</v>
      </c>
      <c r="L1353" s="15">
        <v>4469.6000000000004</v>
      </c>
      <c r="M1353" s="15">
        <v>-343.71</v>
      </c>
      <c r="N1353" s="15">
        <v>0</v>
      </c>
      <c r="O1353" s="15">
        <v>536.36580400000003</v>
      </c>
      <c r="P1353" s="15">
        <v>4662.2558040000004</v>
      </c>
    </row>
    <row r="1354" spans="1:16" ht="15" x14ac:dyDescent="0.2">
      <c r="A1354" s="4" t="s">
        <v>583</v>
      </c>
      <c r="B1354" s="21" t="str">
        <f t="shared" si="42"/>
        <v>Nov-2025</v>
      </c>
      <c r="C1354" s="2" t="str">
        <f t="shared" si="43"/>
        <v>Q3</v>
      </c>
      <c r="D1354" s="2" t="s">
        <v>31</v>
      </c>
      <c r="E1354" s="13">
        <v>45975</v>
      </c>
      <c r="F1354" s="14" t="s">
        <v>327</v>
      </c>
      <c r="G1354" s="14" t="s">
        <v>12</v>
      </c>
      <c r="H1354" s="14" t="s">
        <v>113</v>
      </c>
      <c r="I1354" s="15">
        <v>5</v>
      </c>
      <c r="J1354" s="15">
        <v>75</v>
      </c>
      <c r="K1354" s="15">
        <v>260.72000000000003</v>
      </c>
      <c r="L1354" s="15">
        <v>19554</v>
      </c>
      <c r="M1354" s="15">
        <v>-1503.6999999999998</v>
      </c>
      <c r="N1354" s="15">
        <v>0</v>
      </c>
      <c r="O1354" s="15">
        <v>2346.5394529999999</v>
      </c>
      <c r="P1354" s="15">
        <v>20396.839453000001</v>
      </c>
    </row>
    <row r="1355" spans="1:16" ht="15" x14ac:dyDescent="0.2">
      <c r="A1355" s="4" t="s">
        <v>585</v>
      </c>
      <c r="B1355" s="21" t="str">
        <f t="shared" si="42"/>
        <v>Nov-2025</v>
      </c>
      <c r="C1355" s="2" t="str">
        <f t="shared" si="43"/>
        <v>Q3</v>
      </c>
      <c r="D1355" s="2" t="s">
        <v>31</v>
      </c>
      <c r="E1355" s="13">
        <v>45977</v>
      </c>
      <c r="F1355" s="14" t="s">
        <v>328</v>
      </c>
      <c r="G1355" s="14" t="s">
        <v>171</v>
      </c>
      <c r="H1355" s="14" t="s">
        <v>180</v>
      </c>
      <c r="I1355" s="15">
        <v>5</v>
      </c>
      <c r="J1355" s="15">
        <v>5000</v>
      </c>
      <c r="K1355" s="15">
        <v>1.86</v>
      </c>
      <c r="L1355" s="15">
        <v>9300</v>
      </c>
      <c r="M1355" s="15">
        <v>-715.17</v>
      </c>
      <c r="N1355" s="15">
        <v>0</v>
      </c>
      <c r="O1355" s="15">
        <v>1116.03</v>
      </c>
      <c r="P1355" s="15">
        <v>9700.86</v>
      </c>
    </row>
    <row r="1356" spans="1:16" ht="15" x14ac:dyDescent="0.2">
      <c r="A1356" s="4" t="s">
        <v>576</v>
      </c>
      <c r="B1356" s="21" t="str">
        <f t="shared" si="42"/>
        <v>Nov-2025</v>
      </c>
      <c r="C1356" s="2" t="str">
        <f t="shared" si="43"/>
        <v>Q3</v>
      </c>
      <c r="D1356" s="2" t="s">
        <v>31</v>
      </c>
      <c r="E1356" s="13">
        <v>45977</v>
      </c>
      <c r="F1356" s="14" t="s">
        <v>329</v>
      </c>
      <c r="G1356" s="14" t="s">
        <v>142</v>
      </c>
      <c r="H1356" s="14" t="s">
        <v>110</v>
      </c>
      <c r="I1356" s="15">
        <v>3</v>
      </c>
      <c r="J1356" s="15">
        <v>60</v>
      </c>
      <c r="K1356" s="15">
        <v>175.06</v>
      </c>
      <c r="L1356" s="15">
        <v>10503.6</v>
      </c>
      <c r="M1356" s="15">
        <v>-807.7299999999999</v>
      </c>
      <c r="N1356" s="15">
        <v>0</v>
      </c>
      <c r="O1356" s="15">
        <v>1260.462949</v>
      </c>
      <c r="P1356" s="15">
        <v>10956.332949</v>
      </c>
    </row>
    <row r="1357" spans="1:16" ht="15" x14ac:dyDescent="0.2">
      <c r="A1357" s="4" t="s">
        <v>583</v>
      </c>
      <c r="B1357" s="21" t="str">
        <f t="shared" si="42"/>
        <v>Nov-2025</v>
      </c>
      <c r="C1357" s="2" t="str">
        <f t="shared" si="43"/>
        <v>Q3</v>
      </c>
      <c r="D1357" s="2" t="s">
        <v>31</v>
      </c>
      <c r="E1357" s="13">
        <v>45977</v>
      </c>
      <c r="F1357" s="14" t="s">
        <v>329</v>
      </c>
      <c r="G1357" s="14" t="s">
        <v>142</v>
      </c>
      <c r="H1357" s="14" t="s">
        <v>113</v>
      </c>
      <c r="I1357" s="15">
        <v>3</v>
      </c>
      <c r="J1357" s="15">
        <v>45</v>
      </c>
      <c r="K1357" s="15">
        <v>260.72000000000003</v>
      </c>
      <c r="L1357" s="15">
        <v>11732.4</v>
      </c>
      <c r="M1357" s="15">
        <v>-902.22</v>
      </c>
      <c r="N1357" s="15">
        <v>0</v>
      </c>
      <c r="O1357" s="15">
        <v>1407.9232319999999</v>
      </c>
      <c r="P1357" s="15">
        <v>12238.103231999999</v>
      </c>
    </row>
    <row r="1358" spans="1:16" ht="15" x14ac:dyDescent="0.2">
      <c r="A1358" s="4" t="s">
        <v>573</v>
      </c>
      <c r="B1358" s="21" t="str">
        <f t="shared" si="42"/>
        <v>Nov-2025</v>
      </c>
      <c r="C1358" s="2" t="str">
        <f t="shared" si="43"/>
        <v>Q3</v>
      </c>
      <c r="D1358" s="2" t="s">
        <v>31</v>
      </c>
      <c r="E1358" s="13">
        <v>45977</v>
      </c>
      <c r="F1358" s="14" t="s">
        <v>329</v>
      </c>
      <c r="G1358" s="14" t="s">
        <v>142</v>
      </c>
      <c r="H1358" s="14" t="s">
        <v>111</v>
      </c>
      <c r="I1358" s="15">
        <v>5</v>
      </c>
      <c r="J1358" s="15">
        <v>200</v>
      </c>
      <c r="K1358" s="15">
        <v>111.74</v>
      </c>
      <c r="L1358" s="15">
        <v>22348</v>
      </c>
      <c r="M1358" s="15">
        <v>-1718.56</v>
      </c>
      <c r="N1358" s="15">
        <v>0</v>
      </c>
      <c r="O1358" s="15">
        <v>2681.8268799999996</v>
      </c>
      <c r="P1358" s="15">
        <v>23311.266879999999</v>
      </c>
    </row>
    <row r="1359" spans="1:16" ht="15" x14ac:dyDescent="0.2">
      <c r="A1359" s="4" t="s">
        <v>580</v>
      </c>
      <c r="B1359" s="21" t="str">
        <f t="shared" si="42"/>
        <v>Nov-2025</v>
      </c>
      <c r="C1359" s="2" t="str">
        <f t="shared" si="43"/>
        <v>Q3</v>
      </c>
      <c r="D1359" s="2" t="s">
        <v>31</v>
      </c>
      <c r="E1359" s="13">
        <v>45977</v>
      </c>
      <c r="F1359" s="14" t="s">
        <v>329</v>
      </c>
      <c r="G1359" s="14" t="s">
        <v>142</v>
      </c>
      <c r="H1359" s="14" t="s">
        <v>89</v>
      </c>
      <c r="I1359" s="15">
        <v>15</v>
      </c>
      <c r="J1359" s="15">
        <v>1050</v>
      </c>
      <c r="K1359" s="15">
        <v>37.25</v>
      </c>
      <c r="L1359" s="15">
        <v>39112.5</v>
      </c>
      <c r="M1359" s="15">
        <v>-3007.75</v>
      </c>
      <c r="N1359" s="15">
        <v>0</v>
      </c>
      <c r="O1359" s="15">
        <v>4693.6169389999995</v>
      </c>
      <c r="P1359" s="15">
        <v>40798.366939</v>
      </c>
    </row>
    <row r="1360" spans="1:16" ht="15" x14ac:dyDescent="0.2">
      <c r="A1360" s="4" t="s">
        <v>581</v>
      </c>
      <c r="B1360" s="21" t="str">
        <f t="shared" si="42"/>
        <v>Nov-2025</v>
      </c>
      <c r="C1360" s="2" t="str">
        <f t="shared" si="43"/>
        <v>Q3</v>
      </c>
      <c r="D1360" s="2" t="s">
        <v>31</v>
      </c>
      <c r="E1360" s="13">
        <v>45977</v>
      </c>
      <c r="F1360" s="14" t="s">
        <v>330</v>
      </c>
      <c r="G1360" s="14" t="s">
        <v>187</v>
      </c>
      <c r="H1360" s="14" t="s">
        <v>66</v>
      </c>
      <c r="I1360" s="15">
        <v>1</v>
      </c>
      <c r="J1360" s="15">
        <v>24</v>
      </c>
      <c r="K1360" s="15">
        <v>141.54</v>
      </c>
      <c r="L1360" s="15">
        <v>3396.96</v>
      </c>
      <c r="M1360" s="15">
        <v>-261.23</v>
      </c>
      <c r="N1360" s="15">
        <v>0</v>
      </c>
      <c r="O1360" s="15">
        <v>407.64370199999996</v>
      </c>
      <c r="P1360" s="15">
        <v>3543.3737019999999</v>
      </c>
    </row>
    <row r="1361" spans="1:16" ht="15" x14ac:dyDescent="0.2">
      <c r="A1361" s="4" t="s">
        <v>581</v>
      </c>
      <c r="B1361" s="21" t="str">
        <f t="shared" si="42"/>
        <v>Nov-2025</v>
      </c>
      <c r="C1361" s="2" t="str">
        <f t="shared" si="43"/>
        <v>Q3</v>
      </c>
      <c r="D1361" s="2" t="s">
        <v>31</v>
      </c>
      <c r="E1361" s="13">
        <v>45977</v>
      </c>
      <c r="F1361" s="14" t="s">
        <v>330</v>
      </c>
      <c r="G1361" s="14" t="s">
        <v>187</v>
      </c>
      <c r="H1361" s="14" t="s">
        <v>125</v>
      </c>
      <c r="I1361" s="15">
        <v>1</v>
      </c>
      <c r="J1361" s="15">
        <v>800</v>
      </c>
      <c r="K1361" s="15">
        <v>7.45</v>
      </c>
      <c r="L1361" s="15">
        <v>5960</v>
      </c>
      <c r="M1361" s="15">
        <v>-458.32</v>
      </c>
      <c r="N1361" s="15">
        <v>0</v>
      </c>
      <c r="O1361" s="15">
        <v>715.21629799999994</v>
      </c>
      <c r="P1361" s="15">
        <v>6216.8962979999997</v>
      </c>
    </row>
    <row r="1362" spans="1:16" ht="15" x14ac:dyDescent="0.2">
      <c r="A1362" s="4" t="s">
        <v>590</v>
      </c>
      <c r="B1362" s="21" t="str">
        <f t="shared" si="42"/>
        <v>Nov-2025</v>
      </c>
      <c r="C1362" s="2" t="str">
        <f t="shared" si="43"/>
        <v>Q3</v>
      </c>
      <c r="D1362" s="2" t="s">
        <v>31</v>
      </c>
      <c r="E1362" s="13">
        <v>45977</v>
      </c>
      <c r="F1362" s="14" t="s">
        <v>331</v>
      </c>
      <c r="G1362" s="14" t="s">
        <v>23</v>
      </c>
      <c r="H1362" s="14" t="s">
        <v>102</v>
      </c>
      <c r="I1362" s="15">
        <v>2</v>
      </c>
      <c r="J1362" s="15">
        <v>40</v>
      </c>
      <c r="K1362" s="15">
        <v>249.55</v>
      </c>
      <c r="L1362" s="15">
        <v>9982</v>
      </c>
      <c r="M1362" s="15">
        <v>-767.62</v>
      </c>
      <c r="N1362" s="15">
        <v>0</v>
      </c>
      <c r="O1362" s="15">
        <v>1197.8697279999999</v>
      </c>
      <c r="P1362" s="15">
        <v>10412.249728000001</v>
      </c>
    </row>
    <row r="1363" spans="1:16" ht="15" x14ac:dyDescent="0.2">
      <c r="A1363" s="4" t="s">
        <v>581</v>
      </c>
      <c r="B1363" s="21" t="str">
        <f t="shared" si="42"/>
        <v>Nov-2025</v>
      </c>
      <c r="C1363" s="2" t="str">
        <f t="shared" si="43"/>
        <v>Q3</v>
      </c>
      <c r="D1363" s="2" t="s">
        <v>31</v>
      </c>
      <c r="E1363" s="13">
        <v>45977</v>
      </c>
      <c r="F1363" s="14" t="s">
        <v>331</v>
      </c>
      <c r="G1363" s="14" t="s">
        <v>23</v>
      </c>
      <c r="H1363" s="14" t="s">
        <v>66</v>
      </c>
      <c r="I1363" s="15">
        <v>5</v>
      </c>
      <c r="J1363" s="15">
        <v>120</v>
      </c>
      <c r="K1363" s="15">
        <v>141.54</v>
      </c>
      <c r="L1363" s="15">
        <v>16984.8</v>
      </c>
      <c r="M1363" s="15">
        <v>-1306.1299999999999</v>
      </c>
      <c r="N1363" s="15">
        <v>0</v>
      </c>
      <c r="O1363" s="15">
        <v>2038.227658</v>
      </c>
      <c r="P1363" s="15">
        <v>17716.897658000002</v>
      </c>
    </row>
    <row r="1364" spans="1:16" ht="15" x14ac:dyDescent="0.2">
      <c r="A1364" s="4" t="s">
        <v>579</v>
      </c>
      <c r="B1364" s="21" t="str">
        <f t="shared" si="42"/>
        <v>Nov-2025</v>
      </c>
      <c r="C1364" s="2" t="str">
        <f t="shared" si="43"/>
        <v>Q3</v>
      </c>
      <c r="D1364" s="2" t="s">
        <v>31</v>
      </c>
      <c r="E1364" s="13">
        <v>45977</v>
      </c>
      <c r="F1364" s="14" t="s">
        <v>331</v>
      </c>
      <c r="G1364" s="14" t="s">
        <v>23</v>
      </c>
      <c r="H1364" s="14" t="s">
        <v>90</v>
      </c>
      <c r="I1364" s="15">
        <v>2</v>
      </c>
      <c r="J1364" s="15">
        <v>40</v>
      </c>
      <c r="K1364" s="15">
        <v>204.85</v>
      </c>
      <c r="L1364" s="15">
        <v>8194</v>
      </c>
      <c r="M1364" s="15">
        <v>-630.12</v>
      </c>
      <c r="N1364" s="15">
        <v>0</v>
      </c>
      <c r="O1364" s="15">
        <v>983.30466899999999</v>
      </c>
      <c r="P1364" s="15">
        <v>8547.1846690000002</v>
      </c>
    </row>
    <row r="1365" spans="1:16" ht="15" x14ac:dyDescent="0.2">
      <c r="A1365" s="4" t="s">
        <v>579</v>
      </c>
      <c r="B1365" s="21" t="str">
        <f t="shared" si="42"/>
        <v>Nov-2025</v>
      </c>
      <c r="C1365" s="2" t="str">
        <f t="shared" si="43"/>
        <v>Q3</v>
      </c>
      <c r="D1365" s="2" t="s">
        <v>31</v>
      </c>
      <c r="E1365" s="13">
        <v>45977</v>
      </c>
      <c r="F1365" s="14" t="s">
        <v>331</v>
      </c>
      <c r="G1365" s="14" t="s">
        <v>23</v>
      </c>
      <c r="H1365" s="14" t="s">
        <v>112</v>
      </c>
      <c r="I1365" s="15">
        <v>2</v>
      </c>
      <c r="J1365" s="15">
        <v>40</v>
      </c>
      <c r="K1365" s="15">
        <v>204.85</v>
      </c>
      <c r="L1365" s="15">
        <v>8194</v>
      </c>
      <c r="M1365" s="15">
        <v>-630.12</v>
      </c>
      <c r="N1365" s="15">
        <v>0</v>
      </c>
      <c r="O1365" s="15">
        <v>983.30466899999999</v>
      </c>
      <c r="P1365" s="15">
        <v>8547.1846690000002</v>
      </c>
    </row>
    <row r="1366" spans="1:16" ht="15" x14ac:dyDescent="0.2">
      <c r="A1366" s="4" t="s">
        <v>576</v>
      </c>
      <c r="B1366" s="21" t="str">
        <f t="shared" si="42"/>
        <v>Nov-2025</v>
      </c>
      <c r="C1366" s="2" t="str">
        <f t="shared" si="43"/>
        <v>Q3</v>
      </c>
      <c r="D1366" s="2" t="s">
        <v>31</v>
      </c>
      <c r="E1366" s="13">
        <v>45977</v>
      </c>
      <c r="F1366" s="14" t="s">
        <v>331</v>
      </c>
      <c r="G1366" s="14" t="s">
        <v>23</v>
      </c>
      <c r="H1366" s="14" t="s">
        <v>124</v>
      </c>
      <c r="I1366" s="15">
        <v>5</v>
      </c>
      <c r="J1366" s="15">
        <v>100</v>
      </c>
      <c r="K1366" s="15">
        <v>175.06</v>
      </c>
      <c r="L1366" s="15">
        <v>17506</v>
      </c>
      <c r="M1366" s="15">
        <v>-1346.21</v>
      </c>
      <c r="N1366" s="15">
        <v>0</v>
      </c>
      <c r="O1366" s="15">
        <v>2100.773275</v>
      </c>
      <c r="P1366" s="15">
        <v>18260.563275</v>
      </c>
    </row>
    <row r="1367" spans="1:16" ht="15" x14ac:dyDescent="0.2">
      <c r="A1367" s="4" t="s">
        <v>593</v>
      </c>
      <c r="B1367" s="21" t="str">
        <f t="shared" si="42"/>
        <v>Nov-2025</v>
      </c>
      <c r="C1367" s="2" t="str">
        <f t="shared" si="43"/>
        <v>Q3</v>
      </c>
      <c r="D1367" s="2" t="s">
        <v>31</v>
      </c>
      <c r="E1367" s="13">
        <v>45978</v>
      </c>
      <c r="F1367" s="14" t="s">
        <v>332</v>
      </c>
      <c r="G1367" s="14" t="s">
        <v>18</v>
      </c>
      <c r="H1367" s="14" t="s">
        <v>117</v>
      </c>
      <c r="I1367" s="15">
        <v>20</v>
      </c>
      <c r="J1367" s="15">
        <v>80</v>
      </c>
      <c r="K1367" s="15">
        <v>595.92999999999995</v>
      </c>
      <c r="L1367" s="15">
        <v>47674.400000000001</v>
      </c>
      <c r="M1367" s="15">
        <v>-3666.16</v>
      </c>
      <c r="N1367" s="15">
        <v>0</v>
      </c>
      <c r="O1367" s="15">
        <v>5721.0700000000006</v>
      </c>
      <c r="P1367" s="15">
        <v>49729.31</v>
      </c>
    </row>
    <row r="1368" spans="1:16" ht="15" x14ac:dyDescent="0.2">
      <c r="A1368" s="4" t="s">
        <v>584</v>
      </c>
      <c r="B1368" s="21" t="str">
        <f t="shared" si="42"/>
        <v>Nov-2025</v>
      </c>
      <c r="C1368" s="2" t="str">
        <f t="shared" si="43"/>
        <v>Q3</v>
      </c>
      <c r="D1368" s="2" t="s">
        <v>31</v>
      </c>
      <c r="E1368" s="13">
        <v>45978</v>
      </c>
      <c r="F1368" s="14" t="s">
        <v>333</v>
      </c>
      <c r="G1368" s="14" t="s">
        <v>306</v>
      </c>
      <c r="H1368" s="14" t="s">
        <v>99</v>
      </c>
      <c r="I1368" s="15">
        <v>0.5</v>
      </c>
      <c r="J1368" s="15">
        <v>20</v>
      </c>
      <c r="K1368" s="15">
        <v>77.88</v>
      </c>
      <c r="L1368" s="15">
        <v>1557.6</v>
      </c>
      <c r="M1368" s="15">
        <v>0</v>
      </c>
      <c r="N1368" s="15">
        <v>0</v>
      </c>
      <c r="O1368" s="15">
        <v>202.488123</v>
      </c>
      <c r="P1368" s="15">
        <v>1760.088123</v>
      </c>
    </row>
    <row r="1369" spans="1:16" ht="15" x14ac:dyDescent="0.2">
      <c r="A1369" s="4" t="s">
        <v>573</v>
      </c>
      <c r="B1369" s="21" t="str">
        <f t="shared" si="42"/>
        <v>Nov-2025</v>
      </c>
      <c r="C1369" s="2" t="str">
        <f t="shared" si="43"/>
        <v>Q3</v>
      </c>
      <c r="D1369" s="2" t="s">
        <v>31</v>
      </c>
      <c r="E1369" s="13">
        <v>45978</v>
      </c>
      <c r="F1369" s="14" t="s">
        <v>333</v>
      </c>
      <c r="G1369" s="14" t="s">
        <v>306</v>
      </c>
      <c r="H1369" s="14" t="s">
        <v>136</v>
      </c>
      <c r="I1369" s="15">
        <v>0.5</v>
      </c>
      <c r="J1369" s="15">
        <v>20</v>
      </c>
      <c r="K1369" s="15">
        <v>106.19</v>
      </c>
      <c r="L1369" s="15">
        <v>2123.8000000000002</v>
      </c>
      <c r="M1369" s="15">
        <v>0</v>
      </c>
      <c r="N1369" s="15">
        <v>0</v>
      </c>
      <c r="O1369" s="15">
        <v>276.09416800000002</v>
      </c>
      <c r="P1369" s="15">
        <v>2399.8941679999998</v>
      </c>
    </row>
    <row r="1370" spans="1:16" ht="15" x14ac:dyDescent="0.2">
      <c r="A1370" s="4" t="s">
        <v>588</v>
      </c>
      <c r="B1370" s="21" t="str">
        <f t="shared" si="42"/>
        <v>Nov-2025</v>
      </c>
      <c r="C1370" s="2" t="str">
        <f t="shared" si="43"/>
        <v>Q3</v>
      </c>
      <c r="D1370" s="2" t="s">
        <v>31</v>
      </c>
      <c r="E1370" s="13">
        <v>45978</v>
      </c>
      <c r="F1370" s="14" t="s">
        <v>333</v>
      </c>
      <c r="G1370" s="14" t="s">
        <v>306</v>
      </c>
      <c r="H1370" s="14" t="s">
        <v>95</v>
      </c>
      <c r="I1370" s="15">
        <v>0.5</v>
      </c>
      <c r="J1370" s="15">
        <v>30</v>
      </c>
      <c r="K1370" s="15">
        <v>106.19</v>
      </c>
      <c r="L1370" s="15">
        <v>3185.7</v>
      </c>
      <c r="M1370" s="15">
        <v>0</v>
      </c>
      <c r="N1370" s="15">
        <v>0</v>
      </c>
      <c r="O1370" s="15">
        <v>414.14125100000001</v>
      </c>
      <c r="P1370" s="15">
        <v>3599.8412509999998</v>
      </c>
    </row>
    <row r="1371" spans="1:16" ht="15" x14ac:dyDescent="0.2">
      <c r="A1371" s="4" t="s">
        <v>573</v>
      </c>
      <c r="B1371" s="21" t="str">
        <f t="shared" si="42"/>
        <v>Nov-2025</v>
      </c>
      <c r="C1371" s="2" t="str">
        <f t="shared" si="43"/>
        <v>Q3</v>
      </c>
      <c r="D1371" s="2" t="s">
        <v>31</v>
      </c>
      <c r="E1371" s="13">
        <v>45978</v>
      </c>
      <c r="F1371" s="14" t="s">
        <v>333</v>
      </c>
      <c r="G1371" s="14" t="s">
        <v>306</v>
      </c>
      <c r="H1371" s="14" t="s">
        <v>111</v>
      </c>
      <c r="I1371" s="15">
        <v>0.5</v>
      </c>
      <c r="J1371" s="15">
        <v>20</v>
      </c>
      <c r="K1371" s="15">
        <v>106.19</v>
      </c>
      <c r="L1371" s="15">
        <v>2123.8000000000002</v>
      </c>
      <c r="M1371" s="15">
        <v>0</v>
      </c>
      <c r="N1371" s="15">
        <v>0</v>
      </c>
      <c r="O1371" s="15">
        <v>276.09416800000002</v>
      </c>
      <c r="P1371" s="15">
        <v>2399.8941679999998</v>
      </c>
    </row>
    <row r="1372" spans="1:16" ht="15" x14ac:dyDescent="0.2">
      <c r="A1372" s="4" t="s">
        <v>584</v>
      </c>
      <c r="B1372" s="21" t="str">
        <f t="shared" si="42"/>
        <v>Nov-2025</v>
      </c>
      <c r="C1372" s="2" t="str">
        <f t="shared" si="43"/>
        <v>Q3</v>
      </c>
      <c r="D1372" s="2" t="s">
        <v>31</v>
      </c>
      <c r="E1372" s="13">
        <v>45978</v>
      </c>
      <c r="F1372" s="14" t="s">
        <v>333</v>
      </c>
      <c r="G1372" s="14" t="s">
        <v>306</v>
      </c>
      <c r="H1372" s="14" t="s">
        <v>120</v>
      </c>
      <c r="I1372" s="15">
        <v>0.5</v>
      </c>
      <c r="J1372" s="15">
        <v>20</v>
      </c>
      <c r="K1372" s="15">
        <v>77.88</v>
      </c>
      <c r="L1372" s="15">
        <v>1557.6</v>
      </c>
      <c r="M1372" s="15">
        <v>0</v>
      </c>
      <c r="N1372" s="15">
        <v>0</v>
      </c>
      <c r="O1372" s="15">
        <v>202.488123</v>
      </c>
      <c r="P1372" s="15">
        <v>1760.088123</v>
      </c>
    </row>
    <row r="1373" spans="1:16" ht="15" x14ac:dyDescent="0.2">
      <c r="A1373" s="4" t="s">
        <v>573</v>
      </c>
      <c r="B1373" s="21" t="str">
        <f t="shared" si="42"/>
        <v>Nov-2025</v>
      </c>
      <c r="C1373" s="2" t="str">
        <f t="shared" si="43"/>
        <v>Q3</v>
      </c>
      <c r="D1373" s="2" t="s">
        <v>31</v>
      </c>
      <c r="E1373" s="13">
        <v>45978</v>
      </c>
      <c r="F1373" s="14" t="s">
        <v>333</v>
      </c>
      <c r="G1373" s="14" t="s">
        <v>306</v>
      </c>
      <c r="H1373" s="14" t="s">
        <v>138</v>
      </c>
      <c r="I1373" s="15">
        <v>0.5</v>
      </c>
      <c r="J1373" s="15">
        <v>20</v>
      </c>
      <c r="K1373" s="15">
        <v>106.19</v>
      </c>
      <c r="L1373" s="15">
        <v>2123.8000000000002</v>
      </c>
      <c r="M1373" s="15">
        <v>0</v>
      </c>
      <c r="N1373" s="15">
        <v>0</v>
      </c>
      <c r="O1373" s="15">
        <v>276.09416800000002</v>
      </c>
      <c r="P1373" s="15">
        <v>2399.8941679999998</v>
      </c>
    </row>
    <row r="1374" spans="1:16" ht="15" x14ac:dyDescent="0.2">
      <c r="A1374" s="4" t="s">
        <v>576</v>
      </c>
      <c r="B1374" s="21" t="str">
        <f t="shared" si="42"/>
        <v>Nov-2025</v>
      </c>
      <c r="C1374" s="2" t="str">
        <f t="shared" si="43"/>
        <v>Q3</v>
      </c>
      <c r="D1374" s="2" t="s">
        <v>31</v>
      </c>
      <c r="E1374" s="13">
        <v>45980</v>
      </c>
      <c r="F1374" s="14" t="s">
        <v>334</v>
      </c>
      <c r="G1374" s="14" t="s">
        <v>15</v>
      </c>
      <c r="H1374" s="14" t="s">
        <v>110</v>
      </c>
      <c r="I1374" s="15">
        <v>2</v>
      </c>
      <c r="J1374" s="15">
        <v>40</v>
      </c>
      <c r="K1374" s="15">
        <v>175.06</v>
      </c>
      <c r="L1374" s="15">
        <v>7002.4</v>
      </c>
      <c r="M1374" s="15">
        <v>-538.48</v>
      </c>
      <c r="N1374" s="15">
        <v>0</v>
      </c>
      <c r="O1374" s="15">
        <v>840.30977699999994</v>
      </c>
      <c r="P1374" s="15">
        <v>7304.2297769999996</v>
      </c>
    </row>
    <row r="1375" spans="1:16" ht="15" x14ac:dyDescent="0.2">
      <c r="A1375" s="4" t="s">
        <v>584</v>
      </c>
      <c r="B1375" s="21" t="str">
        <f t="shared" si="42"/>
        <v>Nov-2025</v>
      </c>
      <c r="C1375" s="2" t="str">
        <f t="shared" si="43"/>
        <v>Q3</v>
      </c>
      <c r="D1375" s="2" t="s">
        <v>31</v>
      </c>
      <c r="E1375" s="13">
        <v>45980</v>
      </c>
      <c r="F1375" s="14" t="s">
        <v>334</v>
      </c>
      <c r="G1375" s="14" t="s">
        <v>15</v>
      </c>
      <c r="H1375" s="14" t="s">
        <v>99</v>
      </c>
      <c r="I1375" s="15">
        <v>2</v>
      </c>
      <c r="J1375" s="15">
        <v>80</v>
      </c>
      <c r="K1375" s="15">
        <v>81.94</v>
      </c>
      <c r="L1375" s="15">
        <v>6555.2</v>
      </c>
      <c r="M1375" s="15">
        <v>-504.09</v>
      </c>
      <c r="N1375" s="15">
        <v>0</v>
      </c>
      <c r="O1375" s="15">
        <v>786.64446600000008</v>
      </c>
      <c r="P1375" s="15">
        <v>6837.7544660000003</v>
      </c>
    </row>
    <row r="1376" spans="1:16" ht="15" x14ac:dyDescent="0.2">
      <c r="A1376" s="4" t="s">
        <v>587</v>
      </c>
      <c r="B1376" s="21" t="str">
        <f t="shared" si="42"/>
        <v>Nov-2025</v>
      </c>
      <c r="C1376" s="2" t="str">
        <f t="shared" si="43"/>
        <v>Q3</v>
      </c>
      <c r="D1376" s="2" t="s">
        <v>31</v>
      </c>
      <c r="E1376" s="13">
        <v>45980</v>
      </c>
      <c r="F1376" s="14" t="s">
        <v>334</v>
      </c>
      <c r="G1376" s="14" t="s">
        <v>15</v>
      </c>
      <c r="H1376" s="14" t="s">
        <v>94</v>
      </c>
      <c r="I1376" s="15">
        <v>1</v>
      </c>
      <c r="J1376" s="15">
        <v>60</v>
      </c>
      <c r="K1376" s="15">
        <v>111.74</v>
      </c>
      <c r="L1376" s="15">
        <v>6704.4</v>
      </c>
      <c r="M1376" s="15">
        <v>-515.57000000000005</v>
      </c>
      <c r="N1376" s="15">
        <v>0</v>
      </c>
      <c r="O1376" s="15">
        <v>804.54806999999994</v>
      </c>
      <c r="P1376" s="15">
        <v>6993.3780699999998</v>
      </c>
    </row>
    <row r="1377" spans="1:16" ht="15" x14ac:dyDescent="0.2">
      <c r="A1377" s="4" t="s">
        <v>588</v>
      </c>
      <c r="B1377" s="21" t="str">
        <f t="shared" si="42"/>
        <v>Nov-2025</v>
      </c>
      <c r="C1377" s="2" t="str">
        <f t="shared" si="43"/>
        <v>Q3</v>
      </c>
      <c r="D1377" s="2" t="s">
        <v>31</v>
      </c>
      <c r="E1377" s="13">
        <v>45980</v>
      </c>
      <c r="F1377" s="14" t="s">
        <v>334</v>
      </c>
      <c r="G1377" s="14" t="s">
        <v>15</v>
      </c>
      <c r="H1377" s="14" t="s">
        <v>95</v>
      </c>
      <c r="I1377" s="15">
        <v>1</v>
      </c>
      <c r="J1377" s="15">
        <v>60</v>
      </c>
      <c r="K1377" s="15">
        <v>111.74</v>
      </c>
      <c r="L1377" s="15">
        <v>6704.4</v>
      </c>
      <c r="M1377" s="15">
        <v>-515.57000000000005</v>
      </c>
      <c r="N1377" s="15">
        <v>0</v>
      </c>
      <c r="O1377" s="15">
        <v>804.54806999999994</v>
      </c>
      <c r="P1377" s="15">
        <v>6993.3780699999998</v>
      </c>
    </row>
    <row r="1378" spans="1:16" ht="15" x14ac:dyDescent="0.2">
      <c r="A1378" s="4" t="s">
        <v>576</v>
      </c>
      <c r="B1378" s="21" t="str">
        <f t="shared" si="42"/>
        <v>Nov-2025</v>
      </c>
      <c r="C1378" s="2" t="str">
        <f t="shared" si="43"/>
        <v>Q3</v>
      </c>
      <c r="D1378" s="2" t="s">
        <v>31</v>
      </c>
      <c r="E1378" s="13">
        <v>45980</v>
      </c>
      <c r="F1378" s="14" t="s">
        <v>334</v>
      </c>
      <c r="G1378" s="14" t="s">
        <v>15</v>
      </c>
      <c r="H1378" s="14" t="s">
        <v>124</v>
      </c>
      <c r="I1378" s="15">
        <v>2</v>
      </c>
      <c r="J1378" s="15">
        <v>40</v>
      </c>
      <c r="K1378" s="15">
        <v>175.06</v>
      </c>
      <c r="L1378" s="15">
        <v>7002.4</v>
      </c>
      <c r="M1378" s="15">
        <v>-538.48</v>
      </c>
      <c r="N1378" s="15">
        <v>0</v>
      </c>
      <c r="O1378" s="15">
        <v>840.30977699999994</v>
      </c>
      <c r="P1378" s="15">
        <v>7304.2297769999996</v>
      </c>
    </row>
    <row r="1379" spans="1:16" ht="15" x14ac:dyDescent="0.2">
      <c r="A1379" s="4" t="s">
        <v>579</v>
      </c>
      <c r="B1379" s="21" t="str">
        <f t="shared" si="42"/>
        <v>Nov-2025</v>
      </c>
      <c r="C1379" s="2" t="str">
        <f t="shared" si="43"/>
        <v>Q3</v>
      </c>
      <c r="D1379" s="2" t="s">
        <v>31</v>
      </c>
      <c r="E1379" s="13">
        <v>45980</v>
      </c>
      <c r="F1379" s="14" t="s">
        <v>334</v>
      </c>
      <c r="G1379" s="14" t="s">
        <v>15</v>
      </c>
      <c r="H1379" s="14" t="s">
        <v>91</v>
      </c>
      <c r="I1379" s="15">
        <v>1</v>
      </c>
      <c r="J1379" s="15">
        <v>20</v>
      </c>
      <c r="K1379" s="15">
        <v>204.85</v>
      </c>
      <c r="L1379" s="15">
        <v>4097</v>
      </c>
      <c r="M1379" s="15">
        <v>-315.06</v>
      </c>
      <c r="N1379" s="15">
        <v>0</v>
      </c>
      <c r="O1379" s="15">
        <v>491.65230400000002</v>
      </c>
      <c r="P1379" s="15">
        <v>4273.5923039999998</v>
      </c>
    </row>
    <row r="1380" spans="1:16" ht="15" x14ac:dyDescent="0.2">
      <c r="A1380" s="4" t="s">
        <v>582</v>
      </c>
      <c r="B1380" s="21" t="str">
        <f t="shared" si="42"/>
        <v>Nov-2025</v>
      </c>
      <c r="C1380" s="2" t="str">
        <f t="shared" si="43"/>
        <v>Q3</v>
      </c>
      <c r="D1380" s="2" t="s">
        <v>31</v>
      </c>
      <c r="E1380" s="13">
        <v>45980</v>
      </c>
      <c r="F1380" s="14" t="s">
        <v>334</v>
      </c>
      <c r="G1380" s="14" t="s">
        <v>15</v>
      </c>
      <c r="H1380" s="14" t="s">
        <v>77</v>
      </c>
      <c r="I1380" s="15">
        <v>3</v>
      </c>
      <c r="J1380" s="15">
        <v>72</v>
      </c>
      <c r="K1380" s="15">
        <v>204.85</v>
      </c>
      <c r="L1380" s="15">
        <v>14749.199999999999</v>
      </c>
      <c r="M1380" s="15">
        <v>-1134.21</v>
      </c>
      <c r="N1380" s="15">
        <v>0</v>
      </c>
      <c r="O1380" s="15">
        <v>1769.9490730000002</v>
      </c>
      <c r="P1380" s="15">
        <v>15384.939073</v>
      </c>
    </row>
    <row r="1381" spans="1:16" ht="15" x14ac:dyDescent="0.2">
      <c r="A1381" s="4" t="s">
        <v>582</v>
      </c>
      <c r="B1381" s="21" t="str">
        <f t="shared" si="42"/>
        <v>Nov-2025</v>
      </c>
      <c r="C1381" s="2" t="str">
        <f t="shared" si="43"/>
        <v>Q3</v>
      </c>
      <c r="D1381" s="2" t="s">
        <v>31</v>
      </c>
      <c r="E1381" s="13">
        <v>45980</v>
      </c>
      <c r="F1381" s="14" t="s">
        <v>334</v>
      </c>
      <c r="G1381" s="14" t="s">
        <v>15</v>
      </c>
      <c r="H1381" s="14" t="s">
        <v>108</v>
      </c>
      <c r="I1381" s="15">
        <v>1</v>
      </c>
      <c r="J1381" s="15">
        <v>24</v>
      </c>
      <c r="K1381" s="15">
        <v>186.23</v>
      </c>
      <c r="L1381" s="15">
        <v>4469.45</v>
      </c>
      <c r="M1381" s="15">
        <v>-343.7</v>
      </c>
      <c r="N1381" s="15">
        <v>0</v>
      </c>
      <c r="O1381" s="15">
        <v>536.34761300000002</v>
      </c>
      <c r="P1381" s="15">
        <v>4662.0976129999999</v>
      </c>
    </row>
    <row r="1382" spans="1:16" ht="15" x14ac:dyDescent="0.2">
      <c r="A1382" s="4" t="s">
        <v>579</v>
      </c>
      <c r="B1382" s="21" t="str">
        <f t="shared" si="42"/>
        <v>Nov-2025</v>
      </c>
      <c r="C1382" s="2" t="str">
        <f t="shared" si="43"/>
        <v>Q3</v>
      </c>
      <c r="D1382" s="2" t="s">
        <v>31</v>
      </c>
      <c r="E1382" s="13">
        <v>45980</v>
      </c>
      <c r="F1382" s="14" t="s">
        <v>334</v>
      </c>
      <c r="G1382" s="14" t="s">
        <v>15</v>
      </c>
      <c r="H1382" s="14" t="s">
        <v>90</v>
      </c>
      <c r="I1382" s="15">
        <v>1</v>
      </c>
      <c r="J1382" s="15">
        <v>20</v>
      </c>
      <c r="K1382" s="15">
        <v>204.85</v>
      </c>
      <c r="L1382" s="15">
        <v>4097</v>
      </c>
      <c r="M1382" s="15">
        <v>-315.06</v>
      </c>
      <c r="N1382" s="15">
        <v>0</v>
      </c>
      <c r="O1382" s="15">
        <v>491.65230400000002</v>
      </c>
      <c r="P1382" s="15">
        <v>4273.5923039999998</v>
      </c>
    </row>
    <row r="1383" spans="1:16" ht="15" x14ac:dyDescent="0.2">
      <c r="A1383" s="4" t="s">
        <v>581</v>
      </c>
      <c r="B1383" s="21" t="str">
        <f t="shared" si="42"/>
        <v>Nov-2025</v>
      </c>
      <c r="C1383" s="2" t="str">
        <f t="shared" si="43"/>
        <v>Q3</v>
      </c>
      <c r="D1383" s="2" t="s">
        <v>31</v>
      </c>
      <c r="E1383" s="13">
        <v>45980</v>
      </c>
      <c r="F1383" s="14" t="s">
        <v>334</v>
      </c>
      <c r="G1383" s="14" t="s">
        <v>15</v>
      </c>
      <c r="H1383" s="14" t="s">
        <v>66</v>
      </c>
      <c r="I1383" s="15">
        <v>3</v>
      </c>
      <c r="J1383" s="15">
        <v>72</v>
      </c>
      <c r="K1383" s="15">
        <v>141.54</v>
      </c>
      <c r="L1383" s="15">
        <v>10190.879999999999</v>
      </c>
      <c r="M1383" s="15">
        <v>-783.68</v>
      </c>
      <c r="N1383" s="15">
        <v>0</v>
      </c>
      <c r="O1383" s="15">
        <v>1222.9362580000002</v>
      </c>
      <c r="P1383" s="15">
        <v>10630.136258</v>
      </c>
    </row>
    <row r="1384" spans="1:16" ht="15" x14ac:dyDescent="0.2">
      <c r="A1384" s="4" t="s">
        <v>586</v>
      </c>
      <c r="B1384" s="21" t="str">
        <f t="shared" si="42"/>
        <v>Nov-2025</v>
      </c>
      <c r="C1384" s="2" t="str">
        <f t="shared" si="43"/>
        <v>Q3</v>
      </c>
      <c r="D1384" s="2" t="s">
        <v>31</v>
      </c>
      <c r="E1384" s="13">
        <v>45980</v>
      </c>
      <c r="F1384" s="14" t="s">
        <v>334</v>
      </c>
      <c r="G1384" s="14" t="s">
        <v>15</v>
      </c>
      <c r="H1384" s="14" t="s">
        <v>76</v>
      </c>
      <c r="I1384" s="15">
        <v>1</v>
      </c>
      <c r="J1384" s="15">
        <v>240</v>
      </c>
      <c r="K1384" s="15">
        <v>14.9</v>
      </c>
      <c r="L1384" s="15">
        <v>3576</v>
      </c>
      <c r="M1384" s="15">
        <v>-274.99</v>
      </c>
      <c r="N1384" s="15">
        <v>0</v>
      </c>
      <c r="O1384" s="15">
        <v>429.13139100000001</v>
      </c>
      <c r="P1384" s="15">
        <v>3730.1413910000001</v>
      </c>
    </row>
    <row r="1385" spans="1:16" ht="15" x14ac:dyDescent="0.2">
      <c r="A1385" s="4" t="s">
        <v>576</v>
      </c>
      <c r="B1385" s="21" t="str">
        <f t="shared" si="42"/>
        <v>Nov-2025</v>
      </c>
      <c r="C1385" s="2" t="str">
        <f t="shared" si="43"/>
        <v>Q3</v>
      </c>
      <c r="D1385" s="2" t="s">
        <v>31</v>
      </c>
      <c r="E1385" s="13">
        <v>45980</v>
      </c>
      <c r="F1385" s="14" t="s">
        <v>334</v>
      </c>
      <c r="G1385" s="14" t="s">
        <v>15</v>
      </c>
      <c r="H1385" s="14" t="s">
        <v>123</v>
      </c>
      <c r="I1385" s="15">
        <v>2</v>
      </c>
      <c r="J1385" s="15">
        <v>40</v>
      </c>
      <c r="K1385" s="15">
        <v>175.06</v>
      </c>
      <c r="L1385" s="15">
        <v>7002.4</v>
      </c>
      <c r="M1385" s="15">
        <v>-538.48</v>
      </c>
      <c r="N1385" s="15">
        <v>0</v>
      </c>
      <c r="O1385" s="15">
        <v>840.30977699999994</v>
      </c>
      <c r="P1385" s="15">
        <v>7304.2297769999996</v>
      </c>
    </row>
    <row r="1386" spans="1:16" ht="15" x14ac:dyDescent="0.2">
      <c r="A1386" s="4" t="s">
        <v>583</v>
      </c>
      <c r="B1386" s="21" t="str">
        <f t="shared" si="42"/>
        <v>Nov-2025</v>
      </c>
      <c r="C1386" s="2" t="str">
        <f t="shared" si="43"/>
        <v>Q3</v>
      </c>
      <c r="D1386" s="2" t="s">
        <v>31</v>
      </c>
      <c r="E1386" s="13">
        <v>45980</v>
      </c>
      <c r="F1386" s="14" t="s">
        <v>334</v>
      </c>
      <c r="G1386" s="14" t="s">
        <v>15</v>
      </c>
      <c r="H1386" s="14" t="s">
        <v>109</v>
      </c>
      <c r="I1386" s="15">
        <v>2</v>
      </c>
      <c r="J1386" s="15">
        <v>30</v>
      </c>
      <c r="K1386" s="15">
        <v>260.72000000000003</v>
      </c>
      <c r="L1386" s="15">
        <v>7821.6</v>
      </c>
      <c r="M1386" s="15">
        <v>-601.48</v>
      </c>
      <c r="N1386" s="15">
        <v>0</v>
      </c>
      <c r="O1386" s="15">
        <v>938.61579800000004</v>
      </c>
      <c r="P1386" s="15">
        <v>8158.7357979999997</v>
      </c>
    </row>
    <row r="1387" spans="1:16" ht="15" x14ac:dyDescent="0.2">
      <c r="A1387" s="4" t="s">
        <v>589</v>
      </c>
      <c r="B1387" s="21" t="str">
        <f t="shared" si="42"/>
        <v>Nov-2025</v>
      </c>
      <c r="C1387" s="2" t="str">
        <f t="shared" si="43"/>
        <v>Q3</v>
      </c>
      <c r="D1387" s="2" t="s">
        <v>31</v>
      </c>
      <c r="E1387" s="13">
        <v>45980</v>
      </c>
      <c r="F1387" s="14" t="s">
        <v>334</v>
      </c>
      <c r="G1387" s="14" t="s">
        <v>15</v>
      </c>
      <c r="H1387" s="14" t="s">
        <v>98</v>
      </c>
      <c r="I1387" s="15">
        <v>1</v>
      </c>
      <c r="J1387" s="15">
        <v>60</v>
      </c>
      <c r="K1387" s="15">
        <v>145.26</v>
      </c>
      <c r="L1387" s="15">
        <v>8715.6</v>
      </c>
      <c r="M1387" s="15">
        <v>-670.23</v>
      </c>
      <c r="N1387" s="15">
        <v>0</v>
      </c>
      <c r="O1387" s="15">
        <v>1045.8983209999999</v>
      </c>
      <c r="P1387" s="15">
        <v>9091.2683209999996</v>
      </c>
    </row>
    <row r="1388" spans="1:16" ht="15" x14ac:dyDescent="0.2">
      <c r="A1388" s="4" t="s">
        <v>591</v>
      </c>
      <c r="B1388" s="21" t="str">
        <f t="shared" si="42"/>
        <v>Nov-2025</v>
      </c>
      <c r="C1388" s="2" t="str">
        <f t="shared" si="43"/>
        <v>Q3</v>
      </c>
      <c r="D1388" s="2" t="s">
        <v>31</v>
      </c>
      <c r="E1388" s="13">
        <v>45980</v>
      </c>
      <c r="F1388" s="14" t="s">
        <v>334</v>
      </c>
      <c r="G1388" s="14" t="s">
        <v>15</v>
      </c>
      <c r="H1388" s="14" t="s">
        <v>106</v>
      </c>
      <c r="I1388" s="15">
        <v>1</v>
      </c>
      <c r="J1388" s="15">
        <v>60</v>
      </c>
      <c r="K1388" s="15">
        <v>111.74</v>
      </c>
      <c r="L1388" s="15">
        <v>6704.4</v>
      </c>
      <c r="M1388" s="15">
        <v>-515.57000000000005</v>
      </c>
      <c r="N1388" s="15">
        <v>0</v>
      </c>
      <c r="O1388" s="15">
        <v>804.54806999999994</v>
      </c>
      <c r="P1388" s="15">
        <v>6993.3780699999998</v>
      </c>
    </row>
    <row r="1389" spans="1:16" ht="15" x14ac:dyDescent="0.2">
      <c r="A1389" s="4" t="s">
        <v>584</v>
      </c>
      <c r="B1389" s="21" t="str">
        <f t="shared" si="42"/>
        <v>Nov-2025</v>
      </c>
      <c r="C1389" s="2" t="str">
        <f t="shared" si="43"/>
        <v>Q3</v>
      </c>
      <c r="D1389" s="2" t="s">
        <v>31</v>
      </c>
      <c r="E1389" s="13">
        <v>45980</v>
      </c>
      <c r="F1389" s="14" t="s">
        <v>334</v>
      </c>
      <c r="G1389" s="14" t="s">
        <v>15</v>
      </c>
      <c r="H1389" s="14" t="s">
        <v>100</v>
      </c>
      <c r="I1389" s="15">
        <v>2</v>
      </c>
      <c r="J1389" s="15">
        <v>80</v>
      </c>
      <c r="K1389" s="15">
        <v>81.94</v>
      </c>
      <c r="L1389" s="15">
        <v>6555.2</v>
      </c>
      <c r="M1389" s="15">
        <v>-504.09</v>
      </c>
      <c r="N1389" s="15">
        <v>0</v>
      </c>
      <c r="O1389" s="15">
        <v>786.64446600000008</v>
      </c>
      <c r="P1389" s="15">
        <v>6837.7544660000003</v>
      </c>
    </row>
    <row r="1390" spans="1:16" ht="15" x14ac:dyDescent="0.2">
      <c r="A1390" s="4" t="s">
        <v>584</v>
      </c>
      <c r="B1390" s="21" t="str">
        <f t="shared" si="42"/>
        <v>Nov-2025</v>
      </c>
      <c r="C1390" s="2" t="str">
        <f t="shared" si="43"/>
        <v>Q3</v>
      </c>
      <c r="D1390" s="2" t="s">
        <v>31</v>
      </c>
      <c r="E1390" s="13">
        <v>45980</v>
      </c>
      <c r="F1390" s="14" t="s">
        <v>334</v>
      </c>
      <c r="G1390" s="14" t="s">
        <v>15</v>
      </c>
      <c r="H1390" s="14" t="s">
        <v>120</v>
      </c>
      <c r="I1390" s="15">
        <v>2</v>
      </c>
      <c r="J1390" s="15">
        <v>80</v>
      </c>
      <c r="K1390" s="15">
        <v>81.94</v>
      </c>
      <c r="L1390" s="15">
        <v>6555.2</v>
      </c>
      <c r="M1390" s="15">
        <v>-504.09</v>
      </c>
      <c r="N1390" s="15">
        <v>0</v>
      </c>
      <c r="O1390" s="15">
        <v>786.64446600000008</v>
      </c>
      <c r="P1390" s="15">
        <v>6837.7544660000003</v>
      </c>
    </row>
    <row r="1391" spans="1:16" ht="15" x14ac:dyDescent="0.2">
      <c r="A1391" s="4" t="s">
        <v>593</v>
      </c>
      <c r="B1391" s="21" t="str">
        <f t="shared" si="42"/>
        <v>Nov-2025</v>
      </c>
      <c r="C1391" s="2" t="str">
        <f t="shared" si="43"/>
        <v>Q3</v>
      </c>
      <c r="D1391" s="2" t="s">
        <v>31</v>
      </c>
      <c r="E1391" s="13">
        <v>45981</v>
      </c>
      <c r="F1391" s="14" t="s">
        <v>335</v>
      </c>
      <c r="G1391" s="14" t="s">
        <v>12</v>
      </c>
      <c r="H1391" s="14" t="s">
        <v>117</v>
      </c>
      <c r="I1391" s="15">
        <v>25</v>
      </c>
      <c r="J1391" s="15">
        <v>100</v>
      </c>
      <c r="K1391" s="15">
        <v>595.92999999999995</v>
      </c>
      <c r="L1391" s="15">
        <v>59593</v>
      </c>
      <c r="M1391" s="15">
        <v>-4582.7</v>
      </c>
      <c r="N1391" s="15">
        <v>0</v>
      </c>
      <c r="O1391" s="15">
        <v>7151.3408950000003</v>
      </c>
      <c r="P1391" s="15">
        <v>62161.640894999997</v>
      </c>
    </row>
    <row r="1392" spans="1:16" ht="15" x14ac:dyDescent="0.2">
      <c r="A1392" s="4" t="s">
        <v>579</v>
      </c>
      <c r="B1392" s="21" t="str">
        <f t="shared" si="42"/>
        <v>Nov-2025</v>
      </c>
      <c r="C1392" s="2" t="str">
        <f t="shared" si="43"/>
        <v>Q3</v>
      </c>
      <c r="D1392" s="2" t="s">
        <v>31</v>
      </c>
      <c r="E1392" s="13">
        <v>45981</v>
      </c>
      <c r="F1392" s="14" t="s">
        <v>335</v>
      </c>
      <c r="G1392" s="14" t="s">
        <v>12</v>
      </c>
      <c r="H1392" s="14" t="s">
        <v>90</v>
      </c>
      <c r="I1392" s="15">
        <v>2</v>
      </c>
      <c r="J1392" s="15">
        <v>40</v>
      </c>
      <c r="K1392" s="15">
        <v>204.85</v>
      </c>
      <c r="L1392" s="15">
        <v>8194</v>
      </c>
      <c r="M1392" s="15">
        <v>-630.12</v>
      </c>
      <c r="N1392" s="15">
        <v>0</v>
      </c>
      <c r="O1392" s="15">
        <v>983.30466100000001</v>
      </c>
      <c r="P1392" s="15">
        <v>8547.1846609999993</v>
      </c>
    </row>
    <row r="1393" spans="1:16" ht="15" x14ac:dyDescent="0.2">
      <c r="A1393" s="4" t="s">
        <v>576</v>
      </c>
      <c r="B1393" s="21" t="str">
        <f t="shared" si="42"/>
        <v>Nov-2025</v>
      </c>
      <c r="C1393" s="2" t="str">
        <f t="shared" si="43"/>
        <v>Q3</v>
      </c>
      <c r="D1393" s="2" t="s">
        <v>31</v>
      </c>
      <c r="E1393" s="13">
        <v>45981</v>
      </c>
      <c r="F1393" s="14" t="s">
        <v>335</v>
      </c>
      <c r="G1393" s="14" t="s">
        <v>12</v>
      </c>
      <c r="H1393" s="14" t="s">
        <v>110</v>
      </c>
      <c r="I1393" s="15">
        <v>5</v>
      </c>
      <c r="J1393" s="15">
        <v>100</v>
      </c>
      <c r="K1393" s="15">
        <v>175.06</v>
      </c>
      <c r="L1393" s="15">
        <v>17506</v>
      </c>
      <c r="M1393" s="15">
        <v>-1346.21</v>
      </c>
      <c r="N1393" s="15">
        <v>0</v>
      </c>
      <c r="O1393" s="15">
        <v>2100.7732569999998</v>
      </c>
      <c r="P1393" s="15">
        <v>18260.563257000002</v>
      </c>
    </row>
    <row r="1394" spans="1:16" ht="15" x14ac:dyDescent="0.2">
      <c r="A1394" s="4" t="s">
        <v>590</v>
      </c>
      <c r="B1394" s="21" t="str">
        <f t="shared" si="42"/>
        <v>Nov-2025</v>
      </c>
      <c r="C1394" s="2" t="str">
        <f t="shared" si="43"/>
        <v>Q3</v>
      </c>
      <c r="D1394" s="2" t="s">
        <v>31</v>
      </c>
      <c r="E1394" s="13">
        <v>45981</v>
      </c>
      <c r="F1394" s="14" t="s">
        <v>335</v>
      </c>
      <c r="G1394" s="14" t="s">
        <v>12</v>
      </c>
      <c r="H1394" s="14" t="s">
        <v>102</v>
      </c>
      <c r="I1394" s="15">
        <v>10</v>
      </c>
      <c r="J1394" s="15">
        <v>200</v>
      </c>
      <c r="K1394" s="15">
        <v>249.55</v>
      </c>
      <c r="L1394" s="15">
        <v>49910</v>
      </c>
      <c r="M1394" s="15">
        <v>-3838.08</v>
      </c>
      <c r="N1394" s="15">
        <v>0</v>
      </c>
      <c r="O1394" s="15">
        <v>5989.3511870000002</v>
      </c>
      <c r="P1394" s="15">
        <v>52061.271186999998</v>
      </c>
    </row>
    <row r="1395" spans="1:16" ht="15" x14ac:dyDescent="0.2">
      <c r="A1395" s="4" t="s">
        <v>573</v>
      </c>
      <c r="B1395" s="21" t="str">
        <f t="shared" si="42"/>
        <v>Nov-2025</v>
      </c>
      <c r="C1395" s="2" t="str">
        <f t="shared" si="43"/>
        <v>Q3</v>
      </c>
      <c r="D1395" s="2" t="s">
        <v>31</v>
      </c>
      <c r="E1395" s="13">
        <v>45982</v>
      </c>
      <c r="F1395" s="14" t="s">
        <v>336</v>
      </c>
      <c r="G1395" s="14" t="s">
        <v>235</v>
      </c>
      <c r="H1395" s="14" t="s">
        <v>136</v>
      </c>
      <c r="I1395" s="15">
        <v>1</v>
      </c>
      <c r="J1395" s="15">
        <v>40</v>
      </c>
      <c r="K1395" s="15">
        <v>111.74</v>
      </c>
      <c r="L1395" s="15">
        <v>4469.6000000000004</v>
      </c>
      <c r="M1395" s="15">
        <v>-343.71</v>
      </c>
      <c r="N1395" s="15">
        <v>0</v>
      </c>
      <c r="O1395" s="15">
        <v>536.36562300000003</v>
      </c>
      <c r="P1395" s="15">
        <v>4662.255623</v>
      </c>
    </row>
    <row r="1396" spans="1:16" ht="15" x14ac:dyDescent="0.2">
      <c r="A1396" s="4" t="s">
        <v>573</v>
      </c>
      <c r="B1396" s="21" t="str">
        <f t="shared" si="42"/>
        <v>Nov-2025</v>
      </c>
      <c r="C1396" s="2" t="str">
        <f t="shared" si="43"/>
        <v>Q3</v>
      </c>
      <c r="D1396" s="2" t="s">
        <v>31</v>
      </c>
      <c r="E1396" s="13">
        <v>45982</v>
      </c>
      <c r="F1396" s="14" t="s">
        <v>336</v>
      </c>
      <c r="G1396" s="14" t="s">
        <v>235</v>
      </c>
      <c r="H1396" s="14" t="s">
        <v>111</v>
      </c>
      <c r="I1396" s="15">
        <v>1</v>
      </c>
      <c r="J1396" s="15">
        <v>40</v>
      </c>
      <c r="K1396" s="15">
        <v>111.74</v>
      </c>
      <c r="L1396" s="15">
        <v>4469.6000000000004</v>
      </c>
      <c r="M1396" s="15">
        <v>-343.71</v>
      </c>
      <c r="N1396" s="15">
        <v>0</v>
      </c>
      <c r="O1396" s="15">
        <v>536.36562300000003</v>
      </c>
      <c r="P1396" s="15">
        <v>4662.255623</v>
      </c>
    </row>
    <row r="1397" spans="1:16" ht="15" x14ac:dyDescent="0.2">
      <c r="A1397" s="4" t="s">
        <v>576</v>
      </c>
      <c r="B1397" s="21" t="str">
        <f t="shared" si="42"/>
        <v>Nov-2025</v>
      </c>
      <c r="C1397" s="2" t="str">
        <f t="shared" si="43"/>
        <v>Q3</v>
      </c>
      <c r="D1397" s="2" t="s">
        <v>31</v>
      </c>
      <c r="E1397" s="13">
        <v>45982</v>
      </c>
      <c r="F1397" s="14" t="s">
        <v>336</v>
      </c>
      <c r="G1397" s="14" t="s">
        <v>235</v>
      </c>
      <c r="H1397" s="14" t="s">
        <v>123</v>
      </c>
      <c r="I1397" s="15">
        <v>3</v>
      </c>
      <c r="J1397" s="15">
        <v>60</v>
      </c>
      <c r="K1397" s="15">
        <v>175.05</v>
      </c>
      <c r="L1397" s="15">
        <v>10503.189999999999</v>
      </c>
      <c r="M1397" s="15">
        <v>-807.7</v>
      </c>
      <c r="N1397" s="15">
        <v>0</v>
      </c>
      <c r="O1397" s="15">
        <v>1260.413519</v>
      </c>
      <c r="P1397" s="15">
        <v>10955.903519</v>
      </c>
    </row>
    <row r="1398" spans="1:16" ht="15" x14ac:dyDescent="0.2">
      <c r="A1398" s="4" t="s">
        <v>573</v>
      </c>
      <c r="B1398" s="21" t="str">
        <f t="shared" si="42"/>
        <v>Nov-2025</v>
      </c>
      <c r="C1398" s="2" t="str">
        <f t="shared" si="43"/>
        <v>Q3</v>
      </c>
      <c r="D1398" s="2" t="s">
        <v>31</v>
      </c>
      <c r="E1398" s="13">
        <v>45982</v>
      </c>
      <c r="F1398" s="14" t="s">
        <v>336</v>
      </c>
      <c r="G1398" s="14" t="s">
        <v>235</v>
      </c>
      <c r="H1398" s="14" t="s">
        <v>47</v>
      </c>
      <c r="I1398" s="15">
        <v>1</v>
      </c>
      <c r="J1398" s="15">
        <v>40</v>
      </c>
      <c r="K1398" s="15">
        <v>111.74</v>
      </c>
      <c r="L1398" s="15">
        <v>4469.6000000000004</v>
      </c>
      <c r="M1398" s="15">
        <v>-343.71</v>
      </c>
      <c r="N1398" s="15">
        <v>0</v>
      </c>
      <c r="O1398" s="15">
        <v>536.36562300000003</v>
      </c>
      <c r="P1398" s="15">
        <v>4662.255623</v>
      </c>
    </row>
    <row r="1399" spans="1:16" ht="15" x14ac:dyDescent="0.2">
      <c r="A1399" s="4" t="s">
        <v>580</v>
      </c>
      <c r="B1399" s="21" t="str">
        <f t="shared" si="42"/>
        <v>Nov-2025</v>
      </c>
      <c r="C1399" s="2" t="str">
        <f t="shared" si="43"/>
        <v>Q3</v>
      </c>
      <c r="D1399" s="2" t="s">
        <v>31</v>
      </c>
      <c r="E1399" s="13">
        <v>45982</v>
      </c>
      <c r="F1399" s="14" t="s">
        <v>336</v>
      </c>
      <c r="G1399" s="14" t="s">
        <v>235</v>
      </c>
      <c r="H1399" s="14" t="s">
        <v>65</v>
      </c>
      <c r="I1399" s="15">
        <v>1.5</v>
      </c>
      <c r="J1399" s="15">
        <v>195</v>
      </c>
      <c r="K1399" s="15">
        <v>33.520000000000003</v>
      </c>
      <c r="L1399" s="15">
        <v>6536.4</v>
      </c>
      <c r="M1399" s="15">
        <v>-502.65</v>
      </c>
      <c r="N1399" s="15">
        <v>0</v>
      </c>
      <c r="O1399" s="15">
        <v>784.38738699999999</v>
      </c>
      <c r="P1399" s="15">
        <v>6818.1373869999998</v>
      </c>
    </row>
    <row r="1400" spans="1:16" ht="15" x14ac:dyDescent="0.2">
      <c r="A1400" s="4" t="s">
        <v>576</v>
      </c>
      <c r="B1400" s="21" t="str">
        <f t="shared" si="42"/>
        <v>Nov-2025</v>
      </c>
      <c r="C1400" s="2" t="str">
        <f t="shared" si="43"/>
        <v>Q3</v>
      </c>
      <c r="D1400" s="2" t="s">
        <v>31</v>
      </c>
      <c r="E1400" s="13">
        <v>45982</v>
      </c>
      <c r="F1400" s="14" t="s">
        <v>336</v>
      </c>
      <c r="G1400" s="14" t="s">
        <v>235</v>
      </c>
      <c r="H1400" s="14" t="s">
        <v>124</v>
      </c>
      <c r="I1400" s="15">
        <v>3</v>
      </c>
      <c r="J1400" s="15">
        <v>60</v>
      </c>
      <c r="K1400" s="15">
        <v>175.06</v>
      </c>
      <c r="L1400" s="15">
        <v>10503.6</v>
      </c>
      <c r="M1400" s="15">
        <v>-807.7299999999999</v>
      </c>
      <c r="N1400" s="15">
        <v>0</v>
      </c>
      <c r="O1400" s="15">
        <v>1260.4629190000001</v>
      </c>
      <c r="P1400" s="15">
        <v>10956.332919</v>
      </c>
    </row>
    <row r="1401" spans="1:16" ht="15" x14ac:dyDescent="0.2">
      <c r="A1401" s="4" t="s">
        <v>579</v>
      </c>
      <c r="B1401" s="21" t="str">
        <f t="shared" si="42"/>
        <v>Nov-2025</v>
      </c>
      <c r="C1401" s="2" t="str">
        <f t="shared" si="43"/>
        <v>Q3</v>
      </c>
      <c r="D1401" s="2" t="s">
        <v>31</v>
      </c>
      <c r="E1401" s="13">
        <v>45982</v>
      </c>
      <c r="F1401" s="14" t="s">
        <v>336</v>
      </c>
      <c r="G1401" s="14" t="s">
        <v>235</v>
      </c>
      <c r="H1401" s="14" t="s">
        <v>112</v>
      </c>
      <c r="I1401" s="15">
        <v>3</v>
      </c>
      <c r="J1401" s="15">
        <v>60</v>
      </c>
      <c r="K1401" s="15">
        <v>204.85</v>
      </c>
      <c r="L1401" s="15">
        <v>12291</v>
      </c>
      <c r="M1401" s="15">
        <v>-945.18</v>
      </c>
      <c r="N1401" s="15">
        <v>0</v>
      </c>
      <c r="O1401" s="15">
        <v>1474.9563880000001</v>
      </c>
      <c r="P1401" s="15">
        <v>12820.776388</v>
      </c>
    </row>
    <row r="1402" spans="1:16" ht="15" x14ac:dyDescent="0.2">
      <c r="A1402" s="4" t="s">
        <v>576</v>
      </c>
      <c r="B1402" s="21" t="str">
        <f t="shared" si="42"/>
        <v>Nov-2025</v>
      </c>
      <c r="C1402" s="2" t="str">
        <f t="shared" si="43"/>
        <v>Q3</v>
      </c>
      <c r="D1402" s="2" t="s">
        <v>31</v>
      </c>
      <c r="E1402" s="13">
        <v>45982</v>
      </c>
      <c r="F1402" s="14" t="s">
        <v>336</v>
      </c>
      <c r="G1402" s="14" t="s">
        <v>235</v>
      </c>
      <c r="H1402" s="14" t="s">
        <v>110</v>
      </c>
      <c r="I1402" s="15">
        <v>3</v>
      </c>
      <c r="J1402" s="15">
        <v>60</v>
      </c>
      <c r="K1402" s="15">
        <v>175.06</v>
      </c>
      <c r="L1402" s="15">
        <v>10503.6</v>
      </c>
      <c r="M1402" s="15">
        <v>-807.7299999999999</v>
      </c>
      <c r="N1402" s="15">
        <v>0</v>
      </c>
      <c r="O1402" s="15">
        <v>1260.4629190000001</v>
      </c>
      <c r="P1402" s="15">
        <v>10956.332919</v>
      </c>
    </row>
    <row r="1403" spans="1:16" ht="15" x14ac:dyDescent="0.2">
      <c r="A1403" s="4" t="s">
        <v>573</v>
      </c>
      <c r="B1403" s="21" t="str">
        <f t="shared" si="42"/>
        <v>Nov-2025</v>
      </c>
      <c r="C1403" s="2" t="str">
        <f t="shared" si="43"/>
        <v>Q3</v>
      </c>
      <c r="D1403" s="2" t="s">
        <v>31</v>
      </c>
      <c r="E1403" s="13">
        <v>45982</v>
      </c>
      <c r="F1403" s="14" t="s">
        <v>337</v>
      </c>
      <c r="G1403" s="14" t="s">
        <v>215</v>
      </c>
      <c r="H1403" s="14" t="s">
        <v>111</v>
      </c>
      <c r="I1403" s="15">
        <v>3</v>
      </c>
      <c r="J1403" s="15">
        <v>120</v>
      </c>
      <c r="K1403" s="15">
        <v>111.74</v>
      </c>
      <c r="L1403" s="15">
        <v>13408.8</v>
      </c>
      <c r="M1403" s="15">
        <v>-1031.1400000000001</v>
      </c>
      <c r="N1403" s="15">
        <v>0</v>
      </c>
      <c r="O1403" s="15">
        <v>1609.0964449999999</v>
      </c>
      <c r="P1403" s="15">
        <v>13986.756445000001</v>
      </c>
    </row>
    <row r="1404" spans="1:16" ht="15" x14ac:dyDescent="0.2">
      <c r="A1404" s="4" t="s">
        <v>576</v>
      </c>
      <c r="B1404" s="21" t="str">
        <f t="shared" si="42"/>
        <v>Nov-2025</v>
      </c>
      <c r="C1404" s="2" t="str">
        <f t="shared" si="43"/>
        <v>Q3</v>
      </c>
      <c r="D1404" s="2" t="s">
        <v>31</v>
      </c>
      <c r="E1404" s="13">
        <v>45982</v>
      </c>
      <c r="F1404" s="14" t="s">
        <v>337</v>
      </c>
      <c r="G1404" s="14" t="s">
        <v>215</v>
      </c>
      <c r="H1404" s="14" t="s">
        <v>123</v>
      </c>
      <c r="I1404" s="15">
        <v>3</v>
      </c>
      <c r="J1404" s="15">
        <v>60</v>
      </c>
      <c r="K1404" s="15">
        <v>175.06</v>
      </c>
      <c r="L1404" s="15">
        <v>10503.41</v>
      </c>
      <c r="M1404" s="15">
        <v>-807.71</v>
      </c>
      <c r="N1404" s="15">
        <v>0</v>
      </c>
      <c r="O1404" s="15">
        <v>1260.441505</v>
      </c>
      <c r="P1404" s="15">
        <v>10956.141505</v>
      </c>
    </row>
    <row r="1405" spans="1:16" ht="15" x14ac:dyDescent="0.2">
      <c r="A1405" s="4" t="s">
        <v>576</v>
      </c>
      <c r="B1405" s="21" t="str">
        <f t="shared" si="42"/>
        <v>Nov-2025</v>
      </c>
      <c r="C1405" s="2" t="str">
        <f t="shared" si="43"/>
        <v>Q3</v>
      </c>
      <c r="D1405" s="2" t="s">
        <v>31</v>
      </c>
      <c r="E1405" s="13">
        <v>45982</v>
      </c>
      <c r="F1405" s="14" t="s">
        <v>337</v>
      </c>
      <c r="G1405" s="14" t="s">
        <v>215</v>
      </c>
      <c r="H1405" s="14" t="s">
        <v>124</v>
      </c>
      <c r="I1405" s="15">
        <v>3</v>
      </c>
      <c r="J1405" s="15">
        <v>60</v>
      </c>
      <c r="K1405" s="15">
        <v>175.06</v>
      </c>
      <c r="L1405" s="15">
        <v>10503.6</v>
      </c>
      <c r="M1405" s="15">
        <v>-807.7299999999999</v>
      </c>
      <c r="N1405" s="15">
        <v>0</v>
      </c>
      <c r="O1405" s="15">
        <v>1260.4636049999999</v>
      </c>
      <c r="P1405" s="15">
        <v>10956.333605</v>
      </c>
    </row>
    <row r="1406" spans="1:16" ht="15" x14ac:dyDescent="0.2">
      <c r="A1406" s="4" t="s">
        <v>583</v>
      </c>
      <c r="B1406" s="21" t="str">
        <f t="shared" si="42"/>
        <v>Nov-2025</v>
      </c>
      <c r="C1406" s="2" t="str">
        <f t="shared" si="43"/>
        <v>Q3</v>
      </c>
      <c r="D1406" s="2" t="s">
        <v>31</v>
      </c>
      <c r="E1406" s="13">
        <v>45982</v>
      </c>
      <c r="F1406" s="14" t="s">
        <v>337</v>
      </c>
      <c r="G1406" s="14" t="s">
        <v>215</v>
      </c>
      <c r="H1406" s="14" t="s">
        <v>113</v>
      </c>
      <c r="I1406" s="15">
        <v>2</v>
      </c>
      <c r="J1406" s="15">
        <v>30</v>
      </c>
      <c r="K1406" s="15">
        <v>260.72000000000003</v>
      </c>
      <c r="L1406" s="15">
        <v>7821.6</v>
      </c>
      <c r="M1406" s="15">
        <v>-601.48</v>
      </c>
      <c r="N1406" s="15">
        <v>0</v>
      </c>
      <c r="O1406" s="15">
        <v>938.61597599999993</v>
      </c>
      <c r="P1406" s="15">
        <v>8158.7359759999999</v>
      </c>
    </row>
    <row r="1407" spans="1:16" ht="15" x14ac:dyDescent="0.2">
      <c r="A1407" s="4" t="s">
        <v>573</v>
      </c>
      <c r="B1407" s="21" t="str">
        <f t="shared" si="42"/>
        <v>Nov-2025</v>
      </c>
      <c r="C1407" s="2" t="str">
        <f t="shared" si="43"/>
        <v>Q3</v>
      </c>
      <c r="D1407" s="2" t="s">
        <v>31</v>
      </c>
      <c r="E1407" s="13">
        <v>45982</v>
      </c>
      <c r="F1407" s="14" t="s">
        <v>337</v>
      </c>
      <c r="G1407" s="14" t="s">
        <v>215</v>
      </c>
      <c r="H1407" s="14" t="s">
        <v>138</v>
      </c>
      <c r="I1407" s="15">
        <v>3</v>
      </c>
      <c r="J1407" s="15">
        <v>120</v>
      </c>
      <c r="K1407" s="15">
        <v>111.74</v>
      </c>
      <c r="L1407" s="15">
        <v>13408.8</v>
      </c>
      <c r="M1407" s="15">
        <v>-1031.1400000000001</v>
      </c>
      <c r="N1407" s="15">
        <v>0</v>
      </c>
      <c r="O1407" s="15">
        <v>1609.0964449999999</v>
      </c>
      <c r="P1407" s="15">
        <v>13986.756445000001</v>
      </c>
    </row>
    <row r="1408" spans="1:16" ht="15" x14ac:dyDescent="0.2">
      <c r="A1408" s="4" t="s">
        <v>583</v>
      </c>
      <c r="B1408" s="21" t="str">
        <f t="shared" si="42"/>
        <v>Nov-2025</v>
      </c>
      <c r="C1408" s="2" t="str">
        <f t="shared" si="43"/>
        <v>Q3</v>
      </c>
      <c r="D1408" s="2" t="s">
        <v>31</v>
      </c>
      <c r="E1408" s="13">
        <v>45982</v>
      </c>
      <c r="F1408" s="14" t="s">
        <v>337</v>
      </c>
      <c r="G1408" s="14" t="s">
        <v>215</v>
      </c>
      <c r="H1408" s="14" t="s">
        <v>109</v>
      </c>
      <c r="I1408" s="15">
        <v>2</v>
      </c>
      <c r="J1408" s="15">
        <v>30</v>
      </c>
      <c r="K1408" s="15">
        <v>260.72000000000003</v>
      </c>
      <c r="L1408" s="15">
        <v>7821.6</v>
      </c>
      <c r="M1408" s="15">
        <v>-601.48</v>
      </c>
      <c r="N1408" s="15">
        <v>0</v>
      </c>
      <c r="O1408" s="15">
        <v>938.61597599999993</v>
      </c>
      <c r="P1408" s="15">
        <v>8158.7359759999999</v>
      </c>
    </row>
    <row r="1409" spans="1:16" ht="15" x14ac:dyDescent="0.2">
      <c r="A1409" s="4" t="s">
        <v>576</v>
      </c>
      <c r="B1409" s="21" t="str">
        <f t="shared" si="42"/>
        <v>Nov-2025</v>
      </c>
      <c r="C1409" s="2" t="str">
        <f t="shared" si="43"/>
        <v>Q3</v>
      </c>
      <c r="D1409" s="2" t="s">
        <v>31</v>
      </c>
      <c r="E1409" s="13">
        <v>45982</v>
      </c>
      <c r="F1409" s="14" t="s">
        <v>337</v>
      </c>
      <c r="G1409" s="14" t="s">
        <v>215</v>
      </c>
      <c r="H1409" s="14" t="s">
        <v>110</v>
      </c>
      <c r="I1409" s="15">
        <v>3</v>
      </c>
      <c r="J1409" s="15">
        <v>60</v>
      </c>
      <c r="K1409" s="15">
        <v>175.06</v>
      </c>
      <c r="L1409" s="15">
        <v>10503.6</v>
      </c>
      <c r="M1409" s="15">
        <v>-807.7299999999999</v>
      </c>
      <c r="N1409" s="15">
        <v>0</v>
      </c>
      <c r="O1409" s="15">
        <v>1260.4636049999999</v>
      </c>
      <c r="P1409" s="15">
        <v>10956.333605</v>
      </c>
    </row>
    <row r="1410" spans="1:16" ht="15" x14ac:dyDescent="0.2">
      <c r="A1410" s="4" t="s">
        <v>573</v>
      </c>
      <c r="B1410" s="21" t="str">
        <f t="shared" si="42"/>
        <v>Nov-2025</v>
      </c>
      <c r="C1410" s="2" t="str">
        <f t="shared" si="43"/>
        <v>Q3</v>
      </c>
      <c r="D1410" s="2" t="s">
        <v>31</v>
      </c>
      <c r="E1410" s="13">
        <v>45982</v>
      </c>
      <c r="F1410" s="14" t="s">
        <v>337</v>
      </c>
      <c r="G1410" s="14" t="s">
        <v>215</v>
      </c>
      <c r="H1410" s="14" t="s">
        <v>136</v>
      </c>
      <c r="I1410" s="15">
        <v>3</v>
      </c>
      <c r="J1410" s="15">
        <v>120</v>
      </c>
      <c r="K1410" s="15">
        <v>111.74</v>
      </c>
      <c r="L1410" s="15">
        <v>13408.8</v>
      </c>
      <c r="M1410" s="15">
        <v>-1031.1400000000001</v>
      </c>
      <c r="N1410" s="15">
        <v>0</v>
      </c>
      <c r="O1410" s="15">
        <v>1609.0964449999999</v>
      </c>
      <c r="P1410" s="15">
        <v>13986.756445000001</v>
      </c>
    </row>
    <row r="1411" spans="1:16" ht="15" x14ac:dyDescent="0.2">
      <c r="A1411" s="4" t="s">
        <v>584</v>
      </c>
      <c r="B1411" s="21" t="str">
        <f t="shared" ref="B1411:B1474" si="44">+TEXT(E1411,"MMM-yyy")</f>
        <v>Nov-2025</v>
      </c>
      <c r="C1411" s="2" t="str">
        <f t="shared" ref="C1411:C1474" si="45">"Q" &amp; CHOOSE(MONTH(E1411),4,4,4,1,1,1,2,2,2,3,3,3)</f>
        <v>Q3</v>
      </c>
      <c r="D1411" s="2" t="s">
        <v>31</v>
      </c>
      <c r="E1411" s="13">
        <v>45984</v>
      </c>
      <c r="F1411" s="14" t="s">
        <v>338</v>
      </c>
      <c r="G1411" s="14" t="s">
        <v>20</v>
      </c>
      <c r="H1411" s="14" t="s">
        <v>100</v>
      </c>
      <c r="I1411" s="15">
        <v>1</v>
      </c>
      <c r="J1411" s="15">
        <v>40</v>
      </c>
      <c r="K1411" s="15">
        <v>81.94</v>
      </c>
      <c r="L1411" s="15">
        <v>3277.6</v>
      </c>
      <c r="M1411" s="15">
        <v>-252.05</v>
      </c>
      <c r="N1411" s="15">
        <v>0</v>
      </c>
      <c r="O1411" s="15">
        <v>393.321302</v>
      </c>
      <c r="P1411" s="15">
        <v>3418.871302</v>
      </c>
    </row>
    <row r="1412" spans="1:16" ht="15" x14ac:dyDescent="0.2">
      <c r="A1412" s="4" t="s">
        <v>584</v>
      </c>
      <c r="B1412" s="21" t="str">
        <f t="shared" si="44"/>
        <v>Nov-2025</v>
      </c>
      <c r="C1412" s="2" t="str">
        <f t="shared" si="45"/>
        <v>Q3</v>
      </c>
      <c r="D1412" s="2" t="s">
        <v>31</v>
      </c>
      <c r="E1412" s="13">
        <v>45984</v>
      </c>
      <c r="F1412" s="14" t="s">
        <v>338</v>
      </c>
      <c r="G1412" s="14" t="s">
        <v>20</v>
      </c>
      <c r="H1412" s="14" t="s">
        <v>120</v>
      </c>
      <c r="I1412" s="15">
        <v>5</v>
      </c>
      <c r="J1412" s="15">
        <v>200</v>
      </c>
      <c r="K1412" s="15">
        <v>81.94</v>
      </c>
      <c r="L1412" s="15">
        <v>16388</v>
      </c>
      <c r="M1412" s="15">
        <v>-1260.24</v>
      </c>
      <c r="N1412" s="15">
        <v>0</v>
      </c>
      <c r="O1412" s="15">
        <v>1966.607808</v>
      </c>
      <c r="P1412" s="15">
        <v>17094.367807999999</v>
      </c>
    </row>
    <row r="1413" spans="1:16" ht="15" x14ac:dyDescent="0.2">
      <c r="A1413" s="4" t="s">
        <v>582</v>
      </c>
      <c r="B1413" s="21" t="str">
        <f t="shared" si="44"/>
        <v>Nov-2025</v>
      </c>
      <c r="C1413" s="2" t="str">
        <f t="shared" si="45"/>
        <v>Q3</v>
      </c>
      <c r="D1413" s="2" t="s">
        <v>31</v>
      </c>
      <c r="E1413" s="13">
        <v>45984</v>
      </c>
      <c r="F1413" s="14" t="s">
        <v>338</v>
      </c>
      <c r="G1413" s="14" t="s">
        <v>20</v>
      </c>
      <c r="H1413" s="14" t="s">
        <v>101</v>
      </c>
      <c r="I1413" s="15">
        <v>3</v>
      </c>
      <c r="J1413" s="15">
        <v>72</v>
      </c>
      <c r="K1413" s="15">
        <v>186.23</v>
      </c>
      <c r="L1413" s="15">
        <v>13408.490000000002</v>
      </c>
      <c r="M1413" s="15">
        <v>-1031.1100000000001</v>
      </c>
      <c r="N1413" s="15">
        <v>0</v>
      </c>
      <c r="O1413" s="15">
        <v>1609.0585879999999</v>
      </c>
      <c r="P1413" s="15">
        <v>13986.438588000001</v>
      </c>
    </row>
    <row r="1414" spans="1:16" ht="15" x14ac:dyDescent="0.2">
      <c r="A1414" s="4" t="s">
        <v>584</v>
      </c>
      <c r="B1414" s="21" t="str">
        <f t="shared" si="44"/>
        <v>Nov-2025</v>
      </c>
      <c r="C1414" s="2" t="str">
        <f t="shared" si="45"/>
        <v>Q3</v>
      </c>
      <c r="D1414" s="2" t="s">
        <v>31</v>
      </c>
      <c r="E1414" s="13">
        <v>45984</v>
      </c>
      <c r="F1414" s="14" t="s">
        <v>338</v>
      </c>
      <c r="G1414" s="14" t="s">
        <v>20</v>
      </c>
      <c r="H1414" s="14" t="s">
        <v>99</v>
      </c>
      <c r="I1414" s="15">
        <v>5</v>
      </c>
      <c r="J1414" s="15">
        <v>200</v>
      </c>
      <c r="K1414" s="15">
        <v>81.94</v>
      </c>
      <c r="L1414" s="15">
        <v>16388</v>
      </c>
      <c r="M1414" s="15">
        <v>-1260.24</v>
      </c>
      <c r="N1414" s="15">
        <v>0</v>
      </c>
      <c r="O1414" s="15">
        <v>1966.607808</v>
      </c>
      <c r="P1414" s="15">
        <v>17094.367807999999</v>
      </c>
    </row>
    <row r="1415" spans="1:16" ht="15" x14ac:dyDescent="0.2">
      <c r="A1415" s="4" t="s">
        <v>574</v>
      </c>
      <c r="B1415" s="21" t="str">
        <f t="shared" si="44"/>
        <v>Nov-2025</v>
      </c>
      <c r="C1415" s="2" t="str">
        <f t="shared" si="45"/>
        <v>Q3</v>
      </c>
      <c r="D1415" s="2" t="s">
        <v>31</v>
      </c>
      <c r="E1415" s="13">
        <v>45984</v>
      </c>
      <c r="F1415" s="14" t="s">
        <v>338</v>
      </c>
      <c r="G1415" s="14" t="s">
        <v>20</v>
      </c>
      <c r="H1415" s="14" t="s">
        <v>84</v>
      </c>
      <c r="I1415" s="15">
        <v>1</v>
      </c>
      <c r="J1415" s="15">
        <v>18</v>
      </c>
      <c r="K1415" s="15">
        <v>178.78</v>
      </c>
      <c r="L1415" s="15">
        <v>3218.0400000000004</v>
      </c>
      <c r="M1415" s="15">
        <v>-247.47</v>
      </c>
      <c r="N1415" s="15">
        <v>0</v>
      </c>
      <c r="O1415" s="15">
        <v>386.17390499999999</v>
      </c>
      <c r="P1415" s="15">
        <v>3356.7439049999998</v>
      </c>
    </row>
    <row r="1416" spans="1:16" ht="15" x14ac:dyDescent="0.2">
      <c r="A1416" s="4" t="s">
        <v>582</v>
      </c>
      <c r="B1416" s="21" t="str">
        <f t="shared" si="44"/>
        <v>Nov-2025</v>
      </c>
      <c r="C1416" s="2" t="str">
        <f t="shared" si="45"/>
        <v>Q3</v>
      </c>
      <c r="D1416" s="2" t="s">
        <v>31</v>
      </c>
      <c r="E1416" s="13">
        <v>45984</v>
      </c>
      <c r="F1416" s="14" t="s">
        <v>338</v>
      </c>
      <c r="G1416" s="14" t="s">
        <v>20</v>
      </c>
      <c r="H1416" s="14" t="s">
        <v>108</v>
      </c>
      <c r="I1416" s="15">
        <v>3</v>
      </c>
      <c r="J1416" s="15">
        <v>72</v>
      </c>
      <c r="K1416" s="15">
        <v>186.22</v>
      </c>
      <c r="L1416" s="15">
        <v>13407.84</v>
      </c>
      <c r="M1416" s="15">
        <v>-1031.06</v>
      </c>
      <c r="N1416" s="15">
        <v>0</v>
      </c>
      <c r="O1416" s="15">
        <v>1608.9805880000001</v>
      </c>
      <c r="P1416" s="15">
        <v>13985.760587999999</v>
      </c>
    </row>
    <row r="1417" spans="1:16" ht="15" x14ac:dyDescent="0.2">
      <c r="A1417" s="4" t="s">
        <v>593</v>
      </c>
      <c r="B1417" s="21" t="str">
        <f t="shared" si="44"/>
        <v>Nov-2025</v>
      </c>
      <c r="C1417" s="2" t="str">
        <f t="shared" si="45"/>
        <v>Q3</v>
      </c>
      <c r="D1417" s="2" t="s">
        <v>31</v>
      </c>
      <c r="E1417" s="13">
        <v>45984</v>
      </c>
      <c r="F1417" s="14" t="s">
        <v>339</v>
      </c>
      <c r="G1417" s="14" t="s">
        <v>119</v>
      </c>
      <c r="H1417" s="14" t="s">
        <v>117</v>
      </c>
      <c r="I1417" s="15">
        <v>50</v>
      </c>
      <c r="J1417" s="15">
        <v>200</v>
      </c>
      <c r="K1417" s="15">
        <v>595.92999999999995</v>
      </c>
      <c r="L1417" s="15">
        <v>119186</v>
      </c>
      <c r="M1417" s="15">
        <v>-9165.4</v>
      </c>
      <c r="N1417" s="15">
        <v>0</v>
      </c>
      <c r="O1417" s="15">
        <v>14302.68</v>
      </c>
      <c r="P1417" s="15">
        <v>124323.28</v>
      </c>
    </row>
    <row r="1418" spans="1:16" ht="15" x14ac:dyDescent="0.2">
      <c r="A1418" s="4" t="s">
        <v>579</v>
      </c>
      <c r="B1418" s="21" t="str">
        <f t="shared" si="44"/>
        <v>Nov-2025</v>
      </c>
      <c r="C1418" s="2" t="str">
        <f t="shared" si="45"/>
        <v>Q3</v>
      </c>
      <c r="D1418" s="2" t="s">
        <v>31</v>
      </c>
      <c r="E1418" s="13">
        <v>45985</v>
      </c>
      <c r="F1418" s="14" t="s">
        <v>340</v>
      </c>
      <c r="G1418" s="14" t="s">
        <v>80</v>
      </c>
      <c r="H1418" s="14" t="s">
        <v>90</v>
      </c>
      <c r="I1418" s="15">
        <v>0.05</v>
      </c>
      <c r="J1418" s="15">
        <v>1</v>
      </c>
      <c r="K1418" s="15">
        <v>204.85</v>
      </c>
      <c r="L1418" s="15">
        <v>204.85</v>
      </c>
      <c r="M1418" s="15">
        <v>-15.75</v>
      </c>
      <c r="N1418" s="15">
        <v>0</v>
      </c>
      <c r="O1418" s="15">
        <v>24.58</v>
      </c>
      <c r="P1418" s="15">
        <v>213.68</v>
      </c>
    </row>
    <row r="1419" spans="1:16" ht="15" x14ac:dyDescent="0.2">
      <c r="A1419" s="4" t="s">
        <v>590</v>
      </c>
      <c r="B1419" s="21" t="str">
        <f t="shared" si="44"/>
        <v>Nov-2025</v>
      </c>
      <c r="C1419" s="2" t="str">
        <f t="shared" si="45"/>
        <v>Q3</v>
      </c>
      <c r="D1419" s="2" t="s">
        <v>31</v>
      </c>
      <c r="E1419" s="13">
        <v>45985</v>
      </c>
      <c r="F1419" s="14" t="s">
        <v>341</v>
      </c>
      <c r="G1419" s="14" t="s">
        <v>23</v>
      </c>
      <c r="H1419" s="14" t="s">
        <v>102</v>
      </c>
      <c r="I1419" s="15">
        <v>5</v>
      </c>
      <c r="J1419" s="15">
        <v>100</v>
      </c>
      <c r="K1419" s="15">
        <v>249.55</v>
      </c>
      <c r="L1419" s="15">
        <v>24955</v>
      </c>
      <c r="M1419" s="15">
        <v>-1919.04</v>
      </c>
      <c r="N1419" s="15">
        <v>0</v>
      </c>
      <c r="O1419" s="15">
        <v>2994.6755290000001</v>
      </c>
      <c r="P1419" s="15">
        <v>26030.635528999999</v>
      </c>
    </row>
    <row r="1420" spans="1:16" ht="15" x14ac:dyDescent="0.2">
      <c r="A1420" s="4" t="s">
        <v>584</v>
      </c>
      <c r="B1420" s="21" t="str">
        <f t="shared" si="44"/>
        <v>Nov-2025</v>
      </c>
      <c r="C1420" s="2" t="str">
        <f t="shared" si="45"/>
        <v>Q3</v>
      </c>
      <c r="D1420" s="2" t="s">
        <v>31</v>
      </c>
      <c r="E1420" s="13">
        <v>45985</v>
      </c>
      <c r="F1420" s="14" t="s">
        <v>341</v>
      </c>
      <c r="G1420" s="14" t="s">
        <v>23</v>
      </c>
      <c r="H1420" s="14" t="s">
        <v>99</v>
      </c>
      <c r="I1420" s="15">
        <v>5</v>
      </c>
      <c r="J1420" s="15">
        <v>200</v>
      </c>
      <c r="K1420" s="15">
        <v>81.94</v>
      </c>
      <c r="L1420" s="15">
        <v>16388</v>
      </c>
      <c r="M1420" s="15">
        <v>-1260.24</v>
      </c>
      <c r="N1420" s="15">
        <v>0</v>
      </c>
      <c r="O1420" s="15">
        <v>1966.609279</v>
      </c>
      <c r="P1420" s="15">
        <v>17094.369278999999</v>
      </c>
    </row>
    <row r="1421" spans="1:16" ht="15" x14ac:dyDescent="0.2">
      <c r="A1421" s="4" t="s">
        <v>584</v>
      </c>
      <c r="B1421" s="21" t="str">
        <f t="shared" si="44"/>
        <v>Nov-2025</v>
      </c>
      <c r="C1421" s="2" t="str">
        <f t="shared" si="45"/>
        <v>Q3</v>
      </c>
      <c r="D1421" s="2" t="s">
        <v>31</v>
      </c>
      <c r="E1421" s="13">
        <v>45985</v>
      </c>
      <c r="F1421" s="14" t="s">
        <v>341</v>
      </c>
      <c r="G1421" s="14" t="s">
        <v>23</v>
      </c>
      <c r="H1421" s="14" t="s">
        <v>100</v>
      </c>
      <c r="I1421" s="15">
        <v>3</v>
      </c>
      <c r="J1421" s="15">
        <v>120</v>
      </c>
      <c r="K1421" s="15">
        <v>81.94</v>
      </c>
      <c r="L1421" s="15">
        <v>9832.8000000000011</v>
      </c>
      <c r="M1421" s="15">
        <v>-756.14</v>
      </c>
      <c r="N1421" s="15">
        <v>0</v>
      </c>
      <c r="O1421" s="15">
        <v>1179.966087</v>
      </c>
      <c r="P1421" s="15">
        <v>10256.626087000001</v>
      </c>
    </row>
    <row r="1422" spans="1:16" ht="15" x14ac:dyDescent="0.2">
      <c r="A1422" s="4" t="s">
        <v>581</v>
      </c>
      <c r="B1422" s="21" t="str">
        <f t="shared" si="44"/>
        <v>Nov-2025</v>
      </c>
      <c r="C1422" s="2" t="str">
        <f t="shared" si="45"/>
        <v>Q3</v>
      </c>
      <c r="D1422" s="2" t="s">
        <v>31</v>
      </c>
      <c r="E1422" s="13">
        <v>45985</v>
      </c>
      <c r="F1422" s="14" t="s">
        <v>341</v>
      </c>
      <c r="G1422" s="14" t="s">
        <v>23</v>
      </c>
      <c r="H1422" s="14" t="s">
        <v>66</v>
      </c>
      <c r="I1422" s="15">
        <v>5</v>
      </c>
      <c r="J1422" s="15">
        <v>120</v>
      </c>
      <c r="K1422" s="15">
        <v>141.54</v>
      </c>
      <c r="L1422" s="15">
        <v>16984.8</v>
      </c>
      <c r="M1422" s="15">
        <v>-1306.1299999999999</v>
      </c>
      <c r="N1422" s="15">
        <v>0</v>
      </c>
      <c r="O1422" s="15">
        <v>2038.2275959999999</v>
      </c>
      <c r="P1422" s="15">
        <v>17716.897595999999</v>
      </c>
    </row>
    <row r="1423" spans="1:16" ht="15" x14ac:dyDescent="0.2">
      <c r="A1423" s="4" t="s">
        <v>586</v>
      </c>
      <c r="B1423" s="21" t="str">
        <f t="shared" si="44"/>
        <v>Nov-2025</v>
      </c>
      <c r="C1423" s="2" t="str">
        <f t="shared" si="45"/>
        <v>Q3</v>
      </c>
      <c r="D1423" s="2" t="s">
        <v>31</v>
      </c>
      <c r="E1423" s="13">
        <v>45985</v>
      </c>
      <c r="F1423" s="14" t="s">
        <v>341</v>
      </c>
      <c r="G1423" s="14" t="s">
        <v>23</v>
      </c>
      <c r="H1423" s="14" t="s">
        <v>76</v>
      </c>
      <c r="I1423" s="15">
        <v>2</v>
      </c>
      <c r="J1423" s="15">
        <v>480</v>
      </c>
      <c r="K1423" s="15">
        <v>14.9</v>
      </c>
      <c r="L1423" s="15">
        <v>7152</v>
      </c>
      <c r="M1423" s="15">
        <v>-549.99</v>
      </c>
      <c r="N1423" s="15">
        <v>0</v>
      </c>
      <c r="O1423" s="15">
        <v>858.26150900000005</v>
      </c>
      <c r="P1423" s="15">
        <v>7460.2715090000002</v>
      </c>
    </row>
    <row r="1424" spans="1:16" ht="15" x14ac:dyDescent="0.2">
      <c r="A1424" s="4" t="s">
        <v>580</v>
      </c>
      <c r="B1424" s="21" t="str">
        <f t="shared" si="44"/>
        <v>Nov-2025</v>
      </c>
      <c r="C1424" s="2" t="str">
        <f t="shared" si="45"/>
        <v>Q3</v>
      </c>
      <c r="D1424" s="2" t="s">
        <v>31</v>
      </c>
      <c r="E1424" s="13">
        <v>45986</v>
      </c>
      <c r="F1424" s="14" t="s">
        <v>342</v>
      </c>
      <c r="G1424" s="14" t="s">
        <v>88</v>
      </c>
      <c r="H1424" s="14" t="s">
        <v>89</v>
      </c>
      <c r="I1424" s="15">
        <v>2</v>
      </c>
      <c r="J1424" s="15">
        <v>140</v>
      </c>
      <c r="K1424" s="15">
        <v>37.25</v>
      </c>
      <c r="L1424" s="15">
        <v>5215</v>
      </c>
      <c r="M1424" s="15">
        <v>-401.03</v>
      </c>
      <c r="N1424" s="15">
        <v>0</v>
      </c>
      <c r="O1424" s="15">
        <v>625.815157</v>
      </c>
      <c r="P1424" s="15">
        <v>5439.7851570000003</v>
      </c>
    </row>
    <row r="1425" spans="1:16" ht="15" x14ac:dyDescent="0.2">
      <c r="A1425" s="4" t="s">
        <v>590</v>
      </c>
      <c r="B1425" s="21" t="str">
        <f t="shared" si="44"/>
        <v>Nov-2025</v>
      </c>
      <c r="C1425" s="2" t="str">
        <f t="shared" si="45"/>
        <v>Q3</v>
      </c>
      <c r="D1425" s="2" t="s">
        <v>31</v>
      </c>
      <c r="E1425" s="13">
        <v>45986</v>
      </c>
      <c r="F1425" s="14" t="s">
        <v>342</v>
      </c>
      <c r="G1425" s="14" t="s">
        <v>88</v>
      </c>
      <c r="H1425" s="14" t="s">
        <v>102</v>
      </c>
      <c r="I1425" s="15">
        <v>2</v>
      </c>
      <c r="J1425" s="15">
        <v>40</v>
      </c>
      <c r="K1425" s="15">
        <v>249.55</v>
      </c>
      <c r="L1425" s="15">
        <v>9982</v>
      </c>
      <c r="M1425" s="15">
        <v>-767.62</v>
      </c>
      <c r="N1425" s="15">
        <v>0</v>
      </c>
      <c r="O1425" s="15">
        <v>1197.8675949999999</v>
      </c>
      <c r="P1425" s="15">
        <v>10412.247595000001</v>
      </c>
    </row>
    <row r="1426" spans="1:16" ht="15" x14ac:dyDescent="0.2">
      <c r="A1426" s="4" t="s">
        <v>579</v>
      </c>
      <c r="B1426" s="21" t="str">
        <f t="shared" si="44"/>
        <v>Nov-2025</v>
      </c>
      <c r="C1426" s="2" t="str">
        <f t="shared" si="45"/>
        <v>Q3</v>
      </c>
      <c r="D1426" s="2" t="s">
        <v>31</v>
      </c>
      <c r="E1426" s="13">
        <v>45986</v>
      </c>
      <c r="F1426" s="14" t="s">
        <v>342</v>
      </c>
      <c r="G1426" s="14" t="s">
        <v>88</v>
      </c>
      <c r="H1426" s="14" t="s">
        <v>92</v>
      </c>
      <c r="I1426" s="15">
        <v>2</v>
      </c>
      <c r="J1426" s="15">
        <v>40</v>
      </c>
      <c r="K1426" s="15">
        <v>242.1</v>
      </c>
      <c r="L1426" s="15">
        <v>9683.9999999999982</v>
      </c>
      <c r="M1426" s="15">
        <v>-744.7</v>
      </c>
      <c r="N1426" s="15">
        <v>0</v>
      </c>
      <c r="O1426" s="15">
        <v>1162.1072489999999</v>
      </c>
      <c r="P1426" s="15">
        <v>10101.407249</v>
      </c>
    </row>
    <row r="1427" spans="1:16" ht="15" x14ac:dyDescent="0.2">
      <c r="A1427" s="4" t="s">
        <v>593</v>
      </c>
      <c r="B1427" s="21" t="str">
        <f t="shared" si="44"/>
        <v>Nov-2025</v>
      </c>
      <c r="C1427" s="2" t="str">
        <f t="shared" si="45"/>
        <v>Q3</v>
      </c>
      <c r="D1427" s="2" t="s">
        <v>31</v>
      </c>
      <c r="E1427" s="13">
        <v>45987</v>
      </c>
      <c r="F1427" s="14" t="s">
        <v>343</v>
      </c>
      <c r="G1427" s="14" t="s">
        <v>17</v>
      </c>
      <c r="H1427" s="14" t="s">
        <v>117</v>
      </c>
      <c r="I1427" s="15">
        <v>5</v>
      </c>
      <c r="J1427" s="15">
        <v>20</v>
      </c>
      <c r="K1427" s="15">
        <v>595.92999999999995</v>
      </c>
      <c r="L1427" s="15">
        <v>11918.6</v>
      </c>
      <c r="M1427" s="15">
        <v>-916.54</v>
      </c>
      <c r="N1427" s="15">
        <v>0</v>
      </c>
      <c r="O1427" s="15">
        <v>1430.2687739999999</v>
      </c>
      <c r="P1427" s="15">
        <v>12432.328774</v>
      </c>
    </row>
    <row r="1428" spans="1:16" ht="15" x14ac:dyDescent="0.2">
      <c r="A1428" s="4" t="s">
        <v>584</v>
      </c>
      <c r="B1428" s="21" t="str">
        <f t="shared" si="44"/>
        <v>Nov-2025</v>
      </c>
      <c r="C1428" s="2" t="str">
        <f t="shared" si="45"/>
        <v>Q3</v>
      </c>
      <c r="D1428" s="2" t="s">
        <v>31</v>
      </c>
      <c r="E1428" s="13">
        <v>45987</v>
      </c>
      <c r="F1428" s="14" t="s">
        <v>343</v>
      </c>
      <c r="G1428" s="14" t="s">
        <v>17</v>
      </c>
      <c r="H1428" s="14" t="s">
        <v>99</v>
      </c>
      <c r="I1428" s="15">
        <v>2</v>
      </c>
      <c r="J1428" s="15">
        <v>80</v>
      </c>
      <c r="K1428" s="15">
        <v>81.94</v>
      </c>
      <c r="L1428" s="15">
        <v>6555.2</v>
      </c>
      <c r="M1428" s="15">
        <v>-504.09</v>
      </c>
      <c r="N1428" s="15">
        <v>0</v>
      </c>
      <c r="O1428" s="15">
        <v>786.64483599999994</v>
      </c>
      <c r="P1428" s="15">
        <v>6837.7548360000001</v>
      </c>
    </row>
    <row r="1429" spans="1:16" ht="15" x14ac:dyDescent="0.2">
      <c r="A1429" s="4" t="s">
        <v>573</v>
      </c>
      <c r="B1429" s="21" t="str">
        <f t="shared" si="44"/>
        <v>Nov-2025</v>
      </c>
      <c r="C1429" s="2" t="str">
        <f t="shared" si="45"/>
        <v>Q3</v>
      </c>
      <c r="D1429" s="2" t="s">
        <v>31</v>
      </c>
      <c r="E1429" s="13">
        <v>45987</v>
      </c>
      <c r="F1429" s="14" t="s">
        <v>343</v>
      </c>
      <c r="G1429" s="14" t="s">
        <v>17</v>
      </c>
      <c r="H1429" s="14" t="s">
        <v>138</v>
      </c>
      <c r="I1429" s="15">
        <v>2</v>
      </c>
      <c r="J1429" s="15">
        <v>80</v>
      </c>
      <c r="K1429" s="15">
        <v>111.74</v>
      </c>
      <c r="L1429" s="15">
        <v>8939.2000000000007</v>
      </c>
      <c r="M1429" s="15">
        <v>-687.42</v>
      </c>
      <c r="N1429" s="15">
        <v>0</v>
      </c>
      <c r="O1429" s="15">
        <v>1072.7321300000001</v>
      </c>
      <c r="P1429" s="15">
        <v>9324.5121299999992</v>
      </c>
    </row>
    <row r="1430" spans="1:16" ht="15" x14ac:dyDescent="0.2">
      <c r="A1430" s="4" t="s">
        <v>573</v>
      </c>
      <c r="B1430" s="21" t="str">
        <f t="shared" si="44"/>
        <v>Nov-2025</v>
      </c>
      <c r="C1430" s="2" t="str">
        <f t="shared" si="45"/>
        <v>Q3</v>
      </c>
      <c r="D1430" s="2" t="s">
        <v>31</v>
      </c>
      <c r="E1430" s="13">
        <v>45987</v>
      </c>
      <c r="F1430" s="14" t="s">
        <v>343</v>
      </c>
      <c r="G1430" s="14" t="s">
        <v>17</v>
      </c>
      <c r="H1430" s="14" t="s">
        <v>136</v>
      </c>
      <c r="I1430" s="15">
        <v>2</v>
      </c>
      <c r="J1430" s="15">
        <v>80</v>
      </c>
      <c r="K1430" s="15">
        <v>111.74</v>
      </c>
      <c r="L1430" s="15">
        <v>8939.2000000000007</v>
      </c>
      <c r="M1430" s="15">
        <v>-687.42</v>
      </c>
      <c r="N1430" s="15">
        <v>0</v>
      </c>
      <c r="O1430" s="15">
        <v>1072.7321300000001</v>
      </c>
      <c r="P1430" s="15">
        <v>9324.5121299999992</v>
      </c>
    </row>
    <row r="1431" spans="1:16" ht="15" x14ac:dyDescent="0.2">
      <c r="A1431" s="4" t="s">
        <v>573</v>
      </c>
      <c r="B1431" s="21" t="str">
        <f t="shared" si="44"/>
        <v>Nov-2025</v>
      </c>
      <c r="C1431" s="2" t="str">
        <f t="shared" si="45"/>
        <v>Q3</v>
      </c>
      <c r="D1431" s="2" t="s">
        <v>31</v>
      </c>
      <c r="E1431" s="13">
        <v>45987</v>
      </c>
      <c r="F1431" s="14" t="s">
        <v>343</v>
      </c>
      <c r="G1431" s="14" t="s">
        <v>17</v>
      </c>
      <c r="H1431" s="14" t="s">
        <v>111</v>
      </c>
      <c r="I1431" s="15">
        <v>2</v>
      </c>
      <c r="J1431" s="15">
        <v>80</v>
      </c>
      <c r="K1431" s="15">
        <v>111.74</v>
      </c>
      <c r="L1431" s="15">
        <v>8939.2000000000007</v>
      </c>
      <c r="M1431" s="15">
        <v>-687.42</v>
      </c>
      <c r="N1431" s="15">
        <v>0</v>
      </c>
      <c r="O1431" s="15">
        <v>1072.7321300000001</v>
      </c>
      <c r="P1431" s="15">
        <v>9324.5121299999992</v>
      </c>
    </row>
    <row r="1432" spans="1:16" ht="15" x14ac:dyDescent="0.2">
      <c r="A1432" s="4" t="s">
        <v>576</v>
      </c>
      <c r="B1432" s="21" t="str">
        <f t="shared" si="44"/>
        <v>Nov-2025</v>
      </c>
      <c r="C1432" s="2" t="str">
        <f t="shared" si="45"/>
        <v>Q3</v>
      </c>
      <c r="D1432" s="2" t="s">
        <v>31</v>
      </c>
      <c r="E1432" s="13">
        <v>45987</v>
      </c>
      <c r="F1432" s="14" t="s">
        <v>344</v>
      </c>
      <c r="G1432" s="14" t="s">
        <v>345</v>
      </c>
      <c r="H1432" s="14" t="s">
        <v>123</v>
      </c>
      <c r="I1432" s="15">
        <v>1</v>
      </c>
      <c r="J1432" s="15">
        <v>20</v>
      </c>
      <c r="K1432" s="15">
        <v>175.06</v>
      </c>
      <c r="L1432" s="15">
        <v>3501.2</v>
      </c>
      <c r="M1432" s="15">
        <v>-269.24</v>
      </c>
      <c r="N1432" s="15">
        <v>0</v>
      </c>
      <c r="O1432" s="15">
        <v>420.15483599999999</v>
      </c>
      <c r="P1432" s="15">
        <v>3652.1148360000002</v>
      </c>
    </row>
    <row r="1433" spans="1:16" ht="15" x14ac:dyDescent="0.2">
      <c r="A1433" s="4" t="s">
        <v>573</v>
      </c>
      <c r="B1433" s="21" t="str">
        <f t="shared" si="44"/>
        <v>Nov-2025</v>
      </c>
      <c r="C1433" s="2" t="str">
        <f t="shared" si="45"/>
        <v>Q3</v>
      </c>
      <c r="D1433" s="2" t="s">
        <v>31</v>
      </c>
      <c r="E1433" s="13">
        <v>45987</v>
      </c>
      <c r="F1433" s="14" t="s">
        <v>344</v>
      </c>
      <c r="G1433" s="14" t="s">
        <v>345</v>
      </c>
      <c r="H1433" s="14" t="s">
        <v>136</v>
      </c>
      <c r="I1433" s="15">
        <v>1</v>
      </c>
      <c r="J1433" s="15">
        <v>40</v>
      </c>
      <c r="K1433" s="15">
        <v>111.74</v>
      </c>
      <c r="L1433" s="15">
        <v>4469.6000000000004</v>
      </c>
      <c r="M1433" s="15">
        <v>-343.71</v>
      </c>
      <c r="N1433" s="15">
        <v>0</v>
      </c>
      <c r="O1433" s="15">
        <v>536.36574499999995</v>
      </c>
      <c r="P1433" s="15">
        <v>4662.2557450000004</v>
      </c>
    </row>
    <row r="1434" spans="1:16" ht="15" x14ac:dyDescent="0.2">
      <c r="A1434" s="4" t="s">
        <v>576</v>
      </c>
      <c r="B1434" s="21" t="str">
        <f t="shared" si="44"/>
        <v>Nov-2025</v>
      </c>
      <c r="C1434" s="2" t="str">
        <f t="shared" si="45"/>
        <v>Q3</v>
      </c>
      <c r="D1434" s="2" t="s">
        <v>31</v>
      </c>
      <c r="E1434" s="13">
        <v>45987</v>
      </c>
      <c r="F1434" s="14" t="s">
        <v>344</v>
      </c>
      <c r="G1434" s="14" t="s">
        <v>345</v>
      </c>
      <c r="H1434" s="14" t="s">
        <v>124</v>
      </c>
      <c r="I1434" s="15">
        <v>1</v>
      </c>
      <c r="J1434" s="15">
        <v>20</v>
      </c>
      <c r="K1434" s="15">
        <v>175.06</v>
      </c>
      <c r="L1434" s="15">
        <v>3501.2</v>
      </c>
      <c r="M1434" s="15">
        <v>-269.24</v>
      </c>
      <c r="N1434" s="15">
        <v>0</v>
      </c>
      <c r="O1434" s="15">
        <v>420.15483599999999</v>
      </c>
      <c r="P1434" s="15">
        <v>3652.1148360000002</v>
      </c>
    </row>
    <row r="1435" spans="1:16" ht="15" x14ac:dyDescent="0.2">
      <c r="A1435" s="4" t="s">
        <v>583</v>
      </c>
      <c r="B1435" s="21" t="str">
        <f t="shared" si="44"/>
        <v>Nov-2025</v>
      </c>
      <c r="C1435" s="2" t="str">
        <f t="shared" si="45"/>
        <v>Q3</v>
      </c>
      <c r="D1435" s="2" t="s">
        <v>31</v>
      </c>
      <c r="E1435" s="13">
        <v>45987</v>
      </c>
      <c r="F1435" s="14" t="s">
        <v>344</v>
      </c>
      <c r="G1435" s="14" t="s">
        <v>345</v>
      </c>
      <c r="H1435" s="14" t="s">
        <v>109</v>
      </c>
      <c r="I1435" s="15">
        <v>1</v>
      </c>
      <c r="J1435" s="15">
        <v>15</v>
      </c>
      <c r="K1435" s="15">
        <v>260.72000000000003</v>
      </c>
      <c r="L1435" s="15">
        <v>3910.8</v>
      </c>
      <c r="M1435" s="15">
        <v>-300.74</v>
      </c>
      <c r="N1435" s="15">
        <v>0</v>
      </c>
      <c r="O1435" s="15">
        <v>469.30784</v>
      </c>
      <c r="P1435" s="15">
        <v>4079.3678399999999</v>
      </c>
    </row>
    <row r="1436" spans="1:16" ht="15" x14ac:dyDescent="0.2">
      <c r="A1436" s="4" t="s">
        <v>584</v>
      </c>
      <c r="B1436" s="21" t="str">
        <f t="shared" si="44"/>
        <v>Nov-2025</v>
      </c>
      <c r="C1436" s="2" t="str">
        <f t="shared" si="45"/>
        <v>Q3</v>
      </c>
      <c r="D1436" s="2" t="s">
        <v>31</v>
      </c>
      <c r="E1436" s="13">
        <v>45987</v>
      </c>
      <c r="F1436" s="14" t="s">
        <v>344</v>
      </c>
      <c r="G1436" s="14" t="s">
        <v>345</v>
      </c>
      <c r="H1436" s="14" t="s">
        <v>120</v>
      </c>
      <c r="I1436" s="15">
        <v>1</v>
      </c>
      <c r="J1436" s="15">
        <v>40</v>
      </c>
      <c r="K1436" s="15">
        <v>81.94</v>
      </c>
      <c r="L1436" s="15">
        <v>3277.6</v>
      </c>
      <c r="M1436" s="15">
        <v>-252.05</v>
      </c>
      <c r="N1436" s="15">
        <v>0</v>
      </c>
      <c r="O1436" s="15">
        <v>393.32153299999999</v>
      </c>
      <c r="P1436" s="15">
        <v>3418.871533</v>
      </c>
    </row>
    <row r="1437" spans="1:16" ht="15" x14ac:dyDescent="0.2">
      <c r="A1437" s="4" t="s">
        <v>573</v>
      </c>
      <c r="B1437" s="21" t="str">
        <f t="shared" si="44"/>
        <v>Nov-2025</v>
      </c>
      <c r="C1437" s="2" t="str">
        <f t="shared" si="45"/>
        <v>Q3</v>
      </c>
      <c r="D1437" s="2" t="s">
        <v>31</v>
      </c>
      <c r="E1437" s="13">
        <v>45987</v>
      </c>
      <c r="F1437" s="14" t="s">
        <v>344</v>
      </c>
      <c r="G1437" s="14" t="s">
        <v>345</v>
      </c>
      <c r="H1437" s="14" t="s">
        <v>111</v>
      </c>
      <c r="I1437" s="15">
        <v>1</v>
      </c>
      <c r="J1437" s="15">
        <v>40</v>
      </c>
      <c r="K1437" s="15">
        <v>111.74</v>
      </c>
      <c r="L1437" s="15">
        <v>4469.6000000000004</v>
      </c>
      <c r="M1437" s="15">
        <v>-343.71</v>
      </c>
      <c r="N1437" s="15">
        <v>0</v>
      </c>
      <c r="O1437" s="15">
        <v>536.36574499999995</v>
      </c>
      <c r="P1437" s="15">
        <v>4662.2557450000004</v>
      </c>
    </row>
    <row r="1438" spans="1:16" ht="15" x14ac:dyDescent="0.2">
      <c r="A1438" s="4" t="s">
        <v>581</v>
      </c>
      <c r="B1438" s="21" t="str">
        <f t="shared" si="44"/>
        <v>Nov-2025</v>
      </c>
      <c r="C1438" s="2" t="str">
        <f t="shared" si="45"/>
        <v>Q3</v>
      </c>
      <c r="D1438" s="2" t="s">
        <v>31</v>
      </c>
      <c r="E1438" s="13">
        <v>45987</v>
      </c>
      <c r="F1438" s="14" t="s">
        <v>344</v>
      </c>
      <c r="G1438" s="14" t="s">
        <v>345</v>
      </c>
      <c r="H1438" s="14" t="s">
        <v>66</v>
      </c>
      <c r="I1438" s="15">
        <v>1</v>
      </c>
      <c r="J1438" s="15">
        <v>24</v>
      </c>
      <c r="K1438" s="15">
        <v>141.54</v>
      </c>
      <c r="L1438" s="15">
        <v>3396.96</v>
      </c>
      <c r="M1438" s="15">
        <v>-261.23</v>
      </c>
      <c r="N1438" s="15">
        <v>0</v>
      </c>
      <c r="O1438" s="15">
        <v>407.64493399999998</v>
      </c>
      <c r="P1438" s="15">
        <v>3543.3749339999999</v>
      </c>
    </row>
    <row r="1439" spans="1:16" ht="15" x14ac:dyDescent="0.2">
      <c r="A1439" s="4" t="s">
        <v>584</v>
      </c>
      <c r="B1439" s="21" t="str">
        <f t="shared" si="44"/>
        <v>Nov-2025</v>
      </c>
      <c r="C1439" s="2" t="str">
        <f t="shared" si="45"/>
        <v>Q3</v>
      </c>
      <c r="D1439" s="2" t="s">
        <v>31</v>
      </c>
      <c r="E1439" s="13">
        <v>45987</v>
      </c>
      <c r="F1439" s="14" t="s">
        <v>344</v>
      </c>
      <c r="G1439" s="14" t="s">
        <v>345</v>
      </c>
      <c r="H1439" s="14" t="s">
        <v>99</v>
      </c>
      <c r="I1439" s="15">
        <v>1</v>
      </c>
      <c r="J1439" s="15">
        <v>40</v>
      </c>
      <c r="K1439" s="15">
        <v>81.94</v>
      </c>
      <c r="L1439" s="15">
        <v>3277.6</v>
      </c>
      <c r="M1439" s="15">
        <v>-252.05</v>
      </c>
      <c r="N1439" s="15">
        <v>0</v>
      </c>
      <c r="O1439" s="15">
        <v>393.32153299999999</v>
      </c>
      <c r="P1439" s="15">
        <v>3418.871533</v>
      </c>
    </row>
    <row r="1440" spans="1:16" ht="15" x14ac:dyDescent="0.2">
      <c r="A1440" s="4" t="s">
        <v>593</v>
      </c>
      <c r="B1440" s="21" t="str">
        <f t="shared" si="44"/>
        <v>Nov-2025</v>
      </c>
      <c r="C1440" s="2" t="str">
        <f t="shared" si="45"/>
        <v>Q3</v>
      </c>
      <c r="D1440" s="2" t="s">
        <v>31</v>
      </c>
      <c r="E1440" s="13">
        <v>45987</v>
      </c>
      <c r="F1440" s="14" t="s">
        <v>344</v>
      </c>
      <c r="G1440" s="14" t="s">
        <v>345</v>
      </c>
      <c r="H1440" s="14" t="s">
        <v>117</v>
      </c>
      <c r="I1440" s="15">
        <v>2</v>
      </c>
      <c r="J1440" s="15">
        <v>8</v>
      </c>
      <c r="K1440" s="15">
        <v>595.92999999999995</v>
      </c>
      <c r="L1440" s="15">
        <v>4767.4399999999996</v>
      </c>
      <c r="M1440" s="15">
        <v>-366.62</v>
      </c>
      <c r="N1440" s="15">
        <v>0</v>
      </c>
      <c r="O1440" s="15">
        <v>572.10664800000006</v>
      </c>
      <c r="P1440" s="15">
        <v>4972.9266479999997</v>
      </c>
    </row>
    <row r="1441" spans="1:16" ht="15" x14ac:dyDescent="0.2">
      <c r="A1441" s="4" t="s">
        <v>576</v>
      </c>
      <c r="B1441" s="21" t="str">
        <f t="shared" si="44"/>
        <v>Nov-2025</v>
      </c>
      <c r="C1441" s="2" t="str">
        <f t="shared" si="45"/>
        <v>Q3</v>
      </c>
      <c r="D1441" s="2" t="s">
        <v>31</v>
      </c>
      <c r="E1441" s="13">
        <v>45987</v>
      </c>
      <c r="F1441" s="14" t="s">
        <v>344</v>
      </c>
      <c r="G1441" s="14" t="s">
        <v>345</v>
      </c>
      <c r="H1441" s="14" t="s">
        <v>110</v>
      </c>
      <c r="I1441" s="15">
        <v>1</v>
      </c>
      <c r="J1441" s="15">
        <v>20</v>
      </c>
      <c r="K1441" s="15">
        <v>175.06</v>
      </c>
      <c r="L1441" s="15">
        <v>3501.2</v>
      </c>
      <c r="M1441" s="15">
        <v>-269.24</v>
      </c>
      <c r="N1441" s="15">
        <v>0</v>
      </c>
      <c r="O1441" s="15">
        <v>420.15483599999999</v>
      </c>
      <c r="P1441" s="15">
        <v>3652.1148360000002</v>
      </c>
    </row>
    <row r="1442" spans="1:16" ht="15" x14ac:dyDescent="0.2">
      <c r="A1442" s="4" t="s">
        <v>580</v>
      </c>
      <c r="B1442" s="21" t="str">
        <f t="shared" si="44"/>
        <v>Nov-2025</v>
      </c>
      <c r="C1442" s="2" t="str">
        <f t="shared" si="45"/>
        <v>Q3</v>
      </c>
      <c r="D1442" s="2" t="s">
        <v>31</v>
      </c>
      <c r="E1442" s="13">
        <v>45987</v>
      </c>
      <c r="F1442" s="14" t="s">
        <v>344</v>
      </c>
      <c r="G1442" s="14" t="s">
        <v>345</v>
      </c>
      <c r="H1442" s="14" t="s">
        <v>89</v>
      </c>
      <c r="I1442" s="15">
        <v>3</v>
      </c>
      <c r="J1442" s="15">
        <v>210</v>
      </c>
      <c r="K1442" s="15">
        <v>37.25</v>
      </c>
      <c r="L1442" s="15">
        <v>7822.5</v>
      </c>
      <c r="M1442" s="15">
        <v>-601.55000000000007</v>
      </c>
      <c r="N1442" s="15">
        <v>0</v>
      </c>
      <c r="O1442" s="15">
        <v>938.72357899999997</v>
      </c>
      <c r="P1442" s="15">
        <v>8159.6735790000002</v>
      </c>
    </row>
    <row r="1443" spans="1:16" ht="15" x14ac:dyDescent="0.2">
      <c r="A1443" s="4" t="s">
        <v>573</v>
      </c>
      <c r="B1443" s="21" t="str">
        <f t="shared" si="44"/>
        <v>Nov-2025</v>
      </c>
      <c r="C1443" s="2" t="str">
        <f t="shared" si="45"/>
        <v>Q3</v>
      </c>
      <c r="D1443" s="2" t="s">
        <v>31</v>
      </c>
      <c r="E1443" s="13">
        <v>45987</v>
      </c>
      <c r="F1443" s="14" t="s">
        <v>344</v>
      </c>
      <c r="G1443" s="14" t="s">
        <v>345</v>
      </c>
      <c r="H1443" s="14" t="s">
        <v>47</v>
      </c>
      <c r="I1443" s="15">
        <v>1</v>
      </c>
      <c r="J1443" s="15">
        <v>40</v>
      </c>
      <c r="K1443" s="15">
        <v>111.74</v>
      </c>
      <c r="L1443" s="15">
        <v>4469.6000000000004</v>
      </c>
      <c r="M1443" s="15">
        <v>-343.71</v>
      </c>
      <c r="N1443" s="15">
        <v>0</v>
      </c>
      <c r="O1443" s="15">
        <v>536.36574499999995</v>
      </c>
      <c r="P1443" s="15">
        <v>4662.2557450000004</v>
      </c>
    </row>
    <row r="1444" spans="1:16" ht="15" x14ac:dyDescent="0.2">
      <c r="A1444" s="4" t="s">
        <v>580</v>
      </c>
      <c r="B1444" s="21" t="str">
        <f t="shared" si="44"/>
        <v>Nov-2025</v>
      </c>
      <c r="C1444" s="2" t="str">
        <f t="shared" si="45"/>
        <v>Q3</v>
      </c>
      <c r="D1444" s="2" t="s">
        <v>31</v>
      </c>
      <c r="E1444" s="13">
        <v>45987</v>
      </c>
      <c r="F1444" s="14" t="s">
        <v>344</v>
      </c>
      <c r="G1444" s="14" t="s">
        <v>345</v>
      </c>
      <c r="H1444" s="14" t="s">
        <v>65</v>
      </c>
      <c r="I1444" s="15">
        <v>1</v>
      </c>
      <c r="J1444" s="15">
        <v>130</v>
      </c>
      <c r="K1444" s="15">
        <v>37.25</v>
      </c>
      <c r="L1444" s="15">
        <v>4842.5</v>
      </c>
      <c r="M1444" s="15">
        <v>-372.39</v>
      </c>
      <c r="N1444" s="15">
        <v>0</v>
      </c>
      <c r="O1444" s="15">
        <v>581.11434900000006</v>
      </c>
      <c r="P1444" s="15">
        <v>5051.2243490000001</v>
      </c>
    </row>
    <row r="1445" spans="1:16" ht="15" x14ac:dyDescent="0.2">
      <c r="A1445" s="4" t="s">
        <v>583</v>
      </c>
      <c r="B1445" s="21" t="str">
        <f t="shared" si="44"/>
        <v>Nov-2025</v>
      </c>
      <c r="C1445" s="2" t="str">
        <f t="shared" si="45"/>
        <v>Q3</v>
      </c>
      <c r="D1445" s="2" t="s">
        <v>31</v>
      </c>
      <c r="E1445" s="13">
        <v>45987</v>
      </c>
      <c r="F1445" s="14" t="s">
        <v>344</v>
      </c>
      <c r="G1445" s="14" t="s">
        <v>345</v>
      </c>
      <c r="H1445" s="14" t="s">
        <v>113</v>
      </c>
      <c r="I1445" s="15">
        <v>1</v>
      </c>
      <c r="J1445" s="15">
        <v>15</v>
      </c>
      <c r="K1445" s="15">
        <v>260.72000000000003</v>
      </c>
      <c r="L1445" s="15">
        <v>3910.8</v>
      </c>
      <c r="M1445" s="15">
        <v>-300.74</v>
      </c>
      <c r="N1445" s="15">
        <v>0</v>
      </c>
      <c r="O1445" s="15">
        <v>469.30784</v>
      </c>
      <c r="P1445" s="15">
        <v>4079.3678399999999</v>
      </c>
    </row>
    <row r="1446" spans="1:16" ht="15" x14ac:dyDescent="0.2">
      <c r="A1446" s="4" t="s">
        <v>583</v>
      </c>
      <c r="B1446" s="21" t="str">
        <f t="shared" si="44"/>
        <v>Nov-2025</v>
      </c>
      <c r="C1446" s="2" t="str">
        <f t="shared" si="45"/>
        <v>Q3</v>
      </c>
      <c r="D1446" s="2" t="s">
        <v>31</v>
      </c>
      <c r="E1446" s="13">
        <v>45987</v>
      </c>
      <c r="F1446" s="14" t="s">
        <v>346</v>
      </c>
      <c r="G1446" s="14" t="s">
        <v>347</v>
      </c>
      <c r="H1446" s="14" t="s">
        <v>109</v>
      </c>
      <c r="I1446" s="15">
        <v>1</v>
      </c>
      <c r="J1446" s="15">
        <v>15</v>
      </c>
      <c r="K1446" s="15">
        <v>260.72000000000003</v>
      </c>
      <c r="L1446" s="15">
        <v>3910.8</v>
      </c>
      <c r="M1446" s="15">
        <v>-300.74</v>
      </c>
      <c r="N1446" s="15">
        <v>0</v>
      </c>
      <c r="O1446" s="15">
        <v>469.30769500000002</v>
      </c>
      <c r="P1446" s="15">
        <v>4079.3676949999999</v>
      </c>
    </row>
    <row r="1447" spans="1:16" ht="15" x14ac:dyDescent="0.2">
      <c r="A1447" s="4" t="s">
        <v>590</v>
      </c>
      <c r="B1447" s="21" t="str">
        <f t="shared" si="44"/>
        <v>Nov-2025</v>
      </c>
      <c r="C1447" s="2" t="str">
        <f t="shared" si="45"/>
        <v>Q3</v>
      </c>
      <c r="D1447" s="2" t="s">
        <v>31</v>
      </c>
      <c r="E1447" s="13">
        <v>45987</v>
      </c>
      <c r="F1447" s="14" t="s">
        <v>346</v>
      </c>
      <c r="G1447" s="14" t="s">
        <v>347</v>
      </c>
      <c r="H1447" s="14" t="s">
        <v>102</v>
      </c>
      <c r="I1447" s="15">
        <v>5</v>
      </c>
      <c r="J1447" s="15">
        <v>100</v>
      </c>
      <c r="K1447" s="15">
        <v>249.55</v>
      </c>
      <c r="L1447" s="15">
        <v>24955</v>
      </c>
      <c r="M1447" s="15">
        <v>-1919.04</v>
      </c>
      <c r="N1447" s="15">
        <v>0</v>
      </c>
      <c r="O1447" s="15">
        <v>2994.6741280000001</v>
      </c>
      <c r="P1447" s="15">
        <v>26030.634128000002</v>
      </c>
    </row>
    <row r="1448" spans="1:16" ht="15" x14ac:dyDescent="0.2">
      <c r="A1448" s="4" t="s">
        <v>581</v>
      </c>
      <c r="B1448" s="21" t="str">
        <f t="shared" si="44"/>
        <v>Nov-2025</v>
      </c>
      <c r="C1448" s="2" t="str">
        <f t="shared" si="45"/>
        <v>Q3</v>
      </c>
      <c r="D1448" s="2" t="s">
        <v>31</v>
      </c>
      <c r="E1448" s="13">
        <v>45987</v>
      </c>
      <c r="F1448" s="14" t="s">
        <v>346</v>
      </c>
      <c r="G1448" s="14" t="s">
        <v>347</v>
      </c>
      <c r="H1448" s="14" t="s">
        <v>66</v>
      </c>
      <c r="I1448" s="15">
        <v>1</v>
      </c>
      <c r="J1448" s="15">
        <v>24</v>
      </c>
      <c r="K1448" s="15">
        <v>141.54</v>
      </c>
      <c r="L1448" s="15">
        <v>3396.96</v>
      </c>
      <c r="M1448" s="15">
        <v>-261.23</v>
      </c>
      <c r="N1448" s="15">
        <v>0</v>
      </c>
      <c r="O1448" s="15">
        <v>407.64480900000001</v>
      </c>
      <c r="P1448" s="15">
        <v>3543.3748089999999</v>
      </c>
    </row>
    <row r="1449" spans="1:16" ht="15" x14ac:dyDescent="0.2">
      <c r="A1449" s="4" t="s">
        <v>579</v>
      </c>
      <c r="B1449" s="21" t="str">
        <f t="shared" si="44"/>
        <v>Nov-2025</v>
      </c>
      <c r="C1449" s="2" t="str">
        <f t="shared" si="45"/>
        <v>Q3</v>
      </c>
      <c r="D1449" s="2" t="s">
        <v>31</v>
      </c>
      <c r="E1449" s="13">
        <v>45987</v>
      </c>
      <c r="F1449" s="14" t="s">
        <v>346</v>
      </c>
      <c r="G1449" s="14" t="s">
        <v>347</v>
      </c>
      <c r="H1449" s="14" t="s">
        <v>112</v>
      </c>
      <c r="I1449" s="15">
        <v>1</v>
      </c>
      <c r="J1449" s="15">
        <v>20</v>
      </c>
      <c r="K1449" s="15">
        <v>204.85</v>
      </c>
      <c r="L1449" s="15">
        <v>4097</v>
      </c>
      <c r="M1449" s="15">
        <v>-315.06</v>
      </c>
      <c r="N1449" s="15">
        <v>0</v>
      </c>
      <c r="O1449" s="15">
        <v>491.65209000000004</v>
      </c>
      <c r="P1449" s="15">
        <v>4273.5920900000001</v>
      </c>
    </row>
    <row r="1450" spans="1:16" ht="15" x14ac:dyDescent="0.2">
      <c r="A1450" s="4" t="s">
        <v>584</v>
      </c>
      <c r="B1450" s="21" t="str">
        <f t="shared" si="44"/>
        <v>Nov-2025</v>
      </c>
      <c r="C1450" s="2" t="str">
        <f t="shared" si="45"/>
        <v>Q3</v>
      </c>
      <c r="D1450" s="2" t="s">
        <v>31</v>
      </c>
      <c r="E1450" s="13">
        <v>45987</v>
      </c>
      <c r="F1450" s="14" t="s">
        <v>346</v>
      </c>
      <c r="G1450" s="14" t="s">
        <v>347</v>
      </c>
      <c r="H1450" s="14" t="s">
        <v>120</v>
      </c>
      <c r="I1450" s="15">
        <v>1</v>
      </c>
      <c r="J1450" s="15">
        <v>40</v>
      </c>
      <c r="K1450" s="15">
        <v>81.94</v>
      </c>
      <c r="L1450" s="15">
        <v>3277.6</v>
      </c>
      <c r="M1450" s="15">
        <v>-252.05</v>
      </c>
      <c r="N1450" s="15">
        <v>0</v>
      </c>
      <c r="O1450" s="15">
        <v>393.32141200000001</v>
      </c>
      <c r="P1450" s="15">
        <v>3418.871412</v>
      </c>
    </row>
    <row r="1451" spans="1:16" ht="15" x14ac:dyDescent="0.2">
      <c r="A1451" s="4" t="s">
        <v>593</v>
      </c>
      <c r="B1451" s="21" t="str">
        <f t="shared" si="44"/>
        <v>Nov-2025</v>
      </c>
      <c r="C1451" s="2" t="str">
        <f t="shared" si="45"/>
        <v>Q3</v>
      </c>
      <c r="D1451" s="2" t="s">
        <v>31</v>
      </c>
      <c r="E1451" s="13">
        <v>45987</v>
      </c>
      <c r="F1451" s="14" t="s">
        <v>346</v>
      </c>
      <c r="G1451" s="14" t="s">
        <v>347</v>
      </c>
      <c r="H1451" s="14" t="s">
        <v>117</v>
      </c>
      <c r="I1451" s="15">
        <v>10</v>
      </c>
      <c r="J1451" s="15">
        <v>40</v>
      </c>
      <c r="K1451" s="15">
        <v>595.92999999999995</v>
      </c>
      <c r="L1451" s="15">
        <v>23837.200000000001</v>
      </c>
      <c r="M1451" s="15">
        <v>-1833.08</v>
      </c>
      <c r="N1451" s="15">
        <v>0</v>
      </c>
      <c r="O1451" s="15">
        <v>2860.5349579999997</v>
      </c>
      <c r="P1451" s="15">
        <v>24864.654957999999</v>
      </c>
    </row>
    <row r="1452" spans="1:16" ht="15" x14ac:dyDescent="0.2">
      <c r="A1452" s="4" t="s">
        <v>576</v>
      </c>
      <c r="B1452" s="21" t="str">
        <f t="shared" si="44"/>
        <v>Nov-2025</v>
      </c>
      <c r="C1452" s="2" t="str">
        <f t="shared" si="45"/>
        <v>Q3</v>
      </c>
      <c r="D1452" s="2" t="s">
        <v>31</v>
      </c>
      <c r="E1452" s="13">
        <v>45987</v>
      </c>
      <c r="F1452" s="14" t="s">
        <v>346</v>
      </c>
      <c r="G1452" s="14" t="s">
        <v>347</v>
      </c>
      <c r="H1452" s="14" t="s">
        <v>110</v>
      </c>
      <c r="I1452" s="15">
        <v>1</v>
      </c>
      <c r="J1452" s="15">
        <v>20</v>
      </c>
      <c r="K1452" s="15">
        <v>175.06</v>
      </c>
      <c r="L1452" s="15">
        <v>3501.2</v>
      </c>
      <c r="M1452" s="15">
        <v>-269.24</v>
      </c>
      <c r="N1452" s="15">
        <v>0</v>
      </c>
      <c r="O1452" s="15">
        <v>420.15470599999998</v>
      </c>
      <c r="P1452" s="15">
        <v>3652.1147059999998</v>
      </c>
    </row>
    <row r="1453" spans="1:16" ht="15" x14ac:dyDescent="0.2">
      <c r="A1453" s="4" t="s">
        <v>582</v>
      </c>
      <c r="B1453" s="21" t="str">
        <f t="shared" si="44"/>
        <v>Nov-2025</v>
      </c>
      <c r="C1453" s="2" t="str">
        <f t="shared" si="45"/>
        <v>Q3</v>
      </c>
      <c r="D1453" s="2" t="s">
        <v>31</v>
      </c>
      <c r="E1453" s="13">
        <v>45987</v>
      </c>
      <c r="F1453" s="14" t="s">
        <v>346</v>
      </c>
      <c r="G1453" s="14" t="s">
        <v>347</v>
      </c>
      <c r="H1453" s="14" t="s">
        <v>108</v>
      </c>
      <c r="I1453" s="15">
        <v>1</v>
      </c>
      <c r="J1453" s="15">
        <v>24</v>
      </c>
      <c r="K1453" s="15">
        <v>186.22</v>
      </c>
      <c r="L1453" s="15">
        <v>4469.28</v>
      </c>
      <c r="M1453" s="15">
        <v>-343.69</v>
      </c>
      <c r="N1453" s="15">
        <v>0</v>
      </c>
      <c r="O1453" s="15">
        <v>536.32658000000004</v>
      </c>
      <c r="P1453" s="15">
        <v>4661.9165800000001</v>
      </c>
    </row>
    <row r="1454" spans="1:16" ht="15" x14ac:dyDescent="0.2">
      <c r="A1454" s="4" t="s">
        <v>580</v>
      </c>
      <c r="B1454" s="21" t="str">
        <f t="shared" si="44"/>
        <v>Nov-2025</v>
      </c>
      <c r="C1454" s="2" t="str">
        <f t="shared" si="45"/>
        <v>Q3</v>
      </c>
      <c r="D1454" s="2" t="s">
        <v>31</v>
      </c>
      <c r="E1454" s="13">
        <v>45987</v>
      </c>
      <c r="F1454" s="14" t="s">
        <v>346</v>
      </c>
      <c r="G1454" s="14" t="s">
        <v>347</v>
      </c>
      <c r="H1454" s="14" t="s">
        <v>65</v>
      </c>
      <c r="I1454" s="15">
        <v>1</v>
      </c>
      <c r="J1454" s="15">
        <v>130</v>
      </c>
      <c r="K1454" s="15">
        <v>37.25</v>
      </c>
      <c r="L1454" s="15">
        <v>4842.5</v>
      </c>
      <c r="M1454" s="15">
        <v>-372.39</v>
      </c>
      <c r="N1454" s="15">
        <v>0</v>
      </c>
      <c r="O1454" s="15">
        <v>581.11417000000006</v>
      </c>
      <c r="P1454" s="15">
        <v>5051.2241700000004</v>
      </c>
    </row>
    <row r="1455" spans="1:16" ht="15" x14ac:dyDescent="0.2">
      <c r="A1455" s="4" t="s">
        <v>573</v>
      </c>
      <c r="B1455" s="21" t="str">
        <f t="shared" si="44"/>
        <v>Nov-2025</v>
      </c>
      <c r="C1455" s="2" t="str">
        <f t="shared" si="45"/>
        <v>Q3</v>
      </c>
      <c r="D1455" s="2" t="s">
        <v>31</v>
      </c>
      <c r="E1455" s="13">
        <v>45987</v>
      </c>
      <c r="F1455" s="14" t="s">
        <v>346</v>
      </c>
      <c r="G1455" s="14" t="s">
        <v>347</v>
      </c>
      <c r="H1455" s="14" t="s">
        <v>47</v>
      </c>
      <c r="I1455" s="15">
        <v>1</v>
      </c>
      <c r="J1455" s="15">
        <v>40</v>
      </c>
      <c r="K1455" s="15">
        <v>111.74</v>
      </c>
      <c r="L1455" s="15">
        <v>4469.6000000000004</v>
      </c>
      <c r="M1455" s="15">
        <v>-343.71</v>
      </c>
      <c r="N1455" s="15">
        <v>0</v>
      </c>
      <c r="O1455" s="15">
        <v>536.36558000000002</v>
      </c>
      <c r="P1455" s="15">
        <v>4662.25558</v>
      </c>
    </row>
    <row r="1456" spans="1:16" ht="15" x14ac:dyDescent="0.2">
      <c r="A1456" s="4" t="s">
        <v>584</v>
      </c>
      <c r="B1456" s="21" t="str">
        <f t="shared" si="44"/>
        <v>Nov-2025</v>
      </c>
      <c r="C1456" s="2" t="str">
        <f t="shared" si="45"/>
        <v>Q3</v>
      </c>
      <c r="D1456" s="2" t="s">
        <v>31</v>
      </c>
      <c r="E1456" s="13">
        <v>45987</v>
      </c>
      <c r="F1456" s="14" t="s">
        <v>346</v>
      </c>
      <c r="G1456" s="14" t="s">
        <v>347</v>
      </c>
      <c r="H1456" s="14" t="s">
        <v>99</v>
      </c>
      <c r="I1456" s="15">
        <v>1</v>
      </c>
      <c r="J1456" s="15">
        <v>40</v>
      </c>
      <c r="K1456" s="15">
        <v>81.94</v>
      </c>
      <c r="L1456" s="15">
        <v>3277.6</v>
      </c>
      <c r="M1456" s="15">
        <v>-252.05</v>
      </c>
      <c r="N1456" s="15">
        <v>0</v>
      </c>
      <c r="O1456" s="15">
        <v>393.32141200000001</v>
      </c>
      <c r="P1456" s="15">
        <v>3418.871412</v>
      </c>
    </row>
    <row r="1457" spans="1:16" ht="15" x14ac:dyDescent="0.2">
      <c r="A1457" s="4" t="s">
        <v>583</v>
      </c>
      <c r="B1457" s="21" t="str">
        <f t="shared" si="44"/>
        <v>Nov-2025</v>
      </c>
      <c r="C1457" s="2" t="str">
        <f t="shared" si="45"/>
        <v>Q3</v>
      </c>
      <c r="D1457" s="2" t="s">
        <v>31</v>
      </c>
      <c r="E1457" s="13">
        <v>45987</v>
      </c>
      <c r="F1457" s="14" t="s">
        <v>346</v>
      </c>
      <c r="G1457" s="14" t="s">
        <v>347</v>
      </c>
      <c r="H1457" s="14" t="s">
        <v>113</v>
      </c>
      <c r="I1457" s="15">
        <v>1</v>
      </c>
      <c r="J1457" s="15">
        <v>15</v>
      </c>
      <c r="K1457" s="15">
        <v>260.72000000000003</v>
      </c>
      <c r="L1457" s="15">
        <v>3910.8</v>
      </c>
      <c r="M1457" s="15">
        <v>-300.74</v>
      </c>
      <c r="N1457" s="15">
        <v>0</v>
      </c>
      <c r="O1457" s="15">
        <v>469.30769500000002</v>
      </c>
      <c r="P1457" s="15">
        <v>4079.3676949999999</v>
      </c>
    </row>
    <row r="1458" spans="1:16" ht="15" x14ac:dyDescent="0.2">
      <c r="A1458" s="4" t="s">
        <v>579</v>
      </c>
      <c r="B1458" s="21" t="str">
        <f t="shared" si="44"/>
        <v>Nov-2025</v>
      </c>
      <c r="C1458" s="2" t="str">
        <f t="shared" si="45"/>
        <v>Q3</v>
      </c>
      <c r="D1458" s="2" t="s">
        <v>31</v>
      </c>
      <c r="E1458" s="13">
        <v>45987</v>
      </c>
      <c r="F1458" s="14" t="s">
        <v>346</v>
      </c>
      <c r="G1458" s="14" t="s">
        <v>347</v>
      </c>
      <c r="H1458" s="14" t="s">
        <v>92</v>
      </c>
      <c r="I1458" s="15">
        <v>1</v>
      </c>
      <c r="J1458" s="15">
        <v>20</v>
      </c>
      <c r="K1458" s="15">
        <v>242.1</v>
      </c>
      <c r="L1458" s="15">
        <v>4841.9999999999991</v>
      </c>
      <c r="M1458" s="15">
        <v>-372.35</v>
      </c>
      <c r="N1458" s="15">
        <v>0</v>
      </c>
      <c r="O1458" s="15">
        <v>581.05436999999995</v>
      </c>
      <c r="P1458" s="15">
        <v>5050.7043700000004</v>
      </c>
    </row>
    <row r="1459" spans="1:16" ht="15" x14ac:dyDescent="0.2">
      <c r="A1459" s="4" t="s">
        <v>585</v>
      </c>
      <c r="B1459" s="21" t="str">
        <f t="shared" si="44"/>
        <v>Nov-2025</v>
      </c>
      <c r="C1459" s="2" t="str">
        <f t="shared" si="45"/>
        <v>Q3</v>
      </c>
      <c r="D1459" s="2" t="s">
        <v>31</v>
      </c>
      <c r="E1459" s="13">
        <v>45987</v>
      </c>
      <c r="F1459" s="14" t="s">
        <v>346</v>
      </c>
      <c r="G1459" s="14" t="s">
        <v>347</v>
      </c>
      <c r="H1459" s="14" t="s">
        <v>180</v>
      </c>
      <c r="I1459" s="15">
        <v>1</v>
      </c>
      <c r="J1459" s="15">
        <v>1000</v>
      </c>
      <c r="K1459" s="15">
        <v>1.86</v>
      </c>
      <c r="L1459" s="15">
        <v>1860</v>
      </c>
      <c r="M1459" s="15">
        <v>-143.03</v>
      </c>
      <c r="N1459" s="15">
        <v>0</v>
      </c>
      <c r="O1459" s="15">
        <v>223.20605</v>
      </c>
      <c r="P1459" s="15">
        <v>1940.17605</v>
      </c>
    </row>
    <row r="1460" spans="1:16" ht="15" x14ac:dyDescent="0.2">
      <c r="A1460" s="4" t="s">
        <v>576</v>
      </c>
      <c r="B1460" s="21" t="str">
        <f t="shared" si="44"/>
        <v>Nov-2025</v>
      </c>
      <c r="C1460" s="2" t="str">
        <f t="shared" si="45"/>
        <v>Q3</v>
      </c>
      <c r="D1460" s="2" t="s">
        <v>31</v>
      </c>
      <c r="E1460" s="13">
        <v>45987</v>
      </c>
      <c r="F1460" s="14" t="s">
        <v>346</v>
      </c>
      <c r="G1460" s="14" t="s">
        <v>347</v>
      </c>
      <c r="H1460" s="14" t="s">
        <v>124</v>
      </c>
      <c r="I1460" s="15">
        <v>1</v>
      </c>
      <c r="J1460" s="15">
        <v>20</v>
      </c>
      <c r="K1460" s="15">
        <v>175.06</v>
      </c>
      <c r="L1460" s="15">
        <v>3501.2</v>
      </c>
      <c r="M1460" s="15">
        <v>-269.24</v>
      </c>
      <c r="N1460" s="15">
        <v>0</v>
      </c>
      <c r="O1460" s="15">
        <v>420.15470599999998</v>
      </c>
      <c r="P1460" s="15">
        <v>3652.1147059999998</v>
      </c>
    </row>
    <row r="1461" spans="1:16" ht="15" x14ac:dyDescent="0.2">
      <c r="A1461" s="4" t="s">
        <v>576</v>
      </c>
      <c r="B1461" s="21" t="str">
        <f t="shared" si="44"/>
        <v>Nov-2025</v>
      </c>
      <c r="C1461" s="2" t="str">
        <f t="shared" si="45"/>
        <v>Q3</v>
      </c>
      <c r="D1461" s="2" t="s">
        <v>31</v>
      </c>
      <c r="E1461" s="13">
        <v>45987</v>
      </c>
      <c r="F1461" s="14" t="s">
        <v>346</v>
      </c>
      <c r="G1461" s="14" t="s">
        <v>347</v>
      </c>
      <c r="H1461" s="14" t="s">
        <v>123</v>
      </c>
      <c r="I1461" s="15">
        <v>1</v>
      </c>
      <c r="J1461" s="15">
        <v>20</v>
      </c>
      <c r="K1461" s="15">
        <v>175.06</v>
      </c>
      <c r="L1461" s="15">
        <v>3501.2</v>
      </c>
      <c r="M1461" s="15">
        <v>-269.24</v>
      </c>
      <c r="N1461" s="15">
        <v>0</v>
      </c>
      <c r="O1461" s="15">
        <v>420.15470599999998</v>
      </c>
      <c r="P1461" s="15">
        <v>3652.1147059999998</v>
      </c>
    </row>
    <row r="1462" spans="1:16" ht="15" x14ac:dyDescent="0.2">
      <c r="A1462" s="4" t="s">
        <v>573</v>
      </c>
      <c r="B1462" s="21" t="str">
        <f t="shared" si="44"/>
        <v>Nov-2025</v>
      </c>
      <c r="C1462" s="2" t="str">
        <f t="shared" si="45"/>
        <v>Q3</v>
      </c>
      <c r="D1462" s="2" t="s">
        <v>31</v>
      </c>
      <c r="E1462" s="13">
        <v>45987</v>
      </c>
      <c r="F1462" s="14" t="s">
        <v>346</v>
      </c>
      <c r="G1462" s="14" t="s">
        <v>347</v>
      </c>
      <c r="H1462" s="14" t="s">
        <v>136</v>
      </c>
      <c r="I1462" s="15">
        <v>1</v>
      </c>
      <c r="J1462" s="15">
        <v>40</v>
      </c>
      <c r="K1462" s="15">
        <v>111.74</v>
      </c>
      <c r="L1462" s="15">
        <v>4469.6000000000004</v>
      </c>
      <c r="M1462" s="15">
        <v>-343.71</v>
      </c>
      <c r="N1462" s="15">
        <v>0</v>
      </c>
      <c r="O1462" s="15">
        <v>536.36558000000002</v>
      </c>
      <c r="P1462" s="15">
        <v>4662.25558</v>
      </c>
    </row>
    <row r="1463" spans="1:16" ht="15" x14ac:dyDescent="0.2">
      <c r="A1463" s="4" t="s">
        <v>573</v>
      </c>
      <c r="B1463" s="21" t="str">
        <f t="shared" si="44"/>
        <v>Nov-2025</v>
      </c>
      <c r="C1463" s="2" t="str">
        <f t="shared" si="45"/>
        <v>Q3</v>
      </c>
      <c r="D1463" s="2" t="s">
        <v>31</v>
      </c>
      <c r="E1463" s="13">
        <v>45987</v>
      </c>
      <c r="F1463" s="14" t="s">
        <v>346</v>
      </c>
      <c r="G1463" s="14" t="s">
        <v>347</v>
      </c>
      <c r="H1463" s="14" t="s">
        <v>111</v>
      </c>
      <c r="I1463" s="15">
        <v>1</v>
      </c>
      <c r="J1463" s="15">
        <v>40</v>
      </c>
      <c r="K1463" s="15">
        <v>111.74</v>
      </c>
      <c r="L1463" s="15">
        <v>4469.6000000000004</v>
      </c>
      <c r="M1463" s="15">
        <v>-343.71</v>
      </c>
      <c r="N1463" s="15">
        <v>0</v>
      </c>
      <c r="O1463" s="15">
        <v>536.36558000000002</v>
      </c>
      <c r="P1463" s="15">
        <v>4662.25558</v>
      </c>
    </row>
    <row r="1464" spans="1:16" ht="15" x14ac:dyDescent="0.2">
      <c r="A1464" s="4" t="s">
        <v>582</v>
      </c>
      <c r="B1464" s="21" t="str">
        <f t="shared" si="44"/>
        <v>Nov-2025</v>
      </c>
      <c r="C1464" s="2" t="str">
        <f t="shared" si="45"/>
        <v>Q3</v>
      </c>
      <c r="D1464" s="2" t="s">
        <v>31</v>
      </c>
      <c r="E1464" s="13">
        <v>45987</v>
      </c>
      <c r="F1464" s="14" t="s">
        <v>346</v>
      </c>
      <c r="G1464" s="14" t="s">
        <v>347</v>
      </c>
      <c r="H1464" s="14" t="s">
        <v>101</v>
      </c>
      <c r="I1464" s="15">
        <v>1</v>
      </c>
      <c r="J1464" s="15">
        <v>24</v>
      </c>
      <c r="K1464" s="15">
        <v>186.22</v>
      </c>
      <c r="L1464" s="15">
        <v>4469.28</v>
      </c>
      <c r="M1464" s="15">
        <v>-343.69</v>
      </c>
      <c r="N1464" s="15">
        <v>0</v>
      </c>
      <c r="O1464" s="15">
        <v>536.32658000000004</v>
      </c>
      <c r="P1464" s="15">
        <v>4661.9165800000001</v>
      </c>
    </row>
    <row r="1465" spans="1:16" ht="15" x14ac:dyDescent="0.2">
      <c r="A1465" s="4" t="s">
        <v>580</v>
      </c>
      <c r="B1465" s="21" t="str">
        <f t="shared" si="44"/>
        <v>Nov-2025</v>
      </c>
      <c r="C1465" s="2" t="str">
        <f t="shared" si="45"/>
        <v>Q3</v>
      </c>
      <c r="D1465" s="2" t="s">
        <v>31</v>
      </c>
      <c r="E1465" s="13">
        <v>45987</v>
      </c>
      <c r="F1465" s="14" t="s">
        <v>346</v>
      </c>
      <c r="G1465" s="14" t="s">
        <v>347</v>
      </c>
      <c r="H1465" s="14" t="s">
        <v>89</v>
      </c>
      <c r="I1465" s="15">
        <v>10</v>
      </c>
      <c r="J1465" s="15">
        <v>700</v>
      </c>
      <c r="K1465" s="15">
        <v>37.25</v>
      </c>
      <c r="L1465" s="15">
        <v>26075</v>
      </c>
      <c r="M1465" s="15">
        <v>-2005.1699999999998</v>
      </c>
      <c r="N1465" s="15">
        <v>0</v>
      </c>
      <c r="O1465" s="15">
        <v>3129.077198</v>
      </c>
      <c r="P1465" s="15">
        <v>27198.907198000001</v>
      </c>
    </row>
    <row r="1466" spans="1:16" ht="15" x14ac:dyDescent="0.2">
      <c r="A1466" s="4" t="s">
        <v>576</v>
      </c>
      <c r="B1466" s="21" t="str">
        <f t="shared" si="44"/>
        <v>Nov-2025</v>
      </c>
      <c r="C1466" s="2" t="str">
        <f t="shared" si="45"/>
        <v>Q3</v>
      </c>
      <c r="D1466" s="2" t="s">
        <v>31</v>
      </c>
      <c r="E1466" s="13">
        <v>45987</v>
      </c>
      <c r="F1466" s="14" t="s">
        <v>348</v>
      </c>
      <c r="G1466" s="14" t="s">
        <v>187</v>
      </c>
      <c r="H1466" s="14" t="s">
        <v>110</v>
      </c>
      <c r="I1466" s="15">
        <v>5</v>
      </c>
      <c r="J1466" s="15">
        <v>100</v>
      </c>
      <c r="K1466" s="15">
        <v>175.06</v>
      </c>
      <c r="L1466" s="15">
        <v>17506</v>
      </c>
      <c r="M1466" s="15">
        <v>-1346.21</v>
      </c>
      <c r="N1466" s="15">
        <v>0</v>
      </c>
      <c r="O1466" s="15">
        <v>2100.7716740000001</v>
      </c>
      <c r="P1466" s="15">
        <v>18260.561674</v>
      </c>
    </row>
    <row r="1467" spans="1:16" ht="15" x14ac:dyDescent="0.2">
      <c r="A1467" s="4" t="s">
        <v>583</v>
      </c>
      <c r="B1467" s="21" t="str">
        <f t="shared" si="44"/>
        <v>Nov-2025</v>
      </c>
      <c r="C1467" s="2" t="str">
        <f t="shared" si="45"/>
        <v>Q3</v>
      </c>
      <c r="D1467" s="2" t="s">
        <v>31</v>
      </c>
      <c r="E1467" s="13">
        <v>45987</v>
      </c>
      <c r="F1467" s="14" t="s">
        <v>348</v>
      </c>
      <c r="G1467" s="14" t="s">
        <v>187</v>
      </c>
      <c r="H1467" s="14" t="s">
        <v>113</v>
      </c>
      <c r="I1467" s="15">
        <v>10</v>
      </c>
      <c r="J1467" s="15">
        <v>150</v>
      </c>
      <c r="K1467" s="15">
        <v>260.72000000000003</v>
      </c>
      <c r="L1467" s="15">
        <v>39108</v>
      </c>
      <c r="M1467" s="15">
        <v>-3007.4100000000003</v>
      </c>
      <c r="N1467" s="15">
        <v>0</v>
      </c>
      <c r="O1467" s="15">
        <v>4693.0744070000001</v>
      </c>
      <c r="P1467" s="15">
        <v>40793.664406999997</v>
      </c>
    </row>
    <row r="1468" spans="1:16" ht="15" x14ac:dyDescent="0.2">
      <c r="A1468" s="4" t="s">
        <v>579</v>
      </c>
      <c r="B1468" s="21" t="str">
        <f t="shared" si="44"/>
        <v>Nov-2025</v>
      </c>
      <c r="C1468" s="2" t="str">
        <f t="shared" si="45"/>
        <v>Q3</v>
      </c>
      <c r="D1468" s="2" t="s">
        <v>31</v>
      </c>
      <c r="E1468" s="13">
        <v>45987</v>
      </c>
      <c r="F1468" s="14" t="s">
        <v>348</v>
      </c>
      <c r="G1468" s="14" t="s">
        <v>187</v>
      </c>
      <c r="H1468" s="14" t="s">
        <v>90</v>
      </c>
      <c r="I1468" s="15">
        <v>2</v>
      </c>
      <c r="J1468" s="15">
        <v>40</v>
      </c>
      <c r="K1468" s="15">
        <v>204.85</v>
      </c>
      <c r="L1468" s="15">
        <v>8194</v>
      </c>
      <c r="M1468" s="15">
        <v>-630.12</v>
      </c>
      <c r="N1468" s="15">
        <v>0</v>
      </c>
      <c r="O1468" s="15">
        <v>983.30392000000006</v>
      </c>
      <c r="P1468" s="15">
        <v>8547.1839199999995</v>
      </c>
    </row>
    <row r="1469" spans="1:16" ht="15" x14ac:dyDescent="0.2">
      <c r="A1469" s="4" t="s">
        <v>593</v>
      </c>
      <c r="B1469" s="21" t="str">
        <f t="shared" si="44"/>
        <v>Nov-2025</v>
      </c>
      <c r="C1469" s="2" t="str">
        <f t="shared" si="45"/>
        <v>Q3</v>
      </c>
      <c r="D1469" s="2" t="s">
        <v>31</v>
      </c>
      <c r="E1469" s="13">
        <v>45988</v>
      </c>
      <c r="F1469" s="14" t="s">
        <v>349</v>
      </c>
      <c r="G1469" s="14" t="s">
        <v>80</v>
      </c>
      <c r="H1469" s="14" t="s">
        <v>117</v>
      </c>
      <c r="I1469" s="15">
        <v>0.25</v>
      </c>
      <c r="J1469" s="15">
        <v>1</v>
      </c>
      <c r="K1469" s="15">
        <v>595.92999999999995</v>
      </c>
      <c r="L1469" s="15">
        <v>595.92999999999995</v>
      </c>
      <c r="M1469" s="15">
        <v>-45.83</v>
      </c>
      <c r="N1469" s="15">
        <v>0</v>
      </c>
      <c r="O1469" s="15">
        <v>71.512127000000007</v>
      </c>
      <c r="P1469" s="15">
        <v>621.61212699999999</v>
      </c>
    </row>
    <row r="1470" spans="1:16" ht="15" x14ac:dyDescent="0.2">
      <c r="A1470" s="4" t="s">
        <v>577</v>
      </c>
      <c r="B1470" s="21" t="str">
        <f t="shared" si="44"/>
        <v>Nov-2025</v>
      </c>
      <c r="C1470" s="2" t="str">
        <f t="shared" si="45"/>
        <v>Q3</v>
      </c>
      <c r="D1470" s="2" t="s">
        <v>31</v>
      </c>
      <c r="E1470" s="13">
        <v>45988</v>
      </c>
      <c r="F1470" s="14" t="s">
        <v>349</v>
      </c>
      <c r="G1470" s="14" t="s">
        <v>80</v>
      </c>
      <c r="H1470" s="14" t="s">
        <v>57</v>
      </c>
      <c r="I1470" s="15">
        <v>0.01</v>
      </c>
      <c r="J1470" s="15">
        <v>1</v>
      </c>
      <c r="K1470" s="15">
        <v>18.62</v>
      </c>
      <c r="L1470" s="15">
        <v>18.62</v>
      </c>
      <c r="M1470" s="15">
        <v>-1.43</v>
      </c>
      <c r="N1470" s="15">
        <v>0</v>
      </c>
      <c r="O1470" s="15">
        <v>2.2346729999999999</v>
      </c>
      <c r="P1470" s="15">
        <v>19.424672999999999</v>
      </c>
    </row>
    <row r="1471" spans="1:16" ht="15" x14ac:dyDescent="0.2">
      <c r="A1471" s="4" t="s">
        <v>584</v>
      </c>
      <c r="B1471" s="21" t="str">
        <f t="shared" si="44"/>
        <v>Nov-2025</v>
      </c>
      <c r="C1471" s="2" t="str">
        <f t="shared" si="45"/>
        <v>Q3</v>
      </c>
      <c r="D1471" s="2" t="s">
        <v>31</v>
      </c>
      <c r="E1471" s="13">
        <v>45988</v>
      </c>
      <c r="F1471" s="14" t="s">
        <v>349</v>
      </c>
      <c r="G1471" s="14" t="s">
        <v>80</v>
      </c>
      <c r="H1471" s="14" t="s">
        <v>100</v>
      </c>
      <c r="I1471" s="15">
        <v>0.03</v>
      </c>
      <c r="J1471" s="15">
        <v>1</v>
      </c>
      <c r="K1471" s="15">
        <v>81.94</v>
      </c>
      <c r="L1471" s="15">
        <v>81.94</v>
      </c>
      <c r="M1471" s="15">
        <v>-6.3</v>
      </c>
      <c r="N1471" s="15">
        <v>0</v>
      </c>
      <c r="O1471" s="15">
        <v>9.8330800000000007</v>
      </c>
      <c r="P1471" s="15">
        <v>85.473079999999996</v>
      </c>
    </row>
    <row r="1472" spans="1:16" ht="15" x14ac:dyDescent="0.2">
      <c r="A1472" s="4" t="s">
        <v>584</v>
      </c>
      <c r="B1472" s="21" t="str">
        <f t="shared" si="44"/>
        <v>Nov-2025</v>
      </c>
      <c r="C1472" s="2" t="str">
        <f t="shared" si="45"/>
        <v>Q3</v>
      </c>
      <c r="D1472" s="2" t="s">
        <v>31</v>
      </c>
      <c r="E1472" s="13">
        <v>45988</v>
      </c>
      <c r="F1472" s="14" t="s">
        <v>349</v>
      </c>
      <c r="G1472" s="14" t="s">
        <v>80</v>
      </c>
      <c r="H1472" s="14" t="s">
        <v>120</v>
      </c>
      <c r="I1472" s="15">
        <v>0.03</v>
      </c>
      <c r="J1472" s="15">
        <v>1</v>
      </c>
      <c r="K1472" s="15">
        <v>81.94</v>
      </c>
      <c r="L1472" s="15">
        <v>81.94</v>
      </c>
      <c r="M1472" s="15">
        <v>-6.3</v>
      </c>
      <c r="N1472" s="15">
        <v>0</v>
      </c>
      <c r="O1472" s="15">
        <v>9.8330800000000007</v>
      </c>
      <c r="P1472" s="15">
        <v>85.473079999999996</v>
      </c>
    </row>
    <row r="1473" spans="1:16" ht="15" x14ac:dyDescent="0.2">
      <c r="A1473" s="4" t="s">
        <v>587</v>
      </c>
      <c r="B1473" s="21" t="str">
        <f t="shared" si="44"/>
        <v>Nov-2025</v>
      </c>
      <c r="C1473" s="2" t="str">
        <f t="shared" si="45"/>
        <v>Q3</v>
      </c>
      <c r="D1473" s="2" t="s">
        <v>31</v>
      </c>
      <c r="E1473" s="13">
        <v>45988</v>
      </c>
      <c r="F1473" s="14" t="s">
        <v>349</v>
      </c>
      <c r="G1473" s="14" t="s">
        <v>80</v>
      </c>
      <c r="H1473" s="14" t="s">
        <v>94</v>
      </c>
      <c r="I1473" s="15">
        <v>0.02</v>
      </c>
      <c r="J1473" s="15">
        <v>1</v>
      </c>
      <c r="K1473" s="15">
        <v>111.74</v>
      </c>
      <c r="L1473" s="15">
        <v>111.74</v>
      </c>
      <c r="M1473" s="15">
        <v>-8.59</v>
      </c>
      <c r="N1473" s="15">
        <v>0</v>
      </c>
      <c r="O1473" s="15">
        <v>13.409336</v>
      </c>
      <c r="P1473" s="15">
        <v>116.559336</v>
      </c>
    </row>
    <row r="1474" spans="1:16" ht="15" x14ac:dyDescent="0.2">
      <c r="A1474" s="4" t="s">
        <v>581</v>
      </c>
      <c r="B1474" s="21" t="str">
        <f t="shared" si="44"/>
        <v>Nov-2025</v>
      </c>
      <c r="C1474" s="2" t="str">
        <f t="shared" si="45"/>
        <v>Q3</v>
      </c>
      <c r="D1474" s="2" t="s">
        <v>31</v>
      </c>
      <c r="E1474" s="13">
        <v>45988</v>
      </c>
      <c r="F1474" s="14" t="s">
        <v>349</v>
      </c>
      <c r="G1474" s="14" t="s">
        <v>80</v>
      </c>
      <c r="H1474" s="14" t="s">
        <v>96</v>
      </c>
      <c r="I1474" s="15">
        <v>0.03</v>
      </c>
      <c r="J1474" s="15">
        <v>1</v>
      </c>
      <c r="K1474" s="15">
        <v>67.040000000000006</v>
      </c>
      <c r="L1474" s="15">
        <v>67.040000000000006</v>
      </c>
      <c r="M1474" s="15">
        <v>-5.16</v>
      </c>
      <c r="N1474" s="15">
        <v>0</v>
      </c>
      <c r="O1474" s="15">
        <v>8.0443020000000001</v>
      </c>
      <c r="P1474" s="15">
        <v>69.924301999999997</v>
      </c>
    </row>
    <row r="1475" spans="1:16" ht="15" x14ac:dyDescent="0.2">
      <c r="A1475" s="4" t="s">
        <v>589</v>
      </c>
      <c r="B1475" s="21" t="str">
        <f t="shared" ref="B1475:B1538" si="46">+TEXT(E1475,"MMM-yyy")</f>
        <v>Nov-2025</v>
      </c>
      <c r="C1475" s="2" t="str">
        <f t="shared" ref="C1475:C1538" si="47">"Q" &amp; CHOOSE(MONTH(E1475),4,4,4,1,1,1,2,2,2,3,3,3)</f>
        <v>Q3</v>
      </c>
      <c r="D1475" s="2" t="s">
        <v>31</v>
      </c>
      <c r="E1475" s="13">
        <v>45988</v>
      </c>
      <c r="F1475" s="14" t="s">
        <v>349</v>
      </c>
      <c r="G1475" s="14" t="s">
        <v>80</v>
      </c>
      <c r="H1475" s="14" t="s">
        <v>98</v>
      </c>
      <c r="I1475" s="15">
        <v>0.02</v>
      </c>
      <c r="J1475" s="15">
        <v>1</v>
      </c>
      <c r="K1475" s="15">
        <v>145.26</v>
      </c>
      <c r="L1475" s="15">
        <v>145.26</v>
      </c>
      <c r="M1475" s="15">
        <v>-11.17</v>
      </c>
      <c r="N1475" s="15">
        <v>0</v>
      </c>
      <c r="O1475" s="15">
        <v>17.431487000000001</v>
      </c>
      <c r="P1475" s="15">
        <v>151.52148700000001</v>
      </c>
    </row>
    <row r="1476" spans="1:16" ht="15" x14ac:dyDescent="0.2">
      <c r="A1476" s="4" t="s">
        <v>582</v>
      </c>
      <c r="B1476" s="21" t="str">
        <f t="shared" si="46"/>
        <v>Nov-2025</v>
      </c>
      <c r="C1476" s="2" t="str">
        <f t="shared" si="47"/>
        <v>Q3</v>
      </c>
      <c r="D1476" s="2" t="s">
        <v>31</v>
      </c>
      <c r="E1476" s="13">
        <v>45988</v>
      </c>
      <c r="F1476" s="14" t="s">
        <v>349</v>
      </c>
      <c r="G1476" s="14" t="s">
        <v>80</v>
      </c>
      <c r="H1476" s="14" t="s">
        <v>101</v>
      </c>
      <c r="I1476" s="15">
        <v>0.04</v>
      </c>
      <c r="J1476" s="15">
        <v>1</v>
      </c>
      <c r="K1476" s="15">
        <v>186.22</v>
      </c>
      <c r="L1476" s="15">
        <v>186.22</v>
      </c>
      <c r="M1476" s="15">
        <v>-14.32</v>
      </c>
      <c r="N1476" s="15">
        <v>0</v>
      </c>
      <c r="O1476" s="15">
        <v>22.346727000000001</v>
      </c>
      <c r="P1476" s="15">
        <v>194.24672699999999</v>
      </c>
    </row>
    <row r="1477" spans="1:16" ht="15" x14ac:dyDescent="0.2">
      <c r="A1477" s="4" t="s">
        <v>580</v>
      </c>
      <c r="B1477" s="21" t="str">
        <f t="shared" si="46"/>
        <v>Nov-2025</v>
      </c>
      <c r="C1477" s="2" t="str">
        <f t="shared" si="47"/>
        <v>Q3</v>
      </c>
      <c r="D1477" s="2" t="s">
        <v>31</v>
      </c>
      <c r="E1477" s="13">
        <v>45988</v>
      </c>
      <c r="F1477" s="14" t="s">
        <v>349</v>
      </c>
      <c r="G1477" s="14" t="s">
        <v>80</v>
      </c>
      <c r="H1477" s="14" t="s">
        <v>65</v>
      </c>
      <c r="I1477" s="15">
        <v>0.01</v>
      </c>
      <c r="J1477" s="15">
        <v>1</v>
      </c>
      <c r="K1477" s="15">
        <v>37.25</v>
      </c>
      <c r="L1477" s="15">
        <v>37.25</v>
      </c>
      <c r="M1477" s="15">
        <v>-2.86</v>
      </c>
      <c r="N1477" s="15">
        <v>0</v>
      </c>
      <c r="O1477" s="15">
        <v>4.4706450000000002</v>
      </c>
      <c r="P1477" s="15">
        <v>38.860644999999998</v>
      </c>
    </row>
    <row r="1478" spans="1:16" ht="15" x14ac:dyDescent="0.2">
      <c r="A1478" s="4" t="s">
        <v>581</v>
      </c>
      <c r="B1478" s="21" t="str">
        <f t="shared" si="46"/>
        <v>Nov-2025</v>
      </c>
      <c r="C1478" s="2" t="str">
        <f t="shared" si="47"/>
        <v>Q3</v>
      </c>
      <c r="D1478" s="2" t="s">
        <v>31</v>
      </c>
      <c r="E1478" s="13">
        <v>45988</v>
      </c>
      <c r="F1478" s="14" t="s">
        <v>349</v>
      </c>
      <c r="G1478" s="14" t="s">
        <v>80</v>
      </c>
      <c r="H1478" s="14" t="s">
        <v>97</v>
      </c>
      <c r="I1478" s="15">
        <v>0.03</v>
      </c>
      <c r="J1478" s="15">
        <v>1</v>
      </c>
      <c r="K1478" s="15">
        <v>67.040000000000006</v>
      </c>
      <c r="L1478" s="15">
        <v>67.040000000000006</v>
      </c>
      <c r="M1478" s="15">
        <v>-5.16</v>
      </c>
      <c r="N1478" s="15">
        <v>0</v>
      </c>
      <c r="O1478" s="15">
        <v>8.0443020000000001</v>
      </c>
      <c r="P1478" s="15">
        <v>69.924301999999997</v>
      </c>
    </row>
    <row r="1479" spans="1:16" ht="15" x14ac:dyDescent="0.2">
      <c r="A1479" s="4" t="s">
        <v>589</v>
      </c>
      <c r="B1479" s="21" t="str">
        <f t="shared" si="46"/>
        <v>Nov-2025</v>
      </c>
      <c r="C1479" s="2" t="str">
        <f t="shared" si="47"/>
        <v>Q3</v>
      </c>
      <c r="D1479" s="2" t="s">
        <v>31</v>
      </c>
      <c r="E1479" s="13">
        <v>45988</v>
      </c>
      <c r="F1479" s="14" t="s">
        <v>349</v>
      </c>
      <c r="G1479" s="14" t="s">
        <v>80</v>
      </c>
      <c r="H1479" s="14" t="s">
        <v>105</v>
      </c>
      <c r="I1479" s="15">
        <v>0.03</v>
      </c>
      <c r="J1479" s="15">
        <v>1</v>
      </c>
      <c r="K1479" s="15">
        <v>316.58999999999997</v>
      </c>
      <c r="L1479" s="15">
        <v>316.58999999999997</v>
      </c>
      <c r="M1479" s="15">
        <v>-24.35</v>
      </c>
      <c r="N1479" s="15">
        <v>0</v>
      </c>
      <c r="O1479" s="15">
        <v>37.990735999999998</v>
      </c>
      <c r="P1479" s="15">
        <v>330.23073599999998</v>
      </c>
    </row>
    <row r="1480" spans="1:16" ht="15" x14ac:dyDescent="0.2">
      <c r="A1480" s="4" t="s">
        <v>590</v>
      </c>
      <c r="B1480" s="21" t="str">
        <f t="shared" si="46"/>
        <v>Nov-2025</v>
      </c>
      <c r="C1480" s="2" t="str">
        <f t="shared" si="47"/>
        <v>Q3</v>
      </c>
      <c r="D1480" s="2" t="s">
        <v>31</v>
      </c>
      <c r="E1480" s="13">
        <v>45988</v>
      </c>
      <c r="F1480" s="14" t="s">
        <v>349</v>
      </c>
      <c r="G1480" s="14" t="s">
        <v>80</v>
      </c>
      <c r="H1480" s="14" t="s">
        <v>102</v>
      </c>
      <c r="I1480" s="15">
        <v>0.05</v>
      </c>
      <c r="J1480" s="15">
        <v>1</v>
      </c>
      <c r="K1480" s="15">
        <v>249.55</v>
      </c>
      <c r="L1480" s="15">
        <v>249.55</v>
      </c>
      <c r="M1480" s="15">
        <v>-19.190000000000001</v>
      </c>
      <c r="N1480" s="15">
        <v>0</v>
      </c>
      <c r="O1480" s="15">
        <v>29.946434</v>
      </c>
      <c r="P1480" s="15">
        <v>260.30643400000002</v>
      </c>
    </row>
    <row r="1481" spans="1:16" ht="15" x14ac:dyDescent="0.2">
      <c r="A1481" s="4" t="s">
        <v>581</v>
      </c>
      <c r="B1481" s="21" t="str">
        <f t="shared" si="46"/>
        <v>Nov-2025</v>
      </c>
      <c r="C1481" s="2" t="str">
        <f t="shared" si="47"/>
        <v>Q3</v>
      </c>
      <c r="D1481" s="2" t="s">
        <v>31</v>
      </c>
      <c r="E1481" s="13">
        <v>45988</v>
      </c>
      <c r="F1481" s="14" t="s">
        <v>349</v>
      </c>
      <c r="G1481" s="14" t="s">
        <v>80</v>
      </c>
      <c r="H1481" s="14" t="s">
        <v>125</v>
      </c>
      <c r="I1481" s="15">
        <v>0</v>
      </c>
      <c r="J1481" s="15">
        <v>1</v>
      </c>
      <c r="K1481" s="15">
        <v>7.46</v>
      </c>
      <c r="L1481" s="15">
        <v>7.46</v>
      </c>
      <c r="M1481" s="15">
        <v>-0.56999999999999995</v>
      </c>
      <c r="N1481" s="15">
        <v>0</v>
      </c>
      <c r="O1481" s="15">
        <v>0.89568899999999996</v>
      </c>
      <c r="P1481" s="15">
        <v>7.7856889999999996</v>
      </c>
    </row>
    <row r="1482" spans="1:16" ht="15" x14ac:dyDescent="0.2">
      <c r="A1482" s="4" t="s">
        <v>584</v>
      </c>
      <c r="B1482" s="21" t="str">
        <f t="shared" si="46"/>
        <v>Nov-2025</v>
      </c>
      <c r="C1482" s="2" t="str">
        <f t="shared" si="47"/>
        <v>Q3</v>
      </c>
      <c r="D1482" s="2" t="s">
        <v>31</v>
      </c>
      <c r="E1482" s="13">
        <v>45988</v>
      </c>
      <c r="F1482" s="14" t="s">
        <v>349</v>
      </c>
      <c r="G1482" s="14" t="s">
        <v>80</v>
      </c>
      <c r="H1482" s="14" t="s">
        <v>99</v>
      </c>
      <c r="I1482" s="15">
        <v>0.03</v>
      </c>
      <c r="J1482" s="15">
        <v>1</v>
      </c>
      <c r="K1482" s="15">
        <v>81.94</v>
      </c>
      <c r="L1482" s="15">
        <v>81.94</v>
      </c>
      <c r="M1482" s="15">
        <v>-6.3</v>
      </c>
      <c r="N1482" s="15">
        <v>0</v>
      </c>
      <c r="O1482" s="15">
        <v>9.8330800000000007</v>
      </c>
      <c r="P1482" s="15">
        <v>85.473079999999996</v>
      </c>
    </row>
    <row r="1483" spans="1:16" ht="15" x14ac:dyDescent="0.2">
      <c r="A1483" s="4" t="s">
        <v>581</v>
      </c>
      <c r="B1483" s="21" t="str">
        <f t="shared" si="46"/>
        <v>Nov-2025</v>
      </c>
      <c r="C1483" s="2" t="str">
        <f t="shared" si="47"/>
        <v>Q3</v>
      </c>
      <c r="D1483" s="2" t="s">
        <v>31</v>
      </c>
      <c r="E1483" s="13">
        <v>45988</v>
      </c>
      <c r="F1483" s="14" t="s">
        <v>349</v>
      </c>
      <c r="G1483" s="14" t="s">
        <v>80</v>
      </c>
      <c r="H1483" s="14" t="s">
        <v>104</v>
      </c>
      <c r="I1483" s="15">
        <v>0.03</v>
      </c>
      <c r="J1483" s="15">
        <v>1</v>
      </c>
      <c r="K1483" s="15">
        <v>67.040000000000006</v>
      </c>
      <c r="L1483" s="15">
        <v>67.040000000000006</v>
      </c>
      <c r="M1483" s="15">
        <v>-5.16</v>
      </c>
      <c r="N1483" s="15">
        <v>0</v>
      </c>
      <c r="O1483" s="15">
        <v>8.0443020000000001</v>
      </c>
      <c r="P1483" s="15">
        <v>69.924301999999997</v>
      </c>
    </row>
    <row r="1484" spans="1:16" ht="15" x14ac:dyDescent="0.2">
      <c r="A1484" s="4" t="s">
        <v>583</v>
      </c>
      <c r="B1484" s="21" t="str">
        <f t="shared" si="46"/>
        <v>Nov-2025</v>
      </c>
      <c r="C1484" s="2" t="str">
        <f t="shared" si="47"/>
        <v>Q3</v>
      </c>
      <c r="D1484" s="2" t="s">
        <v>31</v>
      </c>
      <c r="E1484" s="13">
        <v>45988</v>
      </c>
      <c r="F1484" s="14" t="s">
        <v>350</v>
      </c>
      <c r="G1484" s="14" t="s">
        <v>80</v>
      </c>
      <c r="H1484" s="14" t="s">
        <v>109</v>
      </c>
      <c r="I1484" s="15">
        <v>7.0000000000000007E-2</v>
      </c>
      <c r="J1484" s="15">
        <v>1</v>
      </c>
      <c r="K1484" s="15">
        <v>260.72000000000003</v>
      </c>
      <c r="L1484" s="15">
        <v>260.72000000000003</v>
      </c>
      <c r="M1484" s="15">
        <v>-20.05</v>
      </c>
      <c r="N1484" s="15">
        <v>0</v>
      </c>
      <c r="O1484" s="15">
        <v>31.287534000000001</v>
      </c>
      <c r="P1484" s="15">
        <v>271.95753400000001</v>
      </c>
    </row>
    <row r="1485" spans="1:16" ht="15" x14ac:dyDescent="0.2">
      <c r="A1485" s="4" t="s">
        <v>574</v>
      </c>
      <c r="B1485" s="21" t="str">
        <f t="shared" si="46"/>
        <v>Nov-2025</v>
      </c>
      <c r="C1485" s="2" t="str">
        <f t="shared" si="47"/>
        <v>Q3</v>
      </c>
      <c r="D1485" s="2" t="s">
        <v>31</v>
      </c>
      <c r="E1485" s="13">
        <v>45988</v>
      </c>
      <c r="F1485" s="14" t="s">
        <v>350</v>
      </c>
      <c r="G1485" s="14" t="s">
        <v>80</v>
      </c>
      <c r="H1485" s="14" t="s">
        <v>86</v>
      </c>
      <c r="I1485" s="15">
        <v>0.06</v>
      </c>
      <c r="J1485" s="15">
        <v>1</v>
      </c>
      <c r="K1485" s="15">
        <v>178.78</v>
      </c>
      <c r="L1485" s="15">
        <v>178.78</v>
      </c>
      <c r="M1485" s="15">
        <v>-13.75</v>
      </c>
      <c r="N1485" s="15">
        <v>0</v>
      </c>
      <c r="O1485" s="15">
        <v>21.454198000000002</v>
      </c>
      <c r="P1485" s="15">
        <v>186.48419799999999</v>
      </c>
    </row>
    <row r="1486" spans="1:16" ht="15" x14ac:dyDescent="0.2">
      <c r="A1486" s="4" t="s">
        <v>573</v>
      </c>
      <c r="B1486" s="21" t="str">
        <f t="shared" si="46"/>
        <v>Nov-2025</v>
      </c>
      <c r="C1486" s="2" t="str">
        <f t="shared" si="47"/>
        <v>Q3</v>
      </c>
      <c r="D1486" s="2" t="s">
        <v>31</v>
      </c>
      <c r="E1486" s="13">
        <v>45988</v>
      </c>
      <c r="F1486" s="14" t="s">
        <v>350</v>
      </c>
      <c r="G1486" s="14" t="s">
        <v>80</v>
      </c>
      <c r="H1486" s="14" t="s">
        <v>138</v>
      </c>
      <c r="I1486" s="15">
        <v>0.03</v>
      </c>
      <c r="J1486" s="15">
        <v>1</v>
      </c>
      <c r="K1486" s="15">
        <v>111.74</v>
      </c>
      <c r="L1486" s="15">
        <v>111.74</v>
      </c>
      <c r="M1486" s="15">
        <v>-8.59</v>
      </c>
      <c r="N1486" s="15">
        <v>0</v>
      </c>
      <c r="O1486" s="15">
        <v>13.409686000000001</v>
      </c>
      <c r="P1486" s="15">
        <v>116.559686</v>
      </c>
    </row>
    <row r="1487" spans="1:16" ht="15" x14ac:dyDescent="0.2">
      <c r="A1487" s="4" t="s">
        <v>588</v>
      </c>
      <c r="B1487" s="21" t="str">
        <f t="shared" si="46"/>
        <v>Nov-2025</v>
      </c>
      <c r="C1487" s="2" t="str">
        <f t="shared" si="47"/>
        <v>Q3</v>
      </c>
      <c r="D1487" s="2" t="s">
        <v>31</v>
      </c>
      <c r="E1487" s="13">
        <v>45988</v>
      </c>
      <c r="F1487" s="14" t="s">
        <v>350</v>
      </c>
      <c r="G1487" s="14" t="s">
        <v>80</v>
      </c>
      <c r="H1487" s="14" t="s">
        <v>95</v>
      </c>
      <c r="I1487" s="15">
        <v>0.02</v>
      </c>
      <c r="J1487" s="15">
        <v>1</v>
      </c>
      <c r="K1487" s="15">
        <v>111.74</v>
      </c>
      <c r="L1487" s="15">
        <v>111.74</v>
      </c>
      <c r="M1487" s="15">
        <v>-8.59</v>
      </c>
      <c r="N1487" s="15">
        <v>0</v>
      </c>
      <c r="O1487" s="15">
        <v>13.409686000000001</v>
      </c>
      <c r="P1487" s="15">
        <v>116.559686</v>
      </c>
    </row>
    <row r="1488" spans="1:16" ht="15" x14ac:dyDescent="0.2">
      <c r="A1488" s="4" t="s">
        <v>591</v>
      </c>
      <c r="B1488" s="21" t="str">
        <f t="shared" si="46"/>
        <v>Nov-2025</v>
      </c>
      <c r="C1488" s="2" t="str">
        <f t="shared" si="47"/>
        <v>Q3</v>
      </c>
      <c r="D1488" s="2" t="s">
        <v>31</v>
      </c>
      <c r="E1488" s="13">
        <v>45988</v>
      </c>
      <c r="F1488" s="14" t="s">
        <v>350</v>
      </c>
      <c r="G1488" s="14" t="s">
        <v>80</v>
      </c>
      <c r="H1488" s="14" t="s">
        <v>106</v>
      </c>
      <c r="I1488" s="15">
        <v>0.02</v>
      </c>
      <c r="J1488" s="15">
        <v>1</v>
      </c>
      <c r="K1488" s="15">
        <v>111.74</v>
      </c>
      <c r="L1488" s="15">
        <v>111.74</v>
      </c>
      <c r="M1488" s="15">
        <v>-8.59</v>
      </c>
      <c r="N1488" s="15">
        <v>0</v>
      </c>
      <c r="O1488" s="15">
        <v>13.409686000000001</v>
      </c>
      <c r="P1488" s="15">
        <v>116.559686</v>
      </c>
    </row>
    <row r="1489" spans="1:16" ht="15" x14ac:dyDescent="0.2">
      <c r="A1489" s="4" t="s">
        <v>574</v>
      </c>
      <c r="B1489" s="21" t="str">
        <f t="shared" si="46"/>
        <v>Nov-2025</v>
      </c>
      <c r="C1489" s="2" t="str">
        <f t="shared" si="47"/>
        <v>Q3</v>
      </c>
      <c r="D1489" s="2" t="s">
        <v>31</v>
      </c>
      <c r="E1489" s="13">
        <v>45988</v>
      </c>
      <c r="F1489" s="14" t="s">
        <v>350</v>
      </c>
      <c r="G1489" s="14" t="s">
        <v>80</v>
      </c>
      <c r="H1489" s="14" t="s">
        <v>85</v>
      </c>
      <c r="I1489" s="15">
        <v>0.06</v>
      </c>
      <c r="J1489" s="15">
        <v>1</v>
      </c>
      <c r="K1489" s="15">
        <v>178.78</v>
      </c>
      <c r="L1489" s="15">
        <v>178.78</v>
      </c>
      <c r="M1489" s="15">
        <v>-13.75</v>
      </c>
      <c r="N1489" s="15">
        <v>0</v>
      </c>
      <c r="O1489" s="15">
        <v>21.454198000000002</v>
      </c>
      <c r="P1489" s="15">
        <v>186.48419799999999</v>
      </c>
    </row>
    <row r="1490" spans="1:16" ht="15" x14ac:dyDescent="0.2">
      <c r="A1490" s="4" t="s">
        <v>573</v>
      </c>
      <c r="B1490" s="21" t="str">
        <f t="shared" si="46"/>
        <v>Nov-2025</v>
      </c>
      <c r="C1490" s="2" t="str">
        <f t="shared" si="47"/>
        <v>Q3</v>
      </c>
      <c r="D1490" s="2" t="s">
        <v>31</v>
      </c>
      <c r="E1490" s="13">
        <v>45988</v>
      </c>
      <c r="F1490" s="14" t="s">
        <v>350</v>
      </c>
      <c r="G1490" s="14" t="s">
        <v>80</v>
      </c>
      <c r="H1490" s="14" t="s">
        <v>136</v>
      </c>
      <c r="I1490" s="15">
        <v>0.03</v>
      </c>
      <c r="J1490" s="15">
        <v>1</v>
      </c>
      <c r="K1490" s="15">
        <v>111.74</v>
      </c>
      <c r="L1490" s="15">
        <v>111.74</v>
      </c>
      <c r="M1490" s="15">
        <v>-8.59</v>
      </c>
      <c r="N1490" s="15">
        <v>0</v>
      </c>
      <c r="O1490" s="15">
        <v>13.409686000000001</v>
      </c>
      <c r="P1490" s="15">
        <v>116.559686</v>
      </c>
    </row>
    <row r="1491" spans="1:16" ht="15" x14ac:dyDescent="0.2">
      <c r="A1491" s="4" t="s">
        <v>573</v>
      </c>
      <c r="B1491" s="21" t="str">
        <f t="shared" si="46"/>
        <v>Nov-2025</v>
      </c>
      <c r="C1491" s="2" t="str">
        <f t="shared" si="47"/>
        <v>Q3</v>
      </c>
      <c r="D1491" s="2" t="s">
        <v>31</v>
      </c>
      <c r="E1491" s="13">
        <v>45988</v>
      </c>
      <c r="F1491" s="14" t="s">
        <v>350</v>
      </c>
      <c r="G1491" s="14" t="s">
        <v>80</v>
      </c>
      <c r="H1491" s="14" t="s">
        <v>111</v>
      </c>
      <c r="I1491" s="15">
        <v>0.03</v>
      </c>
      <c r="J1491" s="15">
        <v>1</v>
      </c>
      <c r="K1491" s="15">
        <v>111.74</v>
      </c>
      <c r="L1491" s="15">
        <v>111.74</v>
      </c>
      <c r="M1491" s="15">
        <v>-8.59</v>
      </c>
      <c r="N1491" s="15">
        <v>0</v>
      </c>
      <c r="O1491" s="15">
        <v>13.409686000000001</v>
      </c>
      <c r="P1491" s="15">
        <v>116.559686</v>
      </c>
    </row>
    <row r="1492" spans="1:16" ht="15" x14ac:dyDescent="0.2">
      <c r="A1492" s="4" t="s">
        <v>575</v>
      </c>
      <c r="B1492" s="21" t="str">
        <f t="shared" si="46"/>
        <v>Nov-2025</v>
      </c>
      <c r="C1492" s="2" t="str">
        <f t="shared" si="47"/>
        <v>Q3</v>
      </c>
      <c r="D1492" s="2" t="s">
        <v>31</v>
      </c>
      <c r="E1492" s="13">
        <v>45988</v>
      </c>
      <c r="F1492" s="14" t="s">
        <v>350</v>
      </c>
      <c r="G1492" s="14" t="s">
        <v>80</v>
      </c>
      <c r="H1492" s="14" t="s">
        <v>55</v>
      </c>
      <c r="I1492" s="15">
        <v>0.05</v>
      </c>
      <c r="J1492" s="15">
        <v>1</v>
      </c>
      <c r="K1492" s="15">
        <v>186.22</v>
      </c>
      <c r="L1492" s="15">
        <v>186.22</v>
      </c>
      <c r="M1492" s="15">
        <v>-14.32</v>
      </c>
      <c r="N1492" s="15">
        <v>0</v>
      </c>
      <c r="O1492" s="15">
        <v>22.34731</v>
      </c>
      <c r="P1492" s="15">
        <v>194.24731</v>
      </c>
    </row>
    <row r="1493" spans="1:16" ht="15" x14ac:dyDescent="0.2">
      <c r="A1493" s="4" t="s">
        <v>583</v>
      </c>
      <c r="B1493" s="21" t="str">
        <f t="shared" si="46"/>
        <v>Nov-2025</v>
      </c>
      <c r="C1493" s="2" t="str">
        <f t="shared" si="47"/>
        <v>Q3</v>
      </c>
      <c r="D1493" s="2" t="s">
        <v>31</v>
      </c>
      <c r="E1493" s="13">
        <v>45988</v>
      </c>
      <c r="F1493" s="14" t="s">
        <v>350</v>
      </c>
      <c r="G1493" s="14" t="s">
        <v>80</v>
      </c>
      <c r="H1493" s="14" t="s">
        <v>113</v>
      </c>
      <c r="I1493" s="15">
        <v>7.0000000000000007E-2</v>
      </c>
      <c r="J1493" s="15">
        <v>1</v>
      </c>
      <c r="K1493" s="15">
        <v>260.72000000000003</v>
      </c>
      <c r="L1493" s="15">
        <v>260.72000000000003</v>
      </c>
      <c r="M1493" s="15">
        <v>-20.05</v>
      </c>
      <c r="N1493" s="15">
        <v>0</v>
      </c>
      <c r="O1493" s="15">
        <v>31.287534000000001</v>
      </c>
      <c r="P1493" s="15">
        <v>271.95753400000001</v>
      </c>
    </row>
    <row r="1494" spans="1:16" ht="15" x14ac:dyDescent="0.2">
      <c r="A1494" s="4" t="s">
        <v>576</v>
      </c>
      <c r="B1494" s="21" t="str">
        <f t="shared" si="46"/>
        <v>Nov-2025</v>
      </c>
      <c r="C1494" s="2" t="str">
        <f t="shared" si="47"/>
        <v>Q3</v>
      </c>
      <c r="D1494" s="2" t="s">
        <v>31</v>
      </c>
      <c r="E1494" s="13">
        <v>45988</v>
      </c>
      <c r="F1494" s="14" t="s">
        <v>350</v>
      </c>
      <c r="G1494" s="14" t="s">
        <v>80</v>
      </c>
      <c r="H1494" s="14" t="s">
        <v>110</v>
      </c>
      <c r="I1494" s="15">
        <v>0.05</v>
      </c>
      <c r="J1494" s="15">
        <v>1</v>
      </c>
      <c r="K1494" s="15">
        <v>175.06</v>
      </c>
      <c r="L1494" s="15">
        <v>175.06</v>
      </c>
      <c r="M1494" s="15">
        <v>-13.46</v>
      </c>
      <c r="N1494" s="15">
        <v>0</v>
      </c>
      <c r="O1494" s="15">
        <v>21.008292000000001</v>
      </c>
      <c r="P1494" s="15">
        <v>182.60829200000001</v>
      </c>
    </row>
    <row r="1495" spans="1:16" ht="15" x14ac:dyDescent="0.2">
      <c r="A1495" s="4" t="s">
        <v>576</v>
      </c>
      <c r="B1495" s="21" t="str">
        <f t="shared" si="46"/>
        <v>Nov-2025</v>
      </c>
      <c r="C1495" s="2" t="str">
        <f t="shared" si="47"/>
        <v>Q3</v>
      </c>
      <c r="D1495" s="2" t="s">
        <v>31</v>
      </c>
      <c r="E1495" s="13">
        <v>45988</v>
      </c>
      <c r="F1495" s="14" t="s">
        <v>350</v>
      </c>
      <c r="G1495" s="14" t="s">
        <v>80</v>
      </c>
      <c r="H1495" s="14" t="s">
        <v>123</v>
      </c>
      <c r="I1495" s="15">
        <v>0.05</v>
      </c>
      <c r="J1495" s="15">
        <v>1</v>
      </c>
      <c r="K1495" s="15">
        <v>175.06</v>
      </c>
      <c r="L1495" s="15">
        <v>175.06</v>
      </c>
      <c r="M1495" s="15">
        <v>-13.46</v>
      </c>
      <c r="N1495" s="15">
        <v>0</v>
      </c>
      <c r="O1495" s="15">
        <v>21.008292000000001</v>
      </c>
      <c r="P1495" s="15">
        <v>182.60829200000001</v>
      </c>
    </row>
    <row r="1496" spans="1:16" ht="15" x14ac:dyDescent="0.2">
      <c r="A1496" s="4" t="s">
        <v>576</v>
      </c>
      <c r="B1496" s="21" t="str">
        <f t="shared" si="46"/>
        <v>Nov-2025</v>
      </c>
      <c r="C1496" s="2" t="str">
        <f t="shared" si="47"/>
        <v>Q3</v>
      </c>
      <c r="D1496" s="2" t="s">
        <v>31</v>
      </c>
      <c r="E1496" s="13">
        <v>45988</v>
      </c>
      <c r="F1496" s="14" t="s">
        <v>350</v>
      </c>
      <c r="G1496" s="14" t="s">
        <v>80</v>
      </c>
      <c r="H1496" s="14" t="s">
        <v>124</v>
      </c>
      <c r="I1496" s="15">
        <v>0.05</v>
      </c>
      <c r="J1496" s="15">
        <v>1</v>
      </c>
      <c r="K1496" s="15">
        <v>175.06</v>
      </c>
      <c r="L1496" s="15">
        <v>175.06</v>
      </c>
      <c r="M1496" s="15">
        <v>-13.46</v>
      </c>
      <c r="N1496" s="15">
        <v>0</v>
      </c>
      <c r="O1496" s="15">
        <v>21.008292000000001</v>
      </c>
      <c r="P1496" s="15">
        <v>182.60829200000001</v>
      </c>
    </row>
    <row r="1497" spans="1:16" ht="15" x14ac:dyDescent="0.2">
      <c r="A1497" s="4" t="s">
        <v>574</v>
      </c>
      <c r="B1497" s="21" t="str">
        <f t="shared" si="46"/>
        <v>Nov-2025</v>
      </c>
      <c r="C1497" s="2" t="str">
        <f t="shared" si="47"/>
        <v>Q3</v>
      </c>
      <c r="D1497" s="2" t="s">
        <v>31</v>
      </c>
      <c r="E1497" s="13">
        <v>45988</v>
      </c>
      <c r="F1497" s="14" t="s">
        <v>350</v>
      </c>
      <c r="G1497" s="14" t="s">
        <v>80</v>
      </c>
      <c r="H1497" s="14" t="s">
        <v>52</v>
      </c>
      <c r="I1497" s="15">
        <v>0.06</v>
      </c>
      <c r="J1497" s="15">
        <v>1</v>
      </c>
      <c r="K1497" s="15">
        <v>178.78</v>
      </c>
      <c r="L1497" s="15">
        <v>178.78</v>
      </c>
      <c r="M1497" s="15">
        <v>-13.75</v>
      </c>
      <c r="N1497" s="15">
        <v>0</v>
      </c>
      <c r="O1497" s="15">
        <v>21.454198000000002</v>
      </c>
      <c r="P1497" s="15">
        <v>186.48419799999999</v>
      </c>
    </row>
    <row r="1498" spans="1:16" ht="15" x14ac:dyDescent="0.2">
      <c r="A1498" s="4" t="s">
        <v>574</v>
      </c>
      <c r="B1498" s="21" t="str">
        <f t="shared" si="46"/>
        <v>Nov-2025</v>
      </c>
      <c r="C1498" s="2" t="str">
        <f t="shared" si="47"/>
        <v>Q3</v>
      </c>
      <c r="D1498" s="2" t="s">
        <v>31</v>
      </c>
      <c r="E1498" s="13">
        <v>45988</v>
      </c>
      <c r="F1498" s="14" t="s">
        <v>350</v>
      </c>
      <c r="G1498" s="14" t="s">
        <v>80</v>
      </c>
      <c r="H1498" s="14" t="s">
        <v>84</v>
      </c>
      <c r="I1498" s="15">
        <v>0.06</v>
      </c>
      <c r="J1498" s="15">
        <v>1</v>
      </c>
      <c r="K1498" s="15">
        <v>178.78</v>
      </c>
      <c r="L1498" s="15">
        <v>178.78</v>
      </c>
      <c r="M1498" s="15">
        <v>-13.75</v>
      </c>
      <c r="N1498" s="15">
        <v>0</v>
      </c>
      <c r="O1498" s="15">
        <v>21.454198000000002</v>
      </c>
      <c r="P1498" s="15">
        <v>186.48419799999999</v>
      </c>
    </row>
    <row r="1499" spans="1:16" ht="15" x14ac:dyDescent="0.2">
      <c r="A1499" s="4" t="s">
        <v>586</v>
      </c>
      <c r="B1499" s="21" t="str">
        <f t="shared" si="46"/>
        <v>Nov-2025</v>
      </c>
      <c r="C1499" s="2" t="str">
        <f t="shared" si="47"/>
        <v>Q3</v>
      </c>
      <c r="D1499" s="2" t="s">
        <v>31</v>
      </c>
      <c r="E1499" s="13">
        <v>45988</v>
      </c>
      <c r="F1499" s="14" t="s">
        <v>350</v>
      </c>
      <c r="G1499" s="14" t="s">
        <v>80</v>
      </c>
      <c r="H1499" s="14" t="s">
        <v>114</v>
      </c>
      <c r="I1499" s="15">
        <v>0</v>
      </c>
      <c r="J1499" s="15">
        <v>1</v>
      </c>
      <c r="K1499" s="15">
        <v>14.9</v>
      </c>
      <c r="L1499" s="15">
        <v>14.9</v>
      </c>
      <c r="M1499" s="15">
        <v>-1.1499999999999999</v>
      </c>
      <c r="N1499" s="15">
        <v>0</v>
      </c>
      <c r="O1499" s="15">
        <v>1.787525</v>
      </c>
      <c r="P1499" s="15">
        <v>15.537525</v>
      </c>
    </row>
    <row r="1500" spans="1:16" ht="15" x14ac:dyDescent="0.2">
      <c r="A1500" s="4" t="s">
        <v>586</v>
      </c>
      <c r="B1500" s="21" t="str">
        <f t="shared" si="46"/>
        <v>Nov-2025</v>
      </c>
      <c r="C1500" s="2" t="str">
        <f t="shared" si="47"/>
        <v>Q3</v>
      </c>
      <c r="D1500" s="2" t="s">
        <v>31</v>
      </c>
      <c r="E1500" s="13">
        <v>45988</v>
      </c>
      <c r="F1500" s="14" t="s">
        <v>351</v>
      </c>
      <c r="G1500" s="14" t="s">
        <v>80</v>
      </c>
      <c r="H1500" s="14" t="s">
        <v>76</v>
      </c>
      <c r="I1500" s="15">
        <v>0</v>
      </c>
      <c r="J1500" s="15">
        <v>1</v>
      </c>
      <c r="K1500" s="15">
        <v>14.9</v>
      </c>
      <c r="L1500" s="15">
        <v>14.9</v>
      </c>
      <c r="M1500" s="15">
        <v>-1.1499999999999999</v>
      </c>
      <c r="N1500" s="15">
        <v>0</v>
      </c>
      <c r="O1500" s="15">
        <v>1.787504</v>
      </c>
      <c r="P1500" s="15">
        <v>15.537504</v>
      </c>
    </row>
    <row r="1501" spans="1:16" ht="15" x14ac:dyDescent="0.2">
      <c r="A1501" s="4" t="s">
        <v>585</v>
      </c>
      <c r="B1501" s="21" t="str">
        <f t="shared" si="46"/>
        <v>Nov-2025</v>
      </c>
      <c r="C1501" s="2" t="str">
        <f t="shared" si="47"/>
        <v>Q3</v>
      </c>
      <c r="D1501" s="2" t="s">
        <v>31</v>
      </c>
      <c r="E1501" s="13">
        <v>45988</v>
      </c>
      <c r="F1501" s="14" t="s">
        <v>351</v>
      </c>
      <c r="G1501" s="14" t="s">
        <v>80</v>
      </c>
      <c r="H1501" s="14" t="s">
        <v>180</v>
      </c>
      <c r="I1501" s="15">
        <v>0</v>
      </c>
      <c r="J1501" s="15">
        <v>1</v>
      </c>
      <c r="K1501" s="15">
        <v>1.86</v>
      </c>
      <c r="L1501" s="15">
        <v>1.86</v>
      </c>
      <c r="M1501" s="15">
        <v>-0.14000000000000001</v>
      </c>
      <c r="N1501" s="15">
        <v>0</v>
      </c>
      <c r="O1501" s="15">
        <v>0.22360099999999999</v>
      </c>
      <c r="P1501" s="15">
        <v>1.9436009999999999</v>
      </c>
    </row>
    <row r="1502" spans="1:16" ht="15" x14ac:dyDescent="0.2">
      <c r="A1502" s="4" t="s">
        <v>581</v>
      </c>
      <c r="B1502" s="21" t="str">
        <f t="shared" si="46"/>
        <v>Nov-2025</v>
      </c>
      <c r="C1502" s="2" t="str">
        <f t="shared" si="47"/>
        <v>Q3</v>
      </c>
      <c r="D1502" s="2" t="s">
        <v>31</v>
      </c>
      <c r="E1502" s="13">
        <v>45988</v>
      </c>
      <c r="F1502" s="14" t="s">
        <v>351</v>
      </c>
      <c r="G1502" s="14" t="s">
        <v>80</v>
      </c>
      <c r="H1502" s="14" t="s">
        <v>66</v>
      </c>
      <c r="I1502" s="15">
        <v>0.04</v>
      </c>
      <c r="J1502" s="15">
        <v>1</v>
      </c>
      <c r="K1502" s="15">
        <v>141.54</v>
      </c>
      <c r="L1502" s="15">
        <v>141.54</v>
      </c>
      <c r="M1502" s="15">
        <v>-10.88</v>
      </c>
      <c r="N1502" s="15">
        <v>0</v>
      </c>
      <c r="O1502" s="15">
        <v>16.98584</v>
      </c>
      <c r="P1502" s="15">
        <v>147.64583999999999</v>
      </c>
    </row>
    <row r="1503" spans="1:16" ht="15" x14ac:dyDescent="0.2">
      <c r="A1503" s="4" t="s">
        <v>579</v>
      </c>
      <c r="B1503" s="21" t="str">
        <f t="shared" si="46"/>
        <v>Nov-2025</v>
      </c>
      <c r="C1503" s="2" t="str">
        <f t="shared" si="47"/>
        <v>Q3</v>
      </c>
      <c r="D1503" s="2" t="s">
        <v>31</v>
      </c>
      <c r="E1503" s="13">
        <v>45988</v>
      </c>
      <c r="F1503" s="14" t="s">
        <v>351</v>
      </c>
      <c r="G1503" s="14" t="s">
        <v>80</v>
      </c>
      <c r="H1503" s="14" t="s">
        <v>140</v>
      </c>
      <c r="I1503" s="15">
        <v>0.05</v>
      </c>
      <c r="J1503" s="15">
        <v>1</v>
      </c>
      <c r="K1503" s="15">
        <v>204.85</v>
      </c>
      <c r="L1503" s="15">
        <v>204.85</v>
      </c>
      <c r="M1503" s="15">
        <v>-15.75</v>
      </c>
      <c r="N1503" s="15">
        <v>0</v>
      </c>
      <c r="O1503" s="15">
        <v>24.583058000000001</v>
      </c>
      <c r="P1503" s="15">
        <v>213.68305799999999</v>
      </c>
    </row>
    <row r="1504" spans="1:16" ht="15" x14ac:dyDescent="0.2">
      <c r="A1504" s="4" t="s">
        <v>579</v>
      </c>
      <c r="B1504" s="21" t="str">
        <f t="shared" si="46"/>
        <v>Nov-2025</v>
      </c>
      <c r="C1504" s="2" t="str">
        <f t="shared" si="47"/>
        <v>Q3</v>
      </c>
      <c r="D1504" s="2" t="s">
        <v>31</v>
      </c>
      <c r="E1504" s="13">
        <v>45988</v>
      </c>
      <c r="F1504" s="14" t="s">
        <v>351</v>
      </c>
      <c r="G1504" s="14" t="s">
        <v>80</v>
      </c>
      <c r="H1504" s="14" t="s">
        <v>91</v>
      </c>
      <c r="I1504" s="15">
        <v>0.05</v>
      </c>
      <c r="J1504" s="15">
        <v>1</v>
      </c>
      <c r="K1504" s="15">
        <v>204.85</v>
      </c>
      <c r="L1504" s="15">
        <v>204.85</v>
      </c>
      <c r="M1504" s="15">
        <v>-15.75</v>
      </c>
      <c r="N1504" s="15">
        <v>0</v>
      </c>
      <c r="O1504" s="15">
        <v>24.583058000000001</v>
      </c>
      <c r="P1504" s="15">
        <v>213.68305799999999</v>
      </c>
    </row>
    <row r="1505" spans="1:16" ht="15" x14ac:dyDescent="0.2">
      <c r="A1505" s="4" t="s">
        <v>580</v>
      </c>
      <c r="B1505" s="21" t="str">
        <f t="shared" si="46"/>
        <v>Nov-2025</v>
      </c>
      <c r="C1505" s="2" t="str">
        <f t="shared" si="47"/>
        <v>Q3</v>
      </c>
      <c r="D1505" s="2" t="s">
        <v>31</v>
      </c>
      <c r="E1505" s="13">
        <v>45988</v>
      </c>
      <c r="F1505" s="14" t="s">
        <v>351</v>
      </c>
      <c r="G1505" s="14" t="s">
        <v>80</v>
      </c>
      <c r="H1505" s="14" t="s">
        <v>89</v>
      </c>
      <c r="I1505" s="15">
        <v>0.01</v>
      </c>
      <c r="J1505" s="15">
        <v>1</v>
      </c>
      <c r="K1505" s="15">
        <v>37.25</v>
      </c>
      <c r="L1505" s="15">
        <v>37.25</v>
      </c>
      <c r="M1505" s="15">
        <v>-2.86</v>
      </c>
      <c r="N1505" s="15">
        <v>0</v>
      </c>
      <c r="O1505" s="15">
        <v>4.4707109999999997</v>
      </c>
      <c r="P1505" s="15">
        <v>38.860711000000002</v>
      </c>
    </row>
    <row r="1506" spans="1:16" ht="15" x14ac:dyDescent="0.2">
      <c r="A1506" s="4" t="s">
        <v>579</v>
      </c>
      <c r="B1506" s="21" t="str">
        <f t="shared" si="46"/>
        <v>Nov-2025</v>
      </c>
      <c r="C1506" s="2" t="str">
        <f t="shared" si="47"/>
        <v>Q3</v>
      </c>
      <c r="D1506" s="2" t="s">
        <v>31</v>
      </c>
      <c r="E1506" s="13">
        <v>45988</v>
      </c>
      <c r="F1506" s="14" t="s">
        <v>351</v>
      </c>
      <c r="G1506" s="14" t="s">
        <v>80</v>
      </c>
      <c r="H1506" s="14" t="s">
        <v>90</v>
      </c>
      <c r="I1506" s="15">
        <v>0.05</v>
      </c>
      <c r="J1506" s="15">
        <v>1</v>
      </c>
      <c r="K1506" s="15">
        <v>204.85</v>
      </c>
      <c r="L1506" s="15">
        <v>204.85</v>
      </c>
      <c r="M1506" s="15">
        <v>-15.75</v>
      </c>
      <c r="N1506" s="15">
        <v>0</v>
      </c>
      <c r="O1506" s="15">
        <v>24.583058000000001</v>
      </c>
      <c r="P1506" s="15">
        <v>213.68305799999999</v>
      </c>
    </row>
    <row r="1507" spans="1:16" ht="15" x14ac:dyDescent="0.2">
      <c r="A1507" s="4" t="s">
        <v>579</v>
      </c>
      <c r="B1507" s="21" t="str">
        <f t="shared" si="46"/>
        <v>Nov-2025</v>
      </c>
      <c r="C1507" s="2" t="str">
        <f t="shared" si="47"/>
        <v>Q3</v>
      </c>
      <c r="D1507" s="2" t="s">
        <v>31</v>
      </c>
      <c r="E1507" s="13">
        <v>45988</v>
      </c>
      <c r="F1507" s="14" t="s">
        <v>351</v>
      </c>
      <c r="G1507" s="14" t="s">
        <v>80</v>
      </c>
      <c r="H1507" s="14" t="s">
        <v>112</v>
      </c>
      <c r="I1507" s="15">
        <v>0.05</v>
      </c>
      <c r="J1507" s="15">
        <v>1</v>
      </c>
      <c r="K1507" s="15">
        <v>204.85</v>
      </c>
      <c r="L1507" s="15">
        <v>204.85</v>
      </c>
      <c r="M1507" s="15">
        <v>-15.75</v>
      </c>
      <c r="N1507" s="15">
        <v>0</v>
      </c>
      <c r="O1507" s="15">
        <v>24.583058000000001</v>
      </c>
      <c r="P1507" s="15">
        <v>213.68305799999999</v>
      </c>
    </row>
    <row r="1508" spans="1:16" ht="15" x14ac:dyDescent="0.2">
      <c r="A1508" s="4" t="s">
        <v>582</v>
      </c>
      <c r="B1508" s="21" t="str">
        <f t="shared" si="46"/>
        <v>Nov-2025</v>
      </c>
      <c r="C1508" s="2" t="str">
        <f t="shared" si="47"/>
        <v>Q3</v>
      </c>
      <c r="D1508" s="2" t="s">
        <v>31</v>
      </c>
      <c r="E1508" s="13">
        <v>45988</v>
      </c>
      <c r="F1508" s="14" t="s">
        <v>351</v>
      </c>
      <c r="G1508" s="14" t="s">
        <v>80</v>
      </c>
      <c r="H1508" s="14" t="s">
        <v>77</v>
      </c>
      <c r="I1508" s="15">
        <v>0.04</v>
      </c>
      <c r="J1508" s="15">
        <v>1</v>
      </c>
      <c r="K1508" s="15">
        <v>204.85</v>
      </c>
      <c r="L1508" s="15">
        <v>204.85</v>
      </c>
      <c r="M1508" s="15">
        <v>-15.75</v>
      </c>
      <c r="N1508" s="15">
        <v>0</v>
      </c>
      <c r="O1508" s="15">
        <v>24.583058000000001</v>
      </c>
      <c r="P1508" s="15">
        <v>213.68305799999999</v>
      </c>
    </row>
    <row r="1509" spans="1:16" ht="15" x14ac:dyDescent="0.2">
      <c r="A1509" s="4" t="s">
        <v>582</v>
      </c>
      <c r="B1509" s="21" t="str">
        <f t="shared" si="46"/>
        <v>Nov-2025</v>
      </c>
      <c r="C1509" s="2" t="str">
        <f t="shared" si="47"/>
        <v>Q3</v>
      </c>
      <c r="D1509" s="2" t="s">
        <v>31</v>
      </c>
      <c r="E1509" s="13">
        <v>45988</v>
      </c>
      <c r="F1509" s="14" t="s">
        <v>351</v>
      </c>
      <c r="G1509" s="14" t="s">
        <v>80</v>
      </c>
      <c r="H1509" s="14" t="s">
        <v>108</v>
      </c>
      <c r="I1509" s="15">
        <v>0.04</v>
      </c>
      <c r="J1509" s="15">
        <v>1</v>
      </c>
      <c r="K1509" s="15">
        <v>186.22</v>
      </c>
      <c r="L1509" s="15">
        <v>186.22</v>
      </c>
      <c r="M1509" s="15">
        <v>-14.32</v>
      </c>
      <c r="N1509" s="15">
        <v>0</v>
      </c>
      <c r="O1509" s="15">
        <v>22.347052999999999</v>
      </c>
      <c r="P1509" s="15">
        <v>194.24705299999999</v>
      </c>
    </row>
    <row r="1510" spans="1:16" ht="15" x14ac:dyDescent="0.2">
      <c r="A1510" s="4" t="s">
        <v>584</v>
      </c>
      <c r="B1510" s="21" t="str">
        <f t="shared" si="46"/>
        <v>Nov-2025</v>
      </c>
      <c r="C1510" s="2" t="str">
        <f t="shared" si="47"/>
        <v>Q3</v>
      </c>
      <c r="D1510" s="2" t="s">
        <v>31</v>
      </c>
      <c r="E1510" s="13">
        <v>45988</v>
      </c>
      <c r="F1510" s="14" t="s">
        <v>352</v>
      </c>
      <c r="G1510" s="14" t="s">
        <v>15</v>
      </c>
      <c r="H1510" s="14" t="s">
        <v>120</v>
      </c>
      <c r="I1510" s="15">
        <v>1</v>
      </c>
      <c r="J1510" s="15">
        <v>40</v>
      </c>
      <c r="K1510" s="15">
        <v>81.94</v>
      </c>
      <c r="L1510" s="15">
        <v>3277.6</v>
      </c>
      <c r="M1510" s="15">
        <v>-252.05</v>
      </c>
      <c r="N1510" s="15">
        <v>0</v>
      </c>
      <c r="O1510" s="15">
        <v>393.32137799999998</v>
      </c>
      <c r="P1510" s="15">
        <v>3418.8713779999998</v>
      </c>
    </row>
    <row r="1511" spans="1:16" ht="15" x14ac:dyDescent="0.2">
      <c r="A1511" s="4" t="s">
        <v>576</v>
      </c>
      <c r="B1511" s="21" t="str">
        <f t="shared" si="46"/>
        <v>Nov-2025</v>
      </c>
      <c r="C1511" s="2" t="str">
        <f t="shared" si="47"/>
        <v>Q3</v>
      </c>
      <c r="D1511" s="2" t="s">
        <v>31</v>
      </c>
      <c r="E1511" s="13">
        <v>45988</v>
      </c>
      <c r="F1511" s="14" t="s">
        <v>352</v>
      </c>
      <c r="G1511" s="14" t="s">
        <v>15</v>
      </c>
      <c r="H1511" s="14" t="s">
        <v>110</v>
      </c>
      <c r="I1511" s="15">
        <v>1</v>
      </c>
      <c r="J1511" s="15">
        <v>20</v>
      </c>
      <c r="K1511" s="15">
        <v>175.06</v>
      </c>
      <c r="L1511" s="15">
        <v>3501.2</v>
      </c>
      <c r="M1511" s="15">
        <v>-269.24</v>
      </c>
      <c r="N1511" s="15">
        <v>0</v>
      </c>
      <c r="O1511" s="15">
        <v>420.15466900000001</v>
      </c>
      <c r="P1511" s="15">
        <v>3652.114669</v>
      </c>
    </row>
    <row r="1512" spans="1:16" ht="15" x14ac:dyDescent="0.2">
      <c r="A1512" s="4" t="s">
        <v>581</v>
      </c>
      <c r="B1512" s="21" t="str">
        <f t="shared" si="46"/>
        <v>Nov-2025</v>
      </c>
      <c r="C1512" s="2" t="str">
        <f t="shared" si="47"/>
        <v>Q3</v>
      </c>
      <c r="D1512" s="2" t="s">
        <v>31</v>
      </c>
      <c r="E1512" s="13">
        <v>45988</v>
      </c>
      <c r="F1512" s="14" t="s">
        <v>352</v>
      </c>
      <c r="G1512" s="14" t="s">
        <v>15</v>
      </c>
      <c r="H1512" s="14" t="s">
        <v>66</v>
      </c>
      <c r="I1512" s="15">
        <v>2</v>
      </c>
      <c r="J1512" s="15">
        <v>48</v>
      </c>
      <c r="K1512" s="15">
        <v>141.54</v>
      </c>
      <c r="L1512" s="15">
        <v>6793.92</v>
      </c>
      <c r="M1512" s="15">
        <v>-522.45000000000005</v>
      </c>
      <c r="N1512" s="15">
        <v>0</v>
      </c>
      <c r="O1512" s="15">
        <v>815.29084699999999</v>
      </c>
      <c r="P1512" s="15">
        <v>7086.7608469999996</v>
      </c>
    </row>
    <row r="1513" spans="1:16" ht="15" x14ac:dyDescent="0.2">
      <c r="A1513" s="4" t="s">
        <v>576</v>
      </c>
      <c r="B1513" s="21" t="str">
        <f t="shared" si="46"/>
        <v>Nov-2025</v>
      </c>
      <c r="C1513" s="2" t="str">
        <f t="shared" si="47"/>
        <v>Q3</v>
      </c>
      <c r="D1513" s="2" t="s">
        <v>31</v>
      </c>
      <c r="E1513" s="13">
        <v>45988</v>
      </c>
      <c r="F1513" s="14" t="s">
        <v>352</v>
      </c>
      <c r="G1513" s="14" t="s">
        <v>15</v>
      </c>
      <c r="H1513" s="14" t="s">
        <v>123</v>
      </c>
      <c r="I1513" s="15">
        <v>1</v>
      </c>
      <c r="J1513" s="15">
        <v>20</v>
      </c>
      <c r="K1513" s="15">
        <v>175.06</v>
      </c>
      <c r="L1513" s="15">
        <v>3501.2</v>
      </c>
      <c r="M1513" s="15">
        <v>-269.24</v>
      </c>
      <c r="N1513" s="15">
        <v>0</v>
      </c>
      <c r="O1513" s="15">
        <v>420.15466900000001</v>
      </c>
      <c r="P1513" s="15">
        <v>3652.114669</v>
      </c>
    </row>
    <row r="1514" spans="1:16" ht="15" x14ac:dyDescent="0.2">
      <c r="A1514" s="4" t="s">
        <v>573</v>
      </c>
      <c r="B1514" s="21" t="str">
        <f t="shared" si="46"/>
        <v>Nov-2025</v>
      </c>
      <c r="C1514" s="2" t="str">
        <f t="shared" si="47"/>
        <v>Q3</v>
      </c>
      <c r="D1514" s="2" t="s">
        <v>31</v>
      </c>
      <c r="E1514" s="13">
        <v>45988</v>
      </c>
      <c r="F1514" s="14" t="s">
        <v>352</v>
      </c>
      <c r="G1514" s="14" t="s">
        <v>15</v>
      </c>
      <c r="H1514" s="14" t="s">
        <v>136</v>
      </c>
      <c r="I1514" s="15">
        <v>2</v>
      </c>
      <c r="J1514" s="15">
        <v>80</v>
      </c>
      <c r="K1514" s="15">
        <v>111.74</v>
      </c>
      <c r="L1514" s="15">
        <v>8939.2000000000007</v>
      </c>
      <c r="M1514" s="15">
        <v>-687.42</v>
      </c>
      <c r="N1514" s="15">
        <v>0</v>
      </c>
      <c r="O1514" s="15">
        <v>1072.7310669999999</v>
      </c>
      <c r="P1514" s="15">
        <v>9324.5110669999995</v>
      </c>
    </row>
    <row r="1515" spans="1:16" ht="15" x14ac:dyDescent="0.2">
      <c r="A1515" s="4" t="s">
        <v>579</v>
      </c>
      <c r="B1515" s="21" t="str">
        <f t="shared" si="46"/>
        <v>Nov-2025</v>
      </c>
      <c r="C1515" s="2" t="str">
        <f t="shared" si="47"/>
        <v>Q3</v>
      </c>
      <c r="D1515" s="2" t="s">
        <v>31</v>
      </c>
      <c r="E1515" s="13">
        <v>45988</v>
      </c>
      <c r="F1515" s="14" t="s">
        <v>352</v>
      </c>
      <c r="G1515" s="14" t="s">
        <v>15</v>
      </c>
      <c r="H1515" s="14" t="s">
        <v>91</v>
      </c>
      <c r="I1515" s="15">
        <v>2</v>
      </c>
      <c r="J1515" s="15">
        <v>40</v>
      </c>
      <c r="K1515" s="15">
        <v>204.85</v>
      </c>
      <c r="L1515" s="15">
        <v>8194</v>
      </c>
      <c r="M1515" s="15">
        <v>-630.12</v>
      </c>
      <c r="N1515" s="15">
        <v>0</v>
      </c>
      <c r="O1515" s="15">
        <v>983.30409499999996</v>
      </c>
      <c r="P1515" s="15">
        <v>8547.1840950000005</v>
      </c>
    </row>
    <row r="1516" spans="1:16" ht="15" x14ac:dyDescent="0.2">
      <c r="A1516" s="4" t="s">
        <v>584</v>
      </c>
      <c r="B1516" s="21" t="str">
        <f t="shared" si="46"/>
        <v>Nov-2025</v>
      </c>
      <c r="C1516" s="2" t="str">
        <f t="shared" si="47"/>
        <v>Q3</v>
      </c>
      <c r="D1516" s="2" t="s">
        <v>31</v>
      </c>
      <c r="E1516" s="13">
        <v>45988</v>
      </c>
      <c r="F1516" s="14" t="s">
        <v>352</v>
      </c>
      <c r="G1516" s="14" t="s">
        <v>15</v>
      </c>
      <c r="H1516" s="14" t="s">
        <v>99</v>
      </c>
      <c r="I1516" s="15">
        <v>1</v>
      </c>
      <c r="J1516" s="15">
        <v>40</v>
      </c>
      <c r="K1516" s="15">
        <v>81.94</v>
      </c>
      <c r="L1516" s="15">
        <v>3277.6</v>
      </c>
      <c r="M1516" s="15">
        <v>-252.05</v>
      </c>
      <c r="N1516" s="15">
        <v>0</v>
      </c>
      <c r="O1516" s="15">
        <v>393.32137799999998</v>
      </c>
      <c r="P1516" s="15">
        <v>3418.8713779999998</v>
      </c>
    </row>
    <row r="1517" spans="1:16" ht="15" x14ac:dyDescent="0.2">
      <c r="A1517" s="4" t="s">
        <v>582</v>
      </c>
      <c r="B1517" s="21" t="str">
        <f t="shared" si="46"/>
        <v>Nov-2025</v>
      </c>
      <c r="C1517" s="2" t="str">
        <f t="shared" si="47"/>
        <v>Q3</v>
      </c>
      <c r="D1517" s="2" t="s">
        <v>31</v>
      </c>
      <c r="E1517" s="13">
        <v>45988</v>
      </c>
      <c r="F1517" s="14" t="s">
        <v>352</v>
      </c>
      <c r="G1517" s="14" t="s">
        <v>15</v>
      </c>
      <c r="H1517" s="14" t="s">
        <v>101</v>
      </c>
      <c r="I1517" s="15">
        <v>1</v>
      </c>
      <c r="J1517" s="15">
        <v>24</v>
      </c>
      <c r="K1517" s="15">
        <v>186.22</v>
      </c>
      <c r="L1517" s="15">
        <v>4469.28</v>
      </c>
      <c r="M1517" s="15">
        <v>-343.69</v>
      </c>
      <c r="N1517" s="15">
        <v>0</v>
      </c>
      <c r="O1517" s="15">
        <v>536.32653299999993</v>
      </c>
      <c r="P1517" s="15">
        <v>4661.9165329999996</v>
      </c>
    </row>
    <row r="1518" spans="1:16" ht="15" x14ac:dyDescent="0.2">
      <c r="A1518" s="4" t="s">
        <v>580</v>
      </c>
      <c r="B1518" s="21" t="str">
        <f t="shared" si="46"/>
        <v>Nov-2025</v>
      </c>
      <c r="C1518" s="2" t="str">
        <f t="shared" si="47"/>
        <v>Q3</v>
      </c>
      <c r="D1518" s="2" t="s">
        <v>31</v>
      </c>
      <c r="E1518" s="13">
        <v>45988</v>
      </c>
      <c r="F1518" s="14" t="s">
        <v>352</v>
      </c>
      <c r="G1518" s="14" t="s">
        <v>15</v>
      </c>
      <c r="H1518" s="14" t="s">
        <v>89</v>
      </c>
      <c r="I1518" s="15">
        <v>2</v>
      </c>
      <c r="J1518" s="15">
        <v>140</v>
      </c>
      <c r="K1518" s="15">
        <v>37.25</v>
      </c>
      <c r="L1518" s="15">
        <v>5215</v>
      </c>
      <c r="M1518" s="15">
        <v>-401.03</v>
      </c>
      <c r="N1518" s="15">
        <v>0</v>
      </c>
      <c r="O1518" s="15">
        <v>625.81590600000004</v>
      </c>
      <c r="P1518" s="15">
        <v>5439.7859060000001</v>
      </c>
    </row>
    <row r="1519" spans="1:16" ht="15" x14ac:dyDescent="0.2">
      <c r="A1519" s="4" t="s">
        <v>579</v>
      </c>
      <c r="B1519" s="21" t="str">
        <f t="shared" si="46"/>
        <v>Nov-2025</v>
      </c>
      <c r="C1519" s="2" t="str">
        <f t="shared" si="47"/>
        <v>Q3</v>
      </c>
      <c r="D1519" s="2" t="s">
        <v>31</v>
      </c>
      <c r="E1519" s="13">
        <v>45988</v>
      </c>
      <c r="F1519" s="14" t="s">
        <v>352</v>
      </c>
      <c r="G1519" s="14" t="s">
        <v>15</v>
      </c>
      <c r="H1519" s="14" t="s">
        <v>140</v>
      </c>
      <c r="I1519" s="15">
        <v>1</v>
      </c>
      <c r="J1519" s="15">
        <v>20</v>
      </c>
      <c r="K1519" s="15">
        <v>204.85</v>
      </c>
      <c r="L1519" s="15">
        <v>4097</v>
      </c>
      <c r="M1519" s="15">
        <v>-315.06</v>
      </c>
      <c r="N1519" s="15">
        <v>0</v>
      </c>
      <c r="O1519" s="15">
        <v>491.65204699999998</v>
      </c>
      <c r="P1519" s="15">
        <v>4273.5920470000001</v>
      </c>
    </row>
    <row r="1520" spans="1:16" ht="15" x14ac:dyDescent="0.2">
      <c r="A1520" s="4" t="s">
        <v>576</v>
      </c>
      <c r="B1520" s="21" t="str">
        <f t="shared" si="46"/>
        <v>Nov-2025</v>
      </c>
      <c r="C1520" s="2" t="str">
        <f t="shared" si="47"/>
        <v>Q3</v>
      </c>
      <c r="D1520" s="2" t="s">
        <v>31</v>
      </c>
      <c r="E1520" s="13">
        <v>45988</v>
      </c>
      <c r="F1520" s="14" t="s">
        <v>352</v>
      </c>
      <c r="G1520" s="14" t="s">
        <v>15</v>
      </c>
      <c r="H1520" s="14" t="s">
        <v>124</v>
      </c>
      <c r="I1520" s="15">
        <v>1</v>
      </c>
      <c r="J1520" s="15">
        <v>20</v>
      </c>
      <c r="K1520" s="15">
        <v>175.06</v>
      </c>
      <c r="L1520" s="15">
        <v>3501.2</v>
      </c>
      <c r="M1520" s="15">
        <v>-269.24</v>
      </c>
      <c r="N1520" s="15">
        <v>0</v>
      </c>
      <c r="O1520" s="15">
        <v>420.15466900000001</v>
      </c>
      <c r="P1520" s="15">
        <v>3652.114669</v>
      </c>
    </row>
    <row r="1521" spans="1:16" ht="15" x14ac:dyDescent="0.2">
      <c r="A1521" s="4" t="s">
        <v>573</v>
      </c>
      <c r="B1521" s="21" t="str">
        <f t="shared" si="46"/>
        <v>Nov-2025</v>
      </c>
      <c r="C1521" s="2" t="str">
        <f t="shared" si="47"/>
        <v>Q3</v>
      </c>
      <c r="D1521" s="2" t="s">
        <v>31</v>
      </c>
      <c r="E1521" s="13">
        <v>45988</v>
      </c>
      <c r="F1521" s="14" t="s">
        <v>352</v>
      </c>
      <c r="G1521" s="14" t="s">
        <v>15</v>
      </c>
      <c r="H1521" s="14" t="s">
        <v>111</v>
      </c>
      <c r="I1521" s="15">
        <v>2</v>
      </c>
      <c r="J1521" s="15">
        <v>80</v>
      </c>
      <c r="K1521" s="15">
        <v>111.74</v>
      </c>
      <c r="L1521" s="15">
        <v>8939.2000000000007</v>
      </c>
      <c r="M1521" s="15">
        <v>-687.42</v>
      </c>
      <c r="N1521" s="15">
        <v>0</v>
      </c>
      <c r="O1521" s="15">
        <v>1072.7310669999999</v>
      </c>
      <c r="P1521" s="15">
        <v>9324.5110669999995</v>
      </c>
    </row>
    <row r="1522" spans="1:16" ht="15" x14ac:dyDescent="0.2">
      <c r="A1522" s="4" t="s">
        <v>573</v>
      </c>
      <c r="B1522" s="21" t="str">
        <f t="shared" si="46"/>
        <v>Nov-2025</v>
      </c>
      <c r="C1522" s="2" t="str">
        <f t="shared" si="47"/>
        <v>Q3</v>
      </c>
      <c r="D1522" s="2" t="s">
        <v>31</v>
      </c>
      <c r="E1522" s="13">
        <v>45988</v>
      </c>
      <c r="F1522" s="14" t="s">
        <v>352</v>
      </c>
      <c r="G1522" s="14" t="s">
        <v>15</v>
      </c>
      <c r="H1522" s="14" t="s">
        <v>138</v>
      </c>
      <c r="I1522" s="15">
        <v>1</v>
      </c>
      <c r="J1522" s="15">
        <v>40</v>
      </c>
      <c r="K1522" s="15">
        <v>111.74</v>
      </c>
      <c r="L1522" s="15">
        <v>4469.6000000000004</v>
      </c>
      <c r="M1522" s="15">
        <v>-343.71</v>
      </c>
      <c r="N1522" s="15">
        <v>0</v>
      </c>
      <c r="O1522" s="15">
        <v>536.36553300000003</v>
      </c>
      <c r="P1522" s="15">
        <v>4662.2555329999996</v>
      </c>
    </row>
    <row r="1523" spans="1:16" ht="15" x14ac:dyDescent="0.2">
      <c r="A1523" s="4" t="s">
        <v>579</v>
      </c>
      <c r="B1523" s="21" t="str">
        <f t="shared" si="46"/>
        <v>Nov-2025</v>
      </c>
      <c r="C1523" s="2" t="str">
        <f t="shared" si="47"/>
        <v>Q3</v>
      </c>
      <c r="D1523" s="2" t="s">
        <v>31</v>
      </c>
      <c r="E1523" s="13">
        <v>45988</v>
      </c>
      <c r="F1523" s="14" t="s">
        <v>352</v>
      </c>
      <c r="G1523" s="14" t="s">
        <v>15</v>
      </c>
      <c r="H1523" s="14" t="s">
        <v>112</v>
      </c>
      <c r="I1523" s="15">
        <v>1</v>
      </c>
      <c r="J1523" s="15">
        <v>20</v>
      </c>
      <c r="K1523" s="15">
        <v>204.85</v>
      </c>
      <c r="L1523" s="15">
        <v>4097</v>
      </c>
      <c r="M1523" s="15">
        <v>-315.06</v>
      </c>
      <c r="N1523" s="15">
        <v>0</v>
      </c>
      <c r="O1523" s="15">
        <v>491.65204699999998</v>
      </c>
      <c r="P1523" s="15">
        <v>4273.5920470000001</v>
      </c>
    </row>
    <row r="1524" spans="1:16" ht="15" x14ac:dyDescent="0.2">
      <c r="A1524" s="4" t="s">
        <v>579</v>
      </c>
      <c r="B1524" s="21" t="str">
        <f t="shared" si="46"/>
        <v>Nov-2025</v>
      </c>
      <c r="C1524" s="2" t="str">
        <f t="shared" si="47"/>
        <v>Q3</v>
      </c>
      <c r="D1524" s="2" t="s">
        <v>31</v>
      </c>
      <c r="E1524" s="13">
        <v>45988</v>
      </c>
      <c r="F1524" s="14" t="s">
        <v>352</v>
      </c>
      <c r="G1524" s="14" t="s">
        <v>15</v>
      </c>
      <c r="H1524" s="14" t="s">
        <v>90</v>
      </c>
      <c r="I1524" s="15">
        <v>2</v>
      </c>
      <c r="J1524" s="15">
        <v>40</v>
      </c>
      <c r="K1524" s="15">
        <v>204.85</v>
      </c>
      <c r="L1524" s="15">
        <v>8194</v>
      </c>
      <c r="M1524" s="15">
        <v>-630.12</v>
      </c>
      <c r="N1524" s="15">
        <v>0</v>
      </c>
      <c r="O1524" s="15">
        <v>983.30409499999996</v>
      </c>
      <c r="P1524" s="15">
        <v>8547.1840950000005</v>
      </c>
    </row>
    <row r="1525" spans="1:16" ht="15" x14ac:dyDescent="0.2">
      <c r="A1525" s="4" t="s">
        <v>593</v>
      </c>
      <c r="B1525" s="21" t="str">
        <f t="shared" si="46"/>
        <v>Nov-2025</v>
      </c>
      <c r="C1525" s="2" t="str">
        <f t="shared" si="47"/>
        <v>Q3</v>
      </c>
      <c r="D1525" s="2" t="s">
        <v>31</v>
      </c>
      <c r="E1525" s="13">
        <v>45988</v>
      </c>
      <c r="F1525" s="14" t="s">
        <v>353</v>
      </c>
      <c r="G1525" s="14" t="s">
        <v>187</v>
      </c>
      <c r="H1525" s="14" t="s">
        <v>117</v>
      </c>
      <c r="I1525" s="15">
        <v>20</v>
      </c>
      <c r="J1525" s="15">
        <v>80</v>
      </c>
      <c r="K1525" s="15">
        <v>595.92999999999995</v>
      </c>
      <c r="L1525" s="15">
        <v>47674.400000000001</v>
      </c>
      <c r="M1525" s="15">
        <v>-3666.16</v>
      </c>
      <c r="N1525" s="15">
        <v>0</v>
      </c>
      <c r="O1525" s="15">
        <v>5721.0700000000006</v>
      </c>
      <c r="P1525" s="15">
        <v>49729.31</v>
      </c>
    </row>
    <row r="1526" spans="1:16" ht="15" x14ac:dyDescent="0.2">
      <c r="A1526" s="4" t="s">
        <v>573</v>
      </c>
      <c r="B1526" s="21" t="str">
        <f t="shared" si="46"/>
        <v>Nov-2025</v>
      </c>
      <c r="C1526" s="2" t="str">
        <f t="shared" si="47"/>
        <v>Q3</v>
      </c>
      <c r="D1526" s="2" t="s">
        <v>31</v>
      </c>
      <c r="E1526" s="13">
        <v>45988</v>
      </c>
      <c r="F1526" s="14" t="s">
        <v>354</v>
      </c>
      <c r="G1526" s="14" t="s">
        <v>171</v>
      </c>
      <c r="H1526" s="14" t="s">
        <v>136</v>
      </c>
      <c r="I1526" s="15">
        <v>3</v>
      </c>
      <c r="J1526" s="15">
        <v>120</v>
      </c>
      <c r="K1526" s="15">
        <v>111.74</v>
      </c>
      <c r="L1526" s="15">
        <v>13408.8</v>
      </c>
      <c r="M1526" s="15">
        <v>-1031.1400000000001</v>
      </c>
      <c r="N1526" s="15">
        <v>0</v>
      </c>
      <c r="O1526" s="15">
        <v>1609.095255</v>
      </c>
      <c r="P1526" s="15">
        <v>13986.755255</v>
      </c>
    </row>
    <row r="1527" spans="1:16" ht="15" x14ac:dyDescent="0.2">
      <c r="A1527" s="4" t="s">
        <v>573</v>
      </c>
      <c r="B1527" s="21" t="str">
        <f t="shared" si="46"/>
        <v>Nov-2025</v>
      </c>
      <c r="C1527" s="2" t="str">
        <f t="shared" si="47"/>
        <v>Q3</v>
      </c>
      <c r="D1527" s="2" t="s">
        <v>31</v>
      </c>
      <c r="E1527" s="13">
        <v>45988</v>
      </c>
      <c r="F1527" s="14" t="s">
        <v>354</v>
      </c>
      <c r="G1527" s="14" t="s">
        <v>171</v>
      </c>
      <c r="H1527" s="14" t="s">
        <v>111</v>
      </c>
      <c r="I1527" s="15">
        <v>4</v>
      </c>
      <c r="J1527" s="15">
        <v>160</v>
      </c>
      <c r="K1527" s="15">
        <v>111.74</v>
      </c>
      <c r="L1527" s="15">
        <v>17878.400000000001</v>
      </c>
      <c r="M1527" s="15">
        <v>-1374.85</v>
      </c>
      <c r="N1527" s="15">
        <v>0</v>
      </c>
      <c r="O1527" s="15">
        <v>2145.4607730000002</v>
      </c>
      <c r="P1527" s="15">
        <v>18649.010773000002</v>
      </c>
    </row>
    <row r="1528" spans="1:16" ht="15" x14ac:dyDescent="0.2">
      <c r="A1528" s="4" t="s">
        <v>576</v>
      </c>
      <c r="B1528" s="21" t="str">
        <f t="shared" si="46"/>
        <v>Nov-2025</v>
      </c>
      <c r="C1528" s="2" t="str">
        <f t="shared" si="47"/>
        <v>Q3</v>
      </c>
      <c r="D1528" s="2" t="s">
        <v>31</v>
      </c>
      <c r="E1528" s="13">
        <v>45988</v>
      </c>
      <c r="F1528" s="14" t="s">
        <v>354</v>
      </c>
      <c r="G1528" s="14" t="s">
        <v>171</v>
      </c>
      <c r="H1528" s="14" t="s">
        <v>110</v>
      </c>
      <c r="I1528" s="15">
        <v>2</v>
      </c>
      <c r="J1528" s="15">
        <v>40</v>
      </c>
      <c r="K1528" s="15">
        <v>175.06</v>
      </c>
      <c r="L1528" s="15">
        <v>7002.4</v>
      </c>
      <c r="M1528" s="15">
        <v>-538.48</v>
      </c>
      <c r="N1528" s="15">
        <v>0</v>
      </c>
      <c r="O1528" s="15">
        <v>840.30931500000008</v>
      </c>
      <c r="P1528" s="15">
        <v>7304.2293149999996</v>
      </c>
    </row>
    <row r="1529" spans="1:16" ht="15" x14ac:dyDescent="0.2">
      <c r="A1529" s="4" t="s">
        <v>576</v>
      </c>
      <c r="B1529" s="21" t="str">
        <f t="shared" si="46"/>
        <v>Nov-2025</v>
      </c>
      <c r="C1529" s="2" t="str">
        <f t="shared" si="47"/>
        <v>Q3</v>
      </c>
      <c r="D1529" s="2" t="s">
        <v>31</v>
      </c>
      <c r="E1529" s="13">
        <v>45988</v>
      </c>
      <c r="F1529" s="14" t="s">
        <v>354</v>
      </c>
      <c r="G1529" s="14" t="s">
        <v>171</v>
      </c>
      <c r="H1529" s="14" t="s">
        <v>124</v>
      </c>
      <c r="I1529" s="15">
        <v>1</v>
      </c>
      <c r="J1529" s="15">
        <v>20</v>
      </c>
      <c r="K1529" s="15">
        <v>175.06</v>
      </c>
      <c r="L1529" s="15">
        <v>3501.2</v>
      </c>
      <c r="M1529" s="15">
        <v>-269.24</v>
      </c>
      <c r="N1529" s="15">
        <v>0</v>
      </c>
      <c r="O1529" s="15">
        <v>420.15465799999998</v>
      </c>
      <c r="P1529" s="15">
        <v>3652.114658</v>
      </c>
    </row>
    <row r="1530" spans="1:16" ht="15" x14ac:dyDescent="0.2">
      <c r="A1530" s="4" t="s">
        <v>581</v>
      </c>
      <c r="B1530" s="21" t="str">
        <f t="shared" si="46"/>
        <v>Nov-2025</v>
      </c>
      <c r="C1530" s="2" t="str">
        <f t="shared" si="47"/>
        <v>Q3</v>
      </c>
      <c r="D1530" s="2" t="s">
        <v>31</v>
      </c>
      <c r="E1530" s="13">
        <v>45988</v>
      </c>
      <c r="F1530" s="14" t="s">
        <v>355</v>
      </c>
      <c r="G1530" s="14" t="s">
        <v>22</v>
      </c>
      <c r="H1530" s="14" t="s">
        <v>66</v>
      </c>
      <c r="I1530" s="15">
        <v>-0.75</v>
      </c>
      <c r="J1530" s="15">
        <v>-18</v>
      </c>
      <c r="K1530" s="15">
        <v>141.53</v>
      </c>
      <c r="L1530" s="15">
        <v>-2547.54</v>
      </c>
      <c r="M1530" s="15">
        <v>195.91</v>
      </c>
      <c r="N1530" s="15">
        <v>0</v>
      </c>
      <c r="O1530" s="15">
        <v>-305.71202099999999</v>
      </c>
      <c r="P1530" s="15">
        <v>-2657.3420209999999</v>
      </c>
    </row>
    <row r="1531" spans="1:16" ht="15" x14ac:dyDescent="0.2">
      <c r="A1531" s="4" t="s">
        <v>586</v>
      </c>
      <c r="B1531" s="21" t="str">
        <f t="shared" si="46"/>
        <v>Nov-2025</v>
      </c>
      <c r="C1531" s="2" t="str">
        <f t="shared" si="47"/>
        <v>Q3</v>
      </c>
      <c r="D1531" s="2" t="s">
        <v>31</v>
      </c>
      <c r="E1531" s="13">
        <v>45988</v>
      </c>
      <c r="F1531" s="14" t="s">
        <v>355</v>
      </c>
      <c r="G1531" s="14" t="s">
        <v>22</v>
      </c>
      <c r="H1531" s="14" t="s">
        <v>103</v>
      </c>
      <c r="I1531" s="15">
        <v>-1</v>
      </c>
      <c r="J1531" s="15">
        <v>-600</v>
      </c>
      <c r="K1531" s="15">
        <v>7.45</v>
      </c>
      <c r="L1531" s="15">
        <v>-4470</v>
      </c>
      <c r="M1531" s="15">
        <v>343.74</v>
      </c>
      <c r="N1531" s="15">
        <v>0</v>
      </c>
      <c r="O1531" s="15">
        <v>-536.41401300000007</v>
      </c>
      <c r="P1531" s="15">
        <v>-4662.6740129999998</v>
      </c>
    </row>
    <row r="1532" spans="1:16" ht="15" x14ac:dyDescent="0.2">
      <c r="A1532" s="4" t="s">
        <v>582</v>
      </c>
      <c r="B1532" s="21" t="str">
        <f t="shared" si="46"/>
        <v>Nov-2025</v>
      </c>
      <c r="C1532" s="2" t="str">
        <f t="shared" si="47"/>
        <v>Q3</v>
      </c>
      <c r="D1532" s="2" t="s">
        <v>31</v>
      </c>
      <c r="E1532" s="13">
        <v>45988</v>
      </c>
      <c r="F1532" s="14" t="s">
        <v>355</v>
      </c>
      <c r="G1532" s="14" t="s">
        <v>22</v>
      </c>
      <c r="H1532" s="14" t="s">
        <v>108</v>
      </c>
      <c r="I1532" s="15">
        <v>-1.75</v>
      </c>
      <c r="J1532" s="15">
        <v>-42</v>
      </c>
      <c r="K1532" s="15">
        <v>186.23</v>
      </c>
      <c r="L1532" s="15">
        <v>-7821.66</v>
      </c>
      <c r="M1532" s="15">
        <v>601.4899999999999</v>
      </c>
      <c r="N1532" s="15">
        <v>0</v>
      </c>
      <c r="O1532" s="15">
        <v>-938.62247200000002</v>
      </c>
      <c r="P1532" s="15">
        <v>-8158.7924720000001</v>
      </c>
    </row>
    <row r="1533" spans="1:16" ht="15" x14ac:dyDescent="0.2">
      <c r="A1533" s="4" t="s">
        <v>584</v>
      </c>
      <c r="B1533" s="21" t="str">
        <f t="shared" si="46"/>
        <v>Nov-2025</v>
      </c>
      <c r="C1533" s="2" t="str">
        <f t="shared" si="47"/>
        <v>Q3</v>
      </c>
      <c r="D1533" s="2" t="s">
        <v>31</v>
      </c>
      <c r="E1533" s="13">
        <v>45988</v>
      </c>
      <c r="F1533" s="14" t="s">
        <v>355</v>
      </c>
      <c r="G1533" s="14" t="s">
        <v>22</v>
      </c>
      <c r="H1533" s="14" t="s">
        <v>120</v>
      </c>
      <c r="I1533" s="15">
        <v>-0.57999999999999996</v>
      </c>
      <c r="J1533" s="15">
        <v>-23</v>
      </c>
      <c r="K1533" s="15">
        <v>81.94</v>
      </c>
      <c r="L1533" s="15">
        <v>-1884.6200000000001</v>
      </c>
      <c r="M1533" s="15">
        <v>144.93</v>
      </c>
      <c r="N1533" s="15">
        <v>0</v>
      </c>
      <c r="O1533" s="15">
        <v>-226.15979000000002</v>
      </c>
      <c r="P1533" s="15">
        <v>-1965.84979</v>
      </c>
    </row>
    <row r="1534" spans="1:16" ht="15" x14ac:dyDescent="0.2">
      <c r="A1534" s="4" t="s">
        <v>584</v>
      </c>
      <c r="B1534" s="21" t="str">
        <f t="shared" si="46"/>
        <v>Nov-2025</v>
      </c>
      <c r="C1534" s="2" t="str">
        <f t="shared" si="47"/>
        <v>Q3</v>
      </c>
      <c r="D1534" s="2" t="s">
        <v>31</v>
      </c>
      <c r="E1534" s="13">
        <v>45988</v>
      </c>
      <c r="F1534" s="14" t="s">
        <v>355</v>
      </c>
      <c r="G1534" s="14" t="s">
        <v>22</v>
      </c>
      <c r="H1534" s="14" t="s">
        <v>99</v>
      </c>
      <c r="I1534" s="15">
        <v>-1.85</v>
      </c>
      <c r="J1534" s="15">
        <v>-74</v>
      </c>
      <c r="K1534" s="15">
        <v>81.94</v>
      </c>
      <c r="L1534" s="15">
        <v>-6063.5599999999995</v>
      </c>
      <c r="M1534" s="15">
        <v>466.29</v>
      </c>
      <c r="N1534" s="15">
        <v>0</v>
      </c>
      <c r="O1534" s="15">
        <v>-727.64538900000002</v>
      </c>
      <c r="P1534" s="15">
        <v>-6324.9153889999998</v>
      </c>
    </row>
    <row r="1535" spans="1:16" ht="15" x14ac:dyDescent="0.2">
      <c r="A1535" s="4" t="s">
        <v>586</v>
      </c>
      <c r="B1535" s="21" t="str">
        <f t="shared" si="46"/>
        <v>Nov-2025</v>
      </c>
      <c r="C1535" s="2" t="str">
        <f t="shared" si="47"/>
        <v>Q3</v>
      </c>
      <c r="D1535" s="2" t="s">
        <v>31</v>
      </c>
      <c r="E1535" s="13">
        <v>45988</v>
      </c>
      <c r="F1535" s="14" t="s">
        <v>355</v>
      </c>
      <c r="G1535" s="14" t="s">
        <v>22</v>
      </c>
      <c r="H1535" s="14" t="s">
        <v>78</v>
      </c>
      <c r="I1535" s="15">
        <v>-1</v>
      </c>
      <c r="J1535" s="15">
        <v>-600</v>
      </c>
      <c r="K1535" s="15">
        <v>7.45</v>
      </c>
      <c r="L1535" s="15">
        <v>-4470</v>
      </c>
      <c r="M1535" s="15">
        <v>343.74</v>
      </c>
      <c r="N1535" s="15">
        <v>0</v>
      </c>
      <c r="O1535" s="15">
        <v>-536.41401300000007</v>
      </c>
      <c r="P1535" s="15">
        <v>-4662.6740129999998</v>
      </c>
    </row>
    <row r="1536" spans="1:16" ht="15" x14ac:dyDescent="0.2">
      <c r="A1536" s="4" t="s">
        <v>582</v>
      </c>
      <c r="B1536" s="21" t="str">
        <f t="shared" si="46"/>
        <v>Nov-2025</v>
      </c>
      <c r="C1536" s="2" t="str">
        <f t="shared" si="47"/>
        <v>Q3</v>
      </c>
      <c r="D1536" s="2" t="s">
        <v>31</v>
      </c>
      <c r="E1536" s="13">
        <v>45988</v>
      </c>
      <c r="F1536" s="14" t="s">
        <v>355</v>
      </c>
      <c r="G1536" s="14" t="s">
        <v>22</v>
      </c>
      <c r="H1536" s="14" t="s">
        <v>77</v>
      </c>
      <c r="I1536" s="15">
        <v>-0.96</v>
      </c>
      <c r="J1536" s="15">
        <v>-23</v>
      </c>
      <c r="K1536" s="15">
        <v>204.85</v>
      </c>
      <c r="L1536" s="15">
        <v>-4711.55</v>
      </c>
      <c r="M1536" s="15">
        <v>362.32</v>
      </c>
      <c r="N1536" s="15">
        <v>0</v>
      </c>
      <c r="O1536" s="15">
        <v>-565.40012400000001</v>
      </c>
      <c r="P1536" s="15">
        <v>-4914.6301240000003</v>
      </c>
    </row>
    <row r="1537" spans="1:16" ht="15" x14ac:dyDescent="0.2">
      <c r="A1537" s="4" t="s">
        <v>581</v>
      </c>
      <c r="B1537" s="21" t="str">
        <f t="shared" si="46"/>
        <v>Nov-2025</v>
      </c>
      <c r="C1537" s="2" t="str">
        <f t="shared" si="47"/>
        <v>Q3</v>
      </c>
      <c r="D1537" s="2" t="s">
        <v>31</v>
      </c>
      <c r="E1537" s="13">
        <v>45988</v>
      </c>
      <c r="F1537" s="14" t="s">
        <v>355</v>
      </c>
      <c r="G1537" s="14" t="s">
        <v>22</v>
      </c>
      <c r="H1537" s="14" t="s">
        <v>125</v>
      </c>
      <c r="I1537" s="15">
        <v>-2</v>
      </c>
      <c r="J1537" s="15">
        <v>-1600</v>
      </c>
      <c r="K1537" s="15">
        <v>7.45</v>
      </c>
      <c r="L1537" s="15">
        <v>-11920</v>
      </c>
      <c r="M1537" s="15">
        <v>916.65</v>
      </c>
      <c r="N1537" s="15">
        <v>0</v>
      </c>
      <c r="O1537" s="15">
        <v>-1430.4360669999999</v>
      </c>
      <c r="P1537" s="15">
        <v>-12433.786066999999</v>
      </c>
    </row>
    <row r="1538" spans="1:16" ht="15" x14ac:dyDescent="0.2">
      <c r="A1538" s="4" t="s">
        <v>593</v>
      </c>
      <c r="B1538" s="21" t="str">
        <f t="shared" si="46"/>
        <v>Nov-2025</v>
      </c>
      <c r="C1538" s="2" t="str">
        <f t="shared" si="47"/>
        <v>Q3</v>
      </c>
      <c r="D1538" s="2" t="s">
        <v>31</v>
      </c>
      <c r="E1538" s="13">
        <v>45988</v>
      </c>
      <c r="F1538" s="14" t="s">
        <v>355</v>
      </c>
      <c r="G1538" s="14" t="s">
        <v>22</v>
      </c>
      <c r="H1538" s="14" t="s">
        <v>117</v>
      </c>
      <c r="I1538" s="15">
        <v>-2</v>
      </c>
      <c r="J1538" s="15">
        <v>-8</v>
      </c>
      <c r="K1538" s="15">
        <v>595.92999999999995</v>
      </c>
      <c r="L1538" s="15">
        <v>-4767.4399999999996</v>
      </c>
      <c r="M1538" s="15">
        <v>366.62</v>
      </c>
      <c r="N1538" s="15">
        <v>0</v>
      </c>
      <c r="O1538" s="15">
        <v>-572.10682700000007</v>
      </c>
      <c r="P1538" s="15">
        <v>-4972.9268270000002</v>
      </c>
    </row>
    <row r="1539" spans="1:16" ht="15" x14ac:dyDescent="0.2">
      <c r="A1539" s="4" t="s">
        <v>582</v>
      </c>
      <c r="B1539" s="21" t="str">
        <f t="shared" ref="B1539:B1602" si="48">+TEXT(E1539,"MMM-yyy")</f>
        <v>Nov-2025</v>
      </c>
      <c r="C1539" s="2" t="str">
        <f t="shared" ref="C1539:C1602" si="49">"Q" &amp; CHOOSE(MONTH(E1539),4,4,4,1,1,1,2,2,2,3,3,3)</f>
        <v>Q3</v>
      </c>
      <c r="D1539" s="2" t="s">
        <v>31</v>
      </c>
      <c r="E1539" s="13">
        <v>45988</v>
      </c>
      <c r="F1539" s="14" t="s">
        <v>355</v>
      </c>
      <c r="G1539" s="14" t="s">
        <v>22</v>
      </c>
      <c r="H1539" s="14" t="s">
        <v>101</v>
      </c>
      <c r="I1539" s="15">
        <v>-2.75</v>
      </c>
      <c r="J1539" s="15">
        <v>-66</v>
      </c>
      <c r="K1539" s="15">
        <v>186.23</v>
      </c>
      <c r="L1539" s="15">
        <v>-12291.18</v>
      </c>
      <c r="M1539" s="15">
        <v>945.19</v>
      </c>
      <c r="N1539" s="15">
        <v>0</v>
      </c>
      <c r="O1539" s="15">
        <v>-1474.9792850000001</v>
      </c>
      <c r="P1539" s="15">
        <v>-12820.969284999999</v>
      </c>
    </row>
    <row r="1540" spans="1:16" ht="15" x14ac:dyDescent="0.2">
      <c r="A1540" s="4" t="s">
        <v>586</v>
      </c>
      <c r="B1540" s="21" t="str">
        <f t="shared" si="48"/>
        <v>Nov-2025</v>
      </c>
      <c r="C1540" s="2" t="str">
        <f t="shared" si="49"/>
        <v>Q3</v>
      </c>
      <c r="D1540" s="2" t="s">
        <v>31</v>
      </c>
      <c r="E1540" s="13">
        <v>45989</v>
      </c>
      <c r="F1540" s="14" t="s">
        <v>356</v>
      </c>
      <c r="G1540" s="14" t="s">
        <v>15</v>
      </c>
      <c r="H1540" s="14" t="s">
        <v>103</v>
      </c>
      <c r="I1540" s="15">
        <v>1</v>
      </c>
      <c r="J1540" s="15">
        <v>600</v>
      </c>
      <c r="K1540" s="15">
        <v>7.45</v>
      </c>
      <c r="L1540" s="15">
        <v>4470</v>
      </c>
      <c r="M1540" s="15">
        <v>-343.74</v>
      </c>
      <c r="N1540" s="15">
        <v>0</v>
      </c>
      <c r="O1540" s="15">
        <v>536.41500000000008</v>
      </c>
      <c r="P1540" s="15">
        <v>4662.6750000000002</v>
      </c>
    </row>
    <row r="1541" spans="1:16" ht="15" x14ac:dyDescent="0.2">
      <c r="A1541" s="4" t="s">
        <v>586</v>
      </c>
      <c r="B1541" s="21" t="str">
        <f t="shared" si="48"/>
        <v>Nov-2025</v>
      </c>
      <c r="C1541" s="2" t="str">
        <f t="shared" si="49"/>
        <v>Q3</v>
      </c>
      <c r="D1541" s="2" t="s">
        <v>31</v>
      </c>
      <c r="E1541" s="13">
        <v>45989</v>
      </c>
      <c r="F1541" s="14" t="s">
        <v>356</v>
      </c>
      <c r="G1541" s="14" t="s">
        <v>15</v>
      </c>
      <c r="H1541" s="14" t="s">
        <v>78</v>
      </c>
      <c r="I1541" s="15">
        <v>1</v>
      </c>
      <c r="J1541" s="15">
        <v>600</v>
      </c>
      <c r="K1541" s="15">
        <v>7.45</v>
      </c>
      <c r="L1541" s="15">
        <v>4470</v>
      </c>
      <c r="M1541" s="15">
        <v>-343.74</v>
      </c>
      <c r="N1541" s="15">
        <v>0</v>
      </c>
      <c r="O1541" s="15">
        <v>536.41500000000008</v>
      </c>
      <c r="P1541" s="15">
        <v>4662.6750000000002</v>
      </c>
    </row>
    <row r="1542" spans="1:16" ht="15" x14ac:dyDescent="0.2">
      <c r="A1542" s="4" t="s">
        <v>582</v>
      </c>
      <c r="B1542" s="21" t="str">
        <f t="shared" si="48"/>
        <v>Nov-2025</v>
      </c>
      <c r="C1542" s="2" t="str">
        <f t="shared" si="49"/>
        <v>Q3</v>
      </c>
      <c r="D1542" s="2" t="s">
        <v>31</v>
      </c>
      <c r="E1542" s="13">
        <v>45989</v>
      </c>
      <c r="F1542" s="14" t="s">
        <v>357</v>
      </c>
      <c r="G1542" s="14" t="s">
        <v>187</v>
      </c>
      <c r="H1542" s="14" t="s">
        <v>77</v>
      </c>
      <c r="I1542" s="15">
        <v>0.96</v>
      </c>
      <c r="J1542" s="15">
        <v>23</v>
      </c>
      <c r="K1542" s="15">
        <v>204.85</v>
      </c>
      <c r="L1542" s="15">
        <v>4711.55</v>
      </c>
      <c r="M1542" s="15">
        <v>-362.32</v>
      </c>
      <c r="N1542" s="15">
        <v>0</v>
      </c>
      <c r="O1542" s="15">
        <v>565.4</v>
      </c>
      <c r="P1542" s="15">
        <v>4914.63</v>
      </c>
    </row>
    <row r="1543" spans="1:16" ht="15" x14ac:dyDescent="0.2">
      <c r="A1543" s="4" t="s">
        <v>576</v>
      </c>
      <c r="B1543" s="21" t="str">
        <f t="shared" si="48"/>
        <v>Nov-2025</v>
      </c>
      <c r="C1543" s="2" t="str">
        <f t="shared" si="49"/>
        <v>Q3</v>
      </c>
      <c r="D1543" s="2" t="s">
        <v>31</v>
      </c>
      <c r="E1543" s="13">
        <v>45989</v>
      </c>
      <c r="F1543" s="14" t="s">
        <v>358</v>
      </c>
      <c r="G1543" s="14" t="s">
        <v>19</v>
      </c>
      <c r="H1543" s="14" t="s">
        <v>110</v>
      </c>
      <c r="I1543" s="15">
        <v>3</v>
      </c>
      <c r="J1543" s="15">
        <v>60</v>
      </c>
      <c r="K1543" s="15">
        <v>175.06</v>
      </c>
      <c r="L1543" s="15">
        <v>10503.6</v>
      </c>
      <c r="M1543" s="15">
        <v>-807.7299999999999</v>
      </c>
      <c r="N1543" s="15">
        <v>0</v>
      </c>
      <c r="O1543" s="15">
        <v>1260.4630599999998</v>
      </c>
      <c r="P1543" s="15">
        <v>10956.333060000001</v>
      </c>
    </row>
    <row r="1544" spans="1:16" ht="15" x14ac:dyDescent="0.2">
      <c r="A1544" s="4" t="s">
        <v>581</v>
      </c>
      <c r="B1544" s="21" t="str">
        <f t="shared" si="48"/>
        <v>Nov-2025</v>
      </c>
      <c r="C1544" s="2" t="str">
        <f t="shared" si="49"/>
        <v>Q3</v>
      </c>
      <c r="D1544" s="2" t="s">
        <v>31</v>
      </c>
      <c r="E1544" s="13">
        <v>45989</v>
      </c>
      <c r="F1544" s="14" t="s">
        <v>358</v>
      </c>
      <c r="G1544" s="14" t="s">
        <v>19</v>
      </c>
      <c r="H1544" s="14" t="s">
        <v>66</v>
      </c>
      <c r="I1544" s="15">
        <v>5</v>
      </c>
      <c r="J1544" s="15">
        <v>120</v>
      </c>
      <c r="K1544" s="15">
        <v>141.54</v>
      </c>
      <c r="L1544" s="15">
        <v>16984.62</v>
      </c>
      <c r="M1544" s="15">
        <v>-1306.1199999999999</v>
      </c>
      <c r="N1544" s="15">
        <v>0</v>
      </c>
      <c r="O1544" s="15">
        <v>2038.2049359999999</v>
      </c>
      <c r="P1544" s="15">
        <v>17716.704935999998</v>
      </c>
    </row>
    <row r="1545" spans="1:16" ht="15" x14ac:dyDescent="0.2">
      <c r="A1545" s="4" t="s">
        <v>593</v>
      </c>
      <c r="B1545" s="21" t="str">
        <f t="shared" si="48"/>
        <v>Nov-2025</v>
      </c>
      <c r="C1545" s="2" t="str">
        <f t="shared" si="49"/>
        <v>Q3</v>
      </c>
      <c r="D1545" s="2" t="s">
        <v>31</v>
      </c>
      <c r="E1545" s="13">
        <v>45989</v>
      </c>
      <c r="F1545" s="14" t="s">
        <v>358</v>
      </c>
      <c r="G1545" s="14" t="s">
        <v>19</v>
      </c>
      <c r="H1545" s="14" t="s">
        <v>117</v>
      </c>
      <c r="I1545" s="15">
        <v>15</v>
      </c>
      <c r="J1545" s="15">
        <v>60</v>
      </c>
      <c r="K1545" s="15">
        <v>595.92999999999995</v>
      </c>
      <c r="L1545" s="15">
        <v>35755.799999999996</v>
      </c>
      <c r="M1545" s="15">
        <v>-2749.62</v>
      </c>
      <c r="N1545" s="15">
        <v>0</v>
      </c>
      <c r="O1545" s="15">
        <v>4290.8032649999996</v>
      </c>
      <c r="P1545" s="15">
        <v>37296.983265000003</v>
      </c>
    </row>
    <row r="1546" spans="1:16" ht="15" x14ac:dyDescent="0.2">
      <c r="A1546" s="4" t="s">
        <v>584</v>
      </c>
      <c r="B1546" s="21" t="str">
        <f t="shared" si="48"/>
        <v>Nov-2025</v>
      </c>
      <c r="C1546" s="2" t="str">
        <f t="shared" si="49"/>
        <v>Q3</v>
      </c>
      <c r="D1546" s="2" t="s">
        <v>31</v>
      </c>
      <c r="E1546" s="13">
        <v>45989</v>
      </c>
      <c r="F1546" s="14" t="s">
        <v>358</v>
      </c>
      <c r="G1546" s="14" t="s">
        <v>19</v>
      </c>
      <c r="H1546" s="14" t="s">
        <v>99</v>
      </c>
      <c r="I1546" s="15">
        <v>5</v>
      </c>
      <c r="J1546" s="15">
        <v>200</v>
      </c>
      <c r="K1546" s="15">
        <v>81.94</v>
      </c>
      <c r="L1546" s="15">
        <v>16388</v>
      </c>
      <c r="M1546" s="15">
        <v>-1260.24</v>
      </c>
      <c r="N1546" s="15">
        <v>0</v>
      </c>
      <c r="O1546" s="15">
        <v>1966.6087379999999</v>
      </c>
      <c r="P1546" s="15">
        <v>17094.368738000001</v>
      </c>
    </row>
    <row r="1547" spans="1:16" ht="15" x14ac:dyDescent="0.2">
      <c r="A1547" s="4" t="s">
        <v>579</v>
      </c>
      <c r="B1547" s="21" t="str">
        <f t="shared" si="48"/>
        <v>Nov-2025</v>
      </c>
      <c r="C1547" s="2" t="str">
        <f t="shared" si="49"/>
        <v>Q3</v>
      </c>
      <c r="D1547" s="2" t="s">
        <v>31</v>
      </c>
      <c r="E1547" s="13">
        <v>45989</v>
      </c>
      <c r="F1547" s="14" t="s">
        <v>359</v>
      </c>
      <c r="G1547" s="14" t="s">
        <v>130</v>
      </c>
      <c r="H1547" s="14" t="s">
        <v>90</v>
      </c>
      <c r="I1547" s="15">
        <v>10</v>
      </c>
      <c r="J1547" s="15">
        <v>200</v>
      </c>
      <c r="K1547" s="15">
        <v>204.85</v>
      </c>
      <c r="L1547" s="15">
        <v>40970</v>
      </c>
      <c r="M1547" s="15">
        <v>-3150.5899999999997</v>
      </c>
      <c r="N1547" s="15">
        <v>0</v>
      </c>
      <c r="O1547" s="15">
        <v>4916.5239759999995</v>
      </c>
      <c r="P1547" s="15">
        <v>42735.933976</v>
      </c>
    </row>
    <row r="1548" spans="1:16" ht="15" x14ac:dyDescent="0.2">
      <c r="A1548" s="4" t="s">
        <v>573</v>
      </c>
      <c r="B1548" s="21" t="str">
        <f t="shared" si="48"/>
        <v>Nov-2025</v>
      </c>
      <c r="C1548" s="2" t="str">
        <f t="shared" si="49"/>
        <v>Q3</v>
      </c>
      <c r="D1548" s="2" t="s">
        <v>31</v>
      </c>
      <c r="E1548" s="13">
        <v>45989</v>
      </c>
      <c r="F1548" s="14" t="s">
        <v>359</v>
      </c>
      <c r="G1548" s="14" t="s">
        <v>130</v>
      </c>
      <c r="H1548" s="14" t="s">
        <v>111</v>
      </c>
      <c r="I1548" s="15">
        <v>5.01</v>
      </c>
      <c r="J1548" s="15">
        <v>200</v>
      </c>
      <c r="K1548" s="15">
        <v>111.74</v>
      </c>
      <c r="L1548" s="15">
        <v>22348</v>
      </c>
      <c r="M1548" s="15">
        <v>-1718.56</v>
      </c>
      <c r="N1548" s="15">
        <v>0</v>
      </c>
      <c r="O1548" s="15">
        <v>2681.827569</v>
      </c>
      <c r="P1548" s="15">
        <v>23311.267569</v>
      </c>
    </row>
    <row r="1549" spans="1:16" ht="15" x14ac:dyDescent="0.2">
      <c r="A1549" s="4" t="s">
        <v>576</v>
      </c>
      <c r="B1549" s="21" t="str">
        <f t="shared" si="48"/>
        <v>Nov-2025</v>
      </c>
      <c r="C1549" s="2" t="str">
        <f t="shared" si="49"/>
        <v>Q3</v>
      </c>
      <c r="D1549" s="2" t="s">
        <v>31</v>
      </c>
      <c r="E1549" s="13">
        <v>45989</v>
      </c>
      <c r="F1549" s="14" t="s">
        <v>359</v>
      </c>
      <c r="G1549" s="14" t="s">
        <v>130</v>
      </c>
      <c r="H1549" s="14" t="s">
        <v>110</v>
      </c>
      <c r="I1549" s="15">
        <v>6</v>
      </c>
      <c r="J1549" s="15">
        <v>120</v>
      </c>
      <c r="K1549" s="15">
        <v>175.06</v>
      </c>
      <c r="L1549" s="15">
        <v>21007.200000000001</v>
      </c>
      <c r="M1549" s="15">
        <v>-1615.45</v>
      </c>
      <c r="N1549" s="15">
        <v>0</v>
      </c>
      <c r="O1549" s="15">
        <v>2520.927846</v>
      </c>
      <c r="P1549" s="15">
        <v>21912.677845999999</v>
      </c>
    </row>
    <row r="1550" spans="1:16" ht="15" x14ac:dyDescent="0.2">
      <c r="A1550" s="4" t="s">
        <v>573</v>
      </c>
      <c r="B1550" s="21" t="str">
        <f t="shared" si="48"/>
        <v>Nov-2025</v>
      </c>
      <c r="C1550" s="2" t="str">
        <f t="shared" si="49"/>
        <v>Q3</v>
      </c>
      <c r="D1550" s="2" t="s">
        <v>31</v>
      </c>
      <c r="E1550" s="13">
        <v>45989</v>
      </c>
      <c r="F1550" s="14" t="s">
        <v>359</v>
      </c>
      <c r="G1550" s="14" t="s">
        <v>130</v>
      </c>
      <c r="H1550" s="14" t="s">
        <v>136</v>
      </c>
      <c r="I1550" s="15">
        <v>5</v>
      </c>
      <c r="J1550" s="15">
        <v>200</v>
      </c>
      <c r="K1550" s="15">
        <v>111.74</v>
      </c>
      <c r="L1550" s="15">
        <v>22348</v>
      </c>
      <c r="M1550" s="15">
        <v>-1718.56</v>
      </c>
      <c r="N1550" s="15">
        <v>0</v>
      </c>
      <c r="O1550" s="15">
        <v>2681.827569</v>
      </c>
      <c r="P1550" s="15">
        <v>23311.267569</v>
      </c>
    </row>
    <row r="1551" spans="1:16" ht="15" x14ac:dyDescent="0.2">
      <c r="A1551" s="4" t="s">
        <v>576</v>
      </c>
      <c r="B1551" s="21" t="str">
        <f t="shared" si="48"/>
        <v>Nov-2025</v>
      </c>
      <c r="C1551" s="2" t="str">
        <f t="shared" si="49"/>
        <v>Q3</v>
      </c>
      <c r="D1551" s="2" t="s">
        <v>31</v>
      </c>
      <c r="E1551" s="13">
        <v>45989</v>
      </c>
      <c r="F1551" s="14" t="s">
        <v>359</v>
      </c>
      <c r="G1551" s="14" t="s">
        <v>130</v>
      </c>
      <c r="H1551" s="14" t="s">
        <v>124</v>
      </c>
      <c r="I1551" s="15">
        <v>6</v>
      </c>
      <c r="J1551" s="15">
        <v>120</v>
      </c>
      <c r="K1551" s="15">
        <v>175.06</v>
      </c>
      <c r="L1551" s="15">
        <v>21007.200000000001</v>
      </c>
      <c r="M1551" s="15">
        <v>-1615.45</v>
      </c>
      <c r="N1551" s="15">
        <v>0</v>
      </c>
      <c r="O1551" s="15">
        <v>2520.927846</v>
      </c>
      <c r="P1551" s="15">
        <v>21912.677845999999</v>
      </c>
    </row>
    <row r="1552" spans="1:16" ht="15" x14ac:dyDescent="0.2">
      <c r="A1552" s="4" t="s">
        <v>589</v>
      </c>
      <c r="B1552" s="21" t="str">
        <f t="shared" si="48"/>
        <v>Nov-2025</v>
      </c>
      <c r="C1552" s="2" t="str">
        <f t="shared" si="49"/>
        <v>Q3</v>
      </c>
      <c r="D1552" s="2" t="s">
        <v>31</v>
      </c>
      <c r="E1552" s="13">
        <v>45989</v>
      </c>
      <c r="F1552" s="14" t="s">
        <v>359</v>
      </c>
      <c r="G1552" s="14" t="s">
        <v>130</v>
      </c>
      <c r="H1552" s="14" t="s">
        <v>98</v>
      </c>
      <c r="I1552" s="15">
        <v>5</v>
      </c>
      <c r="J1552" s="15">
        <v>300</v>
      </c>
      <c r="K1552" s="15">
        <v>145.26</v>
      </c>
      <c r="L1552" s="15">
        <v>43578</v>
      </c>
      <c r="M1552" s="15">
        <v>-3351.1499999999996</v>
      </c>
      <c r="N1552" s="15">
        <v>0</v>
      </c>
      <c r="O1552" s="15">
        <v>5229.4912189999995</v>
      </c>
      <c r="P1552" s="15">
        <v>45456.341219000002</v>
      </c>
    </row>
    <row r="1553" spans="1:16" ht="15" x14ac:dyDescent="0.2">
      <c r="A1553" s="4" t="s">
        <v>579</v>
      </c>
      <c r="B1553" s="21" t="str">
        <f t="shared" si="48"/>
        <v>Nov-2025</v>
      </c>
      <c r="C1553" s="2" t="str">
        <f t="shared" si="49"/>
        <v>Q3</v>
      </c>
      <c r="D1553" s="2" t="s">
        <v>31</v>
      </c>
      <c r="E1553" s="13">
        <v>45989</v>
      </c>
      <c r="F1553" s="14" t="s">
        <v>359</v>
      </c>
      <c r="G1553" s="14" t="s">
        <v>130</v>
      </c>
      <c r="H1553" s="14" t="s">
        <v>91</v>
      </c>
      <c r="I1553" s="15">
        <v>10</v>
      </c>
      <c r="J1553" s="15">
        <v>200</v>
      </c>
      <c r="K1553" s="15">
        <v>204.85</v>
      </c>
      <c r="L1553" s="15">
        <v>40970</v>
      </c>
      <c r="M1553" s="15">
        <v>-3150.5899999999997</v>
      </c>
      <c r="N1553" s="15">
        <v>0</v>
      </c>
      <c r="O1553" s="15">
        <v>4916.5239759999995</v>
      </c>
      <c r="P1553" s="15">
        <v>42735.933976</v>
      </c>
    </row>
    <row r="1554" spans="1:16" ht="15" x14ac:dyDescent="0.2">
      <c r="A1554" s="4" t="s">
        <v>593</v>
      </c>
      <c r="B1554" s="21" t="str">
        <f t="shared" si="48"/>
        <v>Nov-2025</v>
      </c>
      <c r="C1554" s="2" t="str">
        <f t="shared" si="49"/>
        <v>Q3</v>
      </c>
      <c r="D1554" s="2" t="s">
        <v>31</v>
      </c>
      <c r="E1554" s="13">
        <v>45989</v>
      </c>
      <c r="F1554" s="14" t="s">
        <v>360</v>
      </c>
      <c r="G1554" s="14" t="s">
        <v>46</v>
      </c>
      <c r="H1554" s="14" t="s">
        <v>117</v>
      </c>
      <c r="I1554" s="15">
        <v>50</v>
      </c>
      <c r="J1554" s="15">
        <v>200</v>
      </c>
      <c r="K1554" s="15">
        <v>595.92999999999995</v>
      </c>
      <c r="L1554" s="15">
        <v>119186</v>
      </c>
      <c r="M1554" s="15">
        <v>-9165.4</v>
      </c>
      <c r="N1554" s="15">
        <v>0</v>
      </c>
      <c r="O1554" s="15">
        <v>14302.68</v>
      </c>
      <c r="P1554" s="15">
        <v>124323.28</v>
      </c>
    </row>
    <row r="1555" spans="1:16" ht="15" x14ac:dyDescent="0.2">
      <c r="A1555" s="4" t="s">
        <v>579</v>
      </c>
      <c r="B1555" s="21" t="str">
        <f t="shared" si="48"/>
        <v>Nov-2025</v>
      </c>
      <c r="C1555" s="2" t="str">
        <f t="shared" si="49"/>
        <v>Q3</v>
      </c>
      <c r="D1555" s="2" t="s">
        <v>31</v>
      </c>
      <c r="E1555" s="13">
        <v>45989</v>
      </c>
      <c r="F1555" s="14" t="s">
        <v>361</v>
      </c>
      <c r="G1555" s="14" t="s">
        <v>142</v>
      </c>
      <c r="H1555" s="14" t="s">
        <v>91</v>
      </c>
      <c r="I1555" s="15">
        <v>1</v>
      </c>
      <c r="J1555" s="15">
        <v>20</v>
      </c>
      <c r="K1555" s="15">
        <v>204.85</v>
      </c>
      <c r="L1555" s="15">
        <v>4097</v>
      </c>
      <c r="M1555" s="15">
        <v>-315.06</v>
      </c>
      <c r="N1555" s="15">
        <v>0</v>
      </c>
      <c r="O1555" s="15">
        <v>491.652064</v>
      </c>
      <c r="P1555" s="15">
        <v>4273.5920640000004</v>
      </c>
    </row>
    <row r="1556" spans="1:16" ht="15" x14ac:dyDescent="0.2">
      <c r="A1556" s="4" t="s">
        <v>573</v>
      </c>
      <c r="B1556" s="21" t="str">
        <f t="shared" si="48"/>
        <v>Nov-2025</v>
      </c>
      <c r="C1556" s="2" t="str">
        <f t="shared" si="49"/>
        <v>Q3</v>
      </c>
      <c r="D1556" s="2" t="s">
        <v>31</v>
      </c>
      <c r="E1556" s="13">
        <v>45989</v>
      </c>
      <c r="F1556" s="14" t="s">
        <v>361</v>
      </c>
      <c r="G1556" s="14" t="s">
        <v>142</v>
      </c>
      <c r="H1556" s="14" t="s">
        <v>111</v>
      </c>
      <c r="I1556" s="15">
        <v>5</v>
      </c>
      <c r="J1556" s="15">
        <v>200</v>
      </c>
      <c r="K1556" s="15">
        <v>111.74</v>
      </c>
      <c r="L1556" s="15">
        <v>22348</v>
      </c>
      <c r="M1556" s="15">
        <v>-1718.56</v>
      </c>
      <c r="N1556" s="15">
        <v>0</v>
      </c>
      <c r="O1556" s="15">
        <v>2681.8264600000002</v>
      </c>
      <c r="P1556" s="15">
        <v>23311.266459999999</v>
      </c>
    </row>
    <row r="1557" spans="1:16" ht="15" x14ac:dyDescent="0.2">
      <c r="A1557" s="4" t="s">
        <v>583</v>
      </c>
      <c r="B1557" s="21" t="str">
        <f t="shared" si="48"/>
        <v>Nov-2025</v>
      </c>
      <c r="C1557" s="2" t="str">
        <f t="shared" si="49"/>
        <v>Q3</v>
      </c>
      <c r="D1557" s="2" t="s">
        <v>31</v>
      </c>
      <c r="E1557" s="13">
        <v>45989</v>
      </c>
      <c r="F1557" s="14" t="s">
        <v>361</v>
      </c>
      <c r="G1557" s="14" t="s">
        <v>142</v>
      </c>
      <c r="H1557" s="14" t="s">
        <v>113</v>
      </c>
      <c r="I1557" s="15">
        <v>5</v>
      </c>
      <c r="J1557" s="15">
        <v>75</v>
      </c>
      <c r="K1557" s="15">
        <v>260.72000000000003</v>
      </c>
      <c r="L1557" s="15">
        <v>19554</v>
      </c>
      <c r="M1557" s="15">
        <v>-1503.6999999999998</v>
      </c>
      <c r="N1557" s="15">
        <v>0</v>
      </c>
      <c r="O1557" s="15">
        <v>2346.538352</v>
      </c>
      <c r="P1557" s="15">
        <v>20396.838351999999</v>
      </c>
    </row>
    <row r="1558" spans="1:16" ht="15" x14ac:dyDescent="0.2">
      <c r="A1558" s="4" t="s">
        <v>593</v>
      </c>
      <c r="B1558" s="21" t="str">
        <f t="shared" si="48"/>
        <v>Nov-2025</v>
      </c>
      <c r="C1558" s="2" t="str">
        <f t="shared" si="49"/>
        <v>Q3</v>
      </c>
      <c r="D1558" s="2" t="s">
        <v>31</v>
      </c>
      <c r="E1558" s="13">
        <v>45989</v>
      </c>
      <c r="F1558" s="14" t="s">
        <v>361</v>
      </c>
      <c r="G1558" s="14" t="s">
        <v>142</v>
      </c>
      <c r="H1558" s="14" t="s">
        <v>117</v>
      </c>
      <c r="I1558" s="15">
        <v>10</v>
      </c>
      <c r="J1558" s="15">
        <v>40</v>
      </c>
      <c r="K1558" s="15">
        <v>595.92999999999995</v>
      </c>
      <c r="L1558" s="15">
        <v>23837.200000000001</v>
      </c>
      <c r="M1558" s="15">
        <v>-1833.08</v>
      </c>
      <c r="N1558" s="15">
        <v>0</v>
      </c>
      <c r="O1558" s="15">
        <v>2860.5348099999997</v>
      </c>
      <c r="P1558" s="15">
        <v>24864.65481</v>
      </c>
    </row>
    <row r="1559" spans="1:16" ht="15" x14ac:dyDescent="0.2">
      <c r="A1559" s="4" t="s">
        <v>576</v>
      </c>
      <c r="B1559" s="21" t="str">
        <f t="shared" si="48"/>
        <v>Nov-2025</v>
      </c>
      <c r="C1559" s="2" t="str">
        <f t="shared" si="49"/>
        <v>Q3</v>
      </c>
      <c r="D1559" s="2" t="s">
        <v>31</v>
      </c>
      <c r="E1559" s="13">
        <v>45989</v>
      </c>
      <c r="F1559" s="14" t="s">
        <v>361</v>
      </c>
      <c r="G1559" s="14" t="s">
        <v>142</v>
      </c>
      <c r="H1559" s="14" t="s">
        <v>110</v>
      </c>
      <c r="I1559" s="15">
        <v>5</v>
      </c>
      <c r="J1559" s="15">
        <v>100</v>
      </c>
      <c r="K1559" s="15">
        <v>175.06</v>
      </c>
      <c r="L1559" s="15">
        <v>17506</v>
      </c>
      <c r="M1559" s="15">
        <v>-1346.21</v>
      </c>
      <c r="N1559" s="15">
        <v>0</v>
      </c>
      <c r="O1559" s="15">
        <v>2100.7721200000001</v>
      </c>
      <c r="P1559" s="15">
        <v>18260.562119999999</v>
      </c>
    </row>
    <row r="1560" spans="1:16" ht="15" x14ac:dyDescent="0.2">
      <c r="A1560" s="4" t="s">
        <v>579</v>
      </c>
      <c r="B1560" s="21" t="str">
        <f t="shared" si="48"/>
        <v>Nov-2025</v>
      </c>
      <c r="C1560" s="2" t="str">
        <f t="shared" si="49"/>
        <v>Q3</v>
      </c>
      <c r="D1560" s="2" t="s">
        <v>31</v>
      </c>
      <c r="E1560" s="13">
        <v>45989</v>
      </c>
      <c r="F1560" s="14" t="s">
        <v>361</v>
      </c>
      <c r="G1560" s="14" t="s">
        <v>142</v>
      </c>
      <c r="H1560" s="14" t="s">
        <v>140</v>
      </c>
      <c r="I1560" s="15">
        <v>1</v>
      </c>
      <c r="J1560" s="15">
        <v>20</v>
      </c>
      <c r="K1560" s="15">
        <v>204.85</v>
      </c>
      <c r="L1560" s="15">
        <v>4097</v>
      </c>
      <c r="M1560" s="15">
        <v>-315.06</v>
      </c>
      <c r="N1560" s="15">
        <v>0</v>
      </c>
      <c r="O1560" s="15">
        <v>491.652064</v>
      </c>
      <c r="P1560" s="15">
        <v>4273.5920640000004</v>
      </c>
    </row>
    <row r="1561" spans="1:16" ht="15" x14ac:dyDescent="0.2">
      <c r="A1561" s="4" t="s">
        <v>579</v>
      </c>
      <c r="B1561" s="21" t="str">
        <f t="shared" si="48"/>
        <v>Nov-2025</v>
      </c>
      <c r="C1561" s="2" t="str">
        <f t="shared" si="49"/>
        <v>Q3</v>
      </c>
      <c r="D1561" s="2" t="s">
        <v>31</v>
      </c>
      <c r="E1561" s="13">
        <v>45989</v>
      </c>
      <c r="F1561" s="14" t="s">
        <v>361</v>
      </c>
      <c r="G1561" s="14" t="s">
        <v>142</v>
      </c>
      <c r="H1561" s="14" t="s">
        <v>112</v>
      </c>
      <c r="I1561" s="15">
        <v>1</v>
      </c>
      <c r="J1561" s="15">
        <v>20</v>
      </c>
      <c r="K1561" s="15">
        <v>204.85</v>
      </c>
      <c r="L1561" s="15">
        <v>4097</v>
      </c>
      <c r="M1561" s="15">
        <v>-315.06</v>
      </c>
      <c r="N1561" s="15">
        <v>0</v>
      </c>
      <c r="O1561" s="15">
        <v>491.652064</v>
      </c>
      <c r="P1561" s="15">
        <v>4273.5920640000004</v>
      </c>
    </row>
    <row r="1562" spans="1:16" ht="15" x14ac:dyDescent="0.2">
      <c r="A1562" s="4" t="s">
        <v>579</v>
      </c>
      <c r="B1562" s="21" t="str">
        <f t="shared" si="48"/>
        <v>Nov-2025</v>
      </c>
      <c r="C1562" s="2" t="str">
        <f t="shared" si="49"/>
        <v>Q3</v>
      </c>
      <c r="D1562" s="2" t="s">
        <v>31</v>
      </c>
      <c r="E1562" s="13">
        <v>45989</v>
      </c>
      <c r="F1562" s="14" t="s">
        <v>361</v>
      </c>
      <c r="G1562" s="14" t="s">
        <v>142</v>
      </c>
      <c r="H1562" s="14" t="s">
        <v>90</v>
      </c>
      <c r="I1562" s="15">
        <v>1</v>
      </c>
      <c r="J1562" s="15">
        <v>20</v>
      </c>
      <c r="K1562" s="15">
        <v>204.85</v>
      </c>
      <c r="L1562" s="15">
        <v>4097</v>
      </c>
      <c r="M1562" s="15">
        <v>-315.06</v>
      </c>
      <c r="N1562" s="15">
        <v>0</v>
      </c>
      <c r="O1562" s="15">
        <v>491.652064</v>
      </c>
      <c r="P1562" s="15">
        <v>4273.5920640000004</v>
      </c>
    </row>
    <row r="1563" spans="1:16" ht="15" x14ac:dyDescent="0.2">
      <c r="A1563" s="4" t="s">
        <v>584</v>
      </c>
      <c r="B1563" s="21" t="str">
        <f t="shared" si="48"/>
        <v>Nov-2025</v>
      </c>
      <c r="C1563" s="2" t="str">
        <f t="shared" si="49"/>
        <v>Q3</v>
      </c>
      <c r="D1563" s="2" t="s">
        <v>31</v>
      </c>
      <c r="E1563" s="13">
        <v>45989</v>
      </c>
      <c r="F1563" s="14" t="s">
        <v>362</v>
      </c>
      <c r="G1563" s="14" t="s">
        <v>16</v>
      </c>
      <c r="H1563" s="14" t="s">
        <v>99</v>
      </c>
      <c r="I1563" s="15">
        <v>1</v>
      </c>
      <c r="J1563" s="15">
        <v>40</v>
      </c>
      <c r="K1563" s="15">
        <v>81.94</v>
      </c>
      <c r="L1563" s="15">
        <v>3277.6</v>
      </c>
      <c r="M1563" s="15">
        <v>-252.05</v>
      </c>
      <c r="N1563" s="15">
        <v>0</v>
      </c>
      <c r="O1563" s="15">
        <v>393.32183500000002</v>
      </c>
      <c r="P1563" s="15">
        <v>3418.8718349999999</v>
      </c>
    </row>
    <row r="1564" spans="1:16" ht="15" x14ac:dyDescent="0.2">
      <c r="A1564" s="4" t="s">
        <v>581</v>
      </c>
      <c r="B1564" s="21" t="str">
        <f t="shared" si="48"/>
        <v>Nov-2025</v>
      </c>
      <c r="C1564" s="2" t="str">
        <f t="shared" si="49"/>
        <v>Q3</v>
      </c>
      <c r="D1564" s="2" t="s">
        <v>31</v>
      </c>
      <c r="E1564" s="13">
        <v>45989</v>
      </c>
      <c r="F1564" s="14" t="s">
        <v>362</v>
      </c>
      <c r="G1564" s="14" t="s">
        <v>16</v>
      </c>
      <c r="H1564" s="14" t="s">
        <v>66</v>
      </c>
      <c r="I1564" s="15">
        <v>1</v>
      </c>
      <c r="J1564" s="15">
        <v>24</v>
      </c>
      <c r="K1564" s="15">
        <v>141.54</v>
      </c>
      <c r="L1564" s="15">
        <v>3396.96</v>
      </c>
      <c r="M1564" s="15">
        <v>-261.23</v>
      </c>
      <c r="N1564" s="15">
        <v>0</v>
      </c>
      <c r="O1564" s="15">
        <v>407.64524699999998</v>
      </c>
      <c r="P1564" s="15">
        <v>3543.3752469999999</v>
      </c>
    </row>
    <row r="1565" spans="1:16" ht="15" x14ac:dyDescent="0.2">
      <c r="A1565" s="4" t="s">
        <v>585</v>
      </c>
      <c r="B1565" s="21" t="str">
        <f t="shared" si="48"/>
        <v>Nov-2025</v>
      </c>
      <c r="C1565" s="2" t="str">
        <f t="shared" si="49"/>
        <v>Q3</v>
      </c>
      <c r="D1565" s="2" t="s">
        <v>31</v>
      </c>
      <c r="E1565" s="13">
        <v>45989</v>
      </c>
      <c r="F1565" s="14" t="s">
        <v>362</v>
      </c>
      <c r="G1565" s="14" t="s">
        <v>16</v>
      </c>
      <c r="H1565" s="14" t="s">
        <v>180</v>
      </c>
      <c r="I1565" s="15">
        <v>1</v>
      </c>
      <c r="J1565" s="15">
        <v>1000</v>
      </c>
      <c r="K1565" s="15">
        <v>1.86</v>
      </c>
      <c r="L1565" s="15">
        <v>1860</v>
      </c>
      <c r="M1565" s="15">
        <v>-143.03</v>
      </c>
      <c r="N1565" s="15">
        <v>0</v>
      </c>
      <c r="O1565" s="15">
        <v>223.20629</v>
      </c>
      <c r="P1565" s="15">
        <v>1940.1762900000001</v>
      </c>
    </row>
    <row r="1566" spans="1:16" ht="15" x14ac:dyDescent="0.2">
      <c r="A1566" s="4" t="s">
        <v>584</v>
      </c>
      <c r="B1566" s="21" t="str">
        <f t="shared" si="48"/>
        <v>Nov-2025</v>
      </c>
      <c r="C1566" s="2" t="str">
        <f t="shared" si="49"/>
        <v>Q3</v>
      </c>
      <c r="D1566" s="2" t="s">
        <v>31</v>
      </c>
      <c r="E1566" s="13">
        <v>45989</v>
      </c>
      <c r="F1566" s="14" t="s">
        <v>362</v>
      </c>
      <c r="G1566" s="14" t="s">
        <v>16</v>
      </c>
      <c r="H1566" s="14" t="s">
        <v>120</v>
      </c>
      <c r="I1566" s="15">
        <v>1</v>
      </c>
      <c r="J1566" s="15">
        <v>40</v>
      </c>
      <c r="K1566" s="15">
        <v>81.94</v>
      </c>
      <c r="L1566" s="15">
        <v>3277.6</v>
      </c>
      <c r="M1566" s="15">
        <v>-252.05</v>
      </c>
      <c r="N1566" s="15">
        <v>0</v>
      </c>
      <c r="O1566" s="15">
        <v>393.32183500000002</v>
      </c>
      <c r="P1566" s="15">
        <v>3418.8718349999999</v>
      </c>
    </row>
    <row r="1567" spans="1:16" ht="15" x14ac:dyDescent="0.2">
      <c r="A1567" s="4" t="s">
        <v>580</v>
      </c>
      <c r="B1567" s="21" t="str">
        <f t="shared" si="48"/>
        <v>Nov-2025</v>
      </c>
      <c r="C1567" s="2" t="str">
        <f t="shared" si="49"/>
        <v>Q3</v>
      </c>
      <c r="D1567" s="2" t="s">
        <v>31</v>
      </c>
      <c r="E1567" s="13">
        <v>45989</v>
      </c>
      <c r="F1567" s="14" t="s">
        <v>362</v>
      </c>
      <c r="G1567" s="14" t="s">
        <v>16</v>
      </c>
      <c r="H1567" s="14" t="s">
        <v>65</v>
      </c>
      <c r="I1567" s="15">
        <v>1</v>
      </c>
      <c r="J1567" s="15">
        <v>130</v>
      </c>
      <c r="K1567" s="15">
        <v>37.25</v>
      </c>
      <c r="L1567" s="15">
        <v>4842.5</v>
      </c>
      <c r="M1567" s="15">
        <v>-372.39</v>
      </c>
      <c r="N1567" s="15">
        <v>0</v>
      </c>
      <c r="O1567" s="15">
        <v>581.11479400000007</v>
      </c>
      <c r="P1567" s="15">
        <v>5051.2247939999997</v>
      </c>
    </row>
    <row r="1568" spans="1:16" ht="15" x14ac:dyDescent="0.2">
      <c r="A1568" s="4" t="s">
        <v>591</v>
      </c>
      <c r="B1568" s="21" t="str">
        <f t="shared" si="48"/>
        <v>Nov-2025</v>
      </c>
      <c r="C1568" s="2" t="str">
        <f t="shared" si="49"/>
        <v>Q3</v>
      </c>
      <c r="D1568" s="2" t="s">
        <v>31</v>
      </c>
      <c r="E1568" s="13">
        <v>45991</v>
      </c>
      <c r="F1568" s="14" t="s">
        <v>363</v>
      </c>
      <c r="G1568" s="14" t="s">
        <v>306</v>
      </c>
      <c r="H1568" s="14" t="s">
        <v>106</v>
      </c>
      <c r="I1568" s="15">
        <v>0.17</v>
      </c>
      <c r="J1568" s="15">
        <v>10</v>
      </c>
      <c r="K1568" s="15">
        <v>106.19</v>
      </c>
      <c r="L1568" s="15">
        <v>1061.9000000000001</v>
      </c>
      <c r="M1568" s="15">
        <v>0</v>
      </c>
      <c r="N1568" s="15">
        <v>0</v>
      </c>
      <c r="O1568" s="15">
        <v>138.046719</v>
      </c>
      <c r="P1568" s="15">
        <v>1199.946719</v>
      </c>
    </row>
    <row r="1569" spans="1:16" ht="15" x14ac:dyDescent="0.2">
      <c r="A1569" s="4" t="s">
        <v>581</v>
      </c>
      <c r="B1569" s="21" t="str">
        <f t="shared" si="48"/>
        <v>Nov-2025</v>
      </c>
      <c r="C1569" s="2" t="str">
        <f t="shared" si="49"/>
        <v>Q3</v>
      </c>
      <c r="D1569" s="2" t="s">
        <v>31</v>
      </c>
      <c r="E1569" s="13">
        <v>45991</v>
      </c>
      <c r="F1569" s="14" t="s">
        <v>363</v>
      </c>
      <c r="G1569" s="14" t="s">
        <v>306</v>
      </c>
      <c r="H1569" s="14" t="s">
        <v>66</v>
      </c>
      <c r="I1569" s="15">
        <v>1.67</v>
      </c>
      <c r="J1569" s="15">
        <v>40</v>
      </c>
      <c r="K1569" s="15">
        <v>134.51</v>
      </c>
      <c r="L1569" s="15">
        <v>5380.4000000000005</v>
      </c>
      <c r="M1569" s="15">
        <v>0</v>
      </c>
      <c r="N1569" s="15">
        <v>0</v>
      </c>
      <c r="O1569" s="15">
        <v>699.45057599999996</v>
      </c>
      <c r="P1569" s="15">
        <v>6079.8505759999998</v>
      </c>
    </row>
    <row r="1570" spans="1:16" ht="15" x14ac:dyDescent="0.2">
      <c r="A1570" s="4" t="s">
        <v>579</v>
      </c>
      <c r="B1570" s="21" t="str">
        <f t="shared" si="48"/>
        <v>Nov-2025</v>
      </c>
      <c r="C1570" s="2" t="str">
        <f t="shared" si="49"/>
        <v>Q3</v>
      </c>
      <c r="D1570" s="2" t="s">
        <v>31</v>
      </c>
      <c r="E1570" s="13">
        <v>45991</v>
      </c>
      <c r="F1570" s="14" t="s">
        <v>363</v>
      </c>
      <c r="G1570" s="14" t="s">
        <v>306</v>
      </c>
      <c r="H1570" s="14" t="s">
        <v>90</v>
      </c>
      <c r="I1570" s="15">
        <v>0.5</v>
      </c>
      <c r="J1570" s="15">
        <v>10</v>
      </c>
      <c r="K1570" s="15">
        <v>194.69</v>
      </c>
      <c r="L1570" s="15">
        <v>1946.8999999999999</v>
      </c>
      <c r="M1570" s="15">
        <v>0</v>
      </c>
      <c r="N1570" s="15">
        <v>0</v>
      </c>
      <c r="O1570" s="15">
        <v>253.096485</v>
      </c>
      <c r="P1570" s="15">
        <v>2199.9964850000001</v>
      </c>
    </row>
    <row r="1571" spans="1:16" ht="15" x14ac:dyDescent="0.2">
      <c r="A1571" s="4" t="s">
        <v>581</v>
      </c>
      <c r="B1571" s="21" t="str">
        <f t="shared" si="48"/>
        <v>Nov-2025</v>
      </c>
      <c r="C1571" s="2" t="str">
        <f t="shared" si="49"/>
        <v>Q3</v>
      </c>
      <c r="D1571" s="2" t="s">
        <v>31</v>
      </c>
      <c r="E1571" s="13">
        <v>45991</v>
      </c>
      <c r="F1571" s="14" t="s">
        <v>363</v>
      </c>
      <c r="G1571" s="14" t="s">
        <v>306</v>
      </c>
      <c r="H1571" s="14" t="s">
        <v>97</v>
      </c>
      <c r="I1571" s="15">
        <v>0.25</v>
      </c>
      <c r="J1571" s="15">
        <v>10</v>
      </c>
      <c r="K1571" s="15">
        <v>70.8</v>
      </c>
      <c r="L1571" s="15">
        <v>708</v>
      </c>
      <c r="M1571" s="15">
        <v>0</v>
      </c>
      <c r="N1571" s="15">
        <v>0</v>
      </c>
      <c r="O1571" s="15">
        <v>92.039812999999995</v>
      </c>
      <c r="P1571" s="15">
        <v>800.03981299999998</v>
      </c>
    </row>
    <row r="1572" spans="1:16" ht="15" x14ac:dyDescent="0.2">
      <c r="A1572" s="4" t="s">
        <v>582</v>
      </c>
      <c r="B1572" s="21" t="str">
        <f t="shared" si="48"/>
        <v>Nov-2025</v>
      </c>
      <c r="C1572" s="2" t="str">
        <f t="shared" si="49"/>
        <v>Q3</v>
      </c>
      <c r="D1572" s="2" t="s">
        <v>31</v>
      </c>
      <c r="E1572" s="13">
        <v>45991</v>
      </c>
      <c r="F1572" s="14" t="s">
        <v>363</v>
      </c>
      <c r="G1572" s="14" t="s">
        <v>306</v>
      </c>
      <c r="H1572" s="14" t="s">
        <v>77</v>
      </c>
      <c r="I1572" s="15">
        <v>0.42</v>
      </c>
      <c r="J1572" s="15">
        <v>10</v>
      </c>
      <c r="K1572" s="15">
        <v>194.69</v>
      </c>
      <c r="L1572" s="15">
        <v>1946.8999999999999</v>
      </c>
      <c r="M1572" s="15">
        <v>0</v>
      </c>
      <c r="N1572" s="15">
        <v>0</v>
      </c>
      <c r="O1572" s="15">
        <v>253.096485</v>
      </c>
      <c r="P1572" s="15">
        <v>2199.9964850000001</v>
      </c>
    </row>
    <row r="1573" spans="1:16" ht="15" x14ac:dyDescent="0.2">
      <c r="A1573" s="4" t="s">
        <v>587</v>
      </c>
      <c r="B1573" s="21" t="str">
        <f t="shared" si="48"/>
        <v>Nov-2025</v>
      </c>
      <c r="C1573" s="2" t="str">
        <f t="shared" si="49"/>
        <v>Q3</v>
      </c>
      <c r="D1573" s="2" t="s">
        <v>31</v>
      </c>
      <c r="E1573" s="13">
        <v>45991</v>
      </c>
      <c r="F1573" s="14" t="s">
        <v>363</v>
      </c>
      <c r="G1573" s="14" t="s">
        <v>306</v>
      </c>
      <c r="H1573" s="14" t="s">
        <v>94</v>
      </c>
      <c r="I1573" s="15">
        <v>0.33</v>
      </c>
      <c r="J1573" s="15">
        <v>20</v>
      </c>
      <c r="K1573" s="15">
        <v>106.19</v>
      </c>
      <c r="L1573" s="15">
        <v>2123.8000000000002</v>
      </c>
      <c r="M1573" s="15">
        <v>0</v>
      </c>
      <c r="N1573" s="15">
        <v>0</v>
      </c>
      <c r="O1573" s="15">
        <v>276.09343799999999</v>
      </c>
      <c r="P1573" s="15">
        <v>2399.8934380000001</v>
      </c>
    </row>
    <row r="1574" spans="1:16" ht="15" x14ac:dyDescent="0.2">
      <c r="A1574" s="4" t="s">
        <v>579</v>
      </c>
      <c r="B1574" s="21" t="str">
        <f t="shared" si="48"/>
        <v>Nov-2025</v>
      </c>
      <c r="C1574" s="2" t="str">
        <f t="shared" si="49"/>
        <v>Q3</v>
      </c>
      <c r="D1574" s="2" t="s">
        <v>31</v>
      </c>
      <c r="E1574" s="13">
        <v>45991</v>
      </c>
      <c r="F1574" s="14" t="s">
        <v>363</v>
      </c>
      <c r="G1574" s="14" t="s">
        <v>306</v>
      </c>
      <c r="H1574" s="14" t="s">
        <v>140</v>
      </c>
      <c r="I1574" s="15">
        <v>0.5</v>
      </c>
      <c r="J1574" s="15">
        <v>10</v>
      </c>
      <c r="K1574" s="15">
        <v>194.69</v>
      </c>
      <c r="L1574" s="15">
        <v>1946.8999999999999</v>
      </c>
      <c r="M1574" s="15">
        <v>0</v>
      </c>
      <c r="N1574" s="15">
        <v>0</v>
      </c>
      <c r="O1574" s="15">
        <v>253.096485</v>
      </c>
      <c r="P1574" s="15">
        <v>2199.9964850000001</v>
      </c>
    </row>
    <row r="1575" spans="1:16" ht="15" x14ac:dyDescent="0.2">
      <c r="A1575" s="4" t="s">
        <v>574</v>
      </c>
      <c r="B1575" s="21" t="str">
        <f t="shared" si="48"/>
        <v>Nov-2025</v>
      </c>
      <c r="C1575" s="2" t="str">
        <f t="shared" si="49"/>
        <v>Q3</v>
      </c>
      <c r="D1575" s="2" t="s">
        <v>31</v>
      </c>
      <c r="E1575" s="13">
        <v>45991</v>
      </c>
      <c r="F1575" s="14" t="s">
        <v>364</v>
      </c>
      <c r="G1575" s="14" t="s">
        <v>12</v>
      </c>
      <c r="H1575" s="14" t="s">
        <v>85</v>
      </c>
      <c r="I1575" s="15">
        <v>2</v>
      </c>
      <c r="J1575" s="15">
        <v>36</v>
      </c>
      <c r="K1575" s="15">
        <v>178.78</v>
      </c>
      <c r="L1575" s="15">
        <v>6436.0800000000008</v>
      </c>
      <c r="M1575" s="15">
        <v>-494.93</v>
      </c>
      <c r="N1575" s="15">
        <v>0</v>
      </c>
      <c r="O1575" s="15">
        <v>772.34944700000005</v>
      </c>
      <c r="P1575" s="15">
        <v>6713.4994470000001</v>
      </c>
    </row>
    <row r="1576" spans="1:16" ht="15" x14ac:dyDescent="0.2">
      <c r="A1576" s="4" t="s">
        <v>580</v>
      </c>
      <c r="B1576" s="21" t="str">
        <f t="shared" si="48"/>
        <v>Nov-2025</v>
      </c>
      <c r="C1576" s="2" t="str">
        <f t="shared" si="49"/>
        <v>Q3</v>
      </c>
      <c r="D1576" s="2" t="s">
        <v>31</v>
      </c>
      <c r="E1576" s="13">
        <v>45991</v>
      </c>
      <c r="F1576" s="14" t="s">
        <v>364</v>
      </c>
      <c r="G1576" s="14" t="s">
        <v>12</v>
      </c>
      <c r="H1576" s="14" t="s">
        <v>89</v>
      </c>
      <c r="I1576" s="15">
        <v>10</v>
      </c>
      <c r="J1576" s="15">
        <v>700</v>
      </c>
      <c r="K1576" s="15">
        <v>37.25</v>
      </c>
      <c r="L1576" s="15">
        <v>26075</v>
      </c>
      <c r="M1576" s="15">
        <v>-2005.1699999999998</v>
      </c>
      <c r="N1576" s="15">
        <v>0</v>
      </c>
      <c r="O1576" s="15">
        <v>3129.077687</v>
      </c>
      <c r="P1576" s="15">
        <v>27198.907686999999</v>
      </c>
    </row>
    <row r="1577" spans="1:16" ht="15" x14ac:dyDescent="0.2">
      <c r="A1577" s="4" t="s">
        <v>574</v>
      </c>
      <c r="B1577" s="21" t="str">
        <f t="shared" si="48"/>
        <v>Nov-2025</v>
      </c>
      <c r="C1577" s="2" t="str">
        <f t="shared" si="49"/>
        <v>Q3</v>
      </c>
      <c r="D1577" s="2" t="s">
        <v>31</v>
      </c>
      <c r="E1577" s="13">
        <v>45991</v>
      </c>
      <c r="F1577" s="14" t="s">
        <v>364</v>
      </c>
      <c r="G1577" s="14" t="s">
        <v>12</v>
      </c>
      <c r="H1577" s="14" t="s">
        <v>86</v>
      </c>
      <c r="I1577" s="15">
        <v>5</v>
      </c>
      <c r="J1577" s="15">
        <v>90</v>
      </c>
      <c r="K1577" s="15">
        <v>178.78</v>
      </c>
      <c r="L1577" s="15">
        <v>16090.2</v>
      </c>
      <c r="M1577" s="15">
        <v>-1237.3400000000001</v>
      </c>
      <c r="N1577" s="15">
        <v>0</v>
      </c>
      <c r="O1577" s="15">
        <v>1930.8716689999999</v>
      </c>
      <c r="P1577" s="15">
        <v>16783.731669000001</v>
      </c>
    </row>
    <row r="1578" spans="1:16" ht="15" x14ac:dyDescent="0.2">
      <c r="A1578" s="4" t="s">
        <v>586</v>
      </c>
      <c r="B1578" s="21" t="str">
        <f t="shared" si="48"/>
        <v>Nov-2025</v>
      </c>
      <c r="C1578" s="2" t="str">
        <f t="shared" si="49"/>
        <v>Q3</v>
      </c>
      <c r="D1578" s="2" t="s">
        <v>31</v>
      </c>
      <c r="E1578" s="13">
        <v>45991</v>
      </c>
      <c r="F1578" s="14" t="s">
        <v>364</v>
      </c>
      <c r="G1578" s="14" t="s">
        <v>12</v>
      </c>
      <c r="H1578" s="14" t="s">
        <v>114</v>
      </c>
      <c r="I1578" s="15">
        <v>2</v>
      </c>
      <c r="J1578" s="15">
        <v>480</v>
      </c>
      <c r="K1578" s="15">
        <v>14.9</v>
      </c>
      <c r="L1578" s="15">
        <v>7152</v>
      </c>
      <c r="M1578" s="15">
        <v>-549.99</v>
      </c>
      <c r="N1578" s="15">
        <v>0</v>
      </c>
      <c r="O1578" s="15">
        <v>858.26124200000004</v>
      </c>
      <c r="P1578" s="15">
        <v>7460.2712419999998</v>
      </c>
    </row>
    <row r="1579" spans="1:16" ht="15" x14ac:dyDescent="0.2">
      <c r="A1579" s="4" t="s">
        <v>581</v>
      </c>
      <c r="B1579" s="21" t="str">
        <f t="shared" si="48"/>
        <v>Nov-2025</v>
      </c>
      <c r="C1579" s="2" t="str">
        <f t="shared" si="49"/>
        <v>Q3</v>
      </c>
      <c r="D1579" s="2" t="s">
        <v>31</v>
      </c>
      <c r="E1579" s="13">
        <v>45991</v>
      </c>
      <c r="F1579" s="14" t="s">
        <v>364</v>
      </c>
      <c r="G1579" s="14" t="s">
        <v>12</v>
      </c>
      <c r="H1579" s="14" t="s">
        <v>96</v>
      </c>
      <c r="I1579" s="15">
        <v>3</v>
      </c>
      <c r="J1579" s="15">
        <v>120</v>
      </c>
      <c r="K1579" s="15">
        <v>74.489999999999995</v>
      </c>
      <c r="L1579" s="15">
        <v>8938.8000000000011</v>
      </c>
      <c r="M1579" s="15">
        <v>-687.3900000000001</v>
      </c>
      <c r="N1579" s="15">
        <v>0</v>
      </c>
      <c r="O1579" s="15">
        <v>1072.683227</v>
      </c>
      <c r="P1579" s="15">
        <v>9324.0932269999994</v>
      </c>
    </row>
    <row r="1580" spans="1:16" ht="15" x14ac:dyDescent="0.2">
      <c r="A1580" s="4" t="s">
        <v>573</v>
      </c>
      <c r="B1580" s="21" t="str">
        <f t="shared" si="48"/>
        <v>Nov-2025</v>
      </c>
      <c r="C1580" s="2" t="str">
        <f t="shared" si="49"/>
        <v>Q3</v>
      </c>
      <c r="D1580" s="2" t="s">
        <v>31</v>
      </c>
      <c r="E1580" s="13">
        <v>45991</v>
      </c>
      <c r="F1580" s="14" t="s">
        <v>364</v>
      </c>
      <c r="G1580" s="14" t="s">
        <v>12</v>
      </c>
      <c r="H1580" s="14" t="s">
        <v>111</v>
      </c>
      <c r="I1580" s="15">
        <v>4</v>
      </c>
      <c r="J1580" s="15">
        <v>160</v>
      </c>
      <c r="K1580" s="15">
        <v>111.74</v>
      </c>
      <c r="L1580" s="15">
        <v>17878.400000000001</v>
      </c>
      <c r="M1580" s="15">
        <v>-1374.85</v>
      </c>
      <c r="N1580" s="15">
        <v>0</v>
      </c>
      <c r="O1580" s="15">
        <v>2145.461354</v>
      </c>
      <c r="P1580" s="15">
        <v>18649.011353999998</v>
      </c>
    </row>
    <row r="1581" spans="1:16" ht="15" x14ac:dyDescent="0.2">
      <c r="A1581" s="4" t="s">
        <v>581</v>
      </c>
      <c r="B1581" s="21" t="str">
        <f t="shared" si="48"/>
        <v>Nov-2025</v>
      </c>
      <c r="C1581" s="2" t="str">
        <f t="shared" si="49"/>
        <v>Q3</v>
      </c>
      <c r="D1581" s="2" t="s">
        <v>31</v>
      </c>
      <c r="E1581" s="13">
        <v>45991</v>
      </c>
      <c r="F1581" s="14" t="s">
        <v>364</v>
      </c>
      <c r="G1581" s="14" t="s">
        <v>12</v>
      </c>
      <c r="H1581" s="14" t="s">
        <v>97</v>
      </c>
      <c r="I1581" s="15">
        <v>3</v>
      </c>
      <c r="J1581" s="15">
        <v>120</v>
      </c>
      <c r="K1581" s="15">
        <v>74.489999999999995</v>
      </c>
      <c r="L1581" s="15">
        <v>8938.8000000000011</v>
      </c>
      <c r="M1581" s="15">
        <v>-687.3900000000001</v>
      </c>
      <c r="N1581" s="15">
        <v>0</v>
      </c>
      <c r="O1581" s="15">
        <v>1072.683227</v>
      </c>
      <c r="P1581" s="15">
        <v>9324.0932269999994</v>
      </c>
    </row>
    <row r="1582" spans="1:16" ht="15" x14ac:dyDescent="0.2">
      <c r="A1582" s="4" t="s">
        <v>590</v>
      </c>
      <c r="B1582" s="21" t="str">
        <f t="shared" si="48"/>
        <v>Nov-2025</v>
      </c>
      <c r="C1582" s="2" t="str">
        <f t="shared" si="49"/>
        <v>Q3</v>
      </c>
      <c r="D1582" s="2" t="s">
        <v>31</v>
      </c>
      <c r="E1582" s="13">
        <v>45991</v>
      </c>
      <c r="F1582" s="14" t="s">
        <v>364</v>
      </c>
      <c r="G1582" s="14" t="s">
        <v>12</v>
      </c>
      <c r="H1582" s="14" t="s">
        <v>102</v>
      </c>
      <c r="I1582" s="15">
        <v>6</v>
      </c>
      <c r="J1582" s="15">
        <v>120</v>
      </c>
      <c r="K1582" s="15">
        <v>249.55</v>
      </c>
      <c r="L1582" s="15">
        <v>29946</v>
      </c>
      <c r="M1582" s="15">
        <v>-2302.85</v>
      </c>
      <c r="N1582" s="15">
        <v>0</v>
      </c>
      <c r="O1582" s="15">
        <v>3593.6092550000003</v>
      </c>
      <c r="P1582" s="15">
        <v>31236.759255000001</v>
      </c>
    </row>
    <row r="1583" spans="1:16" ht="15" x14ac:dyDescent="0.2">
      <c r="A1583" s="4" t="s">
        <v>586</v>
      </c>
      <c r="B1583" s="21" t="str">
        <f t="shared" si="48"/>
        <v>Nov-2025</v>
      </c>
      <c r="C1583" s="2" t="str">
        <f t="shared" si="49"/>
        <v>Q3</v>
      </c>
      <c r="D1583" s="2" t="s">
        <v>31</v>
      </c>
      <c r="E1583" s="13">
        <v>45991</v>
      </c>
      <c r="F1583" s="14" t="s">
        <v>364</v>
      </c>
      <c r="G1583" s="14" t="s">
        <v>12</v>
      </c>
      <c r="H1583" s="14" t="s">
        <v>103</v>
      </c>
      <c r="I1583" s="15">
        <v>5</v>
      </c>
      <c r="J1583" s="15">
        <v>3000</v>
      </c>
      <c r="K1583" s="15">
        <v>7.46</v>
      </c>
      <c r="L1583" s="15">
        <v>22380</v>
      </c>
      <c r="M1583" s="15">
        <v>-1721.0200000000002</v>
      </c>
      <c r="N1583" s="15">
        <v>0</v>
      </c>
      <c r="O1583" s="15">
        <v>2685.6672170000002</v>
      </c>
      <c r="P1583" s="15">
        <v>23344.647217000002</v>
      </c>
    </row>
    <row r="1584" spans="1:16" ht="15" x14ac:dyDescent="0.2">
      <c r="A1584" s="4" t="s">
        <v>586</v>
      </c>
      <c r="B1584" s="21" t="str">
        <f t="shared" si="48"/>
        <v>Nov-2025</v>
      </c>
      <c r="C1584" s="2" t="str">
        <f t="shared" si="49"/>
        <v>Q3</v>
      </c>
      <c r="D1584" s="2" t="s">
        <v>31</v>
      </c>
      <c r="E1584" s="13">
        <v>45991</v>
      </c>
      <c r="F1584" s="14" t="s">
        <v>364</v>
      </c>
      <c r="G1584" s="14" t="s">
        <v>12</v>
      </c>
      <c r="H1584" s="14" t="s">
        <v>76</v>
      </c>
      <c r="I1584" s="15">
        <v>2</v>
      </c>
      <c r="J1584" s="15">
        <v>480</v>
      </c>
      <c r="K1584" s="15">
        <v>14.9</v>
      </c>
      <c r="L1584" s="15">
        <v>7152</v>
      </c>
      <c r="M1584" s="15">
        <v>-549.99</v>
      </c>
      <c r="N1584" s="15">
        <v>0</v>
      </c>
      <c r="O1584" s="15">
        <v>858.26124200000004</v>
      </c>
      <c r="P1584" s="15">
        <v>7460.2712419999998</v>
      </c>
    </row>
    <row r="1585" spans="1:16" ht="15" x14ac:dyDescent="0.2">
      <c r="A1585" s="4" t="s">
        <v>592</v>
      </c>
      <c r="B1585" s="21" t="str">
        <f t="shared" si="48"/>
        <v>Nov-2025</v>
      </c>
      <c r="C1585" s="2" t="str">
        <f t="shared" si="49"/>
        <v>Q3</v>
      </c>
      <c r="D1585" s="2" t="s">
        <v>31</v>
      </c>
      <c r="E1585" s="13">
        <v>45991</v>
      </c>
      <c r="F1585" s="14" t="s">
        <v>364</v>
      </c>
      <c r="G1585" s="14" t="s">
        <v>12</v>
      </c>
      <c r="H1585" s="14" t="s">
        <v>115</v>
      </c>
      <c r="I1585" s="15">
        <v>10</v>
      </c>
      <c r="J1585" s="15">
        <v>500</v>
      </c>
      <c r="K1585" s="15">
        <v>89.39</v>
      </c>
      <c r="L1585" s="15">
        <v>44695</v>
      </c>
      <c r="M1585" s="15">
        <v>-3437.0499999999997</v>
      </c>
      <c r="N1585" s="15">
        <v>0</v>
      </c>
      <c r="O1585" s="15">
        <v>5363.5331349999997</v>
      </c>
      <c r="P1585" s="15">
        <v>46621.483135000002</v>
      </c>
    </row>
    <row r="1586" spans="1:16" ht="15" x14ac:dyDescent="0.2">
      <c r="A1586" s="4" t="s">
        <v>593</v>
      </c>
      <c r="B1586" s="21" t="str">
        <f t="shared" si="48"/>
        <v>Nov-2025</v>
      </c>
      <c r="C1586" s="2" t="str">
        <f t="shared" si="49"/>
        <v>Q3</v>
      </c>
      <c r="D1586" s="2" t="s">
        <v>31</v>
      </c>
      <c r="E1586" s="13">
        <v>45991</v>
      </c>
      <c r="F1586" s="14" t="s">
        <v>364</v>
      </c>
      <c r="G1586" s="14" t="s">
        <v>12</v>
      </c>
      <c r="H1586" s="14" t="s">
        <v>117</v>
      </c>
      <c r="I1586" s="15">
        <v>10</v>
      </c>
      <c r="J1586" s="15">
        <v>40</v>
      </c>
      <c r="K1586" s="15">
        <v>595.92999999999995</v>
      </c>
      <c r="L1586" s="15">
        <v>23837.200000000001</v>
      </c>
      <c r="M1586" s="15">
        <v>-1833.08</v>
      </c>
      <c r="N1586" s="15">
        <v>0</v>
      </c>
      <c r="O1586" s="15">
        <v>2860.5354050000001</v>
      </c>
      <c r="P1586" s="15">
        <v>24864.655405000001</v>
      </c>
    </row>
    <row r="1587" spans="1:16" ht="15" x14ac:dyDescent="0.2">
      <c r="A1587" s="4" t="s">
        <v>581</v>
      </c>
      <c r="B1587" s="21" t="str">
        <f t="shared" si="48"/>
        <v>Nov-2025</v>
      </c>
      <c r="C1587" s="2" t="str">
        <f t="shared" si="49"/>
        <v>Q3</v>
      </c>
      <c r="D1587" s="2" t="s">
        <v>31</v>
      </c>
      <c r="E1587" s="13">
        <v>45991</v>
      </c>
      <c r="F1587" s="14" t="s">
        <v>364</v>
      </c>
      <c r="G1587" s="14" t="s">
        <v>12</v>
      </c>
      <c r="H1587" s="14" t="s">
        <v>66</v>
      </c>
      <c r="I1587" s="15">
        <v>2</v>
      </c>
      <c r="J1587" s="15">
        <v>48</v>
      </c>
      <c r="K1587" s="15">
        <v>141.54</v>
      </c>
      <c r="L1587" s="15">
        <v>6793.92</v>
      </c>
      <c r="M1587" s="15">
        <v>-522.45000000000005</v>
      </c>
      <c r="N1587" s="15">
        <v>0</v>
      </c>
      <c r="O1587" s="15">
        <v>815.29104399999994</v>
      </c>
      <c r="P1587" s="15">
        <v>7086.7610439999999</v>
      </c>
    </row>
    <row r="1588" spans="1:16" ht="15" x14ac:dyDescent="0.2">
      <c r="A1588" s="4" t="s">
        <v>573</v>
      </c>
      <c r="B1588" s="21" t="str">
        <f t="shared" si="48"/>
        <v>Nov-2025</v>
      </c>
      <c r="C1588" s="2" t="str">
        <f t="shared" si="49"/>
        <v>Q3</v>
      </c>
      <c r="D1588" s="2" t="s">
        <v>31</v>
      </c>
      <c r="E1588" s="13">
        <v>45991</v>
      </c>
      <c r="F1588" s="14" t="s">
        <v>364</v>
      </c>
      <c r="G1588" s="14" t="s">
        <v>12</v>
      </c>
      <c r="H1588" s="14" t="s">
        <v>136</v>
      </c>
      <c r="I1588" s="15">
        <v>2</v>
      </c>
      <c r="J1588" s="15">
        <v>80</v>
      </c>
      <c r="K1588" s="15">
        <v>111.74</v>
      </c>
      <c r="L1588" s="15">
        <v>8939.2000000000007</v>
      </c>
      <c r="M1588" s="15">
        <v>-687.42</v>
      </c>
      <c r="N1588" s="15">
        <v>0</v>
      </c>
      <c r="O1588" s="15">
        <v>1072.731327</v>
      </c>
      <c r="P1588" s="15">
        <v>9324.5113270000002</v>
      </c>
    </row>
    <row r="1589" spans="1:16" ht="15" x14ac:dyDescent="0.2">
      <c r="A1589" s="4" t="s">
        <v>586</v>
      </c>
      <c r="B1589" s="21" t="str">
        <f t="shared" si="48"/>
        <v>Nov-2025</v>
      </c>
      <c r="C1589" s="2" t="str">
        <f t="shared" si="49"/>
        <v>Q3</v>
      </c>
      <c r="D1589" s="2" t="s">
        <v>31</v>
      </c>
      <c r="E1589" s="13">
        <v>45991</v>
      </c>
      <c r="F1589" s="14" t="s">
        <v>364</v>
      </c>
      <c r="G1589" s="14" t="s">
        <v>12</v>
      </c>
      <c r="H1589" s="14" t="s">
        <v>78</v>
      </c>
      <c r="I1589" s="15">
        <v>5</v>
      </c>
      <c r="J1589" s="15">
        <v>3000</v>
      </c>
      <c r="K1589" s="15">
        <v>7.46</v>
      </c>
      <c r="L1589" s="15">
        <v>22380</v>
      </c>
      <c r="M1589" s="15">
        <v>-1721.0200000000002</v>
      </c>
      <c r="N1589" s="15">
        <v>0</v>
      </c>
      <c r="O1589" s="15">
        <v>2685.6672170000002</v>
      </c>
      <c r="P1589" s="15">
        <v>23344.647217000002</v>
      </c>
    </row>
    <row r="1590" spans="1:16" ht="15" x14ac:dyDescent="0.2">
      <c r="A1590" s="4" t="s">
        <v>574</v>
      </c>
      <c r="B1590" s="21" t="str">
        <f t="shared" si="48"/>
        <v>Nov-2025</v>
      </c>
      <c r="C1590" s="2" t="str">
        <f t="shared" si="49"/>
        <v>Q3</v>
      </c>
      <c r="D1590" s="2" t="s">
        <v>31</v>
      </c>
      <c r="E1590" s="13">
        <v>45991</v>
      </c>
      <c r="F1590" s="14" t="s">
        <v>364</v>
      </c>
      <c r="G1590" s="14" t="s">
        <v>12</v>
      </c>
      <c r="H1590" s="14" t="s">
        <v>52</v>
      </c>
      <c r="I1590" s="15">
        <v>5</v>
      </c>
      <c r="J1590" s="15">
        <v>90</v>
      </c>
      <c r="K1590" s="15">
        <v>178.78</v>
      </c>
      <c r="L1590" s="15">
        <v>16090.2</v>
      </c>
      <c r="M1590" s="15">
        <v>-1237.3400000000001</v>
      </c>
      <c r="N1590" s="15">
        <v>0</v>
      </c>
      <c r="O1590" s="15">
        <v>1930.8716689999999</v>
      </c>
      <c r="P1590" s="15">
        <v>16783.731669000001</v>
      </c>
    </row>
    <row r="1591" spans="1:16" ht="15" x14ac:dyDescent="0.2">
      <c r="A1591" s="4" t="s">
        <v>574</v>
      </c>
      <c r="B1591" s="21" t="str">
        <f t="shared" si="48"/>
        <v>Nov-2025</v>
      </c>
      <c r="C1591" s="2" t="str">
        <f t="shared" si="49"/>
        <v>Q3</v>
      </c>
      <c r="D1591" s="2" t="s">
        <v>31</v>
      </c>
      <c r="E1591" s="13">
        <v>45991</v>
      </c>
      <c r="F1591" s="14" t="s">
        <v>364</v>
      </c>
      <c r="G1591" s="14" t="s">
        <v>12</v>
      </c>
      <c r="H1591" s="14" t="s">
        <v>84</v>
      </c>
      <c r="I1591" s="15">
        <v>10</v>
      </c>
      <c r="J1591" s="15">
        <v>180</v>
      </c>
      <c r="K1591" s="15">
        <v>178.78</v>
      </c>
      <c r="L1591" s="15">
        <v>32180.400000000001</v>
      </c>
      <c r="M1591" s="15">
        <v>-2474.6699999999996</v>
      </c>
      <c r="N1591" s="15">
        <v>0</v>
      </c>
      <c r="O1591" s="15">
        <v>3861.7446369999998</v>
      </c>
      <c r="P1591" s="15">
        <v>33567.474636999999</v>
      </c>
    </row>
    <row r="1592" spans="1:16" ht="15" x14ac:dyDescent="0.2">
      <c r="A1592" s="4" t="s">
        <v>589</v>
      </c>
      <c r="B1592" s="21" t="str">
        <f t="shared" si="48"/>
        <v>Nov-2025</v>
      </c>
      <c r="C1592" s="2" t="str">
        <f t="shared" si="49"/>
        <v>Q3</v>
      </c>
      <c r="D1592" s="2" t="s">
        <v>31</v>
      </c>
      <c r="E1592" s="13">
        <v>45991</v>
      </c>
      <c r="F1592" s="14" t="s">
        <v>365</v>
      </c>
      <c r="G1592" s="14" t="s">
        <v>187</v>
      </c>
      <c r="H1592" s="14" t="s">
        <v>98</v>
      </c>
      <c r="I1592" s="15">
        <v>2</v>
      </c>
      <c r="J1592" s="15">
        <v>120</v>
      </c>
      <c r="K1592" s="15">
        <v>145.26</v>
      </c>
      <c r="L1592" s="15">
        <v>17431.2</v>
      </c>
      <c r="M1592" s="15">
        <v>-1340.46</v>
      </c>
      <c r="N1592" s="15">
        <v>0</v>
      </c>
      <c r="O1592" s="15">
        <v>2091.795858</v>
      </c>
      <c r="P1592" s="15">
        <v>18182.535857999999</v>
      </c>
    </row>
    <row r="1593" spans="1:16" ht="15" x14ac:dyDescent="0.2">
      <c r="A1593" s="4" t="s">
        <v>582</v>
      </c>
      <c r="B1593" s="21" t="str">
        <f t="shared" si="48"/>
        <v>Nov-2025</v>
      </c>
      <c r="C1593" s="2" t="str">
        <f t="shared" si="49"/>
        <v>Q3</v>
      </c>
      <c r="D1593" s="2" t="s">
        <v>31</v>
      </c>
      <c r="E1593" s="13">
        <v>45991</v>
      </c>
      <c r="F1593" s="14" t="s">
        <v>365</v>
      </c>
      <c r="G1593" s="14" t="s">
        <v>187</v>
      </c>
      <c r="H1593" s="14" t="s">
        <v>77</v>
      </c>
      <c r="I1593" s="15">
        <v>5</v>
      </c>
      <c r="J1593" s="15">
        <v>120</v>
      </c>
      <c r="K1593" s="15">
        <v>204.85</v>
      </c>
      <c r="L1593" s="15">
        <v>24582</v>
      </c>
      <c r="M1593" s="15">
        <v>-1890.36</v>
      </c>
      <c r="N1593" s="15">
        <v>0</v>
      </c>
      <c r="O1593" s="15">
        <v>2949.9127169999997</v>
      </c>
      <c r="P1593" s="15">
        <v>25641.552716999999</v>
      </c>
    </row>
    <row r="1594" spans="1:16" ht="15" x14ac:dyDescent="0.2">
      <c r="A1594" s="4" t="s">
        <v>592</v>
      </c>
      <c r="B1594" s="21" t="str">
        <f t="shared" si="48"/>
        <v>Nov-2025</v>
      </c>
      <c r="C1594" s="2" t="str">
        <f t="shared" si="49"/>
        <v>Q3</v>
      </c>
      <c r="D1594" s="2" t="s">
        <v>31</v>
      </c>
      <c r="E1594" s="13">
        <v>45991</v>
      </c>
      <c r="F1594" s="14" t="s">
        <v>365</v>
      </c>
      <c r="G1594" s="14" t="s">
        <v>187</v>
      </c>
      <c r="H1594" s="14" t="s">
        <v>115</v>
      </c>
      <c r="I1594" s="15">
        <v>10</v>
      </c>
      <c r="J1594" s="15">
        <v>500</v>
      </c>
      <c r="K1594" s="15">
        <v>89.39</v>
      </c>
      <c r="L1594" s="15">
        <v>44695</v>
      </c>
      <c r="M1594" s="15">
        <v>-3437.0499999999997</v>
      </c>
      <c r="N1594" s="15">
        <v>0</v>
      </c>
      <c r="O1594" s="15">
        <v>5363.5326220000006</v>
      </c>
      <c r="P1594" s="15">
        <v>46621.482622000003</v>
      </c>
    </row>
    <row r="1595" spans="1:16" ht="15" x14ac:dyDescent="0.2">
      <c r="A1595" s="4" t="s">
        <v>581</v>
      </c>
      <c r="B1595" s="21" t="str">
        <f t="shared" si="48"/>
        <v>Nov-2025</v>
      </c>
      <c r="C1595" s="2" t="str">
        <f t="shared" si="49"/>
        <v>Q3</v>
      </c>
      <c r="D1595" s="2" t="s">
        <v>31</v>
      </c>
      <c r="E1595" s="13">
        <v>45991</v>
      </c>
      <c r="F1595" s="14" t="s">
        <v>365</v>
      </c>
      <c r="G1595" s="14" t="s">
        <v>187</v>
      </c>
      <c r="H1595" s="14" t="s">
        <v>97</v>
      </c>
      <c r="I1595" s="15">
        <v>2</v>
      </c>
      <c r="J1595" s="15">
        <v>80</v>
      </c>
      <c r="K1595" s="15">
        <v>74.489999999999995</v>
      </c>
      <c r="L1595" s="15">
        <v>5959.2</v>
      </c>
      <c r="M1595" s="15">
        <v>-458.26</v>
      </c>
      <c r="N1595" s="15">
        <v>0</v>
      </c>
      <c r="O1595" s="15">
        <v>715.12208300000009</v>
      </c>
      <c r="P1595" s="15">
        <v>6216.0620829999998</v>
      </c>
    </row>
    <row r="1596" spans="1:16" ht="15" x14ac:dyDescent="0.2">
      <c r="A1596" s="4" t="s">
        <v>590</v>
      </c>
      <c r="B1596" s="21" t="str">
        <f t="shared" si="48"/>
        <v>Nov-2025</v>
      </c>
      <c r="C1596" s="2" t="str">
        <f t="shared" si="49"/>
        <v>Q3</v>
      </c>
      <c r="D1596" s="2" t="s">
        <v>31</v>
      </c>
      <c r="E1596" s="13">
        <v>45991</v>
      </c>
      <c r="F1596" s="14" t="s">
        <v>365</v>
      </c>
      <c r="G1596" s="14" t="s">
        <v>187</v>
      </c>
      <c r="H1596" s="14" t="s">
        <v>102</v>
      </c>
      <c r="I1596" s="15">
        <v>5</v>
      </c>
      <c r="J1596" s="15">
        <v>100</v>
      </c>
      <c r="K1596" s="15">
        <v>249.55</v>
      </c>
      <c r="L1596" s="15">
        <v>24955</v>
      </c>
      <c r="M1596" s="15">
        <v>-1919.04</v>
      </c>
      <c r="N1596" s="15">
        <v>0</v>
      </c>
      <c r="O1596" s="15">
        <v>2994.6743100000003</v>
      </c>
      <c r="P1596" s="15">
        <v>26030.634310000001</v>
      </c>
    </row>
    <row r="1597" spans="1:16" ht="15" x14ac:dyDescent="0.2">
      <c r="A1597" s="4" t="s">
        <v>586</v>
      </c>
      <c r="B1597" s="21" t="str">
        <f t="shared" si="48"/>
        <v>Nov-2025</v>
      </c>
      <c r="C1597" s="2" t="str">
        <f t="shared" si="49"/>
        <v>Q3</v>
      </c>
      <c r="D1597" s="2" t="s">
        <v>31</v>
      </c>
      <c r="E1597" s="13">
        <v>45991</v>
      </c>
      <c r="F1597" s="14" t="s">
        <v>365</v>
      </c>
      <c r="G1597" s="14" t="s">
        <v>187</v>
      </c>
      <c r="H1597" s="14" t="s">
        <v>78</v>
      </c>
      <c r="I1597" s="15">
        <v>2</v>
      </c>
      <c r="J1597" s="15">
        <v>1200</v>
      </c>
      <c r="K1597" s="15">
        <v>7.46</v>
      </c>
      <c r="L1597" s="15">
        <v>8952</v>
      </c>
      <c r="M1597" s="15">
        <v>-688.41</v>
      </c>
      <c r="N1597" s="15">
        <v>0</v>
      </c>
      <c r="O1597" s="15">
        <v>1074.2665240000001</v>
      </c>
      <c r="P1597" s="15">
        <v>9337.8565240000007</v>
      </c>
    </row>
    <row r="1598" spans="1:16" ht="15" x14ac:dyDescent="0.2">
      <c r="A1598" s="4" t="s">
        <v>580</v>
      </c>
      <c r="B1598" s="21" t="str">
        <f t="shared" si="48"/>
        <v>Nov-2025</v>
      </c>
      <c r="C1598" s="2" t="str">
        <f t="shared" si="49"/>
        <v>Q3</v>
      </c>
      <c r="D1598" s="2" t="s">
        <v>31</v>
      </c>
      <c r="E1598" s="13">
        <v>45991</v>
      </c>
      <c r="F1598" s="14" t="s">
        <v>365</v>
      </c>
      <c r="G1598" s="14" t="s">
        <v>187</v>
      </c>
      <c r="H1598" s="14" t="s">
        <v>89</v>
      </c>
      <c r="I1598" s="15">
        <v>5</v>
      </c>
      <c r="J1598" s="15">
        <v>350</v>
      </c>
      <c r="K1598" s="15">
        <v>37.25</v>
      </c>
      <c r="L1598" s="15">
        <v>13037.5</v>
      </c>
      <c r="M1598" s="15">
        <v>-1002.58</v>
      </c>
      <c r="N1598" s="15">
        <v>0</v>
      </c>
      <c r="O1598" s="15">
        <v>1564.539344</v>
      </c>
      <c r="P1598" s="15">
        <v>13599.459344000001</v>
      </c>
    </row>
    <row r="1599" spans="1:16" ht="15" x14ac:dyDescent="0.2">
      <c r="A1599" s="4" t="s">
        <v>581</v>
      </c>
      <c r="B1599" s="21" t="str">
        <f t="shared" si="48"/>
        <v>Nov-2025</v>
      </c>
      <c r="C1599" s="2" t="str">
        <f t="shared" si="49"/>
        <v>Q3</v>
      </c>
      <c r="D1599" s="2" t="s">
        <v>31</v>
      </c>
      <c r="E1599" s="13">
        <v>45991</v>
      </c>
      <c r="F1599" s="14" t="s">
        <v>365</v>
      </c>
      <c r="G1599" s="14" t="s">
        <v>187</v>
      </c>
      <c r="H1599" s="14" t="s">
        <v>96</v>
      </c>
      <c r="I1599" s="15">
        <v>5</v>
      </c>
      <c r="J1599" s="15">
        <v>200</v>
      </c>
      <c r="K1599" s="15">
        <v>74.489999999999995</v>
      </c>
      <c r="L1599" s="15">
        <v>14898</v>
      </c>
      <c r="M1599" s="15">
        <v>-1145.6600000000001</v>
      </c>
      <c r="N1599" s="15">
        <v>0</v>
      </c>
      <c r="O1599" s="15">
        <v>1787.803907</v>
      </c>
      <c r="P1599" s="15">
        <v>15540.143907</v>
      </c>
    </row>
    <row r="1600" spans="1:16" ht="15" x14ac:dyDescent="0.2">
      <c r="A1600" s="4" t="s">
        <v>589</v>
      </c>
      <c r="B1600" s="21" t="str">
        <f t="shared" si="48"/>
        <v>Nov-2025</v>
      </c>
      <c r="C1600" s="2" t="str">
        <f t="shared" si="49"/>
        <v>Q3</v>
      </c>
      <c r="D1600" s="2" t="s">
        <v>31</v>
      </c>
      <c r="E1600" s="13">
        <v>45991</v>
      </c>
      <c r="F1600" s="14" t="s">
        <v>365</v>
      </c>
      <c r="G1600" s="14" t="s">
        <v>187</v>
      </c>
      <c r="H1600" s="14" t="s">
        <v>105</v>
      </c>
      <c r="I1600" s="15">
        <v>5</v>
      </c>
      <c r="J1600" s="15">
        <v>150</v>
      </c>
      <c r="K1600" s="15">
        <v>316.58999999999997</v>
      </c>
      <c r="L1600" s="15">
        <v>47488.5</v>
      </c>
      <c r="M1600" s="15">
        <v>-3651.87</v>
      </c>
      <c r="N1600" s="15">
        <v>0</v>
      </c>
      <c r="O1600" s="15">
        <v>5698.7609680000005</v>
      </c>
      <c r="P1600" s="15">
        <v>49535.390968</v>
      </c>
    </row>
    <row r="1601" spans="1:16" ht="15" x14ac:dyDescent="0.2">
      <c r="A1601" s="4" t="s">
        <v>586</v>
      </c>
      <c r="B1601" s="21" t="str">
        <f t="shared" si="48"/>
        <v>Nov-2025</v>
      </c>
      <c r="C1601" s="2" t="str">
        <f t="shared" si="49"/>
        <v>Q3</v>
      </c>
      <c r="D1601" s="2" t="s">
        <v>31</v>
      </c>
      <c r="E1601" s="13">
        <v>45991</v>
      </c>
      <c r="F1601" s="14" t="s">
        <v>365</v>
      </c>
      <c r="G1601" s="14" t="s">
        <v>187</v>
      </c>
      <c r="H1601" s="14" t="s">
        <v>103</v>
      </c>
      <c r="I1601" s="15">
        <v>3</v>
      </c>
      <c r="J1601" s="15">
        <v>1800</v>
      </c>
      <c r="K1601" s="15">
        <v>7.46</v>
      </c>
      <c r="L1601" s="15">
        <v>13427.999999999998</v>
      </c>
      <c r="M1601" s="15">
        <v>-1032.6099999999999</v>
      </c>
      <c r="N1601" s="15">
        <v>0</v>
      </c>
      <c r="O1601" s="15">
        <v>1611.4004360000001</v>
      </c>
      <c r="P1601" s="15">
        <v>14006.790435999999</v>
      </c>
    </row>
    <row r="1602" spans="1:16" ht="15" x14ac:dyDescent="0.2">
      <c r="A1602" s="4" t="s">
        <v>586</v>
      </c>
      <c r="B1602" s="21" t="str">
        <f t="shared" si="48"/>
        <v>Nov-2025</v>
      </c>
      <c r="C1602" s="2" t="str">
        <f t="shared" si="49"/>
        <v>Q3</v>
      </c>
      <c r="D1602" s="2" t="s">
        <v>31</v>
      </c>
      <c r="E1602" s="13">
        <v>45991</v>
      </c>
      <c r="F1602" s="14" t="s">
        <v>365</v>
      </c>
      <c r="G1602" s="14" t="s">
        <v>187</v>
      </c>
      <c r="H1602" s="14" t="s">
        <v>114</v>
      </c>
      <c r="I1602" s="15">
        <v>1</v>
      </c>
      <c r="J1602" s="15">
        <v>240</v>
      </c>
      <c r="K1602" s="15">
        <v>14.9</v>
      </c>
      <c r="L1602" s="15">
        <v>3576</v>
      </c>
      <c r="M1602" s="15">
        <v>-274.99</v>
      </c>
      <c r="N1602" s="15">
        <v>0</v>
      </c>
      <c r="O1602" s="15">
        <v>429.13123000000002</v>
      </c>
      <c r="P1602" s="15">
        <v>3730.1412300000002</v>
      </c>
    </row>
    <row r="1603" spans="1:16" ht="15" x14ac:dyDescent="0.2">
      <c r="A1603" s="4" t="s">
        <v>586</v>
      </c>
      <c r="B1603" s="21" t="str">
        <f t="shared" ref="B1603:B1666" si="50">+TEXT(E1603,"MMM-yyy")</f>
        <v>Nov-2025</v>
      </c>
      <c r="C1603" s="2" t="str">
        <f t="shared" ref="C1603:C1666" si="51">"Q" &amp; CHOOSE(MONTH(E1603),4,4,4,1,1,1,2,2,2,3,3,3)</f>
        <v>Q3</v>
      </c>
      <c r="D1603" s="2" t="s">
        <v>31</v>
      </c>
      <c r="E1603" s="13">
        <v>45991</v>
      </c>
      <c r="F1603" s="14" t="s">
        <v>366</v>
      </c>
      <c r="G1603" s="14" t="s">
        <v>347</v>
      </c>
      <c r="H1603" s="14" t="s">
        <v>78</v>
      </c>
      <c r="I1603" s="15">
        <v>1</v>
      </c>
      <c r="J1603" s="15">
        <v>600</v>
      </c>
      <c r="K1603" s="15">
        <v>7.46</v>
      </c>
      <c r="L1603" s="15">
        <v>4476</v>
      </c>
      <c r="M1603" s="15">
        <v>-344.2</v>
      </c>
      <c r="N1603" s="15">
        <v>0</v>
      </c>
      <c r="O1603" s="15">
        <v>537.13398200000006</v>
      </c>
      <c r="P1603" s="15">
        <v>4668.9339819999996</v>
      </c>
    </row>
    <row r="1604" spans="1:16" ht="15" x14ac:dyDescent="0.2">
      <c r="A1604" s="4" t="s">
        <v>582</v>
      </c>
      <c r="B1604" s="21" t="str">
        <f t="shared" si="50"/>
        <v>Nov-2025</v>
      </c>
      <c r="C1604" s="2" t="str">
        <f t="shared" si="51"/>
        <v>Q3</v>
      </c>
      <c r="D1604" s="2" t="s">
        <v>31</v>
      </c>
      <c r="E1604" s="13">
        <v>45991</v>
      </c>
      <c r="F1604" s="14" t="s">
        <v>366</v>
      </c>
      <c r="G1604" s="14" t="s">
        <v>347</v>
      </c>
      <c r="H1604" s="14" t="s">
        <v>77</v>
      </c>
      <c r="I1604" s="15">
        <v>2</v>
      </c>
      <c r="J1604" s="15">
        <v>48</v>
      </c>
      <c r="K1604" s="15">
        <v>204.85</v>
      </c>
      <c r="L1604" s="15">
        <v>9832.8000000000011</v>
      </c>
      <c r="M1604" s="15">
        <v>-756.14</v>
      </c>
      <c r="N1604" s="15">
        <v>0</v>
      </c>
      <c r="O1604" s="15">
        <v>1179.9657589999999</v>
      </c>
      <c r="P1604" s="15">
        <v>10256.625759</v>
      </c>
    </row>
    <row r="1605" spans="1:16" ht="15" x14ac:dyDescent="0.2">
      <c r="A1605" s="4" t="s">
        <v>586</v>
      </c>
      <c r="B1605" s="21" t="str">
        <f t="shared" si="50"/>
        <v>Nov-2025</v>
      </c>
      <c r="C1605" s="2" t="str">
        <f t="shared" si="51"/>
        <v>Q3</v>
      </c>
      <c r="D1605" s="2" t="s">
        <v>31</v>
      </c>
      <c r="E1605" s="13">
        <v>45991</v>
      </c>
      <c r="F1605" s="14" t="s">
        <v>366</v>
      </c>
      <c r="G1605" s="14" t="s">
        <v>347</v>
      </c>
      <c r="H1605" s="14" t="s">
        <v>114</v>
      </c>
      <c r="I1605" s="15">
        <v>1</v>
      </c>
      <c r="J1605" s="15">
        <v>240</v>
      </c>
      <c r="K1605" s="15">
        <v>14.9</v>
      </c>
      <c r="L1605" s="15">
        <v>3576</v>
      </c>
      <c r="M1605" s="15">
        <v>-274.99</v>
      </c>
      <c r="N1605" s="15">
        <v>0</v>
      </c>
      <c r="O1605" s="15">
        <v>429.13128499999999</v>
      </c>
      <c r="P1605" s="15">
        <v>3730.1412850000002</v>
      </c>
    </row>
    <row r="1606" spans="1:16" ht="15" x14ac:dyDescent="0.2">
      <c r="A1606" s="4" t="s">
        <v>592</v>
      </c>
      <c r="B1606" s="21" t="str">
        <f t="shared" si="50"/>
        <v>Nov-2025</v>
      </c>
      <c r="C1606" s="2" t="str">
        <f t="shared" si="51"/>
        <v>Q3</v>
      </c>
      <c r="D1606" s="2" t="s">
        <v>31</v>
      </c>
      <c r="E1606" s="13">
        <v>45991</v>
      </c>
      <c r="F1606" s="14" t="s">
        <v>366</v>
      </c>
      <c r="G1606" s="14" t="s">
        <v>347</v>
      </c>
      <c r="H1606" s="14" t="s">
        <v>115</v>
      </c>
      <c r="I1606" s="15">
        <v>5</v>
      </c>
      <c r="J1606" s="15">
        <v>250</v>
      </c>
      <c r="K1606" s="15">
        <v>89.39</v>
      </c>
      <c r="L1606" s="15">
        <v>22347.5</v>
      </c>
      <c r="M1606" s="15">
        <v>-1718.52</v>
      </c>
      <c r="N1606" s="15">
        <v>0</v>
      </c>
      <c r="O1606" s="15">
        <v>2681.7673080000004</v>
      </c>
      <c r="P1606" s="15">
        <v>23310.747308000002</v>
      </c>
    </row>
    <row r="1607" spans="1:16" ht="15" x14ac:dyDescent="0.2">
      <c r="A1607" s="4" t="s">
        <v>586</v>
      </c>
      <c r="B1607" s="21" t="str">
        <f t="shared" si="50"/>
        <v>Nov-2025</v>
      </c>
      <c r="C1607" s="2" t="str">
        <f t="shared" si="51"/>
        <v>Q3</v>
      </c>
      <c r="D1607" s="2" t="s">
        <v>31</v>
      </c>
      <c r="E1607" s="13">
        <v>45991</v>
      </c>
      <c r="F1607" s="14" t="s">
        <v>366</v>
      </c>
      <c r="G1607" s="14" t="s">
        <v>347</v>
      </c>
      <c r="H1607" s="14" t="s">
        <v>103</v>
      </c>
      <c r="I1607" s="15">
        <v>1</v>
      </c>
      <c r="J1607" s="15">
        <v>600</v>
      </c>
      <c r="K1607" s="15">
        <v>7.46</v>
      </c>
      <c r="L1607" s="15">
        <v>4476</v>
      </c>
      <c r="M1607" s="15">
        <v>-344.2</v>
      </c>
      <c r="N1607" s="15">
        <v>0</v>
      </c>
      <c r="O1607" s="15">
        <v>537.13398200000006</v>
      </c>
      <c r="P1607" s="15">
        <v>4668.9339819999996</v>
      </c>
    </row>
    <row r="1608" spans="1:16" ht="15" x14ac:dyDescent="0.2">
      <c r="A1608" s="4" t="s">
        <v>589</v>
      </c>
      <c r="B1608" s="21" t="str">
        <f t="shared" si="50"/>
        <v>Nov-2025</v>
      </c>
      <c r="C1608" s="2" t="str">
        <f t="shared" si="51"/>
        <v>Q3</v>
      </c>
      <c r="D1608" s="2" t="s">
        <v>31</v>
      </c>
      <c r="E1608" s="13">
        <v>45991</v>
      </c>
      <c r="F1608" s="14" t="s">
        <v>366</v>
      </c>
      <c r="G1608" s="14" t="s">
        <v>347</v>
      </c>
      <c r="H1608" s="14" t="s">
        <v>105</v>
      </c>
      <c r="I1608" s="15">
        <v>2</v>
      </c>
      <c r="J1608" s="15">
        <v>60</v>
      </c>
      <c r="K1608" s="15">
        <v>316.58999999999997</v>
      </c>
      <c r="L1608" s="15">
        <v>18995.399999999998</v>
      </c>
      <c r="M1608" s="15">
        <v>-1460.75</v>
      </c>
      <c r="N1608" s="15">
        <v>0</v>
      </c>
      <c r="O1608" s="15">
        <v>2279.504422</v>
      </c>
      <c r="P1608" s="15">
        <v>19814.154422</v>
      </c>
    </row>
    <row r="1609" spans="1:16" ht="15" x14ac:dyDescent="0.2">
      <c r="A1609" s="4" t="s">
        <v>581</v>
      </c>
      <c r="B1609" s="21" t="str">
        <f t="shared" si="50"/>
        <v>Nov-2025</v>
      </c>
      <c r="C1609" s="2" t="str">
        <f t="shared" si="51"/>
        <v>Q3</v>
      </c>
      <c r="D1609" s="2" t="s">
        <v>31</v>
      </c>
      <c r="E1609" s="13">
        <v>45991</v>
      </c>
      <c r="F1609" s="14" t="s">
        <v>366</v>
      </c>
      <c r="G1609" s="14" t="s">
        <v>347</v>
      </c>
      <c r="H1609" s="14" t="s">
        <v>96</v>
      </c>
      <c r="I1609" s="15">
        <v>2</v>
      </c>
      <c r="J1609" s="15">
        <v>80</v>
      </c>
      <c r="K1609" s="15">
        <v>74.489999999999995</v>
      </c>
      <c r="L1609" s="15">
        <v>5959.2</v>
      </c>
      <c r="M1609" s="15">
        <v>-458.26</v>
      </c>
      <c r="N1609" s="15">
        <v>0</v>
      </c>
      <c r="O1609" s="15">
        <v>715.12217499999997</v>
      </c>
      <c r="P1609" s="15">
        <v>6216.062175</v>
      </c>
    </row>
    <row r="1610" spans="1:16" ht="15" x14ac:dyDescent="0.2">
      <c r="A1610" s="4" t="s">
        <v>581</v>
      </c>
      <c r="B1610" s="21" t="str">
        <f t="shared" si="50"/>
        <v>Nov-2025</v>
      </c>
      <c r="C1610" s="2" t="str">
        <f t="shared" si="51"/>
        <v>Q3</v>
      </c>
      <c r="D1610" s="2" t="s">
        <v>31</v>
      </c>
      <c r="E1610" s="13">
        <v>45991</v>
      </c>
      <c r="F1610" s="14" t="s">
        <v>366</v>
      </c>
      <c r="G1610" s="14" t="s">
        <v>347</v>
      </c>
      <c r="H1610" s="14" t="s">
        <v>97</v>
      </c>
      <c r="I1610" s="15">
        <v>1</v>
      </c>
      <c r="J1610" s="15">
        <v>40</v>
      </c>
      <c r="K1610" s="15">
        <v>74.489999999999995</v>
      </c>
      <c r="L1610" s="15">
        <v>2979.6</v>
      </c>
      <c r="M1610" s="15">
        <v>-229.13</v>
      </c>
      <c r="N1610" s="15">
        <v>0</v>
      </c>
      <c r="O1610" s="15">
        <v>357.56108799999998</v>
      </c>
      <c r="P1610" s="15">
        <v>3108.0310880000002</v>
      </c>
    </row>
    <row r="1611" spans="1:16" ht="15" x14ac:dyDescent="0.2">
      <c r="A1611" s="4" t="s">
        <v>586</v>
      </c>
      <c r="B1611" s="21" t="str">
        <f t="shared" si="50"/>
        <v>Nov-2025</v>
      </c>
      <c r="C1611" s="2" t="str">
        <f t="shared" si="51"/>
        <v>Q3</v>
      </c>
      <c r="D1611" s="2" t="s">
        <v>31</v>
      </c>
      <c r="E1611" s="13">
        <v>45991</v>
      </c>
      <c r="F1611" s="14" t="s">
        <v>367</v>
      </c>
      <c r="G1611" s="14" t="s">
        <v>345</v>
      </c>
      <c r="H1611" s="14" t="s">
        <v>103</v>
      </c>
      <c r="I1611" s="15">
        <v>1</v>
      </c>
      <c r="J1611" s="15">
        <v>600</v>
      </c>
      <c r="K1611" s="15">
        <v>7.46</v>
      </c>
      <c r="L1611" s="15">
        <v>4476</v>
      </c>
      <c r="M1611" s="15">
        <v>-344.2</v>
      </c>
      <c r="N1611" s="15">
        <v>0</v>
      </c>
      <c r="O1611" s="15">
        <v>537.13414299999999</v>
      </c>
      <c r="P1611" s="15">
        <v>4668.9341430000004</v>
      </c>
    </row>
    <row r="1612" spans="1:16" ht="15" x14ac:dyDescent="0.2">
      <c r="A1612" s="4" t="s">
        <v>589</v>
      </c>
      <c r="B1612" s="21" t="str">
        <f t="shared" si="50"/>
        <v>Nov-2025</v>
      </c>
      <c r="C1612" s="2" t="str">
        <f t="shared" si="51"/>
        <v>Q3</v>
      </c>
      <c r="D1612" s="2" t="s">
        <v>31</v>
      </c>
      <c r="E1612" s="13">
        <v>45991</v>
      </c>
      <c r="F1612" s="14" t="s">
        <v>367</v>
      </c>
      <c r="G1612" s="14" t="s">
        <v>345</v>
      </c>
      <c r="H1612" s="14" t="s">
        <v>105</v>
      </c>
      <c r="I1612" s="15">
        <v>1</v>
      </c>
      <c r="J1612" s="15">
        <v>30</v>
      </c>
      <c r="K1612" s="15">
        <v>316.58999999999997</v>
      </c>
      <c r="L1612" s="15">
        <v>9497.6999999999989</v>
      </c>
      <c r="M1612" s="15">
        <v>-730.36999999999989</v>
      </c>
      <c r="N1612" s="15">
        <v>0</v>
      </c>
      <c r="O1612" s="15">
        <v>1139.7532040000001</v>
      </c>
      <c r="P1612" s="15">
        <v>9907.0832040000005</v>
      </c>
    </row>
    <row r="1613" spans="1:16" ht="15" x14ac:dyDescent="0.2">
      <c r="A1613" s="4" t="s">
        <v>579</v>
      </c>
      <c r="B1613" s="21" t="str">
        <f t="shared" si="50"/>
        <v>Nov-2025</v>
      </c>
      <c r="C1613" s="2" t="str">
        <f t="shared" si="51"/>
        <v>Q3</v>
      </c>
      <c r="D1613" s="2" t="s">
        <v>31</v>
      </c>
      <c r="E1613" s="13">
        <v>45991</v>
      </c>
      <c r="F1613" s="14" t="s">
        <v>367</v>
      </c>
      <c r="G1613" s="14" t="s">
        <v>345</v>
      </c>
      <c r="H1613" s="14" t="s">
        <v>91</v>
      </c>
      <c r="I1613" s="15">
        <v>1</v>
      </c>
      <c r="J1613" s="15">
        <v>20</v>
      </c>
      <c r="K1613" s="15">
        <v>204.85</v>
      </c>
      <c r="L1613" s="15">
        <v>4097</v>
      </c>
      <c r="M1613" s="15">
        <v>-315.06</v>
      </c>
      <c r="N1613" s="15">
        <v>0</v>
      </c>
      <c r="O1613" s="15">
        <v>491.652331</v>
      </c>
      <c r="P1613" s="15">
        <v>4273.5923309999998</v>
      </c>
    </row>
    <row r="1614" spans="1:16" ht="15" x14ac:dyDescent="0.2">
      <c r="A1614" s="4" t="s">
        <v>586</v>
      </c>
      <c r="B1614" s="21" t="str">
        <f t="shared" si="50"/>
        <v>Nov-2025</v>
      </c>
      <c r="C1614" s="2" t="str">
        <f t="shared" si="51"/>
        <v>Q3</v>
      </c>
      <c r="D1614" s="2" t="s">
        <v>31</v>
      </c>
      <c r="E1614" s="13">
        <v>45991</v>
      </c>
      <c r="F1614" s="14" t="s">
        <v>367</v>
      </c>
      <c r="G1614" s="14" t="s">
        <v>345</v>
      </c>
      <c r="H1614" s="14" t="s">
        <v>114</v>
      </c>
      <c r="I1614" s="15">
        <v>1</v>
      </c>
      <c r="J1614" s="15">
        <v>240</v>
      </c>
      <c r="K1614" s="15">
        <v>14.9</v>
      </c>
      <c r="L1614" s="15">
        <v>3576</v>
      </c>
      <c r="M1614" s="15">
        <v>-274.99</v>
      </c>
      <c r="N1614" s="15">
        <v>0</v>
      </c>
      <c r="O1614" s="15">
        <v>429.13141399999995</v>
      </c>
      <c r="P1614" s="15">
        <v>3730.1414140000002</v>
      </c>
    </row>
    <row r="1615" spans="1:16" ht="15" x14ac:dyDescent="0.2">
      <c r="A1615" s="4" t="s">
        <v>582</v>
      </c>
      <c r="B1615" s="21" t="str">
        <f t="shared" si="50"/>
        <v>Nov-2025</v>
      </c>
      <c r="C1615" s="2" t="str">
        <f t="shared" si="51"/>
        <v>Q3</v>
      </c>
      <c r="D1615" s="2" t="s">
        <v>31</v>
      </c>
      <c r="E1615" s="13">
        <v>45991</v>
      </c>
      <c r="F1615" s="14" t="s">
        <v>367</v>
      </c>
      <c r="G1615" s="14" t="s">
        <v>345</v>
      </c>
      <c r="H1615" s="14" t="s">
        <v>77</v>
      </c>
      <c r="I1615" s="15">
        <v>1</v>
      </c>
      <c r="J1615" s="15">
        <v>24</v>
      </c>
      <c r="K1615" s="15">
        <v>204.85</v>
      </c>
      <c r="L1615" s="15">
        <v>4916.4000000000005</v>
      </c>
      <c r="M1615" s="15">
        <v>-378.07</v>
      </c>
      <c r="N1615" s="15">
        <v>0</v>
      </c>
      <c r="O1615" s="15">
        <v>589.98305700000003</v>
      </c>
      <c r="P1615" s="15">
        <v>5128.3130570000003</v>
      </c>
    </row>
    <row r="1616" spans="1:16" ht="15" x14ac:dyDescent="0.2">
      <c r="A1616" s="4" t="s">
        <v>579</v>
      </c>
      <c r="B1616" s="21" t="str">
        <f t="shared" si="50"/>
        <v>Nov-2025</v>
      </c>
      <c r="C1616" s="2" t="str">
        <f t="shared" si="51"/>
        <v>Q3</v>
      </c>
      <c r="D1616" s="2" t="s">
        <v>31</v>
      </c>
      <c r="E1616" s="13">
        <v>45991</v>
      </c>
      <c r="F1616" s="14" t="s">
        <v>367</v>
      </c>
      <c r="G1616" s="14" t="s">
        <v>345</v>
      </c>
      <c r="H1616" s="14" t="s">
        <v>140</v>
      </c>
      <c r="I1616" s="15">
        <v>1</v>
      </c>
      <c r="J1616" s="15">
        <v>20</v>
      </c>
      <c r="K1616" s="15">
        <v>204.85</v>
      </c>
      <c r="L1616" s="15">
        <v>4097</v>
      </c>
      <c r="M1616" s="15">
        <v>-315.06</v>
      </c>
      <c r="N1616" s="15">
        <v>0</v>
      </c>
      <c r="O1616" s="15">
        <v>491.652331</v>
      </c>
      <c r="P1616" s="15">
        <v>4273.5923309999998</v>
      </c>
    </row>
    <row r="1617" spans="1:16" ht="15" x14ac:dyDescent="0.2">
      <c r="A1617" s="4" t="s">
        <v>581</v>
      </c>
      <c r="B1617" s="21" t="str">
        <f t="shared" si="50"/>
        <v>Nov-2025</v>
      </c>
      <c r="C1617" s="2" t="str">
        <f t="shared" si="51"/>
        <v>Q3</v>
      </c>
      <c r="D1617" s="2" t="s">
        <v>31</v>
      </c>
      <c r="E1617" s="13">
        <v>45991</v>
      </c>
      <c r="F1617" s="14" t="s">
        <v>367</v>
      </c>
      <c r="G1617" s="14" t="s">
        <v>345</v>
      </c>
      <c r="H1617" s="14" t="s">
        <v>97</v>
      </c>
      <c r="I1617" s="15">
        <v>1</v>
      </c>
      <c r="J1617" s="15">
        <v>40</v>
      </c>
      <c r="K1617" s="15">
        <v>74.489999999999995</v>
      </c>
      <c r="L1617" s="15">
        <v>2979.6</v>
      </c>
      <c r="M1617" s="15">
        <v>-229.13</v>
      </c>
      <c r="N1617" s="15">
        <v>0</v>
      </c>
      <c r="O1617" s="15">
        <v>357.561195</v>
      </c>
      <c r="P1617" s="15">
        <v>3108.031195</v>
      </c>
    </row>
    <row r="1618" spans="1:16" ht="15" x14ac:dyDescent="0.2">
      <c r="A1618" s="4" t="s">
        <v>581</v>
      </c>
      <c r="B1618" s="21" t="str">
        <f t="shared" si="50"/>
        <v>Nov-2025</v>
      </c>
      <c r="C1618" s="2" t="str">
        <f t="shared" si="51"/>
        <v>Q3</v>
      </c>
      <c r="D1618" s="2" t="s">
        <v>31</v>
      </c>
      <c r="E1618" s="13">
        <v>45991</v>
      </c>
      <c r="F1618" s="14" t="s">
        <v>367</v>
      </c>
      <c r="G1618" s="14" t="s">
        <v>345</v>
      </c>
      <c r="H1618" s="14" t="s">
        <v>96</v>
      </c>
      <c r="I1618" s="15">
        <v>2</v>
      </c>
      <c r="J1618" s="15">
        <v>80</v>
      </c>
      <c r="K1618" s="15">
        <v>74.489999999999995</v>
      </c>
      <c r="L1618" s="15">
        <v>5959.2</v>
      </c>
      <c r="M1618" s="15">
        <v>-458.26</v>
      </c>
      <c r="N1618" s="15">
        <v>0</v>
      </c>
      <c r="O1618" s="15">
        <v>715.12239099999999</v>
      </c>
      <c r="P1618" s="15">
        <v>6216.0623910000004</v>
      </c>
    </row>
    <row r="1619" spans="1:16" ht="15" x14ac:dyDescent="0.2">
      <c r="A1619" s="4" t="s">
        <v>586</v>
      </c>
      <c r="B1619" s="21" t="str">
        <f t="shared" si="50"/>
        <v>Nov-2025</v>
      </c>
      <c r="C1619" s="2" t="str">
        <f t="shared" si="51"/>
        <v>Q3</v>
      </c>
      <c r="D1619" s="2" t="s">
        <v>31</v>
      </c>
      <c r="E1619" s="13">
        <v>45991</v>
      </c>
      <c r="F1619" s="14" t="s">
        <v>367</v>
      </c>
      <c r="G1619" s="14" t="s">
        <v>345</v>
      </c>
      <c r="H1619" s="14" t="s">
        <v>78</v>
      </c>
      <c r="I1619" s="15">
        <v>1</v>
      </c>
      <c r="J1619" s="15">
        <v>600</v>
      </c>
      <c r="K1619" s="15">
        <v>7.46</v>
      </c>
      <c r="L1619" s="15">
        <v>4476</v>
      </c>
      <c r="M1619" s="15">
        <v>-344.2</v>
      </c>
      <c r="N1619" s="15">
        <v>0</v>
      </c>
      <c r="O1619" s="15">
        <v>537.13414299999999</v>
      </c>
      <c r="P1619" s="15">
        <v>4668.9341430000004</v>
      </c>
    </row>
    <row r="1620" spans="1:16" ht="15" x14ac:dyDescent="0.2">
      <c r="A1620" s="4" t="s">
        <v>592</v>
      </c>
      <c r="B1620" s="21" t="str">
        <f t="shared" si="50"/>
        <v>Nov-2025</v>
      </c>
      <c r="C1620" s="2" t="str">
        <f t="shared" si="51"/>
        <v>Q3</v>
      </c>
      <c r="D1620" s="2" t="s">
        <v>31</v>
      </c>
      <c r="E1620" s="13">
        <v>45991</v>
      </c>
      <c r="F1620" s="14" t="s">
        <v>367</v>
      </c>
      <c r="G1620" s="14" t="s">
        <v>345</v>
      </c>
      <c r="H1620" s="14" t="s">
        <v>115</v>
      </c>
      <c r="I1620" s="15">
        <v>3</v>
      </c>
      <c r="J1620" s="15">
        <v>150</v>
      </c>
      <c r="K1620" s="15">
        <v>89.39</v>
      </c>
      <c r="L1620" s="15">
        <v>13408.500000000002</v>
      </c>
      <c r="M1620" s="15">
        <v>-1031.1100000000001</v>
      </c>
      <c r="N1620" s="15">
        <v>0</v>
      </c>
      <c r="O1620" s="15">
        <v>1609.0611289999999</v>
      </c>
      <c r="P1620" s="15">
        <v>13986.451128999999</v>
      </c>
    </row>
    <row r="1621" spans="1:16" ht="15" x14ac:dyDescent="0.2">
      <c r="A1621" s="4" t="s">
        <v>579</v>
      </c>
      <c r="B1621" s="21" t="str">
        <f t="shared" si="50"/>
        <v>Nov-2025</v>
      </c>
      <c r="C1621" s="2" t="str">
        <f t="shared" si="51"/>
        <v>Q3</v>
      </c>
      <c r="D1621" s="2" t="s">
        <v>31</v>
      </c>
      <c r="E1621" s="13">
        <v>45991</v>
      </c>
      <c r="F1621" s="14" t="s">
        <v>367</v>
      </c>
      <c r="G1621" s="14" t="s">
        <v>345</v>
      </c>
      <c r="H1621" s="14" t="s">
        <v>112</v>
      </c>
      <c r="I1621" s="15">
        <v>1</v>
      </c>
      <c r="J1621" s="15">
        <v>20</v>
      </c>
      <c r="K1621" s="15">
        <v>204.85</v>
      </c>
      <c r="L1621" s="15">
        <v>4097</v>
      </c>
      <c r="M1621" s="15">
        <v>-315.06</v>
      </c>
      <c r="N1621" s="15">
        <v>0</v>
      </c>
      <c r="O1621" s="15">
        <v>491.652331</v>
      </c>
      <c r="P1621" s="15">
        <v>4273.5923309999998</v>
      </c>
    </row>
    <row r="1622" spans="1:16" ht="15" x14ac:dyDescent="0.2">
      <c r="A1622" s="4" t="s">
        <v>579</v>
      </c>
      <c r="B1622" s="21" t="str">
        <f t="shared" si="50"/>
        <v>Nov-2025</v>
      </c>
      <c r="C1622" s="2" t="str">
        <f t="shared" si="51"/>
        <v>Q3</v>
      </c>
      <c r="D1622" s="2" t="s">
        <v>31</v>
      </c>
      <c r="E1622" s="13">
        <v>45991</v>
      </c>
      <c r="F1622" s="14" t="s">
        <v>367</v>
      </c>
      <c r="G1622" s="14" t="s">
        <v>345</v>
      </c>
      <c r="H1622" s="14" t="s">
        <v>90</v>
      </c>
      <c r="I1622" s="15">
        <v>1</v>
      </c>
      <c r="J1622" s="15">
        <v>20</v>
      </c>
      <c r="K1622" s="15">
        <v>204.85</v>
      </c>
      <c r="L1622" s="15">
        <v>4097</v>
      </c>
      <c r="M1622" s="15">
        <v>-315.06</v>
      </c>
      <c r="N1622" s="15">
        <v>0</v>
      </c>
      <c r="O1622" s="15">
        <v>491.652331</v>
      </c>
      <c r="P1622" s="15">
        <v>4273.5923309999998</v>
      </c>
    </row>
    <row r="1623" spans="1:16" ht="15" x14ac:dyDescent="0.2">
      <c r="A1623" s="4" t="s">
        <v>581</v>
      </c>
      <c r="B1623" s="21" t="str">
        <f t="shared" si="50"/>
        <v>Nov-2025</v>
      </c>
      <c r="C1623" s="2" t="str">
        <f t="shared" si="51"/>
        <v>Q3</v>
      </c>
      <c r="D1623" s="2" t="s">
        <v>31</v>
      </c>
      <c r="E1623" s="13">
        <v>45991</v>
      </c>
      <c r="F1623" s="14" t="s">
        <v>368</v>
      </c>
      <c r="G1623" s="14" t="s">
        <v>171</v>
      </c>
      <c r="H1623" s="14" t="s">
        <v>97</v>
      </c>
      <c r="I1623" s="15">
        <v>1</v>
      </c>
      <c r="J1623" s="15">
        <v>40</v>
      </c>
      <c r="K1623" s="15">
        <v>74.489999999999995</v>
      </c>
      <c r="L1623" s="15">
        <v>2979.6</v>
      </c>
      <c r="M1623" s="15">
        <v>-229.13</v>
      </c>
      <c r="N1623" s="15">
        <v>0</v>
      </c>
      <c r="O1623" s="15">
        <v>357.561172</v>
      </c>
      <c r="P1623" s="15">
        <v>3108.031172</v>
      </c>
    </row>
    <row r="1624" spans="1:16" ht="15" x14ac:dyDescent="0.2">
      <c r="A1624" s="4" t="s">
        <v>582</v>
      </c>
      <c r="B1624" s="21" t="str">
        <f t="shared" si="50"/>
        <v>Nov-2025</v>
      </c>
      <c r="C1624" s="2" t="str">
        <f t="shared" si="51"/>
        <v>Q3</v>
      </c>
      <c r="D1624" s="2" t="s">
        <v>31</v>
      </c>
      <c r="E1624" s="13">
        <v>45991</v>
      </c>
      <c r="F1624" s="14" t="s">
        <v>368</v>
      </c>
      <c r="G1624" s="14" t="s">
        <v>171</v>
      </c>
      <c r="H1624" s="14" t="s">
        <v>77</v>
      </c>
      <c r="I1624" s="15">
        <v>2</v>
      </c>
      <c r="J1624" s="15">
        <v>48</v>
      </c>
      <c r="K1624" s="15">
        <v>204.85</v>
      </c>
      <c r="L1624" s="15">
        <v>9832.8000000000011</v>
      </c>
      <c r="M1624" s="15">
        <v>-756.14</v>
      </c>
      <c r="N1624" s="15">
        <v>0</v>
      </c>
      <c r="O1624" s="15">
        <v>1179.9660369999999</v>
      </c>
      <c r="P1624" s="15">
        <v>10256.626037</v>
      </c>
    </row>
    <row r="1625" spans="1:16" ht="15" x14ac:dyDescent="0.2">
      <c r="A1625" s="4" t="s">
        <v>592</v>
      </c>
      <c r="B1625" s="21" t="str">
        <f t="shared" si="50"/>
        <v>Nov-2025</v>
      </c>
      <c r="C1625" s="2" t="str">
        <f t="shared" si="51"/>
        <v>Q3</v>
      </c>
      <c r="D1625" s="2" t="s">
        <v>31</v>
      </c>
      <c r="E1625" s="13">
        <v>45991</v>
      </c>
      <c r="F1625" s="14" t="s">
        <v>368</v>
      </c>
      <c r="G1625" s="14" t="s">
        <v>171</v>
      </c>
      <c r="H1625" s="14" t="s">
        <v>115</v>
      </c>
      <c r="I1625" s="15">
        <v>5</v>
      </c>
      <c r="J1625" s="15">
        <v>250</v>
      </c>
      <c r="K1625" s="15">
        <v>89.39</v>
      </c>
      <c r="L1625" s="15">
        <v>22347.5</v>
      </c>
      <c r="M1625" s="15">
        <v>-1718.52</v>
      </c>
      <c r="N1625" s="15">
        <v>0</v>
      </c>
      <c r="O1625" s="15">
        <v>2681.767938</v>
      </c>
      <c r="P1625" s="15">
        <v>23310.747938</v>
      </c>
    </row>
    <row r="1626" spans="1:16" ht="15" x14ac:dyDescent="0.2">
      <c r="A1626" s="4" t="s">
        <v>579</v>
      </c>
      <c r="B1626" s="21" t="str">
        <f t="shared" si="50"/>
        <v>Nov-2025</v>
      </c>
      <c r="C1626" s="2" t="str">
        <f t="shared" si="51"/>
        <v>Q3</v>
      </c>
      <c r="D1626" s="2" t="s">
        <v>31</v>
      </c>
      <c r="E1626" s="13">
        <v>45991</v>
      </c>
      <c r="F1626" s="14" t="s">
        <v>368</v>
      </c>
      <c r="G1626" s="14" t="s">
        <v>171</v>
      </c>
      <c r="H1626" s="14" t="s">
        <v>112</v>
      </c>
      <c r="I1626" s="15">
        <v>1</v>
      </c>
      <c r="J1626" s="15">
        <v>20</v>
      </c>
      <c r="K1626" s="15">
        <v>204.85</v>
      </c>
      <c r="L1626" s="15">
        <v>4097</v>
      </c>
      <c r="M1626" s="15">
        <v>-315.06</v>
      </c>
      <c r="N1626" s="15">
        <v>0</v>
      </c>
      <c r="O1626" s="15">
        <v>491.65229900000003</v>
      </c>
      <c r="P1626" s="15">
        <v>4273.5922989999999</v>
      </c>
    </row>
    <row r="1627" spans="1:16" ht="15" x14ac:dyDescent="0.2">
      <c r="A1627" s="4" t="s">
        <v>573</v>
      </c>
      <c r="B1627" s="21" t="str">
        <f t="shared" si="50"/>
        <v>Nov-2025</v>
      </c>
      <c r="C1627" s="2" t="str">
        <f t="shared" si="51"/>
        <v>Q3</v>
      </c>
      <c r="D1627" s="2" t="s">
        <v>31</v>
      </c>
      <c r="E1627" s="13">
        <v>45991</v>
      </c>
      <c r="F1627" s="14" t="s">
        <v>368</v>
      </c>
      <c r="G1627" s="14" t="s">
        <v>171</v>
      </c>
      <c r="H1627" s="14" t="s">
        <v>111</v>
      </c>
      <c r="I1627" s="15">
        <v>2</v>
      </c>
      <c r="J1627" s="15">
        <v>80</v>
      </c>
      <c r="K1627" s="15">
        <v>111.74</v>
      </c>
      <c r="L1627" s="15">
        <v>8939.2000000000007</v>
      </c>
      <c r="M1627" s="15">
        <v>-687.42</v>
      </c>
      <c r="N1627" s="15">
        <v>0</v>
      </c>
      <c r="O1627" s="15">
        <v>1072.7316149999999</v>
      </c>
      <c r="P1627" s="15">
        <v>9324.5116149999994</v>
      </c>
    </row>
    <row r="1628" spans="1:16" ht="15" x14ac:dyDescent="0.2">
      <c r="A1628" s="4" t="s">
        <v>581</v>
      </c>
      <c r="B1628" s="21" t="str">
        <f t="shared" si="50"/>
        <v>Nov-2025</v>
      </c>
      <c r="C1628" s="2" t="str">
        <f t="shared" si="51"/>
        <v>Q3</v>
      </c>
      <c r="D1628" s="2" t="s">
        <v>31</v>
      </c>
      <c r="E1628" s="13">
        <v>45991</v>
      </c>
      <c r="F1628" s="14" t="s">
        <v>368</v>
      </c>
      <c r="G1628" s="14" t="s">
        <v>171</v>
      </c>
      <c r="H1628" s="14" t="s">
        <v>96</v>
      </c>
      <c r="I1628" s="15">
        <v>2</v>
      </c>
      <c r="J1628" s="15">
        <v>80</v>
      </c>
      <c r="K1628" s="15">
        <v>74.489999999999995</v>
      </c>
      <c r="L1628" s="15">
        <v>5959.2</v>
      </c>
      <c r="M1628" s="15">
        <v>-458.26</v>
      </c>
      <c r="N1628" s="15">
        <v>0</v>
      </c>
      <c r="O1628" s="15">
        <v>715.122343</v>
      </c>
      <c r="P1628" s="15">
        <v>6216.0623429999996</v>
      </c>
    </row>
    <row r="1629" spans="1:16" ht="15" x14ac:dyDescent="0.2">
      <c r="A1629" s="4" t="s">
        <v>584</v>
      </c>
      <c r="B1629" s="21" t="str">
        <f t="shared" si="50"/>
        <v>Nov-2025</v>
      </c>
      <c r="C1629" s="2" t="str">
        <f t="shared" si="51"/>
        <v>Q3</v>
      </c>
      <c r="D1629" s="2" t="s">
        <v>31</v>
      </c>
      <c r="E1629" s="13">
        <v>45991</v>
      </c>
      <c r="F1629" s="14" t="s">
        <v>368</v>
      </c>
      <c r="G1629" s="14" t="s">
        <v>171</v>
      </c>
      <c r="H1629" s="14" t="s">
        <v>120</v>
      </c>
      <c r="I1629" s="15">
        <v>2</v>
      </c>
      <c r="J1629" s="15">
        <v>80</v>
      </c>
      <c r="K1629" s="15">
        <v>81.94</v>
      </c>
      <c r="L1629" s="15">
        <v>6555.2</v>
      </c>
      <c r="M1629" s="15">
        <v>-504.09</v>
      </c>
      <c r="N1629" s="15">
        <v>0</v>
      </c>
      <c r="O1629" s="15">
        <v>786.64445799999999</v>
      </c>
      <c r="P1629" s="15">
        <v>6837.7544580000003</v>
      </c>
    </row>
    <row r="1630" spans="1:16" ht="15" x14ac:dyDescent="0.2">
      <c r="A1630" s="4" t="s">
        <v>589</v>
      </c>
      <c r="B1630" s="21" t="str">
        <f t="shared" si="50"/>
        <v>Nov-2025</v>
      </c>
      <c r="C1630" s="2" t="str">
        <f t="shared" si="51"/>
        <v>Q3</v>
      </c>
      <c r="D1630" s="2" t="s">
        <v>31</v>
      </c>
      <c r="E1630" s="13">
        <v>45991</v>
      </c>
      <c r="F1630" s="14" t="s">
        <v>368</v>
      </c>
      <c r="G1630" s="14" t="s">
        <v>171</v>
      </c>
      <c r="H1630" s="14" t="s">
        <v>105</v>
      </c>
      <c r="I1630" s="15">
        <v>2</v>
      </c>
      <c r="J1630" s="15">
        <v>60</v>
      </c>
      <c r="K1630" s="15">
        <v>316.58999999999997</v>
      </c>
      <c r="L1630" s="15">
        <v>18995.399999999998</v>
      </c>
      <c r="M1630" s="15">
        <v>-1460.75</v>
      </c>
      <c r="N1630" s="15">
        <v>0</v>
      </c>
      <c r="O1630" s="15">
        <v>2279.5049570000001</v>
      </c>
      <c r="P1630" s="15">
        <v>19814.154956999999</v>
      </c>
    </row>
    <row r="1631" spans="1:16" ht="15" x14ac:dyDescent="0.2">
      <c r="A1631" s="4" t="s">
        <v>586</v>
      </c>
      <c r="B1631" s="21" t="str">
        <f t="shared" si="50"/>
        <v>Nov-2025</v>
      </c>
      <c r="C1631" s="2" t="str">
        <f t="shared" si="51"/>
        <v>Q3</v>
      </c>
      <c r="D1631" s="2" t="s">
        <v>31</v>
      </c>
      <c r="E1631" s="13">
        <v>45991</v>
      </c>
      <c r="F1631" s="14" t="s">
        <v>368</v>
      </c>
      <c r="G1631" s="14" t="s">
        <v>171</v>
      </c>
      <c r="H1631" s="14" t="s">
        <v>103</v>
      </c>
      <c r="I1631" s="15">
        <v>1</v>
      </c>
      <c r="J1631" s="15">
        <v>600</v>
      </c>
      <c r="K1631" s="15">
        <v>7.46</v>
      </c>
      <c r="L1631" s="15">
        <v>4476</v>
      </c>
      <c r="M1631" s="15">
        <v>-344.2</v>
      </c>
      <c r="N1631" s="15">
        <v>0</v>
      </c>
      <c r="O1631" s="15">
        <v>537.13410799999997</v>
      </c>
      <c r="P1631" s="15">
        <v>4668.9341080000004</v>
      </c>
    </row>
    <row r="1632" spans="1:16" ht="15" x14ac:dyDescent="0.2">
      <c r="A1632" s="4" t="s">
        <v>579</v>
      </c>
      <c r="B1632" s="21" t="str">
        <f t="shared" si="50"/>
        <v>Nov-2025</v>
      </c>
      <c r="C1632" s="2" t="str">
        <f t="shared" si="51"/>
        <v>Q3</v>
      </c>
      <c r="D1632" s="2" t="s">
        <v>31</v>
      </c>
      <c r="E1632" s="13">
        <v>45991</v>
      </c>
      <c r="F1632" s="14" t="s">
        <v>368</v>
      </c>
      <c r="G1632" s="14" t="s">
        <v>171</v>
      </c>
      <c r="H1632" s="14" t="s">
        <v>140</v>
      </c>
      <c r="I1632" s="15">
        <v>1</v>
      </c>
      <c r="J1632" s="15">
        <v>20</v>
      </c>
      <c r="K1632" s="15">
        <v>204.85</v>
      </c>
      <c r="L1632" s="15">
        <v>4097</v>
      </c>
      <c r="M1632" s="15">
        <v>-315.06</v>
      </c>
      <c r="N1632" s="15">
        <v>0</v>
      </c>
      <c r="O1632" s="15">
        <v>491.65229900000003</v>
      </c>
      <c r="P1632" s="15">
        <v>4273.5922989999999</v>
      </c>
    </row>
    <row r="1633" spans="1:16" ht="15" x14ac:dyDescent="0.2">
      <c r="A1633" s="4" t="s">
        <v>579</v>
      </c>
      <c r="B1633" s="21" t="str">
        <f t="shared" si="50"/>
        <v>Nov-2025</v>
      </c>
      <c r="C1633" s="2" t="str">
        <f t="shared" si="51"/>
        <v>Q3</v>
      </c>
      <c r="D1633" s="2" t="s">
        <v>31</v>
      </c>
      <c r="E1633" s="13">
        <v>45991</v>
      </c>
      <c r="F1633" s="14" t="s">
        <v>368</v>
      </c>
      <c r="G1633" s="14" t="s">
        <v>171</v>
      </c>
      <c r="H1633" s="14" t="s">
        <v>91</v>
      </c>
      <c r="I1633" s="15">
        <v>1</v>
      </c>
      <c r="J1633" s="15">
        <v>20</v>
      </c>
      <c r="K1633" s="15">
        <v>204.85</v>
      </c>
      <c r="L1633" s="15">
        <v>4097</v>
      </c>
      <c r="M1633" s="15">
        <v>-315.06</v>
      </c>
      <c r="N1633" s="15">
        <v>0</v>
      </c>
      <c r="O1633" s="15">
        <v>491.65229900000003</v>
      </c>
      <c r="P1633" s="15">
        <v>4273.5922989999999</v>
      </c>
    </row>
    <row r="1634" spans="1:16" ht="15" x14ac:dyDescent="0.2">
      <c r="A1634" s="4" t="s">
        <v>579</v>
      </c>
      <c r="B1634" s="21" t="str">
        <f t="shared" si="50"/>
        <v>Nov-2025</v>
      </c>
      <c r="C1634" s="2" t="str">
        <f t="shared" si="51"/>
        <v>Q3</v>
      </c>
      <c r="D1634" s="2" t="s">
        <v>31</v>
      </c>
      <c r="E1634" s="13">
        <v>45991</v>
      </c>
      <c r="F1634" s="14" t="s">
        <v>368</v>
      </c>
      <c r="G1634" s="14" t="s">
        <v>171</v>
      </c>
      <c r="H1634" s="14" t="s">
        <v>90</v>
      </c>
      <c r="I1634" s="15">
        <v>1</v>
      </c>
      <c r="J1634" s="15">
        <v>20</v>
      </c>
      <c r="K1634" s="15">
        <v>204.85</v>
      </c>
      <c r="L1634" s="15">
        <v>4097</v>
      </c>
      <c r="M1634" s="15">
        <v>-315.06</v>
      </c>
      <c r="N1634" s="15">
        <v>0</v>
      </c>
      <c r="O1634" s="15">
        <v>491.65229900000003</v>
      </c>
      <c r="P1634" s="15">
        <v>4273.5922989999999</v>
      </c>
    </row>
    <row r="1635" spans="1:16" ht="15" x14ac:dyDescent="0.2">
      <c r="A1635" s="4" t="s">
        <v>586</v>
      </c>
      <c r="B1635" s="21" t="str">
        <f t="shared" si="50"/>
        <v>Nov-2025</v>
      </c>
      <c r="C1635" s="2" t="str">
        <f t="shared" si="51"/>
        <v>Q3</v>
      </c>
      <c r="D1635" s="2" t="s">
        <v>31</v>
      </c>
      <c r="E1635" s="13">
        <v>45991</v>
      </c>
      <c r="F1635" s="14" t="s">
        <v>368</v>
      </c>
      <c r="G1635" s="14" t="s">
        <v>171</v>
      </c>
      <c r="H1635" s="14" t="s">
        <v>78</v>
      </c>
      <c r="I1635" s="15">
        <v>2</v>
      </c>
      <c r="J1635" s="15">
        <v>1200</v>
      </c>
      <c r="K1635" s="15">
        <v>7.46</v>
      </c>
      <c r="L1635" s="15">
        <v>8952</v>
      </c>
      <c r="M1635" s="15">
        <v>-688.41</v>
      </c>
      <c r="N1635" s="15">
        <v>0</v>
      </c>
      <c r="O1635" s="15">
        <v>1074.2669150000002</v>
      </c>
      <c r="P1635" s="15">
        <v>9337.8569150000003</v>
      </c>
    </row>
    <row r="1636" spans="1:16" ht="15" x14ac:dyDescent="0.2">
      <c r="A1636" s="4" t="s">
        <v>581</v>
      </c>
      <c r="B1636" s="21" t="str">
        <f t="shared" si="50"/>
        <v>Nov-2025</v>
      </c>
      <c r="C1636" s="2" t="str">
        <f t="shared" si="51"/>
        <v>Q3</v>
      </c>
      <c r="D1636" s="2" t="s">
        <v>31</v>
      </c>
      <c r="E1636" s="13">
        <v>45991</v>
      </c>
      <c r="F1636" s="14" t="s">
        <v>368</v>
      </c>
      <c r="G1636" s="14" t="s">
        <v>171</v>
      </c>
      <c r="H1636" s="14" t="s">
        <v>66</v>
      </c>
      <c r="I1636" s="15">
        <v>2</v>
      </c>
      <c r="J1636" s="15">
        <v>48</v>
      </c>
      <c r="K1636" s="15">
        <v>141.54</v>
      </c>
      <c r="L1636" s="15">
        <v>6793.92</v>
      </c>
      <c r="M1636" s="15">
        <v>-522.45000000000005</v>
      </c>
      <c r="N1636" s="15">
        <v>0</v>
      </c>
      <c r="O1636" s="15">
        <v>815.29126299999996</v>
      </c>
      <c r="P1636" s="15">
        <v>7086.7612630000003</v>
      </c>
    </row>
    <row r="1637" spans="1:16" ht="15" x14ac:dyDescent="0.2">
      <c r="A1637" s="4" t="s">
        <v>589</v>
      </c>
      <c r="B1637" s="21" t="str">
        <f t="shared" si="50"/>
        <v>Nov-2025</v>
      </c>
      <c r="C1637" s="2" t="str">
        <f t="shared" si="51"/>
        <v>Q3</v>
      </c>
      <c r="D1637" s="2" t="s">
        <v>31</v>
      </c>
      <c r="E1637" s="13">
        <v>45991</v>
      </c>
      <c r="F1637" s="14" t="s">
        <v>369</v>
      </c>
      <c r="G1637" s="14" t="s">
        <v>15</v>
      </c>
      <c r="H1637" s="14" t="s">
        <v>105</v>
      </c>
      <c r="I1637" s="15">
        <v>2</v>
      </c>
      <c r="J1637" s="15">
        <v>60</v>
      </c>
      <c r="K1637" s="15">
        <v>316.58999999999997</v>
      </c>
      <c r="L1637" s="15">
        <v>18995.399999999998</v>
      </c>
      <c r="M1637" s="15">
        <v>-1460.75</v>
      </c>
      <c r="N1637" s="15">
        <v>0</v>
      </c>
      <c r="O1637" s="15">
        <v>2279.5049210000002</v>
      </c>
      <c r="P1637" s="15">
        <v>19814.154921000001</v>
      </c>
    </row>
    <row r="1638" spans="1:16" ht="15" x14ac:dyDescent="0.2">
      <c r="A1638" s="4" t="s">
        <v>581</v>
      </c>
      <c r="B1638" s="21" t="str">
        <f t="shared" si="50"/>
        <v>Nov-2025</v>
      </c>
      <c r="C1638" s="2" t="str">
        <f t="shared" si="51"/>
        <v>Q3</v>
      </c>
      <c r="D1638" s="2" t="s">
        <v>31</v>
      </c>
      <c r="E1638" s="13">
        <v>45991</v>
      </c>
      <c r="F1638" s="14" t="s">
        <v>369</v>
      </c>
      <c r="G1638" s="14" t="s">
        <v>15</v>
      </c>
      <c r="H1638" s="14" t="s">
        <v>97</v>
      </c>
      <c r="I1638" s="15">
        <v>1</v>
      </c>
      <c r="J1638" s="15">
        <v>40</v>
      </c>
      <c r="K1638" s="15">
        <v>74.489999999999995</v>
      </c>
      <c r="L1638" s="15">
        <v>2979.6</v>
      </c>
      <c r="M1638" s="15">
        <v>-229.13</v>
      </c>
      <c r="N1638" s="15">
        <v>0</v>
      </c>
      <c r="O1638" s="15">
        <v>357.56116600000001</v>
      </c>
      <c r="P1638" s="15">
        <v>3108.0311660000002</v>
      </c>
    </row>
    <row r="1639" spans="1:16" ht="15" x14ac:dyDescent="0.2">
      <c r="A1639" s="4" t="s">
        <v>592</v>
      </c>
      <c r="B1639" s="21" t="str">
        <f t="shared" si="50"/>
        <v>Nov-2025</v>
      </c>
      <c r="C1639" s="2" t="str">
        <f t="shared" si="51"/>
        <v>Q3</v>
      </c>
      <c r="D1639" s="2" t="s">
        <v>31</v>
      </c>
      <c r="E1639" s="13">
        <v>45991</v>
      </c>
      <c r="F1639" s="14" t="s">
        <v>369</v>
      </c>
      <c r="G1639" s="14" t="s">
        <v>15</v>
      </c>
      <c r="H1639" s="14" t="s">
        <v>115</v>
      </c>
      <c r="I1639" s="15">
        <v>5</v>
      </c>
      <c r="J1639" s="15">
        <v>250</v>
      </c>
      <c r="K1639" s="15">
        <v>89.39</v>
      </c>
      <c r="L1639" s="15">
        <v>22347.5</v>
      </c>
      <c r="M1639" s="15">
        <v>-1718.52</v>
      </c>
      <c r="N1639" s="15">
        <v>0</v>
      </c>
      <c r="O1639" s="15">
        <v>2681.767895</v>
      </c>
      <c r="P1639" s="15">
        <v>23310.747895</v>
      </c>
    </row>
    <row r="1640" spans="1:16" ht="15" x14ac:dyDescent="0.2">
      <c r="A1640" s="4" t="s">
        <v>582</v>
      </c>
      <c r="B1640" s="21" t="str">
        <f t="shared" si="50"/>
        <v>Nov-2025</v>
      </c>
      <c r="C1640" s="2" t="str">
        <f t="shared" si="51"/>
        <v>Q3</v>
      </c>
      <c r="D1640" s="2" t="s">
        <v>31</v>
      </c>
      <c r="E1640" s="13">
        <v>45991</v>
      </c>
      <c r="F1640" s="14" t="s">
        <v>369</v>
      </c>
      <c r="G1640" s="14" t="s">
        <v>15</v>
      </c>
      <c r="H1640" s="14" t="s">
        <v>77</v>
      </c>
      <c r="I1640" s="15">
        <v>2</v>
      </c>
      <c r="J1640" s="15">
        <v>48</v>
      </c>
      <c r="K1640" s="15">
        <v>204.85</v>
      </c>
      <c r="L1640" s="15">
        <v>9832.8000000000011</v>
      </c>
      <c r="M1640" s="15">
        <v>-756.14</v>
      </c>
      <c r="N1640" s="15">
        <v>0</v>
      </c>
      <c r="O1640" s="15">
        <v>1179.9660180000001</v>
      </c>
      <c r="P1640" s="15">
        <v>10256.626018000001</v>
      </c>
    </row>
    <row r="1641" spans="1:16" ht="15" x14ac:dyDescent="0.2">
      <c r="A1641" s="4" t="s">
        <v>592</v>
      </c>
      <c r="B1641" s="21" t="str">
        <f t="shared" si="50"/>
        <v>Nov-2025</v>
      </c>
      <c r="C1641" s="2" t="str">
        <f t="shared" si="51"/>
        <v>Q3</v>
      </c>
      <c r="D1641" s="2" t="s">
        <v>31</v>
      </c>
      <c r="E1641" s="13">
        <v>45991</v>
      </c>
      <c r="F1641" s="14" t="s">
        <v>370</v>
      </c>
      <c r="G1641" s="14" t="s">
        <v>16</v>
      </c>
      <c r="H1641" s="14" t="s">
        <v>115</v>
      </c>
      <c r="I1641" s="15">
        <v>3</v>
      </c>
      <c r="J1641" s="15">
        <v>150</v>
      </c>
      <c r="K1641" s="15">
        <v>89.39</v>
      </c>
      <c r="L1641" s="15">
        <v>13408.500000000002</v>
      </c>
      <c r="M1641" s="15">
        <v>-1031.1100000000001</v>
      </c>
      <c r="N1641" s="15">
        <v>0</v>
      </c>
      <c r="O1641" s="15">
        <v>1609.0594180000001</v>
      </c>
      <c r="P1641" s="15">
        <v>13986.449418</v>
      </c>
    </row>
    <row r="1642" spans="1:16" ht="15" x14ac:dyDescent="0.2">
      <c r="A1642" s="4" t="s">
        <v>586</v>
      </c>
      <c r="B1642" s="21" t="str">
        <f t="shared" si="50"/>
        <v>Nov-2025</v>
      </c>
      <c r="C1642" s="2" t="str">
        <f t="shared" si="51"/>
        <v>Q3</v>
      </c>
      <c r="D1642" s="2" t="s">
        <v>31</v>
      </c>
      <c r="E1642" s="13">
        <v>45991</v>
      </c>
      <c r="F1642" s="14" t="s">
        <v>370</v>
      </c>
      <c r="G1642" s="14" t="s">
        <v>16</v>
      </c>
      <c r="H1642" s="14" t="s">
        <v>103</v>
      </c>
      <c r="I1642" s="15">
        <v>1</v>
      </c>
      <c r="J1642" s="15">
        <v>600</v>
      </c>
      <c r="K1642" s="15">
        <v>7.46</v>
      </c>
      <c r="L1642" s="15">
        <v>4476</v>
      </c>
      <c r="M1642" s="15">
        <v>-344.2</v>
      </c>
      <c r="N1642" s="15">
        <v>0</v>
      </c>
      <c r="O1642" s="15">
        <v>537.13357199999996</v>
      </c>
      <c r="P1642" s="15">
        <v>4668.9335719999999</v>
      </c>
    </row>
    <row r="1643" spans="1:16" ht="15" x14ac:dyDescent="0.2">
      <c r="A1643" s="4" t="s">
        <v>582</v>
      </c>
      <c r="B1643" s="21" t="str">
        <f t="shared" si="50"/>
        <v>Nov-2025</v>
      </c>
      <c r="C1643" s="2" t="str">
        <f t="shared" si="51"/>
        <v>Q3</v>
      </c>
      <c r="D1643" s="2" t="s">
        <v>31</v>
      </c>
      <c r="E1643" s="13">
        <v>45991</v>
      </c>
      <c r="F1643" s="14" t="s">
        <v>370</v>
      </c>
      <c r="G1643" s="14" t="s">
        <v>16</v>
      </c>
      <c r="H1643" s="14" t="s">
        <v>77</v>
      </c>
      <c r="I1643" s="15">
        <v>1</v>
      </c>
      <c r="J1643" s="15">
        <v>24</v>
      </c>
      <c r="K1643" s="15">
        <v>204.85</v>
      </c>
      <c r="L1643" s="15">
        <v>4916.4000000000005</v>
      </c>
      <c r="M1643" s="15">
        <v>-378.07</v>
      </c>
      <c r="N1643" s="15">
        <v>0</v>
      </c>
      <c r="O1643" s="15">
        <v>589.98243000000002</v>
      </c>
      <c r="P1643" s="15">
        <v>5128.3124299999999</v>
      </c>
    </row>
    <row r="1644" spans="1:16" ht="15" x14ac:dyDescent="0.2">
      <c r="A1644" s="4" t="s">
        <v>581</v>
      </c>
      <c r="B1644" s="21" t="str">
        <f t="shared" si="50"/>
        <v>Nov-2025</v>
      </c>
      <c r="C1644" s="2" t="str">
        <f t="shared" si="51"/>
        <v>Q3</v>
      </c>
      <c r="D1644" s="2" t="s">
        <v>31</v>
      </c>
      <c r="E1644" s="13">
        <v>45991</v>
      </c>
      <c r="F1644" s="14" t="s">
        <v>370</v>
      </c>
      <c r="G1644" s="14" t="s">
        <v>16</v>
      </c>
      <c r="H1644" s="14" t="s">
        <v>96</v>
      </c>
      <c r="I1644" s="15">
        <v>2</v>
      </c>
      <c r="J1644" s="15">
        <v>80</v>
      </c>
      <c r="K1644" s="15">
        <v>74.489999999999995</v>
      </c>
      <c r="L1644" s="15">
        <v>5959.2</v>
      </c>
      <c r="M1644" s="15">
        <v>-458.26</v>
      </c>
      <c r="N1644" s="15">
        <v>0</v>
      </c>
      <c r="O1644" s="15">
        <v>715.12162999999998</v>
      </c>
      <c r="P1644" s="15">
        <v>6216.0616300000002</v>
      </c>
    </row>
    <row r="1645" spans="1:16" ht="15" x14ac:dyDescent="0.2">
      <c r="A1645" s="4" t="s">
        <v>589</v>
      </c>
      <c r="B1645" s="21" t="str">
        <f t="shared" si="50"/>
        <v>Nov-2025</v>
      </c>
      <c r="C1645" s="2" t="str">
        <f t="shared" si="51"/>
        <v>Q3</v>
      </c>
      <c r="D1645" s="2" t="s">
        <v>31</v>
      </c>
      <c r="E1645" s="13">
        <v>45991</v>
      </c>
      <c r="F1645" s="14" t="s">
        <v>370</v>
      </c>
      <c r="G1645" s="14" t="s">
        <v>16</v>
      </c>
      <c r="H1645" s="14" t="s">
        <v>105</v>
      </c>
      <c r="I1645" s="15">
        <v>1</v>
      </c>
      <c r="J1645" s="15">
        <v>30</v>
      </c>
      <c r="K1645" s="15">
        <v>316.58999999999997</v>
      </c>
      <c r="L1645" s="15">
        <v>9497.6999999999989</v>
      </c>
      <c r="M1645" s="15">
        <v>-730.36999999999989</v>
      </c>
      <c r="N1645" s="15">
        <v>0</v>
      </c>
      <c r="O1645" s="15">
        <v>1139.751992</v>
      </c>
      <c r="P1645" s="15">
        <v>9907.0819919999994</v>
      </c>
    </row>
    <row r="1646" spans="1:16" ht="15" x14ac:dyDescent="0.2">
      <c r="A1646" s="4" t="s">
        <v>586</v>
      </c>
      <c r="B1646" s="21" t="str">
        <f t="shared" si="50"/>
        <v>Nov-2025</v>
      </c>
      <c r="C1646" s="2" t="str">
        <f t="shared" si="51"/>
        <v>Q3</v>
      </c>
      <c r="D1646" s="2" t="s">
        <v>31</v>
      </c>
      <c r="E1646" s="13">
        <v>45991</v>
      </c>
      <c r="F1646" s="14" t="s">
        <v>370</v>
      </c>
      <c r="G1646" s="14" t="s">
        <v>16</v>
      </c>
      <c r="H1646" s="14" t="s">
        <v>76</v>
      </c>
      <c r="I1646" s="15">
        <v>1</v>
      </c>
      <c r="J1646" s="15">
        <v>240</v>
      </c>
      <c r="K1646" s="15">
        <v>14.9</v>
      </c>
      <c r="L1646" s="15">
        <v>3576</v>
      </c>
      <c r="M1646" s="15">
        <v>-274.99</v>
      </c>
      <c r="N1646" s="15">
        <v>0</v>
      </c>
      <c r="O1646" s="15">
        <v>429.13095800000002</v>
      </c>
      <c r="P1646" s="15">
        <v>3730.140958</v>
      </c>
    </row>
    <row r="1647" spans="1:16" ht="15" x14ac:dyDescent="0.2">
      <c r="A1647" s="4" t="s">
        <v>581</v>
      </c>
      <c r="B1647" s="21" t="str">
        <f t="shared" si="50"/>
        <v>Nov-2025</v>
      </c>
      <c r="C1647" s="2" t="str">
        <f t="shared" si="51"/>
        <v>Q3</v>
      </c>
      <c r="D1647" s="2" t="s">
        <v>31</v>
      </c>
      <c r="E1647" s="13">
        <v>45991</v>
      </c>
      <c r="F1647" s="14" t="s">
        <v>371</v>
      </c>
      <c r="G1647" s="14" t="s">
        <v>130</v>
      </c>
      <c r="H1647" s="14" t="s">
        <v>96</v>
      </c>
      <c r="I1647" s="15">
        <v>50</v>
      </c>
      <c r="J1647" s="15">
        <v>2000</v>
      </c>
      <c r="K1647" s="15">
        <v>74.489999999999995</v>
      </c>
      <c r="L1647" s="15">
        <v>148980</v>
      </c>
      <c r="M1647" s="15">
        <v>-11456.560000000001</v>
      </c>
      <c r="N1647" s="15">
        <v>0</v>
      </c>
      <c r="O1647" s="15">
        <v>17878.047134</v>
      </c>
      <c r="P1647" s="15">
        <v>155401.487134</v>
      </c>
    </row>
    <row r="1648" spans="1:16" ht="15" x14ac:dyDescent="0.2">
      <c r="A1648" s="4" t="s">
        <v>592</v>
      </c>
      <c r="B1648" s="21" t="str">
        <f t="shared" si="50"/>
        <v>Nov-2025</v>
      </c>
      <c r="C1648" s="2" t="str">
        <f t="shared" si="51"/>
        <v>Q3</v>
      </c>
      <c r="D1648" s="2" t="s">
        <v>31</v>
      </c>
      <c r="E1648" s="13">
        <v>45991</v>
      </c>
      <c r="F1648" s="14" t="s">
        <v>371</v>
      </c>
      <c r="G1648" s="14" t="s">
        <v>130</v>
      </c>
      <c r="H1648" s="14" t="s">
        <v>115</v>
      </c>
      <c r="I1648" s="15">
        <v>50</v>
      </c>
      <c r="J1648" s="15">
        <v>2500</v>
      </c>
      <c r="K1648" s="15">
        <v>89.39</v>
      </c>
      <c r="L1648" s="15">
        <v>223475</v>
      </c>
      <c r="M1648" s="15">
        <v>-17185.23</v>
      </c>
      <c r="N1648" s="15">
        <v>0</v>
      </c>
      <c r="O1648" s="15">
        <v>26817.670000999999</v>
      </c>
      <c r="P1648" s="15">
        <v>233107.44000100001</v>
      </c>
    </row>
    <row r="1649" spans="1:16" ht="15" x14ac:dyDescent="0.2">
      <c r="A1649" s="4" t="s">
        <v>582</v>
      </c>
      <c r="B1649" s="21" t="str">
        <f t="shared" si="50"/>
        <v>Nov-2025</v>
      </c>
      <c r="C1649" s="2" t="str">
        <f t="shared" si="51"/>
        <v>Q3</v>
      </c>
      <c r="D1649" s="2" t="s">
        <v>31</v>
      </c>
      <c r="E1649" s="13">
        <v>45991</v>
      </c>
      <c r="F1649" s="14" t="s">
        <v>371</v>
      </c>
      <c r="G1649" s="14" t="s">
        <v>130</v>
      </c>
      <c r="H1649" s="14" t="s">
        <v>77</v>
      </c>
      <c r="I1649" s="15">
        <v>2</v>
      </c>
      <c r="J1649" s="15">
        <v>48</v>
      </c>
      <c r="K1649" s="15">
        <v>204.85</v>
      </c>
      <c r="L1649" s="15">
        <v>9832.8000000000011</v>
      </c>
      <c r="M1649" s="15">
        <v>-756.14</v>
      </c>
      <c r="N1649" s="15">
        <v>0</v>
      </c>
      <c r="O1649" s="15">
        <v>1179.965796</v>
      </c>
      <c r="P1649" s="15">
        <v>10256.625796</v>
      </c>
    </row>
    <row r="1650" spans="1:16" ht="15" x14ac:dyDescent="0.2">
      <c r="A1650" s="4" t="s">
        <v>581</v>
      </c>
      <c r="B1650" s="21" t="str">
        <f t="shared" si="50"/>
        <v>Nov-2025</v>
      </c>
      <c r="C1650" s="2" t="str">
        <f t="shared" si="51"/>
        <v>Q3</v>
      </c>
      <c r="D1650" s="2" t="s">
        <v>31</v>
      </c>
      <c r="E1650" s="13">
        <v>45991</v>
      </c>
      <c r="F1650" s="14" t="s">
        <v>371</v>
      </c>
      <c r="G1650" s="14" t="s">
        <v>130</v>
      </c>
      <c r="H1650" s="14" t="s">
        <v>97</v>
      </c>
      <c r="I1650" s="15">
        <v>15</v>
      </c>
      <c r="J1650" s="15">
        <v>600</v>
      </c>
      <c r="K1650" s="15">
        <v>74.489999999999995</v>
      </c>
      <c r="L1650" s="15">
        <v>44694</v>
      </c>
      <c r="M1650" s="15">
        <v>-3436.97</v>
      </c>
      <c r="N1650" s="15">
        <v>0</v>
      </c>
      <c r="O1650" s="15">
        <v>5363.4138800000001</v>
      </c>
      <c r="P1650" s="15">
        <v>46620.443879999999</v>
      </c>
    </row>
    <row r="1651" spans="1:16" ht="15" x14ac:dyDescent="0.2">
      <c r="A1651" s="4" t="s">
        <v>593</v>
      </c>
      <c r="B1651" s="21" t="str">
        <f t="shared" si="50"/>
        <v>Nov-2025</v>
      </c>
      <c r="C1651" s="2" t="str">
        <f t="shared" si="51"/>
        <v>Q3</v>
      </c>
      <c r="D1651" s="2" t="s">
        <v>31</v>
      </c>
      <c r="E1651" s="13">
        <v>45991</v>
      </c>
      <c r="F1651" s="14" t="s">
        <v>371</v>
      </c>
      <c r="G1651" s="14" t="s">
        <v>130</v>
      </c>
      <c r="H1651" s="14" t="s">
        <v>117</v>
      </c>
      <c r="I1651" s="15">
        <v>60</v>
      </c>
      <c r="J1651" s="15">
        <v>240</v>
      </c>
      <c r="K1651" s="15">
        <v>595.92999999999995</v>
      </c>
      <c r="L1651" s="15">
        <v>143023.19999999998</v>
      </c>
      <c r="M1651" s="15">
        <v>-10998.48</v>
      </c>
      <c r="N1651" s="15">
        <v>0</v>
      </c>
      <c r="O1651" s="15">
        <v>17163.213537</v>
      </c>
      <c r="P1651" s="15">
        <v>149187.933537</v>
      </c>
    </row>
    <row r="1652" spans="1:16" ht="15" x14ac:dyDescent="0.2">
      <c r="A1652" s="4" t="s">
        <v>589</v>
      </c>
      <c r="B1652" s="21" t="str">
        <f t="shared" si="50"/>
        <v>Nov-2025</v>
      </c>
      <c r="C1652" s="2" t="str">
        <f t="shared" si="51"/>
        <v>Q3</v>
      </c>
      <c r="D1652" s="2" t="s">
        <v>31</v>
      </c>
      <c r="E1652" s="13">
        <v>45991</v>
      </c>
      <c r="F1652" s="14" t="s">
        <v>371</v>
      </c>
      <c r="G1652" s="14" t="s">
        <v>130</v>
      </c>
      <c r="H1652" s="14" t="s">
        <v>105</v>
      </c>
      <c r="I1652" s="15">
        <v>20</v>
      </c>
      <c r="J1652" s="15">
        <v>600</v>
      </c>
      <c r="K1652" s="15">
        <v>316.58999999999997</v>
      </c>
      <c r="L1652" s="15">
        <v>189954</v>
      </c>
      <c r="M1652" s="15">
        <v>-14607.46</v>
      </c>
      <c r="N1652" s="15">
        <v>0</v>
      </c>
      <c r="O1652" s="15">
        <v>22795.050115999999</v>
      </c>
      <c r="P1652" s="15">
        <v>198141.59011600001</v>
      </c>
    </row>
    <row r="1653" spans="1:16" ht="15" x14ac:dyDescent="0.2">
      <c r="A1653" s="4" t="s">
        <v>580</v>
      </c>
      <c r="B1653" s="21" t="str">
        <f t="shared" si="50"/>
        <v>Nov-2025</v>
      </c>
      <c r="C1653" s="2" t="str">
        <f t="shared" si="51"/>
        <v>Q3</v>
      </c>
      <c r="D1653" s="2" t="s">
        <v>31</v>
      </c>
      <c r="E1653" s="13">
        <v>45991</v>
      </c>
      <c r="F1653" s="14" t="s">
        <v>371</v>
      </c>
      <c r="G1653" s="14" t="s">
        <v>130</v>
      </c>
      <c r="H1653" s="14" t="s">
        <v>89</v>
      </c>
      <c r="I1653" s="15">
        <v>50</v>
      </c>
      <c r="J1653" s="15">
        <v>3500</v>
      </c>
      <c r="K1653" s="15">
        <v>37.25</v>
      </c>
      <c r="L1653" s="15">
        <v>130375</v>
      </c>
      <c r="M1653" s="15">
        <v>-10025.84</v>
      </c>
      <c r="N1653" s="15">
        <v>0</v>
      </c>
      <c r="O1653" s="15">
        <v>15645.390742</v>
      </c>
      <c r="P1653" s="15">
        <v>135994.55074199999</v>
      </c>
    </row>
    <row r="1654" spans="1:16" ht="15" x14ac:dyDescent="0.2">
      <c r="A1654" s="4" t="s">
        <v>584</v>
      </c>
      <c r="B1654" s="21" t="str">
        <f t="shared" si="50"/>
        <v>Nov-2025</v>
      </c>
      <c r="C1654" s="2" t="str">
        <f t="shared" si="51"/>
        <v>Q3</v>
      </c>
      <c r="D1654" s="2" t="s">
        <v>31</v>
      </c>
      <c r="E1654" s="13">
        <v>45991</v>
      </c>
      <c r="F1654" s="14" t="s">
        <v>371</v>
      </c>
      <c r="G1654" s="14" t="s">
        <v>130</v>
      </c>
      <c r="H1654" s="14" t="s">
        <v>99</v>
      </c>
      <c r="I1654" s="15">
        <v>5</v>
      </c>
      <c r="J1654" s="15">
        <v>200</v>
      </c>
      <c r="K1654" s="15">
        <v>81.94</v>
      </c>
      <c r="L1654" s="15">
        <v>16388</v>
      </c>
      <c r="M1654" s="15">
        <v>-1260.24</v>
      </c>
      <c r="N1654" s="15">
        <v>0</v>
      </c>
      <c r="O1654" s="15">
        <v>1966.6087930000001</v>
      </c>
      <c r="P1654" s="15">
        <v>17094.368793000001</v>
      </c>
    </row>
    <row r="1655" spans="1:16" ht="15" x14ac:dyDescent="0.2">
      <c r="A1655" s="4" t="s">
        <v>586</v>
      </c>
      <c r="B1655" s="21" t="str">
        <f t="shared" si="50"/>
        <v>Nov-2025</v>
      </c>
      <c r="C1655" s="2" t="str">
        <f t="shared" si="51"/>
        <v>Q3</v>
      </c>
      <c r="D1655" s="2" t="s">
        <v>31</v>
      </c>
      <c r="E1655" s="13">
        <v>45991</v>
      </c>
      <c r="F1655" s="14" t="s">
        <v>372</v>
      </c>
      <c r="G1655" s="14" t="s">
        <v>18</v>
      </c>
      <c r="H1655" s="14" t="s">
        <v>103</v>
      </c>
      <c r="I1655" s="15">
        <v>1</v>
      </c>
      <c r="J1655" s="15">
        <v>600</v>
      </c>
      <c r="K1655" s="15">
        <v>7.46</v>
      </c>
      <c r="L1655" s="15">
        <v>4476</v>
      </c>
      <c r="M1655" s="15">
        <v>-344.2</v>
      </c>
      <c r="N1655" s="15">
        <v>0</v>
      </c>
      <c r="O1655" s="15">
        <v>537.134005</v>
      </c>
      <c r="P1655" s="15">
        <v>4668.9340050000001</v>
      </c>
    </row>
    <row r="1656" spans="1:16" ht="15" x14ac:dyDescent="0.2">
      <c r="A1656" s="4" t="s">
        <v>576</v>
      </c>
      <c r="B1656" s="21" t="str">
        <f t="shared" si="50"/>
        <v>Nov-2025</v>
      </c>
      <c r="C1656" s="2" t="str">
        <f t="shared" si="51"/>
        <v>Q3</v>
      </c>
      <c r="D1656" s="2" t="s">
        <v>31</v>
      </c>
      <c r="E1656" s="13">
        <v>45991</v>
      </c>
      <c r="F1656" s="14" t="s">
        <v>372</v>
      </c>
      <c r="G1656" s="14" t="s">
        <v>18</v>
      </c>
      <c r="H1656" s="14" t="s">
        <v>124</v>
      </c>
      <c r="I1656" s="15">
        <v>1</v>
      </c>
      <c r="J1656" s="15">
        <v>20</v>
      </c>
      <c r="K1656" s="15">
        <v>175.06</v>
      </c>
      <c r="L1656" s="15">
        <v>3501.2</v>
      </c>
      <c r="M1656" s="15">
        <v>-269.24</v>
      </c>
      <c r="N1656" s="15">
        <v>0</v>
      </c>
      <c r="O1656" s="15">
        <v>420.15480399999996</v>
      </c>
      <c r="P1656" s="15">
        <v>3652.1148039999998</v>
      </c>
    </row>
    <row r="1657" spans="1:16" ht="15" x14ac:dyDescent="0.2">
      <c r="A1657" s="4" t="s">
        <v>592</v>
      </c>
      <c r="B1657" s="21" t="str">
        <f t="shared" si="50"/>
        <v>Nov-2025</v>
      </c>
      <c r="C1657" s="2" t="str">
        <f t="shared" si="51"/>
        <v>Q3</v>
      </c>
      <c r="D1657" s="2" t="s">
        <v>31</v>
      </c>
      <c r="E1657" s="13">
        <v>45991</v>
      </c>
      <c r="F1657" s="14" t="s">
        <v>372</v>
      </c>
      <c r="G1657" s="14" t="s">
        <v>18</v>
      </c>
      <c r="H1657" s="14" t="s">
        <v>115</v>
      </c>
      <c r="I1657" s="15">
        <v>2</v>
      </c>
      <c r="J1657" s="15">
        <v>100</v>
      </c>
      <c r="K1657" s="15">
        <v>89.39</v>
      </c>
      <c r="L1657" s="15">
        <v>8939</v>
      </c>
      <c r="M1657" s="15">
        <v>-687.41</v>
      </c>
      <c r="N1657" s="15">
        <v>0</v>
      </c>
      <c r="O1657" s="15">
        <v>1072.706711</v>
      </c>
      <c r="P1657" s="15">
        <v>9324.2967110000009</v>
      </c>
    </row>
    <row r="1658" spans="1:16" ht="15" x14ac:dyDescent="0.2">
      <c r="A1658" s="4" t="s">
        <v>573</v>
      </c>
      <c r="B1658" s="21" t="str">
        <f t="shared" si="50"/>
        <v>Nov-2025</v>
      </c>
      <c r="C1658" s="2" t="str">
        <f t="shared" si="51"/>
        <v>Q3</v>
      </c>
      <c r="D1658" s="2" t="s">
        <v>31</v>
      </c>
      <c r="E1658" s="13">
        <v>45991</v>
      </c>
      <c r="F1658" s="14" t="s">
        <v>372</v>
      </c>
      <c r="G1658" s="14" t="s">
        <v>18</v>
      </c>
      <c r="H1658" s="14" t="s">
        <v>111</v>
      </c>
      <c r="I1658" s="15">
        <v>1</v>
      </c>
      <c r="J1658" s="15">
        <v>40</v>
      </c>
      <c r="K1658" s="15">
        <v>111.74</v>
      </c>
      <c r="L1658" s="15">
        <v>4469.6000000000004</v>
      </c>
      <c r="M1658" s="15">
        <v>-343.71</v>
      </c>
      <c r="N1658" s="15">
        <v>0</v>
      </c>
      <c r="O1658" s="15">
        <v>536.36570500000005</v>
      </c>
      <c r="P1658" s="15">
        <v>4662.2557049999996</v>
      </c>
    </row>
    <row r="1659" spans="1:16" ht="15" x14ac:dyDescent="0.2">
      <c r="A1659" s="4" t="s">
        <v>581</v>
      </c>
      <c r="B1659" s="21" t="str">
        <f t="shared" si="50"/>
        <v>Nov-2025</v>
      </c>
      <c r="C1659" s="2" t="str">
        <f t="shared" si="51"/>
        <v>Q3</v>
      </c>
      <c r="D1659" s="2" t="s">
        <v>31</v>
      </c>
      <c r="E1659" s="13">
        <v>45991</v>
      </c>
      <c r="F1659" s="14" t="s">
        <v>372</v>
      </c>
      <c r="G1659" s="14" t="s">
        <v>18</v>
      </c>
      <c r="H1659" s="14" t="s">
        <v>66</v>
      </c>
      <c r="I1659" s="15">
        <v>2</v>
      </c>
      <c r="J1659" s="15">
        <v>48</v>
      </c>
      <c r="K1659" s="15">
        <v>141.54</v>
      </c>
      <c r="L1659" s="15">
        <v>6793.92</v>
      </c>
      <c r="M1659" s="15">
        <v>-522.45000000000005</v>
      </c>
      <c r="N1659" s="15">
        <v>0</v>
      </c>
      <c r="O1659" s="15">
        <v>815.29110800000001</v>
      </c>
      <c r="P1659" s="15">
        <v>7086.7611079999997</v>
      </c>
    </row>
    <row r="1660" spans="1:16" ht="15" x14ac:dyDescent="0.2">
      <c r="A1660" s="4" t="s">
        <v>583</v>
      </c>
      <c r="B1660" s="21" t="str">
        <f t="shared" si="50"/>
        <v>Nov-2025</v>
      </c>
      <c r="C1660" s="2" t="str">
        <f t="shared" si="51"/>
        <v>Q3</v>
      </c>
      <c r="D1660" s="2" t="s">
        <v>31</v>
      </c>
      <c r="E1660" s="13">
        <v>45991</v>
      </c>
      <c r="F1660" s="14" t="s">
        <v>372</v>
      </c>
      <c r="G1660" s="14" t="s">
        <v>18</v>
      </c>
      <c r="H1660" s="14" t="s">
        <v>113</v>
      </c>
      <c r="I1660" s="15">
        <v>1</v>
      </c>
      <c r="J1660" s="15">
        <v>15</v>
      </c>
      <c r="K1660" s="15">
        <v>260.72000000000003</v>
      </c>
      <c r="L1660" s="15">
        <v>3910.8</v>
      </c>
      <c r="M1660" s="15">
        <v>-300.74</v>
      </c>
      <c r="N1660" s="15">
        <v>0</v>
      </c>
      <c r="O1660" s="15">
        <v>469.30780500000003</v>
      </c>
      <c r="P1660" s="15">
        <v>4079.3678049999999</v>
      </c>
    </row>
    <row r="1661" spans="1:16" ht="15" x14ac:dyDescent="0.2">
      <c r="A1661" s="4" t="s">
        <v>586</v>
      </c>
      <c r="B1661" s="21" t="str">
        <f t="shared" si="50"/>
        <v>Nov-2025</v>
      </c>
      <c r="C1661" s="2" t="str">
        <f t="shared" si="51"/>
        <v>Q3</v>
      </c>
      <c r="D1661" s="2" t="s">
        <v>31</v>
      </c>
      <c r="E1661" s="13">
        <v>45991</v>
      </c>
      <c r="F1661" s="14" t="s">
        <v>372</v>
      </c>
      <c r="G1661" s="14" t="s">
        <v>18</v>
      </c>
      <c r="H1661" s="14" t="s">
        <v>78</v>
      </c>
      <c r="I1661" s="15">
        <v>1</v>
      </c>
      <c r="J1661" s="15">
        <v>600</v>
      </c>
      <c r="K1661" s="15">
        <v>7.46</v>
      </c>
      <c r="L1661" s="15">
        <v>4476</v>
      </c>
      <c r="M1661" s="15">
        <v>-344.2</v>
      </c>
      <c r="N1661" s="15">
        <v>0</v>
      </c>
      <c r="O1661" s="15">
        <v>537.134005</v>
      </c>
      <c r="P1661" s="15">
        <v>4668.9340050000001</v>
      </c>
    </row>
    <row r="1662" spans="1:16" ht="15" x14ac:dyDescent="0.2">
      <c r="A1662" s="4" t="s">
        <v>581</v>
      </c>
      <c r="B1662" s="21" t="str">
        <f t="shared" si="50"/>
        <v>Nov-2025</v>
      </c>
      <c r="C1662" s="2" t="str">
        <f t="shared" si="51"/>
        <v>Q3</v>
      </c>
      <c r="D1662" s="2" t="s">
        <v>31</v>
      </c>
      <c r="E1662" s="13">
        <v>45991</v>
      </c>
      <c r="F1662" s="14" t="s">
        <v>372</v>
      </c>
      <c r="G1662" s="14" t="s">
        <v>18</v>
      </c>
      <c r="H1662" s="14" t="s">
        <v>125</v>
      </c>
      <c r="I1662" s="15">
        <v>1</v>
      </c>
      <c r="J1662" s="15">
        <v>800</v>
      </c>
      <c r="K1662" s="15">
        <v>7.46</v>
      </c>
      <c r="L1662" s="15">
        <v>5968</v>
      </c>
      <c r="M1662" s="15">
        <v>-458.94</v>
      </c>
      <c r="N1662" s="15">
        <v>0</v>
      </c>
      <c r="O1662" s="15">
        <v>716.17780700000003</v>
      </c>
      <c r="P1662" s="15">
        <v>6225.2378070000004</v>
      </c>
    </row>
    <row r="1663" spans="1:16" ht="15" x14ac:dyDescent="0.2">
      <c r="A1663" s="4" t="s">
        <v>573</v>
      </c>
      <c r="B1663" s="21" t="str">
        <f t="shared" si="50"/>
        <v>Nov-2025</v>
      </c>
      <c r="C1663" s="2" t="str">
        <f t="shared" si="51"/>
        <v>Q3</v>
      </c>
      <c r="D1663" s="2" t="s">
        <v>31</v>
      </c>
      <c r="E1663" s="13">
        <v>45991</v>
      </c>
      <c r="F1663" s="14" t="s">
        <v>372</v>
      </c>
      <c r="G1663" s="14" t="s">
        <v>18</v>
      </c>
      <c r="H1663" s="14" t="s">
        <v>138</v>
      </c>
      <c r="I1663" s="15">
        <v>1</v>
      </c>
      <c r="J1663" s="15">
        <v>40</v>
      </c>
      <c r="K1663" s="15">
        <v>111.74</v>
      </c>
      <c r="L1663" s="15">
        <v>4469.6000000000004</v>
      </c>
      <c r="M1663" s="15">
        <v>-343.71</v>
      </c>
      <c r="N1663" s="15">
        <v>0</v>
      </c>
      <c r="O1663" s="15">
        <v>536.36570500000005</v>
      </c>
      <c r="P1663" s="15">
        <v>4662.2557049999996</v>
      </c>
    </row>
    <row r="1664" spans="1:16" ht="15" x14ac:dyDescent="0.2">
      <c r="A1664" s="4" t="s">
        <v>581</v>
      </c>
      <c r="B1664" s="21" t="str">
        <f t="shared" si="50"/>
        <v>Nov-2025</v>
      </c>
      <c r="C1664" s="2" t="str">
        <f t="shared" si="51"/>
        <v>Q3</v>
      </c>
      <c r="D1664" s="2" t="s">
        <v>31</v>
      </c>
      <c r="E1664" s="13">
        <v>45991</v>
      </c>
      <c r="F1664" s="14" t="s">
        <v>372</v>
      </c>
      <c r="G1664" s="14" t="s">
        <v>18</v>
      </c>
      <c r="H1664" s="14" t="s">
        <v>96</v>
      </c>
      <c r="I1664" s="15">
        <v>1</v>
      </c>
      <c r="J1664" s="15">
        <v>40</v>
      </c>
      <c r="K1664" s="15">
        <v>74.489999999999995</v>
      </c>
      <c r="L1664" s="15">
        <v>2979.6</v>
      </c>
      <c r="M1664" s="15">
        <v>-229.13</v>
      </c>
      <c r="N1664" s="15">
        <v>0</v>
      </c>
      <c r="O1664" s="15">
        <v>357.561104</v>
      </c>
      <c r="P1664" s="15">
        <v>3108.0311040000001</v>
      </c>
    </row>
    <row r="1665" spans="1:16" ht="15" x14ac:dyDescent="0.2">
      <c r="A1665" s="4" t="s">
        <v>576</v>
      </c>
      <c r="B1665" s="21" t="str">
        <f t="shared" si="50"/>
        <v>Nov-2025</v>
      </c>
      <c r="C1665" s="2" t="str">
        <f t="shared" si="51"/>
        <v>Q3</v>
      </c>
      <c r="D1665" s="2" t="s">
        <v>31</v>
      </c>
      <c r="E1665" s="13">
        <v>45991</v>
      </c>
      <c r="F1665" s="14" t="s">
        <v>372</v>
      </c>
      <c r="G1665" s="14" t="s">
        <v>18</v>
      </c>
      <c r="H1665" s="14" t="s">
        <v>123</v>
      </c>
      <c r="I1665" s="15">
        <v>1</v>
      </c>
      <c r="J1665" s="15">
        <v>20</v>
      </c>
      <c r="K1665" s="15">
        <v>175.06</v>
      </c>
      <c r="L1665" s="15">
        <v>3501.2</v>
      </c>
      <c r="M1665" s="15">
        <v>-269.24</v>
      </c>
      <c r="N1665" s="15">
        <v>0</v>
      </c>
      <c r="O1665" s="15">
        <v>420.15480399999996</v>
      </c>
      <c r="P1665" s="15">
        <v>3652.1148039999998</v>
      </c>
    </row>
    <row r="1666" spans="1:16" ht="15" x14ac:dyDescent="0.2">
      <c r="A1666" s="4" t="s">
        <v>585</v>
      </c>
      <c r="B1666" s="21" t="str">
        <f t="shared" si="50"/>
        <v>Nov-2025</v>
      </c>
      <c r="C1666" s="2" t="str">
        <f t="shared" si="51"/>
        <v>Q3</v>
      </c>
      <c r="D1666" s="2" t="s">
        <v>31</v>
      </c>
      <c r="E1666" s="13">
        <v>45991</v>
      </c>
      <c r="F1666" s="14" t="s">
        <v>372</v>
      </c>
      <c r="G1666" s="14" t="s">
        <v>18</v>
      </c>
      <c r="H1666" s="14" t="s">
        <v>180</v>
      </c>
      <c r="I1666" s="15">
        <v>1</v>
      </c>
      <c r="J1666" s="15">
        <v>1000</v>
      </c>
      <c r="K1666" s="15">
        <v>1.86</v>
      </c>
      <c r="L1666" s="15">
        <v>1860</v>
      </c>
      <c r="M1666" s="15">
        <v>-143.03</v>
      </c>
      <c r="N1666" s="15">
        <v>0</v>
      </c>
      <c r="O1666" s="15">
        <v>223.20610200000002</v>
      </c>
      <c r="P1666" s="15">
        <v>1940.1761019999999</v>
      </c>
    </row>
    <row r="1667" spans="1:16" ht="15" x14ac:dyDescent="0.2">
      <c r="A1667" s="4" t="s">
        <v>586</v>
      </c>
      <c r="B1667" s="21" t="str">
        <f t="shared" ref="B1667:B1730" si="52">+TEXT(E1667,"MMM-yyy")</f>
        <v>Nov-2025</v>
      </c>
      <c r="C1667" s="2" t="str">
        <f t="shared" ref="C1667:C1730" si="53">"Q" &amp; CHOOSE(MONTH(E1667),4,4,4,1,1,1,2,2,2,3,3,3)</f>
        <v>Q3</v>
      </c>
      <c r="D1667" s="2" t="s">
        <v>31</v>
      </c>
      <c r="E1667" s="13">
        <v>45991</v>
      </c>
      <c r="F1667" s="14" t="s">
        <v>372</v>
      </c>
      <c r="G1667" s="14" t="s">
        <v>18</v>
      </c>
      <c r="H1667" s="14" t="s">
        <v>114</v>
      </c>
      <c r="I1667" s="15">
        <v>1</v>
      </c>
      <c r="J1667" s="15">
        <v>240</v>
      </c>
      <c r="K1667" s="15">
        <v>14.9</v>
      </c>
      <c r="L1667" s="15">
        <v>3576</v>
      </c>
      <c r="M1667" s="15">
        <v>-274.99</v>
      </c>
      <c r="N1667" s="15">
        <v>0</v>
      </c>
      <c r="O1667" s="15">
        <v>429.13130399999994</v>
      </c>
      <c r="P1667" s="15">
        <v>3730.1413040000002</v>
      </c>
    </row>
    <row r="1668" spans="1:16" ht="15" x14ac:dyDescent="0.2">
      <c r="A1668" s="4" t="s">
        <v>582</v>
      </c>
      <c r="B1668" s="21" t="str">
        <f t="shared" si="52"/>
        <v>Nov-2025</v>
      </c>
      <c r="C1668" s="2" t="str">
        <f t="shared" si="53"/>
        <v>Q3</v>
      </c>
      <c r="D1668" s="2" t="s">
        <v>31</v>
      </c>
      <c r="E1668" s="13">
        <v>45991</v>
      </c>
      <c r="F1668" s="14" t="s">
        <v>372</v>
      </c>
      <c r="G1668" s="14" t="s">
        <v>18</v>
      </c>
      <c r="H1668" s="14" t="s">
        <v>77</v>
      </c>
      <c r="I1668" s="15">
        <v>1</v>
      </c>
      <c r="J1668" s="15">
        <v>24</v>
      </c>
      <c r="K1668" s="15">
        <v>204.85</v>
      </c>
      <c r="L1668" s="15">
        <v>4916.4000000000005</v>
      </c>
      <c r="M1668" s="15">
        <v>-378.07</v>
      </c>
      <c r="N1668" s="15">
        <v>0</v>
      </c>
      <c r="O1668" s="15">
        <v>589.98290600000007</v>
      </c>
      <c r="P1668" s="15">
        <v>5128.3129060000001</v>
      </c>
    </row>
    <row r="1669" spans="1:16" ht="15" x14ac:dyDescent="0.2">
      <c r="A1669" s="4" t="s">
        <v>580</v>
      </c>
      <c r="B1669" s="21" t="str">
        <f t="shared" si="52"/>
        <v>Nov-2025</v>
      </c>
      <c r="C1669" s="2" t="str">
        <f t="shared" si="53"/>
        <v>Q3</v>
      </c>
      <c r="D1669" s="2" t="s">
        <v>31</v>
      </c>
      <c r="E1669" s="13">
        <v>45991</v>
      </c>
      <c r="F1669" s="14" t="s">
        <v>372</v>
      </c>
      <c r="G1669" s="14" t="s">
        <v>18</v>
      </c>
      <c r="H1669" s="14" t="s">
        <v>89</v>
      </c>
      <c r="I1669" s="15">
        <v>5</v>
      </c>
      <c r="J1669" s="15">
        <v>350</v>
      </c>
      <c r="K1669" s="15">
        <v>37.25</v>
      </c>
      <c r="L1669" s="15">
        <v>13037.5</v>
      </c>
      <c r="M1669" s="15">
        <v>-1002.58</v>
      </c>
      <c r="N1669" s="15">
        <v>0</v>
      </c>
      <c r="O1669" s="15">
        <v>1564.539616</v>
      </c>
      <c r="P1669" s="15">
        <v>13599.459616</v>
      </c>
    </row>
    <row r="1670" spans="1:16" ht="15" x14ac:dyDescent="0.2">
      <c r="A1670" s="4" t="s">
        <v>586</v>
      </c>
      <c r="B1670" s="21" t="str">
        <f t="shared" si="52"/>
        <v>Nov-2025</v>
      </c>
      <c r="C1670" s="2" t="str">
        <f t="shared" si="53"/>
        <v>Q3</v>
      </c>
      <c r="D1670" s="2" t="s">
        <v>31</v>
      </c>
      <c r="E1670" s="13">
        <v>45991</v>
      </c>
      <c r="F1670" s="14" t="s">
        <v>372</v>
      </c>
      <c r="G1670" s="14" t="s">
        <v>18</v>
      </c>
      <c r="H1670" s="14" t="s">
        <v>76</v>
      </c>
      <c r="I1670" s="15">
        <v>1</v>
      </c>
      <c r="J1670" s="15">
        <v>240</v>
      </c>
      <c r="K1670" s="15">
        <v>14.9</v>
      </c>
      <c r="L1670" s="15">
        <v>3576</v>
      </c>
      <c r="M1670" s="15">
        <v>-274.99</v>
      </c>
      <c r="N1670" s="15">
        <v>0</v>
      </c>
      <c r="O1670" s="15">
        <v>429.13130399999994</v>
      </c>
      <c r="P1670" s="15">
        <v>3730.1413040000002</v>
      </c>
    </row>
    <row r="1671" spans="1:16" ht="15" x14ac:dyDescent="0.2">
      <c r="A1671" s="4" t="s">
        <v>593</v>
      </c>
      <c r="B1671" s="21" t="str">
        <f t="shared" si="52"/>
        <v>Nov-2025</v>
      </c>
      <c r="C1671" s="2" t="str">
        <f t="shared" si="53"/>
        <v>Q3</v>
      </c>
      <c r="D1671" s="2" t="s">
        <v>31</v>
      </c>
      <c r="E1671" s="13">
        <v>45991</v>
      </c>
      <c r="F1671" s="14" t="s">
        <v>372</v>
      </c>
      <c r="G1671" s="14" t="s">
        <v>18</v>
      </c>
      <c r="H1671" s="14" t="s">
        <v>117</v>
      </c>
      <c r="I1671" s="15">
        <v>30</v>
      </c>
      <c r="J1671" s="15">
        <v>120</v>
      </c>
      <c r="K1671" s="15">
        <v>595.92999999999995</v>
      </c>
      <c r="L1671" s="15">
        <v>71511.599999999991</v>
      </c>
      <c r="M1671" s="15">
        <v>-5499.24</v>
      </c>
      <c r="N1671" s="15">
        <v>0</v>
      </c>
      <c r="O1671" s="15">
        <v>8581.6068869999999</v>
      </c>
      <c r="P1671" s="15">
        <v>74593.966887000002</v>
      </c>
    </row>
    <row r="1672" spans="1:16" ht="15" x14ac:dyDescent="0.2">
      <c r="A1672" s="4" t="s">
        <v>573</v>
      </c>
      <c r="B1672" s="21" t="str">
        <f t="shared" si="52"/>
        <v>Nov-2025</v>
      </c>
      <c r="C1672" s="2" t="str">
        <f t="shared" si="53"/>
        <v>Q3</v>
      </c>
      <c r="D1672" s="2" t="s">
        <v>31</v>
      </c>
      <c r="E1672" s="13">
        <v>45991</v>
      </c>
      <c r="F1672" s="14" t="s">
        <v>372</v>
      </c>
      <c r="G1672" s="14" t="s">
        <v>18</v>
      </c>
      <c r="H1672" s="14" t="s">
        <v>136</v>
      </c>
      <c r="I1672" s="15">
        <v>1</v>
      </c>
      <c r="J1672" s="15">
        <v>40</v>
      </c>
      <c r="K1672" s="15">
        <v>111.74</v>
      </c>
      <c r="L1672" s="15">
        <v>4469.6000000000004</v>
      </c>
      <c r="M1672" s="15">
        <v>-343.71</v>
      </c>
      <c r="N1672" s="15">
        <v>0</v>
      </c>
      <c r="O1672" s="15">
        <v>536.36570500000005</v>
      </c>
      <c r="P1672" s="15">
        <v>4662.2557049999996</v>
      </c>
    </row>
    <row r="1673" spans="1:16" ht="15" x14ac:dyDescent="0.2">
      <c r="A1673" s="4" t="s">
        <v>583</v>
      </c>
      <c r="B1673" s="21" t="str">
        <f t="shared" si="52"/>
        <v>Nov-2025</v>
      </c>
      <c r="C1673" s="2" t="str">
        <f t="shared" si="53"/>
        <v>Q3</v>
      </c>
      <c r="D1673" s="2" t="s">
        <v>31</v>
      </c>
      <c r="E1673" s="13">
        <v>45991</v>
      </c>
      <c r="F1673" s="14" t="s">
        <v>372</v>
      </c>
      <c r="G1673" s="14" t="s">
        <v>18</v>
      </c>
      <c r="H1673" s="14" t="s">
        <v>109</v>
      </c>
      <c r="I1673" s="15">
        <v>1</v>
      </c>
      <c r="J1673" s="15">
        <v>15</v>
      </c>
      <c r="K1673" s="15">
        <v>260.72000000000003</v>
      </c>
      <c r="L1673" s="15">
        <v>3910.8</v>
      </c>
      <c r="M1673" s="15">
        <v>-300.74</v>
      </c>
      <c r="N1673" s="15">
        <v>0</v>
      </c>
      <c r="O1673" s="15">
        <v>469.30780500000003</v>
      </c>
      <c r="P1673" s="15">
        <v>4079.3678049999999</v>
      </c>
    </row>
    <row r="1674" spans="1:16" ht="15" x14ac:dyDescent="0.2">
      <c r="A1674" s="4" t="s">
        <v>576</v>
      </c>
      <c r="B1674" s="21" t="str">
        <f t="shared" si="52"/>
        <v>Nov-2025</v>
      </c>
      <c r="C1674" s="2" t="str">
        <f t="shared" si="53"/>
        <v>Q3</v>
      </c>
      <c r="D1674" s="2" t="s">
        <v>31</v>
      </c>
      <c r="E1674" s="13">
        <v>45991</v>
      </c>
      <c r="F1674" s="14" t="s">
        <v>372</v>
      </c>
      <c r="G1674" s="14" t="s">
        <v>18</v>
      </c>
      <c r="H1674" s="14" t="s">
        <v>110</v>
      </c>
      <c r="I1674" s="15">
        <v>1</v>
      </c>
      <c r="J1674" s="15">
        <v>20</v>
      </c>
      <c r="K1674" s="15">
        <v>175.06</v>
      </c>
      <c r="L1674" s="15">
        <v>3501.2</v>
      </c>
      <c r="M1674" s="15">
        <v>-269.24</v>
      </c>
      <c r="N1674" s="15">
        <v>0</v>
      </c>
      <c r="O1674" s="15">
        <v>420.15480399999996</v>
      </c>
      <c r="P1674" s="15">
        <v>3652.1148039999998</v>
      </c>
    </row>
    <row r="1675" spans="1:16" ht="15" x14ac:dyDescent="0.2">
      <c r="A1675" s="4" t="s">
        <v>576</v>
      </c>
      <c r="B1675" s="21" t="str">
        <f t="shared" si="52"/>
        <v>Nov-2025</v>
      </c>
      <c r="C1675" s="2" t="str">
        <f t="shared" si="53"/>
        <v>Q3</v>
      </c>
      <c r="D1675" s="2" t="s">
        <v>31</v>
      </c>
      <c r="E1675" s="13">
        <v>45991</v>
      </c>
      <c r="F1675" s="14" t="s">
        <v>373</v>
      </c>
      <c r="G1675" s="14" t="s">
        <v>22</v>
      </c>
      <c r="H1675" s="14" t="s">
        <v>110</v>
      </c>
      <c r="I1675" s="15">
        <v>3</v>
      </c>
      <c r="J1675" s="15">
        <v>60</v>
      </c>
      <c r="K1675" s="15">
        <v>175.06</v>
      </c>
      <c r="L1675" s="15">
        <v>10503.6</v>
      </c>
      <c r="M1675" s="15">
        <v>-807.7299999999999</v>
      </c>
      <c r="N1675" s="15">
        <v>0</v>
      </c>
      <c r="O1675" s="15">
        <v>1260.4631910000001</v>
      </c>
      <c r="P1675" s="15">
        <v>10956.333191</v>
      </c>
    </row>
    <row r="1676" spans="1:16" ht="15" x14ac:dyDescent="0.2">
      <c r="A1676" s="4" t="s">
        <v>589</v>
      </c>
      <c r="B1676" s="21" t="str">
        <f t="shared" si="52"/>
        <v>Nov-2025</v>
      </c>
      <c r="C1676" s="2" t="str">
        <f t="shared" si="53"/>
        <v>Q3</v>
      </c>
      <c r="D1676" s="2" t="s">
        <v>31</v>
      </c>
      <c r="E1676" s="13">
        <v>45991</v>
      </c>
      <c r="F1676" s="14" t="s">
        <v>373</v>
      </c>
      <c r="G1676" s="14" t="s">
        <v>22</v>
      </c>
      <c r="H1676" s="14" t="s">
        <v>98</v>
      </c>
      <c r="I1676" s="15">
        <v>3</v>
      </c>
      <c r="J1676" s="15">
        <v>180</v>
      </c>
      <c r="K1676" s="15">
        <v>145.26</v>
      </c>
      <c r="L1676" s="15">
        <v>26146.799999999999</v>
      </c>
      <c r="M1676" s="15">
        <v>-2010.6899999999998</v>
      </c>
      <c r="N1676" s="15">
        <v>0</v>
      </c>
      <c r="O1676" s="15">
        <v>3137.6945250000003</v>
      </c>
      <c r="P1676" s="15">
        <v>27273.804525</v>
      </c>
    </row>
    <row r="1677" spans="1:16" ht="15" x14ac:dyDescent="0.2">
      <c r="A1677" s="4" t="s">
        <v>589</v>
      </c>
      <c r="B1677" s="21" t="str">
        <f t="shared" si="52"/>
        <v>Nov-2025</v>
      </c>
      <c r="C1677" s="2" t="str">
        <f t="shared" si="53"/>
        <v>Q3</v>
      </c>
      <c r="D1677" s="2" t="s">
        <v>31</v>
      </c>
      <c r="E1677" s="13">
        <v>45991</v>
      </c>
      <c r="F1677" s="14" t="s">
        <v>373</v>
      </c>
      <c r="G1677" s="14" t="s">
        <v>22</v>
      </c>
      <c r="H1677" s="14" t="s">
        <v>105</v>
      </c>
      <c r="I1677" s="15">
        <v>3</v>
      </c>
      <c r="J1677" s="15">
        <v>90</v>
      </c>
      <c r="K1677" s="15">
        <v>316.58999999999997</v>
      </c>
      <c r="L1677" s="15">
        <v>28493.1</v>
      </c>
      <c r="M1677" s="15">
        <v>-2191.12</v>
      </c>
      <c r="N1677" s="15">
        <v>0</v>
      </c>
      <c r="O1677" s="15">
        <v>3419.257646</v>
      </c>
      <c r="P1677" s="15">
        <v>29721.237646000001</v>
      </c>
    </row>
    <row r="1678" spans="1:16" ht="15" x14ac:dyDescent="0.2">
      <c r="A1678" s="4" t="s">
        <v>576</v>
      </c>
      <c r="B1678" s="21" t="str">
        <f t="shared" si="52"/>
        <v>Nov-2025</v>
      </c>
      <c r="C1678" s="2" t="str">
        <f t="shared" si="53"/>
        <v>Q3</v>
      </c>
      <c r="D1678" s="2" t="s">
        <v>31</v>
      </c>
      <c r="E1678" s="13">
        <v>45991</v>
      </c>
      <c r="F1678" s="14" t="s">
        <v>373</v>
      </c>
      <c r="G1678" s="14" t="s">
        <v>22</v>
      </c>
      <c r="H1678" s="14" t="s">
        <v>124</v>
      </c>
      <c r="I1678" s="15">
        <v>2</v>
      </c>
      <c r="J1678" s="15">
        <v>40</v>
      </c>
      <c r="K1678" s="15">
        <v>175.06</v>
      </c>
      <c r="L1678" s="15">
        <v>7002.4</v>
      </c>
      <c r="M1678" s="15">
        <v>-538.48</v>
      </c>
      <c r="N1678" s="15">
        <v>0</v>
      </c>
      <c r="O1678" s="15">
        <v>840.30966000000001</v>
      </c>
      <c r="P1678" s="15">
        <v>7304.22966</v>
      </c>
    </row>
    <row r="1679" spans="1:16" ht="15" x14ac:dyDescent="0.2">
      <c r="A1679" s="4" t="s">
        <v>573</v>
      </c>
      <c r="B1679" s="21" t="str">
        <f t="shared" si="52"/>
        <v>Nov-2025</v>
      </c>
      <c r="C1679" s="2" t="str">
        <f t="shared" si="53"/>
        <v>Q3</v>
      </c>
      <c r="D1679" s="2" t="s">
        <v>31</v>
      </c>
      <c r="E1679" s="13">
        <v>45991</v>
      </c>
      <c r="F1679" s="14" t="s">
        <v>373</v>
      </c>
      <c r="G1679" s="14" t="s">
        <v>22</v>
      </c>
      <c r="H1679" s="14" t="s">
        <v>111</v>
      </c>
      <c r="I1679" s="15">
        <v>2</v>
      </c>
      <c r="J1679" s="15">
        <v>80</v>
      </c>
      <c r="K1679" s="15">
        <v>111.74</v>
      </c>
      <c r="L1679" s="15">
        <v>8939.2000000000007</v>
      </c>
      <c r="M1679" s="15">
        <v>-687.42</v>
      </c>
      <c r="N1679" s="15">
        <v>0</v>
      </c>
      <c r="O1679" s="15">
        <v>1072.731477</v>
      </c>
      <c r="P1679" s="15">
        <v>9324.511477</v>
      </c>
    </row>
    <row r="1680" spans="1:16" ht="15" x14ac:dyDescent="0.2">
      <c r="A1680" s="4" t="s">
        <v>583</v>
      </c>
      <c r="B1680" s="21" t="str">
        <f t="shared" si="52"/>
        <v>Nov-2025</v>
      </c>
      <c r="C1680" s="2" t="str">
        <f t="shared" si="53"/>
        <v>Q3</v>
      </c>
      <c r="D1680" s="2" t="s">
        <v>31</v>
      </c>
      <c r="E1680" s="13">
        <v>45991</v>
      </c>
      <c r="F1680" s="14" t="s">
        <v>373</v>
      </c>
      <c r="G1680" s="14" t="s">
        <v>22</v>
      </c>
      <c r="H1680" s="14" t="s">
        <v>113</v>
      </c>
      <c r="I1680" s="15">
        <v>3</v>
      </c>
      <c r="J1680" s="15">
        <v>45</v>
      </c>
      <c r="K1680" s="15">
        <v>260.72000000000003</v>
      </c>
      <c r="L1680" s="15">
        <v>11732.4</v>
      </c>
      <c r="M1680" s="15">
        <v>-902.22</v>
      </c>
      <c r="N1680" s="15">
        <v>0</v>
      </c>
      <c r="O1680" s="15">
        <v>1407.923501</v>
      </c>
      <c r="P1680" s="15">
        <v>12238.103501</v>
      </c>
    </row>
    <row r="1681" spans="1:16" ht="15" x14ac:dyDescent="0.2">
      <c r="A1681" s="4" t="s">
        <v>592</v>
      </c>
      <c r="B1681" s="21" t="str">
        <f t="shared" si="52"/>
        <v>Nov-2025</v>
      </c>
      <c r="C1681" s="2" t="str">
        <f t="shared" si="53"/>
        <v>Q3</v>
      </c>
      <c r="D1681" s="2" t="s">
        <v>31</v>
      </c>
      <c r="E1681" s="13">
        <v>45991</v>
      </c>
      <c r="F1681" s="14" t="s">
        <v>374</v>
      </c>
      <c r="G1681" s="14" t="s">
        <v>23</v>
      </c>
      <c r="H1681" s="14" t="s">
        <v>115</v>
      </c>
      <c r="I1681" s="15">
        <v>5</v>
      </c>
      <c r="J1681" s="15">
        <v>250</v>
      </c>
      <c r="K1681" s="15">
        <v>89.39</v>
      </c>
      <c r="L1681" s="15">
        <v>22347.5</v>
      </c>
      <c r="M1681" s="15">
        <v>-1718.52</v>
      </c>
      <c r="N1681" s="15">
        <v>0</v>
      </c>
      <c r="O1681" s="15">
        <v>2681.7677199999998</v>
      </c>
      <c r="P1681" s="15">
        <v>23310.747719999999</v>
      </c>
    </row>
    <row r="1682" spans="1:16" ht="15" x14ac:dyDescent="0.2">
      <c r="A1682" s="4" t="s">
        <v>586</v>
      </c>
      <c r="B1682" s="21" t="str">
        <f t="shared" si="52"/>
        <v>Nov-2025</v>
      </c>
      <c r="C1682" s="2" t="str">
        <f t="shared" si="53"/>
        <v>Q3</v>
      </c>
      <c r="D1682" s="2" t="s">
        <v>31</v>
      </c>
      <c r="E1682" s="13">
        <v>45991</v>
      </c>
      <c r="F1682" s="14" t="s">
        <v>374</v>
      </c>
      <c r="G1682" s="14" t="s">
        <v>23</v>
      </c>
      <c r="H1682" s="14" t="s">
        <v>103</v>
      </c>
      <c r="I1682" s="15">
        <v>1</v>
      </c>
      <c r="J1682" s="15">
        <v>600</v>
      </c>
      <c r="K1682" s="15">
        <v>7.46</v>
      </c>
      <c r="L1682" s="15">
        <v>4476</v>
      </c>
      <c r="M1682" s="15">
        <v>-344.2</v>
      </c>
      <c r="N1682" s="15">
        <v>0</v>
      </c>
      <c r="O1682" s="15">
        <v>537.13406399999997</v>
      </c>
      <c r="P1682" s="15">
        <v>4668.934064</v>
      </c>
    </row>
    <row r="1683" spans="1:16" ht="15" x14ac:dyDescent="0.2">
      <c r="A1683" s="4" t="s">
        <v>582</v>
      </c>
      <c r="B1683" s="21" t="str">
        <f t="shared" si="52"/>
        <v>Nov-2025</v>
      </c>
      <c r="C1683" s="2" t="str">
        <f t="shared" si="53"/>
        <v>Q3</v>
      </c>
      <c r="D1683" s="2" t="s">
        <v>31</v>
      </c>
      <c r="E1683" s="13">
        <v>45991</v>
      </c>
      <c r="F1683" s="14" t="s">
        <v>374</v>
      </c>
      <c r="G1683" s="14" t="s">
        <v>23</v>
      </c>
      <c r="H1683" s="14" t="s">
        <v>77</v>
      </c>
      <c r="I1683" s="15">
        <v>5</v>
      </c>
      <c r="J1683" s="15">
        <v>120</v>
      </c>
      <c r="K1683" s="15">
        <v>204.85</v>
      </c>
      <c r="L1683" s="15">
        <v>24582</v>
      </c>
      <c r="M1683" s="15">
        <v>-1890.36</v>
      </c>
      <c r="N1683" s="15">
        <v>0</v>
      </c>
      <c r="O1683" s="15">
        <v>2949.913552</v>
      </c>
      <c r="P1683" s="15">
        <v>25641.553552000001</v>
      </c>
    </row>
    <row r="1684" spans="1:16" ht="15" x14ac:dyDescent="0.2">
      <c r="A1684" s="4" t="s">
        <v>590</v>
      </c>
      <c r="B1684" s="21" t="str">
        <f t="shared" si="52"/>
        <v>Nov-2025</v>
      </c>
      <c r="C1684" s="2" t="str">
        <f t="shared" si="53"/>
        <v>Q3</v>
      </c>
      <c r="D1684" s="2" t="s">
        <v>31</v>
      </c>
      <c r="E1684" s="13">
        <v>45991</v>
      </c>
      <c r="F1684" s="14" t="s">
        <v>374</v>
      </c>
      <c r="G1684" s="14" t="s">
        <v>23</v>
      </c>
      <c r="H1684" s="14" t="s">
        <v>102</v>
      </c>
      <c r="I1684" s="15">
        <v>5</v>
      </c>
      <c r="J1684" s="15">
        <v>100</v>
      </c>
      <c r="K1684" s="15">
        <v>249.55</v>
      </c>
      <c r="L1684" s="15">
        <v>24955</v>
      </c>
      <c r="M1684" s="15">
        <v>-1919.04</v>
      </c>
      <c r="N1684" s="15">
        <v>0</v>
      </c>
      <c r="O1684" s="15">
        <v>2994.6751570000001</v>
      </c>
      <c r="P1684" s="15">
        <v>26030.635157000001</v>
      </c>
    </row>
    <row r="1685" spans="1:16" ht="15" x14ac:dyDescent="0.2">
      <c r="A1685" s="4" t="s">
        <v>584</v>
      </c>
      <c r="B1685" s="21" t="str">
        <f t="shared" si="52"/>
        <v>Nov-2025</v>
      </c>
      <c r="C1685" s="2" t="str">
        <f t="shared" si="53"/>
        <v>Q3</v>
      </c>
      <c r="D1685" s="2" t="s">
        <v>31</v>
      </c>
      <c r="E1685" s="13">
        <v>45991</v>
      </c>
      <c r="F1685" s="14" t="s">
        <v>374</v>
      </c>
      <c r="G1685" s="14" t="s">
        <v>23</v>
      </c>
      <c r="H1685" s="14" t="s">
        <v>99</v>
      </c>
      <c r="I1685" s="15">
        <v>5</v>
      </c>
      <c r="J1685" s="15">
        <v>200</v>
      </c>
      <c r="K1685" s="15">
        <v>81.94</v>
      </c>
      <c r="L1685" s="15">
        <v>16388</v>
      </c>
      <c r="M1685" s="15">
        <v>-1260.24</v>
      </c>
      <c r="N1685" s="15">
        <v>0</v>
      </c>
      <c r="O1685" s="15">
        <v>1966.6090340000001</v>
      </c>
      <c r="P1685" s="15">
        <v>17094.369033999999</v>
      </c>
    </row>
    <row r="1686" spans="1:16" ht="15" x14ac:dyDescent="0.2">
      <c r="A1686" s="4" t="s">
        <v>586</v>
      </c>
      <c r="B1686" s="21" t="str">
        <f t="shared" si="52"/>
        <v>Nov-2025</v>
      </c>
      <c r="C1686" s="2" t="str">
        <f t="shared" si="53"/>
        <v>Q3</v>
      </c>
      <c r="D1686" s="2" t="s">
        <v>31</v>
      </c>
      <c r="E1686" s="13">
        <v>45991</v>
      </c>
      <c r="F1686" s="14" t="s">
        <v>374</v>
      </c>
      <c r="G1686" s="14" t="s">
        <v>23</v>
      </c>
      <c r="H1686" s="14" t="s">
        <v>78</v>
      </c>
      <c r="I1686" s="15">
        <v>5</v>
      </c>
      <c r="J1686" s="15">
        <v>3000</v>
      </c>
      <c r="K1686" s="15">
        <v>7.46</v>
      </c>
      <c r="L1686" s="15">
        <v>22380</v>
      </c>
      <c r="M1686" s="15">
        <v>-1721.0200000000002</v>
      </c>
      <c r="N1686" s="15">
        <v>0</v>
      </c>
      <c r="O1686" s="15">
        <v>2685.6677199999999</v>
      </c>
      <c r="P1686" s="15">
        <v>23344.647720000001</v>
      </c>
    </row>
    <row r="1687" spans="1:16" ht="15" x14ac:dyDescent="0.2">
      <c r="A1687" s="4" t="s">
        <v>586</v>
      </c>
      <c r="B1687" s="21" t="str">
        <f t="shared" si="52"/>
        <v>Nov-2025</v>
      </c>
      <c r="C1687" s="2" t="str">
        <f t="shared" si="53"/>
        <v>Q3</v>
      </c>
      <c r="D1687" s="2" t="s">
        <v>31</v>
      </c>
      <c r="E1687" s="13">
        <v>45991</v>
      </c>
      <c r="F1687" s="14" t="s">
        <v>374</v>
      </c>
      <c r="G1687" s="14" t="s">
        <v>23</v>
      </c>
      <c r="H1687" s="14" t="s">
        <v>76</v>
      </c>
      <c r="I1687" s="15">
        <v>3</v>
      </c>
      <c r="J1687" s="15">
        <v>720</v>
      </c>
      <c r="K1687" s="15">
        <v>14.9</v>
      </c>
      <c r="L1687" s="15">
        <v>10728</v>
      </c>
      <c r="M1687" s="15">
        <v>-824.98</v>
      </c>
      <c r="N1687" s="15">
        <v>0</v>
      </c>
      <c r="O1687" s="15">
        <v>1287.3927530000001</v>
      </c>
      <c r="P1687" s="15">
        <v>11190.412753000001</v>
      </c>
    </row>
    <row r="1688" spans="1:16" ht="15" x14ac:dyDescent="0.2">
      <c r="A1688" s="4" t="s">
        <v>586</v>
      </c>
      <c r="B1688" s="21" t="str">
        <f t="shared" si="52"/>
        <v>Nov-2025</v>
      </c>
      <c r="C1688" s="2" t="str">
        <f t="shared" si="53"/>
        <v>Q3</v>
      </c>
      <c r="D1688" s="2" t="s">
        <v>31</v>
      </c>
      <c r="E1688" s="13">
        <v>45991</v>
      </c>
      <c r="F1688" s="14" t="s">
        <v>375</v>
      </c>
      <c r="G1688" s="14" t="s">
        <v>235</v>
      </c>
      <c r="H1688" s="14" t="s">
        <v>103</v>
      </c>
      <c r="I1688" s="15">
        <v>1</v>
      </c>
      <c r="J1688" s="15">
        <v>600</v>
      </c>
      <c r="K1688" s="15">
        <v>7.46</v>
      </c>
      <c r="L1688" s="15">
        <v>4476</v>
      </c>
      <c r="M1688" s="15">
        <v>-344.2</v>
      </c>
      <c r="N1688" s="15">
        <v>0</v>
      </c>
      <c r="O1688" s="15">
        <v>537.13406599999996</v>
      </c>
      <c r="P1688" s="15">
        <v>4668.9340659999998</v>
      </c>
    </row>
    <row r="1689" spans="1:16" ht="15" x14ac:dyDescent="0.2">
      <c r="A1689" s="4" t="s">
        <v>586</v>
      </c>
      <c r="B1689" s="21" t="str">
        <f t="shared" si="52"/>
        <v>Nov-2025</v>
      </c>
      <c r="C1689" s="2" t="str">
        <f t="shared" si="53"/>
        <v>Q3</v>
      </c>
      <c r="D1689" s="2" t="s">
        <v>31</v>
      </c>
      <c r="E1689" s="13">
        <v>45991</v>
      </c>
      <c r="F1689" s="14" t="s">
        <v>375</v>
      </c>
      <c r="G1689" s="14" t="s">
        <v>235</v>
      </c>
      <c r="H1689" s="14" t="s">
        <v>78</v>
      </c>
      <c r="I1689" s="15">
        <v>1</v>
      </c>
      <c r="J1689" s="15">
        <v>600</v>
      </c>
      <c r="K1689" s="15">
        <v>7.46</v>
      </c>
      <c r="L1689" s="15">
        <v>4476</v>
      </c>
      <c r="M1689" s="15">
        <v>-344.2</v>
      </c>
      <c r="N1689" s="15">
        <v>0</v>
      </c>
      <c r="O1689" s="15">
        <v>537.13406599999996</v>
      </c>
      <c r="P1689" s="15">
        <v>4668.9340659999998</v>
      </c>
    </row>
    <row r="1690" spans="1:16" ht="15" x14ac:dyDescent="0.2">
      <c r="A1690" s="4" t="s">
        <v>592</v>
      </c>
      <c r="B1690" s="21" t="str">
        <f t="shared" si="52"/>
        <v>Nov-2025</v>
      </c>
      <c r="C1690" s="2" t="str">
        <f t="shared" si="53"/>
        <v>Q3</v>
      </c>
      <c r="D1690" s="2" t="s">
        <v>31</v>
      </c>
      <c r="E1690" s="13">
        <v>45991</v>
      </c>
      <c r="F1690" s="14" t="s">
        <v>375</v>
      </c>
      <c r="G1690" s="14" t="s">
        <v>235</v>
      </c>
      <c r="H1690" s="14" t="s">
        <v>115</v>
      </c>
      <c r="I1690" s="15">
        <v>3</v>
      </c>
      <c r="J1690" s="15">
        <v>150</v>
      </c>
      <c r="K1690" s="15">
        <v>89.39</v>
      </c>
      <c r="L1690" s="15">
        <v>13408.500000000002</v>
      </c>
      <c r="M1690" s="15">
        <v>-1031.1100000000001</v>
      </c>
      <c r="N1690" s="15">
        <v>0</v>
      </c>
      <c r="O1690" s="15">
        <v>1609.0608970000001</v>
      </c>
      <c r="P1690" s="15">
        <v>13986.450897000001</v>
      </c>
    </row>
    <row r="1691" spans="1:16" ht="15" x14ac:dyDescent="0.2">
      <c r="A1691" s="4" t="s">
        <v>582</v>
      </c>
      <c r="B1691" s="21" t="str">
        <f t="shared" si="52"/>
        <v>Nov-2025</v>
      </c>
      <c r="C1691" s="2" t="str">
        <f t="shared" si="53"/>
        <v>Q3</v>
      </c>
      <c r="D1691" s="2" t="s">
        <v>31</v>
      </c>
      <c r="E1691" s="13">
        <v>45991</v>
      </c>
      <c r="F1691" s="14" t="s">
        <v>375</v>
      </c>
      <c r="G1691" s="14" t="s">
        <v>235</v>
      </c>
      <c r="H1691" s="14" t="s">
        <v>77</v>
      </c>
      <c r="I1691" s="15">
        <v>1</v>
      </c>
      <c r="J1691" s="15">
        <v>24</v>
      </c>
      <c r="K1691" s="15">
        <v>204.85</v>
      </c>
      <c r="L1691" s="15">
        <v>4916.4000000000005</v>
      </c>
      <c r="M1691" s="15">
        <v>-378.07</v>
      </c>
      <c r="N1691" s="15">
        <v>0</v>
      </c>
      <c r="O1691" s="15">
        <v>589.98297200000002</v>
      </c>
      <c r="P1691" s="15">
        <v>5128.3129719999997</v>
      </c>
    </row>
    <row r="1692" spans="1:16" ht="15" x14ac:dyDescent="0.2">
      <c r="A1692" s="4" t="s">
        <v>587</v>
      </c>
      <c r="B1692" s="21" t="str">
        <f t="shared" si="52"/>
        <v>Nov-2025</v>
      </c>
      <c r="C1692" s="2" t="str">
        <f t="shared" si="53"/>
        <v>Q3</v>
      </c>
      <c r="D1692" s="2" t="s">
        <v>31</v>
      </c>
      <c r="E1692" s="13">
        <v>45991</v>
      </c>
      <c r="F1692" s="14" t="s">
        <v>375</v>
      </c>
      <c r="G1692" s="14" t="s">
        <v>235</v>
      </c>
      <c r="H1692" s="14" t="s">
        <v>94</v>
      </c>
      <c r="I1692" s="15">
        <v>1</v>
      </c>
      <c r="J1692" s="15">
        <v>60</v>
      </c>
      <c r="K1692" s="15">
        <v>111.74</v>
      </c>
      <c r="L1692" s="15">
        <v>6704.4</v>
      </c>
      <c r="M1692" s="15">
        <v>-515.57000000000005</v>
      </c>
      <c r="N1692" s="15">
        <v>0</v>
      </c>
      <c r="O1692" s="15">
        <v>804.54799899999989</v>
      </c>
      <c r="P1692" s="15">
        <v>6993.3779990000003</v>
      </c>
    </row>
    <row r="1693" spans="1:16" ht="15" x14ac:dyDescent="0.2">
      <c r="A1693" s="4" t="s">
        <v>589</v>
      </c>
      <c r="B1693" s="21" t="str">
        <f t="shared" si="52"/>
        <v>Nov-2025</v>
      </c>
      <c r="C1693" s="2" t="str">
        <f t="shared" si="53"/>
        <v>Q3</v>
      </c>
      <c r="D1693" s="2" t="s">
        <v>31</v>
      </c>
      <c r="E1693" s="13">
        <v>45991</v>
      </c>
      <c r="F1693" s="14" t="s">
        <v>376</v>
      </c>
      <c r="G1693" s="14" t="s">
        <v>242</v>
      </c>
      <c r="H1693" s="14" t="s">
        <v>98</v>
      </c>
      <c r="I1693" s="15">
        <v>1</v>
      </c>
      <c r="J1693" s="15">
        <v>60</v>
      </c>
      <c r="K1693" s="15">
        <v>145.26</v>
      </c>
      <c r="L1693" s="15">
        <v>8715.6</v>
      </c>
      <c r="M1693" s="15">
        <v>-670.23</v>
      </c>
      <c r="N1693" s="15">
        <v>0</v>
      </c>
      <c r="O1693" s="15">
        <v>1045.8980670000001</v>
      </c>
      <c r="P1693" s="15">
        <v>9091.2680670000009</v>
      </c>
    </row>
    <row r="1694" spans="1:16" ht="15" x14ac:dyDescent="0.2">
      <c r="A1694" s="4" t="s">
        <v>576</v>
      </c>
      <c r="B1694" s="21" t="str">
        <f t="shared" si="52"/>
        <v>Nov-2025</v>
      </c>
      <c r="C1694" s="2" t="str">
        <f t="shared" si="53"/>
        <v>Q3</v>
      </c>
      <c r="D1694" s="2" t="s">
        <v>31</v>
      </c>
      <c r="E1694" s="13">
        <v>45991</v>
      </c>
      <c r="F1694" s="14" t="s">
        <v>376</v>
      </c>
      <c r="G1694" s="14" t="s">
        <v>242</v>
      </c>
      <c r="H1694" s="14" t="s">
        <v>123</v>
      </c>
      <c r="I1694" s="15">
        <v>1</v>
      </c>
      <c r="J1694" s="15">
        <v>20</v>
      </c>
      <c r="K1694" s="15">
        <v>175.06</v>
      </c>
      <c r="L1694" s="15">
        <v>3501.2</v>
      </c>
      <c r="M1694" s="15">
        <v>-269.24</v>
      </c>
      <c r="N1694" s="15">
        <v>0</v>
      </c>
      <c r="O1694" s="15">
        <v>420.154787</v>
      </c>
      <c r="P1694" s="15">
        <v>3652.114787</v>
      </c>
    </row>
    <row r="1695" spans="1:16" ht="15" x14ac:dyDescent="0.2">
      <c r="A1695" s="4" t="s">
        <v>583</v>
      </c>
      <c r="B1695" s="21" t="str">
        <f t="shared" si="52"/>
        <v>Nov-2025</v>
      </c>
      <c r="C1695" s="2" t="str">
        <f t="shared" si="53"/>
        <v>Q3</v>
      </c>
      <c r="D1695" s="2" t="s">
        <v>31</v>
      </c>
      <c r="E1695" s="13">
        <v>45991</v>
      </c>
      <c r="F1695" s="14" t="s">
        <v>376</v>
      </c>
      <c r="G1695" s="14" t="s">
        <v>242</v>
      </c>
      <c r="H1695" s="14" t="s">
        <v>109</v>
      </c>
      <c r="I1695" s="15">
        <v>2</v>
      </c>
      <c r="J1695" s="15">
        <v>30</v>
      </c>
      <c r="K1695" s="15">
        <v>260.72000000000003</v>
      </c>
      <c r="L1695" s="15">
        <v>7821.6</v>
      </c>
      <c r="M1695" s="15">
        <v>-601.48</v>
      </c>
      <c r="N1695" s="15">
        <v>0</v>
      </c>
      <c r="O1695" s="15">
        <v>938.61557099999993</v>
      </c>
      <c r="P1695" s="15">
        <v>8158.7355710000002</v>
      </c>
    </row>
    <row r="1696" spans="1:16" ht="15" x14ac:dyDescent="0.2">
      <c r="A1696" s="4" t="s">
        <v>583</v>
      </c>
      <c r="B1696" s="21" t="str">
        <f t="shared" si="52"/>
        <v>Nov-2025</v>
      </c>
      <c r="C1696" s="2" t="str">
        <f t="shared" si="53"/>
        <v>Q3</v>
      </c>
      <c r="D1696" s="2" t="s">
        <v>31</v>
      </c>
      <c r="E1696" s="13">
        <v>45991</v>
      </c>
      <c r="F1696" s="14" t="s">
        <v>376</v>
      </c>
      <c r="G1696" s="14" t="s">
        <v>242</v>
      </c>
      <c r="H1696" s="14" t="s">
        <v>113</v>
      </c>
      <c r="I1696" s="15">
        <v>5</v>
      </c>
      <c r="J1696" s="15">
        <v>75</v>
      </c>
      <c r="K1696" s="15">
        <v>260.72000000000003</v>
      </c>
      <c r="L1696" s="15">
        <v>19554</v>
      </c>
      <c r="M1696" s="15">
        <v>-1503.6999999999998</v>
      </c>
      <c r="N1696" s="15">
        <v>0</v>
      </c>
      <c r="O1696" s="15">
        <v>2346.5389270000001</v>
      </c>
      <c r="P1696" s="15">
        <v>20396.838927000001</v>
      </c>
    </row>
    <row r="1697" spans="1:16" ht="15" x14ac:dyDescent="0.2">
      <c r="A1697" s="4" t="s">
        <v>581</v>
      </c>
      <c r="B1697" s="21" t="str">
        <f t="shared" si="52"/>
        <v>Nov-2025</v>
      </c>
      <c r="C1697" s="2" t="str">
        <f t="shared" si="53"/>
        <v>Q3</v>
      </c>
      <c r="D1697" s="2" t="s">
        <v>31</v>
      </c>
      <c r="E1697" s="13">
        <v>45991</v>
      </c>
      <c r="F1697" s="14" t="s">
        <v>376</v>
      </c>
      <c r="G1697" s="14" t="s">
        <v>242</v>
      </c>
      <c r="H1697" s="14" t="s">
        <v>66</v>
      </c>
      <c r="I1697" s="15">
        <v>4</v>
      </c>
      <c r="J1697" s="15">
        <v>96</v>
      </c>
      <c r="K1697" s="15">
        <v>141.54</v>
      </c>
      <c r="L1697" s="15">
        <v>13587.84</v>
      </c>
      <c r="M1697" s="15">
        <v>-1044.9000000000001</v>
      </c>
      <c r="N1697" s="15">
        <v>0</v>
      </c>
      <c r="O1697" s="15">
        <v>1630.5821489999998</v>
      </c>
      <c r="P1697" s="15">
        <v>14173.522149</v>
      </c>
    </row>
    <row r="1698" spans="1:16" ht="15" x14ac:dyDescent="0.2">
      <c r="A1698" s="4" t="s">
        <v>576</v>
      </c>
      <c r="B1698" s="21" t="str">
        <f t="shared" si="52"/>
        <v>Nov-2025</v>
      </c>
      <c r="C1698" s="2" t="str">
        <f t="shared" si="53"/>
        <v>Q3</v>
      </c>
      <c r="D1698" s="2" t="s">
        <v>31</v>
      </c>
      <c r="E1698" s="13">
        <v>45991</v>
      </c>
      <c r="F1698" s="14" t="s">
        <v>376</v>
      </c>
      <c r="G1698" s="14" t="s">
        <v>242</v>
      </c>
      <c r="H1698" s="14" t="s">
        <v>110</v>
      </c>
      <c r="I1698" s="15">
        <v>5</v>
      </c>
      <c r="J1698" s="15">
        <v>100</v>
      </c>
      <c r="K1698" s="15">
        <v>175.06</v>
      </c>
      <c r="L1698" s="15">
        <v>17506</v>
      </c>
      <c r="M1698" s="15">
        <v>-1346.21</v>
      </c>
      <c r="N1698" s="15">
        <v>0</v>
      </c>
      <c r="O1698" s="15">
        <v>2100.7726349999998</v>
      </c>
      <c r="P1698" s="15">
        <v>18260.562634999998</v>
      </c>
    </row>
    <row r="1699" spans="1:16" ht="15" x14ac:dyDescent="0.2">
      <c r="A1699" s="4" t="s">
        <v>582</v>
      </c>
      <c r="B1699" s="21" t="str">
        <f t="shared" si="52"/>
        <v>Nov-2025</v>
      </c>
      <c r="C1699" s="2" t="str">
        <f t="shared" si="53"/>
        <v>Q3</v>
      </c>
      <c r="D1699" s="2" t="s">
        <v>31</v>
      </c>
      <c r="E1699" s="13">
        <v>45991</v>
      </c>
      <c r="F1699" s="14" t="s">
        <v>376</v>
      </c>
      <c r="G1699" s="14" t="s">
        <v>242</v>
      </c>
      <c r="H1699" s="14" t="s">
        <v>77</v>
      </c>
      <c r="I1699" s="15">
        <v>1</v>
      </c>
      <c r="J1699" s="15">
        <v>24</v>
      </c>
      <c r="K1699" s="15">
        <v>204.85</v>
      </c>
      <c r="L1699" s="15">
        <v>4916.4000000000005</v>
      </c>
      <c r="M1699" s="15">
        <v>-378.07</v>
      </c>
      <c r="N1699" s="15">
        <v>0</v>
      </c>
      <c r="O1699" s="15">
        <v>589.98288200000002</v>
      </c>
      <c r="P1699" s="15">
        <v>5128.3128820000002</v>
      </c>
    </row>
    <row r="1700" spans="1:16" ht="15" x14ac:dyDescent="0.2">
      <c r="A1700" s="4" t="s">
        <v>576</v>
      </c>
      <c r="B1700" s="21" t="str">
        <f t="shared" si="52"/>
        <v>Nov-2025</v>
      </c>
      <c r="C1700" s="2" t="str">
        <f t="shared" si="53"/>
        <v>Q3</v>
      </c>
      <c r="D1700" s="2" t="s">
        <v>31</v>
      </c>
      <c r="E1700" s="13">
        <v>45991</v>
      </c>
      <c r="F1700" s="14" t="s">
        <v>376</v>
      </c>
      <c r="G1700" s="14" t="s">
        <v>242</v>
      </c>
      <c r="H1700" s="14" t="s">
        <v>124</v>
      </c>
      <c r="I1700" s="15">
        <v>2</v>
      </c>
      <c r="J1700" s="15">
        <v>40</v>
      </c>
      <c r="K1700" s="15">
        <v>175.06</v>
      </c>
      <c r="L1700" s="15">
        <v>7002.4</v>
      </c>
      <c r="M1700" s="15">
        <v>-538.48</v>
      </c>
      <c r="N1700" s="15">
        <v>0</v>
      </c>
      <c r="O1700" s="15">
        <v>840.309574</v>
      </c>
      <c r="P1700" s="15">
        <v>7304.229574</v>
      </c>
    </row>
    <row r="1701" spans="1:16" ht="15" x14ac:dyDescent="0.2">
      <c r="A1701" s="4" t="s">
        <v>592</v>
      </c>
      <c r="B1701" s="21" t="str">
        <f t="shared" si="52"/>
        <v>Nov-2025</v>
      </c>
      <c r="C1701" s="2" t="str">
        <f t="shared" si="53"/>
        <v>Q3</v>
      </c>
      <c r="D1701" s="2" t="s">
        <v>31</v>
      </c>
      <c r="E1701" s="13">
        <v>45991</v>
      </c>
      <c r="F1701" s="14" t="s">
        <v>376</v>
      </c>
      <c r="G1701" s="14" t="s">
        <v>242</v>
      </c>
      <c r="H1701" s="14" t="s">
        <v>115</v>
      </c>
      <c r="I1701" s="15">
        <v>2</v>
      </c>
      <c r="J1701" s="15">
        <v>100</v>
      </c>
      <c r="K1701" s="15">
        <v>89.39</v>
      </c>
      <c r="L1701" s="15">
        <v>8939</v>
      </c>
      <c r="M1701" s="15">
        <v>-687.41</v>
      </c>
      <c r="N1701" s="15">
        <v>0</v>
      </c>
      <c r="O1701" s="15">
        <v>1072.7066669999999</v>
      </c>
      <c r="P1701" s="15">
        <v>9324.2966670000005</v>
      </c>
    </row>
    <row r="1702" spans="1:16" ht="15" x14ac:dyDescent="0.2">
      <c r="A1702" s="4" t="s">
        <v>589</v>
      </c>
      <c r="B1702" s="21" t="str">
        <f t="shared" si="52"/>
        <v>Nov-2025</v>
      </c>
      <c r="C1702" s="2" t="str">
        <f t="shared" si="53"/>
        <v>Q3</v>
      </c>
      <c r="D1702" s="2" t="s">
        <v>31</v>
      </c>
      <c r="E1702" s="13">
        <v>45991</v>
      </c>
      <c r="F1702" s="14" t="s">
        <v>376</v>
      </c>
      <c r="G1702" s="14" t="s">
        <v>242</v>
      </c>
      <c r="H1702" s="14" t="s">
        <v>105</v>
      </c>
      <c r="I1702" s="15">
        <v>1</v>
      </c>
      <c r="J1702" s="15">
        <v>30</v>
      </c>
      <c r="K1702" s="15">
        <v>316.58999999999997</v>
      </c>
      <c r="L1702" s="15">
        <v>9497.6999999999989</v>
      </c>
      <c r="M1702" s="15">
        <v>-730.36999999999989</v>
      </c>
      <c r="N1702" s="15">
        <v>0</v>
      </c>
      <c r="O1702" s="15">
        <v>1139.7528650000002</v>
      </c>
      <c r="P1702" s="15">
        <v>9907.0828650000003</v>
      </c>
    </row>
    <row r="1703" spans="1:16" ht="15" x14ac:dyDescent="0.2">
      <c r="A1703" s="4" t="s">
        <v>582</v>
      </c>
      <c r="B1703" s="21" t="str">
        <f t="shared" si="52"/>
        <v>Nov-2025</v>
      </c>
      <c r="C1703" s="2" t="str">
        <f t="shared" si="53"/>
        <v>Q3</v>
      </c>
      <c r="D1703" s="2" t="s">
        <v>31</v>
      </c>
      <c r="E1703" s="13">
        <v>45991</v>
      </c>
      <c r="F1703" s="14" t="s">
        <v>376</v>
      </c>
      <c r="G1703" s="14" t="s">
        <v>242</v>
      </c>
      <c r="H1703" s="14" t="s">
        <v>108</v>
      </c>
      <c r="I1703" s="15">
        <v>10</v>
      </c>
      <c r="J1703" s="15">
        <v>240</v>
      </c>
      <c r="K1703" s="15">
        <v>186.22</v>
      </c>
      <c r="L1703" s="15">
        <v>44693.039999999994</v>
      </c>
      <c r="M1703" s="15">
        <v>-3436.89</v>
      </c>
      <c r="N1703" s="15">
        <v>0</v>
      </c>
      <c r="O1703" s="15">
        <v>5363.2993330000008</v>
      </c>
      <c r="P1703" s="15">
        <v>46619.449332999997</v>
      </c>
    </row>
    <row r="1704" spans="1:16" ht="15" x14ac:dyDescent="0.2">
      <c r="A1704" s="4" t="s">
        <v>581</v>
      </c>
      <c r="B1704" s="21" t="str">
        <f t="shared" si="52"/>
        <v>Nov-2025</v>
      </c>
      <c r="C1704" s="2" t="str">
        <f t="shared" si="53"/>
        <v>Q3</v>
      </c>
      <c r="D1704" s="2" t="s">
        <v>31</v>
      </c>
      <c r="E1704" s="13">
        <v>45991</v>
      </c>
      <c r="F1704" s="14" t="s">
        <v>376</v>
      </c>
      <c r="G1704" s="14" t="s">
        <v>242</v>
      </c>
      <c r="H1704" s="14" t="s">
        <v>125</v>
      </c>
      <c r="I1704" s="15">
        <v>2</v>
      </c>
      <c r="J1704" s="15">
        <v>1600</v>
      </c>
      <c r="K1704" s="15">
        <v>7.45</v>
      </c>
      <c r="L1704" s="15">
        <v>11920</v>
      </c>
      <c r="M1704" s="15">
        <v>-916.65</v>
      </c>
      <c r="N1704" s="15">
        <v>0</v>
      </c>
      <c r="O1704" s="15">
        <v>1430.435455</v>
      </c>
      <c r="P1704" s="15">
        <v>12433.785454999999</v>
      </c>
    </row>
    <row r="1705" spans="1:16" ht="15" x14ac:dyDescent="0.2">
      <c r="A1705" s="4" t="s">
        <v>581</v>
      </c>
      <c r="B1705" s="21" t="str">
        <f t="shared" si="52"/>
        <v>Nov-2025</v>
      </c>
      <c r="C1705" s="2" t="str">
        <f t="shared" si="53"/>
        <v>Q3</v>
      </c>
      <c r="D1705" s="2" t="s">
        <v>31</v>
      </c>
      <c r="E1705" s="13">
        <v>45991</v>
      </c>
      <c r="F1705" s="14" t="s">
        <v>376</v>
      </c>
      <c r="G1705" s="14" t="s">
        <v>242</v>
      </c>
      <c r="H1705" s="14" t="s">
        <v>96</v>
      </c>
      <c r="I1705" s="15">
        <v>1</v>
      </c>
      <c r="J1705" s="15">
        <v>40</v>
      </c>
      <c r="K1705" s="15">
        <v>74.489999999999995</v>
      </c>
      <c r="L1705" s="15">
        <v>2979.6</v>
      </c>
      <c r="M1705" s="15">
        <v>-229.13</v>
      </c>
      <c r="N1705" s="15">
        <v>0</v>
      </c>
      <c r="O1705" s="15">
        <v>357.56108899999998</v>
      </c>
      <c r="P1705" s="15">
        <v>3108.0310890000001</v>
      </c>
    </row>
    <row r="1706" spans="1:16" ht="15" x14ac:dyDescent="0.2">
      <c r="A1706" s="4" t="s">
        <v>581</v>
      </c>
      <c r="B1706" s="21" t="str">
        <f t="shared" si="52"/>
        <v>Nov-2025</v>
      </c>
      <c r="C1706" s="2" t="str">
        <f t="shared" si="53"/>
        <v>Q3</v>
      </c>
      <c r="D1706" s="2" t="s">
        <v>31</v>
      </c>
      <c r="E1706" s="13">
        <v>45991</v>
      </c>
      <c r="F1706" s="14" t="s">
        <v>377</v>
      </c>
      <c r="G1706" s="14" t="s">
        <v>19</v>
      </c>
      <c r="H1706" s="14" t="s">
        <v>96</v>
      </c>
      <c r="I1706" s="15">
        <v>3</v>
      </c>
      <c r="J1706" s="15">
        <v>120</v>
      </c>
      <c r="K1706" s="15">
        <v>74.489999999999995</v>
      </c>
      <c r="L1706" s="15">
        <v>8938.8000000000011</v>
      </c>
      <c r="M1706" s="15">
        <v>-687.3900000000001</v>
      </c>
      <c r="N1706" s="15">
        <v>0</v>
      </c>
      <c r="O1706" s="15">
        <v>1072.685164</v>
      </c>
      <c r="P1706" s="15">
        <v>9324.0951640000003</v>
      </c>
    </row>
    <row r="1707" spans="1:16" ht="15" x14ac:dyDescent="0.2">
      <c r="A1707" s="4" t="s">
        <v>586</v>
      </c>
      <c r="B1707" s="21" t="str">
        <f t="shared" si="52"/>
        <v>Nov-2025</v>
      </c>
      <c r="C1707" s="2" t="str">
        <f t="shared" si="53"/>
        <v>Q3</v>
      </c>
      <c r="D1707" s="2" t="s">
        <v>31</v>
      </c>
      <c r="E1707" s="13">
        <v>45991</v>
      </c>
      <c r="F1707" s="14" t="s">
        <v>377</v>
      </c>
      <c r="G1707" s="14" t="s">
        <v>19</v>
      </c>
      <c r="H1707" s="14" t="s">
        <v>114</v>
      </c>
      <c r="I1707" s="15">
        <v>3</v>
      </c>
      <c r="J1707" s="15">
        <v>720</v>
      </c>
      <c r="K1707" s="15">
        <v>14.9</v>
      </c>
      <c r="L1707" s="15">
        <v>10728</v>
      </c>
      <c r="M1707" s="15">
        <v>-824.98</v>
      </c>
      <c r="N1707" s="15">
        <v>0</v>
      </c>
      <c r="O1707" s="15">
        <v>1287.3948359999999</v>
      </c>
      <c r="P1707" s="15">
        <v>11190.414836</v>
      </c>
    </row>
    <row r="1708" spans="1:16" ht="15" x14ac:dyDescent="0.2">
      <c r="A1708" s="4" t="s">
        <v>581</v>
      </c>
      <c r="B1708" s="21" t="str">
        <f t="shared" si="52"/>
        <v>Nov-2025</v>
      </c>
      <c r="C1708" s="2" t="str">
        <f t="shared" si="53"/>
        <v>Q3</v>
      </c>
      <c r="D1708" s="2" t="s">
        <v>31</v>
      </c>
      <c r="E1708" s="13">
        <v>45991</v>
      </c>
      <c r="F1708" s="14" t="s">
        <v>378</v>
      </c>
      <c r="G1708" s="14" t="s">
        <v>142</v>
      </c>
      <c r="H1708" s="14" t="s">
        <v>96</v>
      </c>
      <c r="I1708" s="15">
        <v>2</v>
      </c>
      <c r="J1708" s="15">
        <v>80</v>
      </c>
      <c r="K1708" s="15">
        <v>74.489999999999995</v>
      </c>
      <c r="L1708" s="15">
        <v>5959.2</v>
      </c>
      <c r="M1708" s="15">
        <v>-458.26</v>
      </c>
      <c r="N1708" s="15">
        <v>0</v>
      </c>
      <c r="O1708" s="15">
        <v>715.121308</v>
      </c>
      <c r="P1708" s="15">
        <v>6216.0613080000003</v>
      </c>
    </row>
    <row r="1709" spans="1:16" ht="15" x14ac:dyDescent="0.2">
      <c r="A1709" s="4" t="s">
        <v>592</v>
      </c>
      <c r="B1709" s="21" t="str">
        <f t="shared" si="52"/>
        <v>Nov-2025</v>
      </c>
      <c r="C1709" s="2" t="str">
        <f t="shared" si="53"/>
        <v>Q3</v>
      </c>
      <c r="D1709" s="2" t="s">
        <v>31</v>
      </c>
      <c r="E1709" s="13">
        <v>45991</v>
      </c>
      <c r="F1709" s="14" t="s">
        <v>378</v>
      </c>
      <c r="G1709" s="14" t="s">
        <v>142</v>
      </c>
      <c r="H1709" s="14" t="s">
        <v>115</v>
      </c>
      <c r="I1709" s="15">
        <v>3</v>
      </c>
      <c r="J1709" s="15">
        <v>150</v>
      </c>
      <c r="K1709" s="15">
        <v>89.39</v>
      </c>
      <c r="L1709" s="15">
        <v>13408.500000000002</v>
      </c>
      <c r="M1709" s="15">
        <v>-1031.1100000000001</v>
      </c>
      <c r="N1709" s="15">
        <v>0</v>
      </c>
      <c r="O1709" s="15">
        <v>1609.0586920000001</v>
      </c>
      <c r="P1709" s="15">
        <v>13986.448692</v>
      </c>
    </row>
    <row r="1710" spans="1:16" ht="15" x14ac:dyDescent="0.2">
      <c r="A1710" s="4" t="s">
        <v>573</v>
      </c>
      <c r="B1710" s="21" t="str">
        <f t="shared" si="52"/>
        <v>Nov-2025</v>
      </c>
      <c r="C1710" s="2" t="str">
        <f t="shared" si="53"/>
        <v>Q3</v>
      </c>
      <c r="D1710" s="2" t="s">
        <v>31</v>
      </c>
      <c r="E1710" s="13">
        <v>45991</v>
      </c>
      <c r="F1710" s="14" t="s">
        <v>379</v>
      </c>
      <c r="G1710" s="14" t="s">
        <v>380</v>
      </c>
      <c r="H1710" s="14" t="s">
        <v>138</v>
      </c>
      <c r="I1710" s="15">
        <v>1</v>
      </c>
      <c r="J1710" s="15">
        <v>40</v>
      </c>
      <c r="K1710" s="15">
        <v>111.74</v>
      </c>
      <c r="L1710" s="15">
        <v>4469.6000000000004</v>
      </c>
      <c r="M1710" s="15">
        <v>-343.71</v>
      </c>
      <c r="N1710" s="15">
        <v>0</v>
      </c>
      <c r="O1710" s="15">
        <v>536.36556500000006</v>
      </c>
      <c r="P1710" s="15">
        <v>4662.2555650000004</v>
      </c>
    </row>
    <row r="1711" spans="1:16" ht="15" x14ac:dyDescent="0.2">
      <c r="A1711" s="4" t="s">
        <v>589</v>
      </c>
      <c r="B1711" s="21" t="str">
        <f t="shared" si="52"/>
        <v>Nov-2025</v>
      </c>
      <c r="C1711" s="2" t="str">
        <f t="shared" si="53"/>
        <v>Q3</v>
      </c>
      <c r="D1711" s="2" t="s">
        <v>31</v>
      </c>
      <c r="E1711" s="13">
        <v>45991</v>
      </c>
      <c r="F1711" s="14" t="s">
        <v>379</v>
      </c>
      <c r="G1711" s="14" t="s">
        <v>380</v>
      </c>
      <c r="H1711" s="14" t="s">
        <v>98</v>
      </c>
      <c r="I1711" s="15">
        <v>1</v>
      </c>
      <c r="J1711" s="15">
        <v>60</v>
      </c>
      <c r="K1711" s="15">
        <v>145.26</v>
      </c>
      <c r="L1711" s="15">
        <v>8715.6</v>
      </c>
      <c r="M1711" s="15">
        <v>-670.23</v>
      </c>
      <c r="N1711" s="15">
        <v>0</v>
      </c>
      <c r="O1711" s="15">
        <v>1045.8978359999999</v>
      </c>
      <c r="P1711" s="15">
        <v>9091.2678360000009</v>
      </c>
    </row>
    <row r="1712" spans="1:16" ht="15" x14ac:dyDescent="0.2">
      <c r="A1712" s="4" t="s">
        <v>589</v>
      </c>
      <c r="B1712" s="21" t="str">
        <f t="shared" si="52"/>
        <v>Nov-2025</v>
      </c>
      <c r="C1712" s="2" t="str">
        <f t="shared" si="53"/>
        <v>Q3</v>
      </c>
      <c r="D1712" s="2" t="s">
        <v>31</v>
      </c>
      <c r="E1712" s="13">
        <v>45991</v>
      </c>
      <c r="F1712" s="14" t="s">
        <v>379</v>
      </c>
      <c r="G1712" s="14" t="s">
        <v>380</v>
      </c>
      <c r="H1712" s="14" t="s">
        <v>105</v>
      </c>
      <c r="I1712" s="15">
        <v>1</v>
      </c>
      <c r="J1712" s="15">
        <v>30</v>
      </c>
      <c r="K1712" s="15">
        <v>316.58999999999997</v>
      </c>
      <c r="L1712" s="15">
        <v>9497.6999999999989</v>
      </c>
      <c r="M1712" s="15">
        <v>-730.36999999999989</v>
      </c>
      <c r="N1712" s="15">
        <v>0</v>
      </c>
      <c r="O1712" s="15">
        <v>1139.752612</v>
      </c>
      <c r="P1712" s="15">
        <v>9907.0826120000002</v>
      </c>
    </row>
    <row r="1713" spans="1:16" ht="15" x14ac:dyDescent="0.2">
      <c r="A1713" s="4" t="s">
        <v>580</v>
      </c>
      <c r="B1713" s="21" t="str">
        <f t="shared" si="52"/>
        <v>Nov-2025</v>
      </c>
      <c r="C1713" s="2" t="str">
        <f t="shared" si="53"/>
        <v>Q3</v>
      </c>
      <c r="D1713" s="2" t="s">
        <v>31</v>
      </c>
      <c r="E1713" s="13">
        <v>45991</v>
      </c>
      <c r="F1713" s="14" t="s">
        <v>379</v>
      </c>
      <c r="G1713" s="14" t="s">
        <v>380</v>
      </c>
      <c r="H1713" s="14" t="s">
        <v>65</v>
      </c>
      <c r="I1713" s="15">
        <v>1</v>
      </c>
      <c r="J1713" s="15">
        <v>130</v>
      </c>
      <c r="K1713" s="15">
        <v>37.25</v>
      </c>
      <c r="L1713" s="15">
        <v>4842.5</v>
      </c>
      <c r="M1713" s="15">
        <v>-372.39</v>
      </c>
      <c r="N1713" s="15">
        <v>0</v>
      </c>
      <c r="O1713" s="15">
        <v>581.11415299999999</v>
      </c>
      <c r="P1713" s="15">
        <v>5051.2241530000001</v>
      </c>
    </row>
    <row r="1714" spans="1:16" ht="15" x14ac:dyDescent="0.2">
      <c r="A1714" s="4" t="s">
        <v>583</v>
      </c>
      <c r="B1714" s="21" t="str">
        <f t="shared" si="52"/>
        <v>Nov-2025</v>
      </c>
      <c r="C1714" s="2" t="str">
        <f t="shared" si="53"/>
        <v>Q3</v>
      </c>
      <c r="D1714" s="2" t="s">
        <v>31</v>
      </c>
      <c r="E1714" s="13">
        <v>45991</v>
      </c>
      <c r="F1714" s="14" t="s">
        <v>379</v>
      </c>
      <c r="G1714" s="14" t="s">
        <v>380</v>
      </c>
      <c r="H1714" s="14" t="s">
        <v>109</v>
      </c>
      <c r="I1714" s="15">
        <v>1</v>
      </c>
      <c r="J1714" s="15">
        <v>15</v>
      </c>
      <c r="K1714" s="15">
        <v>260.72000000000003</v>
      </c>
      <c r="L1714" s="15">
        <v>3910.8</v>
      </c>
      <c r="M1714" s="15">
        <v>-300.74</v>
      </c>
      <c r="N1714" s="15">
        <v>0</v>
      </c>
      <c r="O1714" s="15">
        <v>469.307682</v>
      </c>
      <c r="P1714" s="15">
        <v>4079.3676820000001</v>
      </c>
    </row>
    <row r="1715" spans="1:16" ht="15" x14ac:dyDescent="0.2">
      <c r="A1715" s="4" t="s">
        <v>584</v>
      </c>
      <c r="B1715" s="21" t="str">
        <f t="shared" si="52"/>
        <v>Nov-2025</v>
      </c>
      <c r="C1715" s="2" t="str">
        <f t="shared" si="53"/>
        <v>Q3</v>
      </c>
      <c r="D1715" s="2" t="s">
        <v>31</v>
      </c>
      <c r="E1715" s="13">
        <v>45991</v>
      </c>
      <c r="F1715" s="14" t="s">
        <v>379</v>
      </c>
      <c r="G1715" s="14" t="s">
        <v>380</v>
      </c>
      <c r="H1715" s="14" t="s">
        <v>99</v>
      </c>
      <c r="I1715" s="15">
        <v>1</v>
      </c>
      <c r="J1715" s="15">
        <v>40</v>
      </c>
      <c r="K1715" s="15">
        <v>81.94</v>
      </c>
      <c r="L1715" s="15">
        <v>3277.6</v>
      </c>
      <c r="M1715" s="15">
        <v>-252.05</v>
      </c>
      <c r="N1715" s="15">
        <v>0</v>
      </c>
      <c r="O1715" s="15">
        <v>393.32140100000004</v>
      </c>
      <c r="P1715" s="15">
        <v>3418.8714009999999</v>
      </c>
    </row>
    <row r="1716" spans="1:16" ht="15" x14ac:dyDescent="0.2">
      <c r="A1716" s="4" t="s">
        <v>586</v>
      </c>
      <c r="B1716" s="21" t="str">
        <f t="shared" si="52"/>
        <v>Nov-2025</v>
      </c>
      <c r="C1716" s="2" t="str">
        <f t="shared" si="53"/>
        <v>Q3</v>
      </c>
      <c r="D1716" s="2" t="s">
        <v>31</v>
      </c>
      <c r="E1716" s="13">
        <v>45991</v>
      </c>
      <c r="F1716" s="14" t="s">
        <v>379</v>
      </c>
      <c r="G1716" s="14" t="s">
        <v>380</v>
      </c>
      <c r="H1716" s="14" t="s">
        <v>103</v>
      </c>
      <c r="I1716" s="15">
        <v>1</v>
      </c>
      <c r="J1716" s="15">
        <v>600</v>
      </c>
      <c r="K1716" s="15">
        <v>7.46</v>
      </c>
      <c r="L1716" s="15">
        <v>4476</v>
      </c>
      <c r="M1716" s="15">
        <v>-344.2</v>
      </c>
      <c r="N1716" s="15">
        <v>0</v>
      </c>
      <c r="O1716" s="15">
        <v>537.13386400000002</v>
      </c>
      <c r="P1716" s="15">
        <v>4668.9338639999996</v>
      </c>
    </row>
    <row r="1717" spans="1:16" ht="15" x14ac:dyDescent="0.2">
      <c r="A1717" s="4" t="s">
        <v>581</v>
      </c>
      <c r="B1717" s="21" t="str">
        <f t="shared" si="52"/>
        <v>Nov-2025</v>
      </c>
      <c r="C1717" s="2" t="str">
        <f t="shared" si="53"/>
        <v>Q3</v>
      </c>
      <c r="D1717" s="2" t="s">
        <v>31</v>
      </c>
      <c r="E1717" s="13">
        <v>45991</v>
      </c>
      <c r="F1717" s="14" t="s">
        <v>379</v>
      </c>
      <c r="G1717" s="14" t="s">
        <v>380</v>
      </c>
      <c r="H1717" s="14" t="s">
        <v>125</v>
      </c>
      <c r="I1717" s="15">
        <v>1</v>
      </c>
      <c r="J1717" s="15">
        <v>800</v>
      </c>
      <c r="K1717" s="15">
        <v>7.46</v>
      </c>
      <c r="L1717" s="15">
        <v>5968</v>
      </c>
      <c r="M1717" s="15">
        <v>-458.94</v>
      </c>
      <c r="N1717" s="15">
        <v>0</v>
      </c>
      <c r="O1717" s="15">
        <v>716.17761899999994</v>
      </c>
      <c r="P1717" s="15">
        <v>6225.2376190000004</v>
      </c>
    </row>
    <row r="1718" spans="1:16" ht="15" x14ac:dyDescent="0.2">
      <c r="A1718" s="4" t="s">
        <v>576</v>
      </c>
      <c r="B1718" s="21" t="str">
        <f t="shared" si="52"/>
        <v>Nov-2025</v>
      </c>
      <c r="C1718" s="2" t="str">
        <f t="shared" si="53"/>
        <v>Q3</v>
      </c>
      <c r="D1718" s="2" t="s">
        <v>31</v>
      </c>
      <c r="E1718" s="13">
        <v>45991</v>
      </c>
      <c r="F1718" s="14" t="s">
        <v>379</v>
      </c>
      <c r="G1718" s="14" t="s">
        <v>380</v>
      </c>
      <c r="H1718" s="14" t="s">
        <v>110</v>
      </c>
      <c r="I1718" s="15">
        <v>1</v>
      </c>
      <c r="J1718" s="15">
        <v>20</v>
      </c>
      <c r="K1718" s="15">
        <v>175.06</v>
      </c>
      <c r="L1718" s="15">
        <v>3501.2</v>
      </c>
      <c r="M1718" s="15">
        <v>-269.24</v>
      </c>
      <c r="N1718" s="15">
        <v>0</v>
      </c>
      <c r="O1718" s="15">
        <v>420.15469399999995</v>
      </c>
      <c r="P1718" s="15">
        <v>3652.1146939999999</v>
      </c>
    </row>
    <row r="1719" spans="1:16" ht="15" x14ac:dyDescent="0.2">
      <c r="A1719" s="4" t="s">
        <v>593</v>
      </c>
      <c r="B1719" s="21" t="str">
        <f t="shared" si="52"/>
        <v>Nov-2025</v>
      </c>
      <c r="C1719" s="2" t="str">
        <f t="shared" si="53"/>
        <v>Q3</v>
      </c>
      <c r="D1719" s="2" t="s">
        <v>31</v>
      </c>
      <c r="E1719" s="13">
        <v>45991</v>
      </c>
      <c r="F1719" s="14" t="s">
        <v>379</v>
      </c>
      <c r="G1719" s="14" t="s">
        <v>380</v>
      </c>
      <c r="H1719" s="14" t="s">
        <v>117</v>
      </c>
      <c r="I1719" s="15">
        <v>10</v>
      </c>
      <c r="J1719" s="15">
        <v>40</v>
      </c>
      <c r="K1719" s="15">
        <v>595.92999999999995</v>
      </c>
      <c r="L1719" s="15">
        <v>23837.200000000001</v>
      </c>
      <c r="M1719" s="15">
        <v>-1833.08</v>
      </c>
      <c r="N1719" s="15">
        <v>0</v>
      </c>
      <c r="O1719" s="15">
        <v>2860.5348779999999</v>
      </c>
      <c r="P1719" s="15">
        <v>24864.654878000001</v>
      </c>
    </row>
    <row r="1720" spans="1:16" ht="15" x14ac:dyDescent="0.2">
      <c r="A1720" s="4" t="s">
        <v>581</v>
      </c>
      <c r="B1720" s="21" t="str">
        <f t="shared" si="52"/>
        <v>Nov-2025</v>
      </c>
      <c r="C1720" s="2" t="str">
        <f t="shared" si="53"/>
        <v>Q3</v>
      </c>
      <c r="D1720" s="2" t="s">
        <v>31</v>
      </c>
      <c r="E1720" s="13">
        <v>45991</v>
      </c>
      <c r="F1720" s="14" t="s">
        <v>379</v>
      </c>
      <c r="G1720" s="14" t="s">
        <v>380</v>
      </c>
      <c r="H1720" s="14" t="s">
        <v>96</v>
      </c>
      <c r="I1720" s="15">
        <v>1</v>
      </c>
      <c r="J1720" s="15">
        <v>40</v>
      </c>
      <c r="K1720" s="15">
        <v>74.489999999999995</v>
      </c>
      <c r="L1720" s="15">
        <v>2979.6</v>
      </c>
      <c r="M1720" s="15">
        <v>-229.13</v>
      </c>
      <c r="N1720" s="15">
        <v>0</v>
      </c>
      <c r="O1720" s="15">
        <v>357.56101000000001</v>
      </c>
      <c r="P1720" s="15">
        <v>3108.0310100000002</v>
      </c>
    </row>
    <row r="1721" spans="1:16" ht="15" x14ac:dyDescent="0.2">
      <c r="A1721" s="4" t="s">
        <v>590</v>
      </c>
      <c r="B1721" s="21" t="str">
        <f t="shared" si="52"/>
        <v>Nov-2025</v>
      </c>
      <c r="C1721" s="2" t="str">
        <f t="shared" si="53"/>
        <v>Q3</v>
      </c>
      <c r="D1721" s="2" t="s">
        <v>31</v>
      </c>
      <c r="E1721" s="13">
        <v>45991</v>
      </c>
      <c r="F1721" s="14" t="s">
        <v>379</v>
      </c>
      <c r="G1721" s="14" t="s">
        <v>380</v>
      </c>
      <c r="H1721" s="14" t="s">
        <v>102</v>
      </c>
      <c r="I1721" s="15">
        <v>5</v>
      </c>
      <c r="J1721" s="15">
        <v>100</v>
      </c>
      <c r="K1721" s="15">
        <v>249.55</v>
      </c>
      <c r="L1721" s="15">
        <v>24955</v>
      </c>
      <c r="M1721" s="15">
        <v>-1919.04</v>
      </c>
      <c r="N1721" s="15">
        <v>0</v>
      </c>
      <c r="O1721" s="15">
        <v>2994.6740439999999</v>
      </c>
      <c r="P1721" s="15">
        <v>26030.634043999999</v>
      </c>
    </row>
    <row r="1722" spans="1:16" ht="15" x14ac:dyDescent="0.2">
      <c r="A1722" s="4" t="s">
        <v>584</v>
      </c>
      <c r="B1722" s="21" t="str">
        <f t="shared" si="52"/>
        <v>Nov-2025</v>
      </c>
      <c r="C1722" s="2" t="str">
        <f t="shared" si="53"/>
        <v>Q3</v>
      </c>
      <c r="D1722" s="2" t="s">
        <v>31</v>
      </c>
      <c r="E1722" s="13">
        <v>45991</v>
      </c>
      <c r="F1722" s="14" t="s">
        <v>379</v>
      </c>
      <c r="G1722" s="14" t="s">
        <v>380</v>
      </c>
      <c r="H1722" s="14" t="s">
        <v>120</v>
      </c>
      <c r="I1722" s="15">
        <v>1</v>
      </c>
      <c r="J1722" s="15">
        <v>40</v>
      </c>
      <c r="K1722" s="15">
        <v>81.94</v>
      </c>
      <c r="L1722" s="15">
        <v>3277.6</v>
      </c>
      <c r="M1722" s="15">
        <v>-252.05</v>
      </c>
      <c r="N1722" s="15">
        <v>0</v>
      </c>
      <c r="O1722" s="15">
        <v>393.32140100000004</v>
      </c>
      <c r="P1722" s="15">
        <v>3418.8714009999999</v>
      </c>
    </row>
    <row r="1723" spans="1:16" ht="15" x14ac:dyDescent="0.2">
      <c r="A1723" s="4" t="s">
        <v>573</v>
      </c>
      <c r="B1723" s="21" t="str">
        <f t="shared" si="52"/>
        <v>Nov-2025</v>
      </c>
      <c r="C1723" s="2" t="str">
        <f t="shared" si="53"/>
        <v>Q3</v>
      </c>
      <c r="D1723" s="2" t="s">
        <v>31</v>
      </c>
      <c r="E1723" s="13">
        <v>45991</v>
      </c>
      <c r="F1723" s="14" t="s">
        <v>379</v>
      </c>
      <c r="G1723" s="14" t="s">
        <v>380</v>
      </c>
      <c r="H1723" s="14" t="s">
        <v>111</v>
      </c>
      <c r="I1723" s="15">
        <v>1</v>
      </c>
      <c r="J1723" s="15">
        <v>40</v>
      </c>
      <c r="K1723" s="15">
        <v>111.74</v>
      </c>
      <c r="L1723" s="15">
        <v>4469.6000000000004</v>
      </c>
      <c r="M1723" s="15">
        <v>-343.71</v>
      </c>
      <c r="N1723" s="15">
        <v>0</v>
      </c>
      <c r="O1723" s="15">
        <v>536.36556500000006</v>
      </c>
      <c r="P1723" s="15">
        <v>4662.2555650000004</v>
      </c>
    </row>
    <row r="1724" spans="1:16" ht="15" x14ac:dyDescent="0.2">
      <c r="A1724" s="4" t="s">
        <v>583</v>
      </c>
      <c r="B1724" s="21" t="str">
        <f t="shared" si="52"/>
        <v>Nov-2025</v>
      </c>
      <c r="C1724" s="2" t="str">
        <f t="shared" si="53"/>
        <v>Q3</v>
      </c>
      <c r="D1724" s="2" t="s">
        <v>31</v>
      </c>
      <c r="E1724" s="13">
        <v>45991</v>
      </c>
      <c r="F1724" s="14" t="s">
        <v>379</v>
      </c>
      <c r="G1724" s="14" t="s">
        <v>380</v>
      </c>
      <c r="H1724" s="14" t="s">
        <v>113</v>
      </c>
      <c r="I1724" s="15">
        <v>1</v>
      </c>
      <c r="J1724" s="15">
        <v>15</v>
      </c>
      <c r="K1724" s="15">
        <v>260.72000000000003</v>
      </c>
      <c r="L1724" s="15">
        <v>3910.8</v>
      </c>
      <c r="M1724" s="15">
        <v>-300.74</v>
      </c>
      <c r="N1724" s="15">
        <v>0</v>
      </c>
      <c r="O1724" s="15">
        <v>469.307682</v>
      </c>
      <c r="P1724" s="15">
        <v>4079.3676820000001</v>
      </c>
    </row>
    <row r="1725" spans="1:16" ht="15" x14ac:dyDescent="0.2">
      <c r="A1725" s="4" t="s">
        <v>576</v>
      </c>
      <c r="B1725" s="21" t="str">
        <f t="shared" si="52"/>
        <v>Nov-2025</v>
      </c>
      <c r="C1725" s="2" t="str">
        <f t="shared" si="53"/>
        <v>Q3</v>
      </c>
      <c r="D1725" s="2" t="s">
        <v>31</v>
      </c>
      <c r="E1725" s="13">
        <v>45991</v>
      </c>
      <c r="F1725" s="14" t="s">
        <v>379</v>
      </c>
      <c r="G1725" s="14" t="s">
        <v>380</v>
      </c>
      <c r="H1725" s="14" t="s">
        <v>124</v>
      </c>
      <c r="I1725" s="15">
        <v>1</v>
      </c>
      <c r="J1725" s="15">
        <v>20</v>
      </c>
      <c r="K1725" s="15">
        <v>175.05</v>
      </c>
      <c r="L1725" s="15">
        <v>3500.9999999999995</v>
      </c>
      <c r="M1725" s="15">
        <v>-269.23</v>
      </c>
      <c r="N1725" s="15">
        <v>0</v>
      </c>
      <c r="O1725" s="15">
        <v>420.12999400000001</v>
      </c>
      <c r="P1725" s="15">
        <v>3651.8999939999999</v>
      </c>
    </row>
    <row r="1726" spans="1:16" ht="15" x14ac:dyDescent="0.2">
      <c r="A1726" s="4" t="s">
        <v>586</v>
      </c>
      <c r="B1726" s="21" t="str">
        <f t="shared" si="52"/>
        <v>Nov-2025</v>
      </c>
      <c r="C1726" s="2" t="str">
        <f t="shared" si="53"/>
        <v>Q3</v>
      </c>
      <c r="D1726" s="2" t="s">
        <v>31</v>
      </c>
      <c r="E1726" s="13">
        <v>45991</v>
      </c>
      <c r="F1726" s="14" t="s">
        <v>381</v>
      </c>
      <c r="G1726" s="14" t="s">
        <v>380</v>
      </c>
      <c r="H1726" s="14" t="s">
        <v>114</v>
      </c>
      <c r="I1726" s="15">
        <v>1</v>
      </c>
      <c r="J1726" s="15">
        <v>240</v>
      </c>
      <c r="K1726" s="15">
        <v>14.9</v>
      </c>
      <c r="L1726" s="15">
        <v>3576</v>
      </c>
      <c r="M1726" s="15">
        <v>-274.99</v>
      </c>
      <c r="N1726" s="15">
        <v>0</v>
      </c>
      <c r="O1726" s="15">
        <v>429.131011</v>
      </c>
      <c r="P1726" s="15">
        <v>3730.1410110000002</v>
      </c>
    </row>
    <row r="1727" spans="1:16" ht="15" x14ac:dyDescent="0.2">
      <c r="A1727" s="4" t="s">
        <v>582</v>
      </c>
      <c r="B1727" s="21" t="str">
        <f t="shared" si="52"/>
        <v>Nov-2025</v>
      </c>
      <c r="C1727" s="2" t="str">
        <f t="shared" si="53"/>
        <v>Q3</v>
      </c>
      <c r="D1727" s="2" t="s">
        <v>31</v>
      </c>
      <c r="E1727" s="13">
        <v>45991</v>
      </c>
      <c r="F1727" s="14" t="s">
        <v>381</v>
      </c>
      <c r="G1727" s="14" t="s">
        <v>380</v>
      </c>
      <c r="H1727" s="14" t="s">
        <v>77</v>
      </c>
      <c r="I1727" s="15">
        <v>1</v>
      </c>
      <c r="J1727" s="15">
        <v>24</v>
      </c>
      <c r="K1727" s="15">
        <v>204.85</v>
      </c>
      <c r="L1727" s="15">
        <v>4916.4000000000005</v>
      </c>
      <c r="M1727" s="15">
        <v>-378.07</v>
      </c>
      <c r="N1727" s="15">
        <v>0</v>
      </c>
      <c r="O1727" s="15">
        <v>589.98250299999995</v>
      </c>
      <c r="P1727" s="15">
        <v>5128.3125030000001</v>
      </c>
    </row>
    <row r="1728" spans="1:16" ht="15" x14ac:dyDescent="0.2">
      <c r="A1728" s="4" t="s">
        <v>580</v>
      </c>
      <c r="B1728" s="21" t="str">
        <f t="shared" si="52"/>
        <v>Nov-2025</v>
      </c>
      <c r="C1728" s="2" t="str">
        <f t="shared" si="53"/>
        <v>Q3</v>
      </c>
      <c r="D1728" s="2" t="s">
        <v>31</v>
      </c>
      <c r="E1728" s="13">
        <v>45991</v>
      </c>
      <c r="F1728" s="14" t="s">
        <v>381</v>
      </c>
      <c r="G1728" s="14" t="s">
        <v>380</v>
      </c>
      <c r="H1728" s="14" t="s">
        <v>89</v>
      </c>
      <c r="I1728" s="15">
        <v>5</v>
      </c>
      <c r="J1728" s="15">
        <v>350</v>
      </c>
      <c r="K1728" s="15">
        <v>37.25</v>
      </c>
      <c r="L1728" s="15">
        <v>13037.5</v>
      </c>
      <c r="M1728" s="15">
        <v>-1002.58</v>
      </c>
      <c r="N1728" s="15">
        <v>0</v>
      </c>
      <c r="O1728" s="15">
        <v>1564.538546</v>
      </c>
      <c r="P1728" s="15">
        <v>13599.458546</v>
      </c>
    </row>
    <row r="1729" spans="1:16" ht="15" x14ac:dyDescent="0.2">
      <c r="A1729" s="4" t="s">
        <v>581</v>
      </c>
      <c r="B1729" s="21" t="str">
        <f t="shared" si="52"/>
        <v>Nov-2025</v>
      </c>
      <c r="C1729" s="2" t="str">
        <f t="shared" si="53"/>
        <v>Q3</v>
      </c>
      <c r="D1729" s="2" t="s">
        <v>31</v>
      </c>
      <c r="E1729" s="13">
        <v>45991</v>
      </c>
      <c r="F1729" s="14" t="s">
        <v>381</v>
      </c>
      <c r="G1729" s="14" t="s">
        <v>380</v>
      </c>
      <c r="H1729" s="14" t="s">
        <v>66</v>
      </c>
      <c r="I1729" s="15">
        <v>1</v>
      </c>
      <c r="J1729" s="15">
        <v>24</v>
      </c>
      <c r="K1729" s="15">
        <v>141.54</v>
      </c>
      <c r="L1729" s="15">
        <v>3396.96</v>
      </c>
      <c r="M1729" s="15">
        <v>-261.23</v>
      </c>
      <c r="N1729" s="15">
        <v>0</v>
      </c>
      <c r="O1729" s="15">
        <v>407.64462500000002</v>
      </c>
      <c r="P1729" s="15">
        <v>3543.3746249999999</v>
      </c>
    </row>
    <row r="1730" spans="1:16" ht="15" x14ac:dyDescent="0.2">
      <c r="A1730" s="4" t="s">
        <v>592</v>
      </c>
      <c r="B1730" s="21" t="str">
        <f t="shared" si="52"/>
        <v>Nov-2025</v>
      </c>
      <c r="C1730" s="2" t="str">
        <f t="shared" si="53"/>
        <v>Q3</v>
      </c>
      <c r="D1730" s="2" t="s">
        <v>31</v>
      </c>
      <c r="E1730" s="13">
        <v>45991</v>
      </c>
      <c r="F1730" s="14" t="s">
        <v>381</v>
      </c>
      <c r="G1730" s="14" t="s">
        <v>380</v>
      </c>
      <c r="H1730" s="14" t="s">
        <v>115</v>
      </c>
      <c r="I1730" s="15">
        <v>2</v>
      </c>
      <c r="J1730" s="15">
        <v>100</v>
      </c>
      <c r="K1730" s="15">
        <v>89.39</v>
      </c>
      <c r="L1730" s="15">
        <v>8939</v>
      </c>
      <c r="M1730" s="15">
        <v>-687.41</v>
      </c>
      <c r="N1730" s="15">
        <v>0</v>
      </c>
      <c r="O1730" s="15">
        <v>1072.7059770000001</v>
      </c>
      <c r="P1730" s="15">
        <v>9324.2959769999998</v>
      </c>
    </row>
    <row r="1731" spans="1:16" ht="15" x14ac:dyDescent="0.2">
      <c r="A1731" s="4" t="s">
        <v>586</v>
      </c>
      <c r="B1731" s="21" t="str">
        <f t="shared" ref="B1731:B1794" si="54">+TEXT(E1731,"MMM-yyy")</f>
        <v>Nov-2025</v>
      </c>
      <c r="C1731" s="2" t="str">
        <f t="shared" ref="C1731:C1794" si="55">"Q" &amp; CHOOSE(MONTH(E1731),4,4,4,1,1,1,2,2,2,3,3,3)</f>
        <v>Q3</v>
      </c>
      <c r="D1731" s="2" t="s">
        <v>31</v>
      </c>
      <c r="E1731" s="13">
        <v>45991</v>
      </c>
      <c r="F1731" s="14" t="s">
        <v>381</v>
      </c>
      <c r="G1731" s="14" t="s">
        <v>380</v>
      </c>
      <c r="H1731" s="14" t="s">
        <v>76</v>
      </c>
      <c r="I1731" s="15">
        <v>1</v>
      </c>
      <c r="J1731" s="15">
        <v>240</v>
      </c>
      <c r="K1731" s="15">
        <v>14.9</v>
      </c>
      <c r="L1731" s="15">
        <v>3576</v>
      </c>
      <c r="M1731" s="15">
        <v>-274.99</v>
      </c>
      <c r="N1731" s="15">
        <v>0</v>
      </c>
      <c r="O1731" s="15">
        <v>429.131011</v>
      </c>
      <c r="P1731" s="15">
        <v>3730.1410110000002</v>
      </c>
    </row>
    <row r="1732" spans="1:16" ht="15" x14ac:dyDescent="0.2">
      <c r="A1732" s="4" t="s">
        <v>585</v>
      </c>
      <c r="B1732" s="21" t="str">
        <f t="shared" si="54"/>
        <v>Nov-2025</v>
      </c>
      <c r="C1732" s="2" t="str">
        <f t="shared" si="55"/>
        <v>Q3</v>
      </c>
      <c r="D1732" s="2" t="s">
        <v>31</v>
      </c>
      <c r="E1732" s="13">
        <v>45991</v>
      </c>
      <c r="F1732" s="14" t="s">
        <v>381</v>
      </c>
      <c r="G1732" s="14" t="s">
        <v>380</v>
      </c>
      <c r="H1732" s="14" t="s">
        <v>180</v>
      </c>
      <c r="I1732" s="15">
        <v>1</v>
      </c>
      <c r="J1732" s="15">
        <v>1000</v>
      </c>
      <c r="K1732" s="15">
        <v>1.86</v>
      </c>
      <c r="L1732" s="15">
        <v>1860</v>
      </c>
      <c r="M1732" s="15">
        <v>-143.03</v>
      </c>
      <c r="N1732" s="15">
        <v>0</v>
      </c>
      <c r="O1732" s="15">
        <v>223.20595</v>
      </c>
      <c r="P1732" s="15">
        <v>1940.1759500000001</v>
      </c>
    </row>
    <row r="1733" spans="1:16" ht="15" x14ac:dyDescent="0.2">
      <c r="A1733" s="4" t="s">
        <v>586</v>
      </c>
      <c r="B1733" s="21" t="str">
        <f t="shared" si="54"/>
        <v>Nov-2025</v>
      </c>
      <c r="C1733" s="2" t="str">
        <f t="shared" si="55"/>
        <v>Q3</v>
      </c>
      <c r="D1733" s="2" t="s">
        <v>31</v>
      </c>
      <c r="E1733" s="13">
        <v>45991</v>
      </c>
      <c r="F1733" s="14" t="s">
        <v>381</v>
      </c>
      <c r="G1733" s="14" t="s">
        <v>380</v>
      </c>
      <c r="H1733" s="14" t="s">
        <v>78</v>
      </c>
      <c r="I1733" s="15">
        <v>1</v>
      </c>
      <c r="J1733" s="15">
        <v>600</v>
      </c>
      <c r="K1733" s="15">
        <v>7.46</v>
      </c>
      <c r="L1733" s="15">
        <v>4476</v>
      </c>
      <c r="M1733" s="15">
        <v>-344.2</v>
      </c>
      <c r="N1733" s="15">
        <v>0</v>
      </c>
      <c r="O1733" s="15">
        <v>537.13363800000002</v>
      </c>
      <c r="P1733" s="15">
        <v>4668.9336380000004</v>
      </c>
    </row>
    <row r="1734" spans="1:16" ht="15" x14ac:dyDescent="0.2">
      <c r="A1734" s="4" t="s">
        <v>582</v>
      </c>
      <c r="B1734" s="21" t="str">
        <f t="shared" si="54"/>
        <v>Nov-2025</v>
      </c>
      <c r="C1734" s="2" t="str">
        <f t="shared" si="55"/>
        <v>Q3</v>
      </c>
      <c r="D1734" s="2" t="s">
        <v>31</v>
      </c>
      <c r="E1734" s="13">
        <v>45991</v>
      </c>
      <c r="F1734" s="14" t="s">
        <v>381</v>
      </c>
      <c r="G1734" s="14" t="s">
        <v>380</v>
      </c>
      <c r="H1734" s="14" t="s">
        <v>108</v>
      </c>
      <c r="I1734" s="15">
        <v>1</v>
      </c>
      <c r="J1734" s="15">
        <v>24</v>
      </c>
      <c r="K1734" s="15">
        <v>186.22</v>
      </c>
      <c r="L1734" s="15">
        <v>4469.3599999999997</v>
      </c>
      <c r="M1734" s="15">
        <v>-343.69</v>
      </c>
      <c r="N1734" s="15">
        <v>0</v>
      </c>
      <c r="O1734" s="15">
        <v>536.33673899999997</v>
      </c>
      <c r="P1734" s="15">
        <v>4662.0067390000004</v>
      </c>
    </row>
    <row r="1735" spans="1:16" ht="15" x14ac:dyDescent="0.2">
      <c r="A1735" s="4" t="s">
        <v>581</v>
      </c>
      <c r="B1735" s="21" t="str">
        <f t="shared" si="54"/>
        <v>Nov-2025</v>
      </c>
      <c r="C1735" s="2" t="str">
        <f t="shared" si="55"/>
        <v>Q3</v>
      </c>
      <c r="D1735" s="2" t="s">
        <v>31</v>
      </c>
      <c r="E1735" s="13">
        <v>45991</v>
      </c>
      <c r="F1735" s="14" t="s">
        <v>382</v>
      </c>
      <c r="G1735" s="14" t="s">
        <v>23</v>
      </c>
      <c r="H1735" s="14" t="s">
        <v>96</v>
      </c>
      <c r="I1735" s="15">
        <v>2</v>
      </c>
      <c r="J1735" s="15">
        <v>80</v>
      </c>
      <c r="K1735" s="15">
        <v>74.489999999999995</v>
      </c>
      <c r="L1735" s="15">
        <v>5959.2</v>
      </c>
      <c r="M1735" s="15">
        <v>-458.26</v>
      </c>
      <c r="N1735" s="15">
        <v>0</v>
      </c>
      <c r="O1735" s="15">
        <v>715.12255299999993</v>
      </c>
      <c r="P1735" s="15">
        <v>6216.0625529999998</v>
      </c>
    </row>
    <row r="1736" spans="1:16" ht="15" x14ac:dyDescent="0.2">
      <c r="A1736" s="4" t="s">
        <v>586</v>
      </c>
      <c r="B1736" s="21" t="str">
        <f t="shared" si="54"/>
        <v>Nov-2025</v>
      </c>
      <c r="C1736" s="2" t="str">
        <f t="shared" si="55"/>
        <v>Q3</v>
      </c>
      <c r="D1736" s="2" t="s">
        <v>31</v>
      </c>
      <c r="E1736" s="13">
        <v>45991</v>
      </c>
      <c r="F1736" s="14" t="s">
        <v>382</v>
      </c>
      <c r="G1736" s="14" t="s">
        <v>23</v>
      </c>
      <c r="H1736" s="14" t="s">
        <v>78</v>
      </c>
      <c r="I1736" s="15">
        <v>5</v>
      </c>
      <c r="J1736" s="15">
        <v>3000</v>
      </c>
      <c r="K1736" s="15">
        <v>7.46</v>
      </c>
      <c r="L1736" s="15">
        <v>22380</v>
      </c>
      <c r="M1736" s="15">
        <v>-1721.0200000000002</v>
      </c>
      <c r="N1736" s="15">
        <v>0</v>
      </c>
      <c r="O1736" s="15">
        <v>2685.668725</v>
      </c>
      <c r="P1736" s="15">
        <v>23344.648724999999</v>
      </c>
    </row>
    <row r="1737" spans="1:16" ht="15" x14ac:dyDescent="0.2">
      <c r="A1737" s="4" t="s">
        <v>592</v>
      </c>
      <c r="B1737" s="21" t="str">
        <f t="shared" si="54"/>
        <v>Nov-2025</v>
      </c>
      <c r="C1737" s="2" t="str">
        <f t="shared" si="55"/>
        <v>Q3</v>
      </c>
      <c r="D1737" s="2" t="s">
        <v>31</v>
      </c>
      <c r="E1737" s="13">
        <v>45991</v>
      </c>
      <c r="F1737" s="14" t="s">
        <v>382</v>
      </c>
      <c r="G1737" s="14" t="s">
        <v>23</v>
      </c>
      <c r="H1737" s="14" t="s">
        <v>115</v>
      </c>
      <c r="I1737" s="15">
        <v>5</v>
      </c>
      <c r="J1737" s="15">
        <v>250</v>
      </c>
      <c r="K1737" s="15">
        <v>89.39</v>
      </c>
      <c r="L1737" s="15">
        <v>22347.5</v>
      </c>
      <c r="M1737" s="15">
        <v>-1718.52</v>
      </c>
      <c r="N1737" s="15">
        <v>0</v>
      </c>
      <c r="O1737" s="15">
        <v>2681.7687230000001</v>
      </c>
      <c r="P1737" s="15">
        <v>23310.748723000001</v>
      </c>
    </row>
    <row r="1738" spans="1:16" ht="15" x14ac:dyDescent="0.2">
      <c r="A1738" s="4" t="s">
        <v>582</v>
      </c>
      <c r="B1738" s="21" t="str">
        <f t="shared" si="54"/>
        <v>Nov-2025</v>
      </c>
      <c r="C1738" s="2" t="str">
        <f t="shared" si="55"/>
        <v>Q3</v>
      </c>
      <c r="D1738" s="2" t="s">
        <v>31</v>
      </c>
      <c r="E1738" s="13">
        <v>45991</v>
      </c>
      <c r="F1738" s="14" t="s">
        <v>383</v>
      </c>
      <c r="G1738" s="14" t="s">
        <v>20</v>
      </c>
      <c r="H1738" s="14" t="s">
        <v>77</v>
      </c>
      <c r="I1738" s="15">
        <v>2</v>
      </c>
      <c r="J1738" s="15">
        <v>48</v>
      </c>
      <c r="K1738" s="15">
        <v>204.85</v>
      </c>
      <c r="L1738" s="15">
        <v>9832.8000000000011</v>
      </c>
      <c r="M1738" s="15">
        <v>-756.14</v>
      </c>
      <c r="N1738" s="15">
        <v>0</v>
      </c>
      <c r="O1738" s="15">
        <v>1179.9672800000001</v>
      </c>
      <c r="P1738" s="15">
        <v>10256.627280000001</v>
      </c>
    </row>
    <row r="1739" spans="1:16" ht="15" x14ac:dyDescent="0.2">
      <c r="A1739" s="4" t="s">
        <v>586</v>
      </c>
      <c r="B1739" s="21" t="str">
        <f t="shared" si="54"/>
        <v>Nov-2025</v>
      </c>
      <c r="C1739" s="2" t="str">
        <f t="shared" si="55"/>
        <v>Q3</v>
      </c>
      <c r="D1739" s="2" t="s">
        <v>31</v>
      </c>
      <c r="E1739" s="13">
        <v>45991</v>
      </c>
      <c r="F1739" s="14" t="s">
        <v>383</v>
      </c>
      <c r="G1739" s="14" t="s">
        <v>20</v>
      </c>
      <c r="H1739" s="14" t="s">
        <v>103</v>
      </c>
      <c r="I1739" s="15">
        <v>2</v>
      </c>
      <c r="J1739" s="15">
        <v>1200</v>
      </c>
      <c r="K1739" s="15">
        <v>7.46</v>
      </c>
      <c r="L1739" s="15">
        <v>8952</v>
      </c>
      <c r="M1739" s="15">
        <v>-688.41</v>
      </c>
      <c r="N1739" s="15">
        <v>0</v>
      </c>
      <c r="O1739" s="15">
        <v>1074.268047</v>
      </c>
      <c r="P1739" s="15">
        <v>9337.8580469999997</v>
      </c>
    </row>
    <row r="1740" spans="1:16" ht="15" x14ac:dyDescent="0.2">
      <c r="A1740" s="4" t="s">
        <v>586</v>
      </c>
      <c r="B1740" s="21" t="str">
        <f t="shared" si="54"/>
        <v>Nov-2025</v>
      </c>
      <c r="C1740" s="2" t="str">
        <f t="shared" si="55"/>
        <v>Q3</v>
      </c>
      <c r="D1740" s="2" t="s">
        <v>31</v>
      </c>
      <c r="E1740" s="13">
        <v>45991</v>
      </c>
      <c r="F1740" s="14" t="s">
        <v>383</v>
      </c>
      <c r="G1740" s="14" t="s">
        <v>20</v>
      </c>
      <c r="H1740" s="14" t="s">
        <v>78</v>
      </c>
      <c r="I1740" s="15">
        <v>1</v>
      </c>
      <c r="J1740" s="15">
        <v>600</v>
      </c>
      <c r="K1740" s="15">
        <v>7.46</v>
      </c>
      <c r="L1740" s="15">
        <v>4476</v>
      </c>
      <c r="M1740" s="15">
        <v>-344.2</v>
      </c>
      <c r="N1740" s="15">
        <v>0</v>
      </c>
      <c r="O1740" s="15">
        <v>537.13467300000002</v>
      </c>
      <c r="P1740" s="15">
        <v>4668.9346729999997</v>
      </c>
    </row>
    <row r="1741" spans="1:16" ht="15" x14ac:dyDescent="0.2">
      <c r="A1741" s="4" t="s">
        <v>581</v>
      </c>
      <c r="B1741" s="21" t="str">
        <f t="shared" si="54"/>
        <v>Nov-2025</v>
      </c>
      <c r="C1741" s="2" t="str">
        <f t="shared" si="55"/>
        <v>Q3</v>
      </c>
      <c r="D1741" s="2" t="s">
        <v>31</v>
      </c>
      <c r="E1741" s="13">
        <v>45991</v>
      </c>
      <c r="F1741" s="14" t="s">
        <v>384</v>
      </c>
      <c r="G1741" s="14" t="s">
        <v>17</v>
      </c>
      <c r="H1741" s="14" t="s">
        <v>96</v>
      </c>
      <c r="I1741" s="15">
        <v>2</v>
      </c>
      <c r="J1741" s="15">
        <v>80</v>
      </c>
      <c r="K1741" s="15">
        <v>74.489999999999995</v>
      </c>
      <c r="L1741" s="15">
        <v>5959.2</v>
      </c>
      <c r="M1741" s="15">
        <v>-458.26</v>
      </c>
      <c r="N1741" s="15">
        <v>0</v>
      </c>
      <c r="O1741" s="15">
        <v>715.12</v>
      </c>
      <c r="P1741" s="15">
        <v>6216.06</v>
      </c>
    </row>
    <row r="1742" spans="1:16" ht="15" x14ac:dyDescent="0.2">
      <c r="A1742" s="4" t="s">
        <v>580</v>
      </c>
      <c r="B1742" s="21" t="str">
        <f t="shared" si="54"/>
        <v>Nov-2025</v>
      </c>
      <c r="C1742" s="2" t="str">
        <f t="shared" si="55"/>
        <v>Q3</v>
      </c>
      <c r="D1742" s="2" t="s">
        <v>31</v>
      </c>
      <c r="E1742" s="13">
        <v>45991</v>
      </c>
      <c r="F1742" s="14" t="s">
        <v>385</v>
      </c>
      <c r="G1742" s="14" t="s">
        <v>386</v>
      </c>
      <c r="H1742" s="14" t="s">
        <v>89</v>
      </c>
      <c r="I1742" s="15">
        <v>14</v>
      </c>
      <c r="J1742" s="15">
        <v>980</v>
      </c>
      <c r="K1742" s="15">
        <v>33.19</v>
      </c>
      <c r="L1742" s="15">
        <v>32526.2</v>
      </c>
      <c r="M1742" s="15">
        <v>0</v>
      </c>
      <c r="N1742" s="15">
        <v>0</v>
      </c>
      <c r="O1742" s="15">
        <v>4228.406121</v>
      </c>
      <c r="P1742" s="15">
        <v>36754.606120999997</v>
      </c>
    </row>
    <row r="1743" spans="1:16" ht="15" x14ac:dyDescent="0.2">
      <c r="A1743" s="4" t="s">
        <v>579</v>
      </c>
      <c r="B1743" s="21" t="str">
        <f t="shared" si="54"/>
        <v>Nov-2025</v>
      </c>
      <c r="C1743" s="2" t="str">
        <f t="shared" si="55"/>
        <v>Q3</v>
      </c>
      <c r="D1743" s="2" t="s">
        <v>31</v>
      </c>
      <c r="E1743" s="13">
        <v>45991</v>
      </c>
      <c r="F1743" s="14" t="s">
        <v>385</v>
      </c>
      <c r="G1743" s="14" t="s">
        <v>386</v>
      </c>
      <c r="H1743" s="14" t="s">
        <v>91</v>
      </c>
      <c r="I1743" s="15">
        <v>33</v>
      </c>
      <c r="J1743" s="15">
        <v>660</v>
      </c>
      <c r="K1743" s="15">
        <v>182.52</v>
      </c>
      <c r="L1743" s="15">
        <v>120463.2</v>
      </c>
      <c r="M1743" s="15">
        <v>0</v>
      </c>
      <c r="N1743" s="15">
        <v>0</v>
      </c>
      <c r="O1743" s="15">
        <v>15660.216449</v>
      </c>
      <c r="P1743" s="15">
        <v>136123.41644900001</v>
      </c>
    </row>
    <row r="1744" spans="1:16" ht="15" x14ac:dyDescent="0.2">
      <c r="A1744" s="4" t="s">
        <v>583</v>
      </c>
      <c r="B1744" s="21" t="str">
        <f t="shared" si="54"/>
        <v>Nov-2025</v>
      </c>
      <c r="C1744" s="2" t="str">
        <f t="shared" si="55"/>
        <v>Q3</v>
      </c>
      <c r="D1744" s="2" t="s">
        <v>31</v>
      </c>
      <c r="E1744" s="13">
        <v>45991</v>
      </c>
      <c r="F1744" s="14" t="s">
        <v>385</v>
      </c>
      <c r="G1744" s="14" t="s">
        <v>386</v>
      </c>
      <c r="H1744" s="14" t="s">
        <v>113</v>
      </c>
      <c r="I1744" s="15">
        <v>14</v>
      </c>
      <c r="J1744" s="15">
        <v>210</v>
      </c>
      <c r="K1744" s="15">
        <v>232.3</v>
      </c>
      <c r="L1744" s="15">
        <v>48783</v>
      </c>
      <c r="M1744" s="15">
        <v>0</v>
      </c>
      <c r="N1744" s="15">
        <v>0</v>
      </c>
      <c r="O1744" s="15">
        <v>6341.7901820000006</v>
      </c>
      <c r="P1744" s="15">
        <v>55124.790181999997</v>
      </c>
    </row>
    <row r="1745" spans="1:16" ht="15" x14ac:dyDescent="0.2">
      <c r="A1745" s="4" t="s">
        <v>582</v>
      </c>
      <c r="B1745" s="21" t="str">
        <f t="shared" si="54"/>
        <v>Nov-2025</v>
      </c>
      <c r="C1745" s="2" t="str">
        <f t="shared" si="55"/>
        <v>Q3</v>
      </c>
      <c r="D1745" s="2" t="s">
        <v>31</v>
      </c>
      <c r="E1745" s="13">
        <v>45991</v>
      </c>
      <c r="F1745" s="14" t="s">
        <v>385</v>
      </c>
      <c r="G1745" s="14" t="s">
        <v>386</v>
      </c>
      <c r="H1745" s="14" t="s">
        <v>108</v>
      </c>
      <c r="I1745" s="15">
        <v>14</v>
      </c>
      <c r="J1745" s="15">
        <v>336</v>
      </c>
      <c r="K1745" s="15">
        <v>165.93</v>
      </c>
      <c r="L1745" s="15">
        <v>55752.480000000003</v>
      </c>
      <c r="M1745" s="15">
        <v>0</v>
      </c>
      <c r="N1745" s="15">
        <v>0</v>
      </c>
      <c r="O1745" s="15">
        <v>7247.8226079999995</v>
      </c>
      <c r="P1745" s="15">
        <v>63000.302607999998</v>
      </c>
    </row>
    <row r="1746" spans="1:16" ht="15" x14ac:dyDescent="0.2">
      <c r="A1746" s="4" t="s">
        <v>579</v>
      </c>
      <c r="B1746" s="21" t="str">
        <f t="shared" si="54"/>
        <v>Nov-2025</v>
      </c>
      <c r="C1746" s="2" t="str">
        <f t="shared" si="55"/>
        <v>Q3</v>
      </c>
      <c r="D1746" s="2" t="s">
        <v>31</v>
      </c>
      <c r="E1746" s="13">
        <v>45991</v>
      </c>
      <c r="F1746" s="14" t="s">
        <v>385</v>
      </c>
      <c r="G1746" s="14" t="s">
        <v>386</v>
      </c>
      <c r="H1746" s="14" t="s">
        <v>140</v>
      </c>
      <c r="I1746" s="15">
        <v>14</v>
      </c>
      <c r="J1746" s="15">
        <v>280</v>
      </c>
      <c r="K1746" s="15">
        <v>182.52</v>
      </c>
      <c r="L1746" s="15">
        <v>51105.599999999999</v>
      </c>
      <c r="M1746" s="15">
        <v>0</v>
      </c>
      <c r="N1746" s="15">
        <v>0</v>
      </c>
      <c r="O1746" s="15">
        <v>6643.7281910000002</v>
      </c>
      <c r="P1746" s="15">
        <v>57749.328191000001</v>
      </c>
    </row>
    <row r="1747" spans="1:16" ht="15" x14ac:dyDescent="0.2">
      <c r="A1747" s="4" t="s">
        <v>579</v>
      </c>
      <c r="B1747" s="21" t="str">
        <f t="shared" si="54"/>
        <v>Nov-2025</v>
      </c>
      <c r="C1747" s="2" t="str">
        <f t="shared" si="55"/>
        <v>Q3</v>
      </c>
      <c r="D1747" s="2" t="s">
        <v>31</v>
      </c>
      <c r="E1747" s="13">
        <v>45991</v>
      </c>
      <c r="F1747" s="14" t="s">
        <v>385</v>
      </c>
      <c r="G1747" s="14" t="s">
        <v>386</v>
      </c>
      <c r="H1747" s="14" t="s">
        <v>90</v>
      </c>
      <c r="I1747" s="15">
        <v>33</v>
      </c>
      <c r="J1747" s="15">
        <v>660</v>
      </c>
      <c r="K1747" s="15">
        <v>182.52</v>
      </c>
      <c r="L1747" s="15">
        <v>120463.2</v>
      </c>
      <c r="M1747" s="15">
        <v>0</v>
      </c>
      <c r="N1747" s="15">
        <v>0</v>
      </c>
      <c r="O1747" s="15">
        <v>15660.216449</v>
      </c>
      <c r="P1747" s="15">
        <v>136123.41644900001</v>
      </c>
    </row>
    <row r="1748" spans="1:16" ht="15" x14ac:dyDescent="0.2">
      <c r="A1748" s="4" t="s">
        <v>574</v>
      </c>
      <c r="B1748" s="21" t="str">
        <f t="shared" si="54"/>
        <v>Nov-2025</v>
      </c>
      <c r="C1748" s="2" t="str">
        <f t="shared" si="55"/>
        <v>Q3</v>
      </c>
      <c r="D1748" s="2" t="s">
        <v>31</v>
      </c>
      <c r="E1748" s="13">
        <v>45991</v>
      </c>
      <c r="F1748" s="14" t="s">
        <v>387</v>
      </c>
      <c r="G1748" s="14" t="s">
        <v>130</v>
      </c>
      <c r="H1748" s="14" t="s">
        <v>84</v>
      </c>
      <c r="I1748" s="15">
        <v>50</v>
      </c>
      <c r="J1748" s="15">
        <v>900</v>
      </c>
      <c r="K1748" s="15">
        <v>178.78</v>
      </c>
      <c r="L1748" s="15">
        <v>160902</v>
      </c>
      <c r="M1748" s="15">
        <v>-12373.36</v>
      </c>
      <c r="N1748" s="15">
        <v>0</v>
      </c>
      <c r="O1748" s="15">
        <v>19308.72</v>
      </c>
      <c r="P1748" s="15">
        <v>167837.36</v>
      </c>
    </row>
    <row r="1749" spans="1:16" ht="15" x14ac:dyDescent="0.2">
      <c r="A1749" s="4" t="s">
        <v>579</v>
      </c>
      <c r="B1749" s="21" t="str">
        <f t="shared" si="54"/>
        <v>Dec-2025</v>
      </c>
      <c r="C1749" s="2" t="str">
        <f t="shared" si="55"/>
        <v>Q3</v>
      </c>
      <c r="D1749" s="2" t="s">
        <v>31</v>
      </c>
      <c r="E1749" s="13">
        <v>45992</v>
      </c>
      <c r="F1749" s="14" t="s">
        <v>388</v>
      </c>
      <c r="G1749" s="14" t="s">
        <v>206</v>
      </c>
      <c r="H1749" s="14" t="s">
        <v>90</v>
      </c>
      <c r="I1749" s="15">
        <v>1</v>
      </c>
      <c r="J1749" s="15">
        <v>20</v>
      </c>
      <c r="K1749" s="15">
        <v>204.85</v>
      </c>
      <c r="L1749" s="15">
        <v>4097</v>
      </c>
      <c r="M1749" s="15">
        <v>-315.06</v>
      </c>
      <c r="N1749" s="15">
        <v>0</v>
      </c>
      <c r="O1749" s="15">
        <v>491.65215200000006</v>
      </c>
      <c r="P1749" s="15">
        <v>4273.5921520000002</v>
      </c>
    </row>
    <row r="1750" spans="1:16" ht="15" x14ac:dyDescent="0.2">
      <c r="A1750" s="4" t="s">
        <v>592</v>
      </c>
      <c r="B1750" s="21" t="str">
        <f t="shared" si="54"/>
        <v>Dec-2025</v>
      </c>
      <c r="C1750" s="2" t="str">
        <f t="shared" si="55"/>
        <v>Q3</v>
      </c>
      <c r="D1750" s="2" t="s">
        <v>31</v>
      </c>
      <c r="E1750" s="13">
        <v>45992</v>
      </c>
      <c r="F1750" s="14" t="s">
        <v>388</v>
      </c>
      <c r="G1750" s="14" t="s">
        <v>206</v>
      </c>
      <c r="H1750" s="14" t="s">
        <v>115</v>
      </c>
      <c r="I1750" s="15">
        <v>5</v>
      </c>
      <c r="J1750" s="15">
        <v>250</v>
      </c>
      <c r="K1750" s="15">
        <v>89.39</v>
      </c>
      <c r="L1750" s="15">
        <v>22347.5</v>
      </c>
      <c r="M1750" s="15">
        <v>-1718.52</v>
      </c>
      <c r="N1750" s="15">
        <v>0</v>
      </c>
      <c r="O1750" s="15">
        <v>2681.7671369999998</v>
      </c>
      <c r="P1750" s="15">
        <v>23310.747136999998</v>
      </c>
    </row>
    <row r="1751" spans="1:16" ht="15" x14ac:dyDescent="0.2">
      <c r="A1751" s="4" t="s">
        <v>586</v>
      </c>
      <c r="B1751" s="21" t="str">
        <f t="shared" si="54"/>
        <v>Dec-2025</v>
      </c>
      <c r="C1751" s="2" t="str">
        <f t="shared" si="55"/>
        <v>Q3</v>
      </c>
      <c r="D1751" s="2" t="s">
        <v>31</v>
      </c>
      <c r="E1751" s="13">
        <v>45992</v>
      </c>
      <c r="F1751" s="14" t="s">
        <v>388</v>
      </c>
      <c r="G1751" s="14" t="s">
        <v>206</v>
      </c>
      <c r="H1751" s="14" t="s">
        <v>103</v>
      </c>
      <c r="I1751" s="15">
        <v>3</v>
      </c>
      <c r="J1751" s="15">
        <v>1800</v>
      </c>
      <c r="K1751" s="15">
        <v>7.46</v>
      </c>
      <c r="L1751" s="15">
        <v>13427.999999999998</v>
      </c>
      <c r="M1751" s="15">
        <v>-1032.6099999999999</v>
      </c>
      <c r="N1751" s="15">
        <v>0</v>
      </c>
      <c r="O1751" s="15">
        <v>1611.4005420000001</v>
      </c>
      <c r="P1751" s="15">
        <v>14006.790542000001</v>
      </c>
    </row>
    <row r="1752" spans="1:16" ht="15" x14ac:dyDescent="0.2">
      <c r="A1752" s="4" t="s">
        <v>576</v>
      </c>
      <c r="B1752" s="21" t="str">
        <f t="shared" si="54"/>
        <v>Dec-2025</v>
      </c>
      <c r="C1752" s="2" t="str">
        <f t="shared" si="55"/>
        <v>Q3</v>
      </c>
      <c r="D1752" s="2" t="s">
        <v>31</v>
      </c>
      <c r="E1752" s="13">
        <v>45992</v>
      </c>
      <c r="F1752" s="14" t="s">
        <v>388</v>
      </c>
      <c r="G1752" s="14" t="s">
        <v>206</v>
      </c>
      <c r="H1752" s="14" t="s">
        <v>124</v>
      </c>
      <c r="I1752" s="15">
        <v>3</v>
      </c>
      <c r="J1752" s="15">
        <v>60</v>
      </c>
      <c r="K1752" s="15">
        <v>175.05</v>
      </c>
      <c r="L1752" s="15">
        <v>10503</v>
      </c>
      <c r="M1752" s="15">
        <v>-807.68</v>
      </c>
      <c r="N1752" s="15">
        <v>0</v>
      </c>
      <c r="O1752" s="15">
        <v>1260.391476</v>
      </c>
      <c r="P1752" s="15">
        <v>10955.711476</v>
      </c>
    </row>
    <row r="1753" spans="1:16" ht="15" x14ac:dyDescent="0.2">
      <c r="A1753" s="4" t="s">
        <v>584</v>
      </c>
      <c r="B1753" s="21" t="str">
        <f t="shared" si="54"/>
        <v>Dec-2025</v>
      </c>
      <c r="C1753" s="2" t="str">
        <f t="shared" si="55"/>
        <v>Q3</v>
      </c>
      <c r="D1753" s="2" t="s">
        <v>31</v>
      </c>
      <c r="E1753" s="13">
        <v>45992</v>
      </c>
      <c r="F1753" s="14" t="s">
        <v>388</v>
      </c>
      <c r="G1753" s="14" t="s">
        <v>206</v>
      </c>
      <c r="H1753" s="14" t="s">
        <v>120</v>
      </c>
      <c r="I1753" s="15">
        <v>1</v>
      </c>
      <c r="J1753" s="15">
        <v>40</v>
      </c>
      <c r="K1753" s="15">
        <v>81.94</v>
      </c>
      <c r="L1753" s="15">
        <v>3277.6</v>
      </c>
      <c r="M1753" s="15">
        <v>-252.05</v>
      </c>
      <c r="N1753" s="15">
        <v>0</v>
      </c>
      <c r="O1753" s="15">
        <v>393.321461</v>
      </c>
      <c r="P1753" s="15">
        <v>3418.8714610000002</v>
      </c>
    </row>
    <row r="1754" spans="1:16" ht="15" x14ac:dyDescent="0.2">
      <c r="A1754" s="4" t="s">
        <v>573</v>
      </c>
      <c r="B1754" s="21" t="str">
        <f t="shared" si="54"/>
        <v>Dec-2025</v>
      </c>
      <c r="C1754" s="2" t="str">
        <f t="shared" si="55"/>
        <v>Q3</v>
      </c>
      <c r="D1754" s="2" t="s">
        <v>31</v>
      </c>
      <c r="E1754" s="13">
        <v>45992</v>
      </c>
      <c r="F1754" s="14" t="s">
        <v>388</v>
      </c>
      <c r="G1754" s="14" t="s">
        <v>206</v>
      </c>
      <c r="H1754" s="14" t="s">
        <v>111</v>
      </c>
      <c r="I1754" s="15">
        <v>1</v>
      </c>
      <c r="J1754" s="15">
        <v>40</v>
      </c>
      <c r="K1754" s="15">
        <v>111.74</v>
      </c>
      <c r="L1754" s="15">
        <v>4469.6000000000004</v>
      </c>
      <c r="M1754" s="15">
        <v>-343.71</v>
      </c>
      <c r="N1754" s="15">
        <v>0</v>
      </c>
      <c r="O1754" s="15">
        <v>536.36564699999997</v>
      </c>
      <c r="P1754" s="15">
        <v>4662.255647</v>
      </c>
    </row>
    <row r="1755" spans="1:16" ht="15" x14ac:dyDescent="0.2">
      <c r="A1755" s="4" t="s">
        <v>576</v>
      </c>
      <c r="B1755" s="21" t="str">
        <f t="shared" si="54"/>
        <v>Dec-2025</v>
      </c>
      <c r="C1755" s="2" t="str">
        <f t="shared" si="55"/>
        <v>Q3</v>
      </c>
      <c r="D1755" s="2" t="s">
        <v>31</v>
      </c>
      <c r="E1755" s="13">
        <v>45992</v>
      </c>
      <c r="F1755" s="14" t="s">
        <v>388</v>
      </c>
      <c r="G1755" s="14" t="s">
        <v>206</v>
      </c>
      <c r="H1755" s="14" t="s">
        <v>110</v>
      </c>
      <c r="I1755" s="15">
        <v>3</v>
      </c>
      <c r="J1755" s="15">
        <v>60</v>
      </c>
      <c r="K1755" s="15">
        <v>175.06</v>
      </c>
      <c r="L1755" s="15">
        <v>10503.6</v>
      </c>
      <c r="M1755" s="15">
        <v>-807.7299999999999</v>
      </c>
      <c r="N1755" s="15">
        <v>0</v>
      </c>
      <c r="O1755" s="15">
        <v>1260.462976</v>
      </c>
      <c r="P1755" s="15">
        <v>10956.332976</v>
      </c>
    </row>
    <row r="1756" spans="1:16" ht="15" x14ac:dyDescent="0.2">
      <c r="A1756" s="4" t="s">
        <v>579</v>
      </c>
      <c r="B1756" s="21" t="str">
        <f t="shared" si="54"/>
        <v>Dec-2025</v>
      </c>
      <c r="C1756" s="2" t="str">
        <f t="shared" si="55"/>
        <v>Q3</v>
      </c>
      <c r="D1756" s="2" t="s">
        <v>31</v>
      </c>
      <c r="E1756" s="13">
        <v>45992</v>
      </c>
      <c r="F1756" s="14" t="s">
        <v>388</v>
      </c>
      <c r="G1756" s="14" t="s">
        <v>206</v>
      </c>
      <c r="H1756" s="14" t="s">
        <v>91</v>
      </c>
      <c r="I1756" s="15">
        <v>4</v>
      </c>
      <c r="J1756" s="15">
        <v>80</v>
      </c>
      <c r="K1756" s="15">
        <v>204.85</v>
      </c>
      <c r="L1756" s="15">
        <v>16388</v>
      </c>
      <c r="M1756" s="15">
        <v>-1260.24</v>
      </c>
      <c r="N1756" s="15">
        <v>0</v>
      </c>
      <c r="O1756" s="15">
        <v>1966.6086069999999</v>
      </c>
      <c r="P1756" s="15">
        <v>17094.368607</v>
      </c>
    </row>
    <row r="1757" spans="1:16" ht="15" x14ac:dyDescent="0.2">
      <c r="A1757" s="4" t="s">
        <v>576</v>
      </c>
      <c r="B1757" s="21" t="str">
        <f t="shared" si="54"/>
        <v>Dec-2025</v>
      </c>
      <c r="C1757" s="2" t="str">
        <f t="shared" si="55"/>
        <v>Q3</v>
      </c>
      <c r="D1757" s="2" t="s">
        <v>31</v>
      </c>
      <c r="E1757" s="13">
        <v>45992</v>
      </c>
      <c r="F1757" s="14" t="s">
        <v>389</v>
      </c>
      <c r="G1757" s="14" t="s">
        <v>215</v>
      </c>
      <c r="H1757" s="14" t="s">
        <v>123</v>
      </c>
      <c r="I1757" s="15">
        <v>2</v>
      </c>
      <c r="J1757" s="15">
        <v>40</v>
      </c>
      <c r="K1757" s="15">
        <v>175.06</v>
      </c>
      <c r="L1757" s="15">
        <v>7002.4</v>
      </c>
      <c r="M1757" s="15">
        <v>-538.48</v>
      </c>
      <c r="N1757" s="15">
        <v>0</v>
      </c>
      <c r="O1757" s="15">
        <v>840.30959600000006</v>
      </c>
      <c r="P1757" s="15">
        <v>7304.2295960000001</v>
      </c>
    </row>
    <row r="1758" spans="1:16" ht="15" x14ac:dyDescent="0.2">
      <c r="A1758" s="4" t="s">
        <v>576</v>
      </c>
      <c r="B1758" s="21" t="str">
        <f t="shared" si="54"/>
        <v>Dec-2025</v>
      </c>
      <c r="C1758" s="2" t="str">
        <f t="shared" si="55"/>
        <v>Q3</v>
      </c>
      <c r="D1758" s="2" t="s">
        <v>31</v>
      </c>
      <c r="E1758" s="13">
        <v>45992</v>
      </c>
      <c r="F1758" s="14" t="s">
        <v>389</v>
      </c>
      <c r="G1758" s="14" t="s">
        <v>215</v>
      </c>
      <c r="H1758" s="14" t="s">
        <v>124</v>
      </c>
      <c r="I1758" s="15">
        <v>10</v>
      </c>
      <c r="J1758" s="15">
        <v>200</v>
      </c>
      <c r="K1758" s="15">
        <v>175.05</v>
      </c>
      <c r="L1758" s="15">
        <v>35010</v>
      </c>
      <c r="M1758" s="15">
        <v>-2692.27</v>
      </c>
      <c r="N1758" s="15">
        <v>0</v>
      </c>
      <c r="O1758" s="15">
        <v>4201.3048799999997</v>
      </c>
      <c r="P1758" s="15">
        <v>36519.034879999999</v>
      </c>
    </row>
    <row r="1759" spans="1:16" ht="15" x14ac:dyDescent="0.2">
      <c r="A1759" s="4" t="s">
        <v>576</v>
      </c>
      <c r="B1759" s="21" t="str">
        <f t="shared" si="54"/>
        <v>Dec-2025</v>
      </c>
      <c r="C1759" s="2" t="str">
        <f t="shared" si="55"/>
        <v>Q3</v>
      </c>
      <c r="D1759" s="2" t="s">
        <v>31</v>
      </c>
      <c r="E1759" s="13">
        <v>45992</v>
      </c>
      <c r="F1759" s="14" t="s">
        <v>389</v>
      </c>
      <c r="G1759" s="14" t="s">
        <v>215</v>
      </c>
      <c r="H1759" s="14" t="s">
        <v>110</v>
      </c>
      <c r="I1759" s="15">
        <v>10</v>
      </c>
      <c r="J1759" s="15">
        <v>200</v>
      </c>
      <c r="K1759" s="15">
        <v>175.06</v>
      </c>
      <c r="L1759" s="15">
        <v>35012</v>
      </c>
      <c r="M1759" s="15">
        <v>-2692.42</v>
      </c>
      <c r="N1759" s="15">
        <v>0</v>
      </c>
      <c r="O1759" s="15">
        <v>4201.5453800000005</v>
      </c>
      <c r="P1759" s="15">
        <v>36521.125379999998</v>
      </c>
    </row>
    <row r="1760" spans="1:16" ht="15" x14ac:dyDescent="0.2">
      <c r="A1760" s="4" t="s">
        <v>573</v>
      </c>
      <c r="B1760" s="21" t="str">
        <f t="shared" si="54"/>
        <v>Dec-2025</v>
      </c>
      <c r="C1760" s="2" t="str">
        <f t="shared" si="55"/>
        <v>Q3</v>
      </c>
      <c r="D1760" s="2" t="s">
        <v>31</v>
      </c>
      <c r="E1760" s="13">
        <v>45992</v>
      </c>
      <c r="F1760" s="14" t="s">
        <v>389</v>
      </c>
      <c r="G1760" s="14" t="s">
        <v>215</v>
      </c>
      <c r="H1760" s="14" t="s">
        <v>111</v>
      </c>
      <c r="I1760" s="15">
        <v>10</v>
      </c>
      <c r="J1760" s="15">
        <v>400</v>
      </c>
      <c r="K1760" s="15">
        <v>111.74</v>
      </c>
      <c r="L1760" s="15">
        <v>44696</v>
      </c>
      <c r="M1760" s="15">
        <v>-3437.12</v>
      </c>
      <c r="N1760" s="15">
        <v>0</v>
      </c>
      <c r="O1760" s="15">
        <v>5363.6543750000001</v>
      </c>
      <c r="P1760" s="15">
        <v>46622.534375000003</v>
      </c>
    </row>
    <row r="1761" spans="1:16" ht="15" x14ac:dyDescent="0.2">
      <c r="A1761" s="4" t="s">
        <v>573</v>
      </c>
      <c r="B1761" s="21" t="str">
        <f t="shared" si="54"/>
        <v>Dec-2025</v>
      </c>
      <c r="C1761" s="2" t="str">
        <f t="shared" si="55"/>
        <v>Q3</v>
      </c>
      <c r="D1761" s="2" t="s">
        <v>31</v>
      </c>
      <c r="E1761" s="13">
        <v>45992</v>
      </c>
      <c r="F1761" s="14" t="s">
        <v>389</v>
      </c>
      <c r="G1761" s="14" t="s">
        <v>215</v>
      </c>
      <c r="H1761" s="14" t="s">
        <v>136</v>
      </c>
      <c r="I1761" s="15">
        <v>2</v>
      </c>
      <c r="J1761" s="15">
        <v>80</v>
      </c>
      <c r="K1761" s="15">
        <v>111.74</v>
      </c>
      <c r="L1761" s="15">
        <v>8939.2000000000007</v>
      </c>
      <c r="M1761" s="15">
        <v>-687.42</v>
      </c>
      <c r="N1761" s="15">
        <v>0</v>
      </c>
      <c r="O1761" s="15">
        <v>1072.731395</v>
      </c>
      <c r="P1761" s="15">
        <v>9324.5113949999995</v>
      </c>
    </row>
    <row r="1762" spans="1:16" ht="15" x14ac:dyDescent="0.2">
      <c r="A1762" s="4" t="s">
        <v>573</v>
      </c>
      <c r="B1762" s="21" t="str">
        <f t="shared" si="54"/>
        <v>Dec-2025</v>
      </c>
      <c r="C1762" s="2" t="str">
        <f t="shared" si="55"/>
        <v>Q3</v>
      </c>
      <c r="D1762" s="2" t="s">
        <v>31</v>
      </c>
      <c r="E1762" s="13">
        <v>45992</v>
      </c>
      <c r="F1762" s="14" t="s">
        <v>389</v>
      </c>
      <c r="G1762" s="14" t="s">
        <v>215</v>
      </c>
      <c r="H1762" s="14" t="s">
        <v>138</v>
      </c>
      <c r="I1762" s="15">
        <v>10</v>
      </c>
      <c r="J1762" s="15">
        <v>400</v>
      </c>
      <c r="K1762" s="15">
        <v>111.74</v>
      </c>
      <c r="L1762" s="15">
        <v>44696</v>
      </c>
      <c r="M1762" s="15">
        <v>-3437.12</v>
      </c>
      <c r="N1762" s="15">
        <v>0</v>
      </c>
      <c r="O1762" s="15">
        <v>5363.6543750000001</v>
      </c>
      <c r="P1762" s="15">
        <v>46622.534375000003</v>
      </c>
    </row>
    <row r="1763" spans="1:16" ht="15" x14ac:dyDescent="0.2">
      <c r="A1763" s="4" t="s">
        <v>593</v>
      </c>
      <c r="B1763" s="21" t="str">
        <f t="shared" si="54"/>
        <v>Dec-2025</v>
      </c>
      <c r="C1763" s="2" t="str">
        <f t="shared" si="55"/>
        <v>Q3</v>
      </c>
      <c r="D1763" s="2" t="s">
        <v>31</v>
      </c>
      <c r="E1763" s="13">
        <v>45993</v>
      </c>
      <c r="F1763" s="14" t="s">
        <v>390</v>
      </c>
      <c r="G1763" s="14" t="s">
        <v>18</v>
      </c>
      <c r="H1763" s="14" t="s">
        <v>117</v>
      </c>
      <c r="I1763" s="15">
        <v>50</v>
      </c>
      <c r="J1763" s="15">
        <v>200</v>
      </c>
      <c r="K1763" s="15">
        <v>595.92999999999995</v>
      </c>
      <c r="L1763" s="15">
        <v>119186</v>
      </c>
      <c r="M1763" s="15">
        <v>-9165.4</v>
      </c>
      <c r="N1763" s="15">
        <v>0</v>
      </c>
      <c r="O1763" s="15">
        <v>14302.68</v>
      </c>
      <c r="P1763" s="15">
        <v>124323.28</v>
      </c>
    </row>
    <row r="1764" spans="1:16" ht="15" x14ac:dyDescent="0.2">
      <c r="A1764" s="4" t="s">
        <v>581</v>
      </c>
      <c r="B1764" s="21" t="str">
        <f t="shared" si="54"/>
        <v>Dec-2025</v>
      </c>
      <c r="C1764" s="2" t="str">
        <f t="shared" si="55"/>
        <v>Q3</v>
      </c>
      <c r="D1764" s="2" t="s">
        <v>31</v>
      </c>
      <c r="E1764" s="13">
        <v>45993</v>
      </c>
      <c r="F1764" s="14" t="s">
        <v>391</v>
      </c>
      <c r="G1764" s="14" t="s">
        <v>25</v>
      </c>
      <c r="H1764" s="14" t="s">
        <v>96</v>
      </c>
      <c r="I1764" s="15">
        <v>8</v>
      </c>
      <c r="J1764" s="15">
        <v>320</v>
      </c>
      <c r="K1764" s="15">
        <v>66.37</v>
      </c>
      <c r="L1764" s="15">
        <v>21238.400000000001</v>
      </c>
      <c r="M1764" s="15">
        <v>0</v>
      </c>
      <c r="N1764" s="15">
        <v>0</v>
      </c>
      <c r="O1764" s="15">
        <v>2760.99</v>
      </c>
      <c r="P1764" s="15">
        <v>23999.39</v>
      </c>
    </row>
    <row r="1765" spans="1:16" ht="15" x14ac:dyDescent="0.2">
      <c r="A1765" s="4" t="s">
        <v>593</v>
      </c>
      <c r="B1765" s="21" t="str">
        <f t="shared" si="54"/>
        <v>Dec-2025</v>
      </c>
      <c r="C1765" s="2" t="str">
        <f t="shared" si="55"/>
        <v>Q3</v>
      </c>
      <c r="D1765" s="2" t="s">
        <v>31</v>
      </c>
      <c r="E1765" s="13">
        <v>45994</v>
      </c>
      <c r="F1765" s="14" t="s">
        <v>392</v>
      </c>
      <c r="G1765" s="14" t="s">
        <v>347</v>
      </c>
      <c r="H1765" s="14" t="s">
        <v>117</v>
      </c>
      <c r="I1765" s="15">
        <v>20</v>
      </c>
      <c r="J1765" s="15">
        <v>80</v>
      </c>
      <c r="K1765" s="15">
        <v>595.92999999999995</v>
      </c>
      <c r="L1765" s="15">
        <v>47674.400000000001</v>
      </c>
      <c r="M1765" s="15">
        <v>-3666.16</v>
      </c>
      <c r="N1765" s="15">
        <v>0</v>
      </c>
      <c r="O1765" s="15">
        <v>5721.0718560000005</v>
      </c>
      <c r="P1765" s="15">
        <v>49729.311856</v>
      </c>
    </row>
    <row r="1766" spans="1:16" ht="15" x14ac:dyDescent="0.2">
      <c r="A1766" s="4" t="s">
        <v>581</v>
      </c>
      <c r="B1766" s="21" t="str">
        <f t="shared" si="54"/>
        <v>Dec-2025</v>
      </c>
      <c r="C1766" s="2" t="str">
        <f t="shared" si="55"/>
        <v>Q3</v>
      </c>
      <c r="D1766" s="2" t="s">
        <v>31</v>
      </c>
      <c r="E1766" s="13">
        <v>45994</v>
      </c>
      <c r="F1766" s="14" t="s">
        <v>392</v>
      </c>
      <c r="G1766" s="14" t="s">
        <v>347</v>
      </c>
      <c r="H1766" s="14" t="s">
        <v>125</v>
      </c>
      <c r="I1766" s="15">
        <v>5</v>
      </c>
      <c r="J1766" s="15">
        <v>4000</v>
      </c>
      <c r="K1766" s="15">
        <v>7.46</v>
      </c>
      <c r="L1766" s="15">
        <v>29840</v>
      </c>
      <c r="M1766" s="15">
        <v>-2294.7000000000003</v>
      </c>
      <c r="N1766" s="15">
        <v>0</v>
      </c>
      <c r="O1766" s="15">
        <v>3580.8894109999997</v>
      </c>
      <c r="P1766" s="15">
        <v>31126.189410999999</v>
      </c>
    </row>
    <row r="1767" spans="1:16" ht="15" x14ac:dyDescent="0.2">
      <c r="A1767" s="4" t="s">
        <v>580</v>
      </c>
      <c r="B1767" s="21" t="str">
        <f t="shared" si="54"/>
        <v>Dec-2025</v>
      </c>
      <c r="C1767" s="2" t="str">
        <f t="shared" si="55"/>
        <v>Q3</v>
      </c>
      <c r="D1767" s="2" t="s">
        <v>31</v>
      </c>
      <c r="E1767" s="13">
        <v>45994</v>
      </c>
      <c r="F1767" s="14" t="s">
        <v>392</v>
      </c>
      <c r="G1767" s="14" t="s">
        <v>347</v>
      </c>
      <c r="H1767" s="14" t="s">
        <v>65</v>
      </c>
      <c r="I1767" s="15">
        <v>2</v>
      </c>
      <c r="J1767" s="15">
        <v>260</v>
      </c>
      <c r="K1767" s="15">
        <v>37.25</v>
      </c>
      <c r="L1767" s="15">
        <v>9685</v>
      </c>
      <c r="M1767" s="15">
        <v>-744.78</v>
      </c>
      <c r="N1767" s="15">
        <v>0</v>
      </c>
      <c r="O1767" s="15">
        <v>1162.2287329999999</v>
      </c>
      <c r="P1767" s="15">
        <v>10102.448732999999</v>
      </c>
    </row>
    <row r="1768" spans="1:16" ht="15" x14ac:dyDescent="0.2">
      <c r="A1768" s="4" t="s">
        <v>580</v>
      </c>
      <c r="B1768" s="21" t="str">
        <f t="shared" si="54"/>
        <v>Dec-2025</v>
      </c>
      <c r="C1768" s="2" t="str">
        <f t="shared" si="55"/>
        <v>Q3</v>
      </c>
      <c r="D1768" s="2" t="s">
        <v>31</v>
      </c>
      <c r="E1768" s="13">
        <v>45995</v>
      </c>
      <c r="F1768" s="14" t="s">
        <v>393</v>
      </c>
      <c r="G1768" s="14" t="s">
        <v>88</v>
      </c>
      <c r="H1768" s="14" t="s">
        <v>89</v>
      </c>
      <c r="I1768" s="15">
        <v>2</v>
      </c>
      <c r="J1768" s="15">
        <v>140</v>
      </c>
      <c r="K1768" s="15">
        <v>37.25</v>
      </c>
      <c r="L1768" s="15">
        <v>5215</v>
      </c>
      <c r="M1768" s="15">
        <v>-401.03</v>
      </c>
      <c r="N1768" s="15">
        <v>0</v>
      </c>
      <c r="O1768" s="15">
        <v>625.81688699999995</v>
      </c>
      <c r="P1768" s="15">
        <v>5439.7868870000002</v>
      </c>
    </row>
    <row r="1769" spans="1:16" ht="15" x14ac:dyDescent="0.2">
      <c r="A1769" s="4" t="s">
        <v>590</v>
      </c>
      <c r="B1769" s="21" t="str">
        <f t="shared" si="54"/>
        <v>Dec-2025</v>
      </c>
      <c r="C1769" s="2" t="str">
        <f t="shared" si="55"/>
        <v>Q3</v>
      </c>
      <c r="D1769" s="2" t="s">
        <v>31</v>
      </c>
      <c r="E1769" s="13">
        <v>45995</v>
      </c>
      <c r="F1769" s="14" t="s">
        <v>393</v>
      </c>
      <c r="G1769" s="14" t="s">
        <v>88</v>
      </c>
      <c r="H1769" s="14" t="s">
        <v>102</v>
      </c>
      <c r="I1769" s="15">
        <v>4</v>
      </c>
      <c r="J1769" s="15">
        <v>80</v>
      </c>
      <c r="K1769" s="15">
        <v>249.55</v>
      </c>
      <c r="L1769" s="15">
        <v>19964</v>
      </c>
      <c r="M1769" s="15">
        <v>-1535.23</v>
      </c>
      <c r="N1769" s="15">
        <v>0</v>
      </c>
      <c r="O1769" s="15">
        <v>2395.743113</v>
      </c>
      <c r="P1769" s="15">
        <v>20824.513113000001</v>
      </c>
    </row>
    <row r="1770" spans="1:16" ht="15" x14ac:dyDescent="0.2">
      <c r="A1770" s="4" t="s">
        <v>578</v>
      </c>
      <c r="B1770" s="21" t="str">
        <f t="shared" si="54"/>
        <v>Dec-2025</v>
      </c>
      <c r="C1770" s="2" t="str">
        <f t="shared" si="55"/>
        <v>Q3</v>
      </c>
      <c r="D1770" s="2" t="s">
        <v>31</v>
      </c>
      <c r="E1770" s="13">
        <v>45995</v>
      </c>
      <c r="F1770" s="14" t="s">
        <v>394</v>
      </c>
      <c r="G1770" s="14" t="s">
        <v>147</v>
      </c>
      <c r="H1770" s="14" t="s">
        <v>59</v>
      </c>
      <c r="I1770" s="15">
        <v>-1.45</v>
      </c>
      <c r="J1770" s="15">
        <v>-61</v>
      </c>
      <c r="K1770" s="15">
        <v>74.489999999999995</v>
      </c>
      <c r="L1770" s="15">
        <v>-4543.8900000000003</v>
      </c>
      <c r="M1770" s="15">
        <v>349.43</v>
      </c>
      <c r="N1770" s="15">
        <v>0</v>
      </c>
      <c r="O1770" s="15">
        <v>-545.27991700000007</v>
      </c>
      <c r="P1770" s="15">
        <v>-4739.7399169999999</v>
      </c>
    </row>
    <row r="1771" spans="1:16" ht="15" x14ac:dyDescent="0.2">
      <c r="A1771" s="4" t="s">
        <v>578</v>
      </c>
      <c r="B1771" s="21" t="str">
        <f t="shared" si="54"/>
        <v>Dec-2025</v>
      </c>
      <c r="C1771" s="2" t="str">
        <f t="shared" si="55"/>
        <v>Q3</v>
      </c>
      <c r="D1771" s="2" t="s">
        <v>31</v>
      </c>
      <c r="E1771" s="13">
        <v>45995</v>
      </c>
      <c r="F1771" s="14" t="s">
        <v>394</v>
      </c>
      <c r="G1771" s="14" t="s">
        <v>147</v>
      </c>
      <c r="H1771" s="14" t="s">
        <v>62</v>
      </c>
      <c r="I1771" s="15">
        <v>-2.76</v>
      </c>
      <c r="J1771" s="15">
        <v>-116</v>
      </c>
      <c r="K1771" s="15">
        <v>74.92</v>
      </c>
      <c r="L1771" s="15">
        <v>-8690.7199999999993</v>
      </c>
      <c r="M1771" s="15">
        <v>668.32</v>
      </c>
      <c r="N1771" s="15">
        <v>0</v>
      </c>
      <c r="O1771" s="15">
        <v>-1042.9122239999999</v>
      </c>
      <c r="P1771" s="15">
        <v>-9065.3122239999993</v>
      </c>
    </row>
    <row r="1772" spans="1:16" ht="15" x14ac:dyDescent="0.2">
      <c r="A1772" s="4" t="s">
        <v>582</v>
      </c>
      <c r="B1772" s="21" t="str">
        <f t="shared" si="54"/>
        <v>Dec-2025</v>
      </c>
      <c r="C1772" s="2" t="str">
        <f t="shared" si="55"/>
        <v>Q3</v>
      </c>
      <c r="D1772" s="2" t="s">
        <v>31</v>
      </c>
      <c r="E1772" s="13">
        <v>45995</v>
      </c>
      <c r="F1772" s="14" t="s">
        <v>394</v>
      </c>
      <c r="G1772" s="14" t="s">
        <v>147</v>
      </c>
      <c r="H1772" s="14" t="s">
        <v>77</v>
      </c>
      <c r="I1772" s="15">
        <v>-1</v>
      </c>
      <c r="J1772" s="15">
        <v>-24</v>
      </c>
      <c r="K1772" s="15">
        <v>204.85</v>
      </c>
      <c r="L1772" s="15">
        <v>-4916.4000000000005</v>
      </c>
      <c r="M1772" s="15">
        <v>378.07</v>
      </c>
      <c r="N1772" s="15">
        <v>0</v>
      </c>
      <c r="O1772" s="15">
        <v>-589.98302699999999</v>
      </c>
      <c r="P1772" s="15">
        <v>-5128.3130270000001</v>
      </c>
    </row>
    <row r="1773" spans="1:16" ht="15" x14ac:dyDescent="0.2">
      <c r="A1773" s="4" t="s">
        <v>582</v>
      </c>
      <c r="B1773" s="21" t="str">
        <f t="shared" si="54"/>
        <v>Dec-2025</v>
      </c>
      <c r="C1773" s="2" t="str">
        <f t="shared" si="55"/>
        <v>Q3</v>
      </c>
      <c r="D1773" s="2" t="s">
        <v>31</v>
      </c>
      <c r="E1773" s="13">
        <v>45995</v>
      </c>
      <c r="F1773" s="14" t="s">
        <v>394</v>
      </c>
      <c r="G1773" s="14" t="s">
        <v>147</v>
      </c>
      <c r="H1773" s="14" t="s">
        <v>101</v>
      </c>
      <c r="I1773" s="15">
        <v>-1</v>
      </c>
      <c r="J1773" s="15">
        <v>-24</v>
      </c>
      <c r="K1773" s="15">
        <v>186.23</v>
      </c>
      <c r="L1773" s="15">
        <v>-4469.5200000000004</v>
      </c>
      <c r="M1773" s="15">
        <v>343.71</v>
      </c>
      <c r="N1773" s="15">
        <v>0</v>
      </c>
      <c r="O1773" s="15">
        <v>-536.35541499999999</v>
      </c>
      <c r="P1773" s="15">
        <v>-4662.1654150000004</v>
      </c>
    </row>
    <row r="1774" spans="1:16" ht="15" x14ac:dyDescent="0.2">
      <c r="A1774" s="4" t="s">
        <v>590</v>
      </c>
      <c r="B1774" s="21" t="str">
        <f t="shared" si="54"/>
        <v>Dec-2025</v>
      </c>
      <c r="C1774" s="2" t="str">
        <f t="shared" si="55"/>
        <v>Q3</v>
      </c>
      <c r="D1774" s="2" t="s">
        <v>31</v>
      </c>
      <c r="E1774" s="13">
        <v>45995</v>
      </c>
      <c r="F1774" s="14" t="s">
        <v>394</v>
      </c>
      <c r="G1774" s="14" t="s">
        <v>147</v>
      </c>
      <c r="H1774" s="14" t="s">
        <v>102</v>
      </c>
      <c r="I1774" s="15">
        <v>-2</v>
      </c>
      <c r="J1774" s="15">
        <v>-40</v>
      </c>
      <c r="K1774" s="15">
        <v>249.55</v>
      </c>
      <c r="L1774" s="15">
        <v>-9982</v>
      </c>
      <c r="M1774" s="15">
        <v>767.62</v>
      </c>
      <c r="N1774" s="15">
        <v>0</v>
      </c>
      <c r="O1774" s="15">
        <v>-1197.8696570000002</v>
      </c>
      <c r="P1774" s="15">
        <v>-10412.249657</v>
      </c>
    </row>
    <row r="1775" spans="1:16" ht="15" x14ac:dyDescent="0.2">
      <c r="A1775" s="4" t="s">
        <v>576</v>
      </c>
      <c r="B1775" s="21" t="str">
        <f t="shared" si="54"/>
        <v>Dec-2025</v>
      </c>
      <c r="C1775" s="2" t="str">
        <f t="shared" si="55"/>
        <v>Q3</v>
      </c>
      <c r="D1775" s="2" t="s">
        <v>31</v>
      </c>
      <c r="E1775" s="13">
        <v>45995</v>
      </c>
      <c r="F1775" s="14" t="s">
        <v>394</v>
      </c>
      <c r="G1775" s="14" t="s">
        <v>147</v>
      </c>
      <c r="H1775" s="14" t="s">
        <v>56</v>
      </c>
      <c r="I1775" s="15">
        <v>-1.85</v>
      </c>
      <c r="J1775" s="15">
        <v>-37</v>
      </c>
      <c r="K1775" s="15">
        <v>175.05</v>
      </c>
      <c r="L1775" s="15">
        <v>-6476.8499999999995</v>
      </c>
      <c r="M1775" s="15">
        <v>498.07</v>
      </c>
      <c r="N1775" s="15">
        <v>0</v>
      </c>
      <c r="O1775" s="15">
        <v>-777.24156699999992</v>
      </c>
      <c r="P1775" s="15">
        <v>-6756.0215669999998</v>
      </c>
    </row>
    <row r="1776" spans="1:16" ht="15" x14ac:dyDescent="0.2">
      <c r="A1776" s="4" t="s">
        <v>576</v>
      </c>
      <c r="B1776" s="21" t="str">
        <f t="shared" si="54"/>
        <v>Dec-2025</v>
      </c>
      <c r="C1776" s="2" t="str">
        <f t="shared" si="55"/>
        <v>Q3</v>
      </c>
      <c r="D1776" s="2" t="s">
        <v>31</v>
      </c>
      <c r="E1776" s="13">
        <v>45995</v>
      </c>
      <c r="F1776" s="14" t="s">
        <v>394</v>
      </c>
      <c r="G1776" s="14" t="s">
        <v>147</v>
      </c>
      <c r="H1776" s="14" t="s">
        <v>110</v>
      </c>
      <c r="I1776" s="15">
        <v>-2.65</v>
      </c>
      <c r="J1776" s="15">
        <v>-53</v>
      </c>
      <c r="K1776" s="15">
        <v>175.05</v>
      </c>
      <c r="L1776" s="15">
        <v>-9277.65</v>
      </c>
      <c r="M1776" s="15">
        <v>713.44999999999993</v>
      </c>
      <c r="N1776" s="15">
        <v>0</v>
      </c>
      <c r="O1776" s="15">
        <v>-1113.346239</v>
      </c>
      <c r="P1776" s="15">
        <v>-9677.5462389999993</v>
      </c>
    </row>
    <row r="1777" spans="1:16" ht="15" x14ac:dyDescent="0.2">
      <c r="A1777" s="4" t="s">
        <v>573</v>
      </c>
      <c r="B1777" s="21" t="str">
        <f t="shared" si="54"/>
        <v>Dec-2025</v>
      </c>
      <c r="C1777" s="2" t="str">
        <f t="shared" si="55"/>
        <v>Q3</v>
      </c>
      <c r="D1777" s="2" t="s">
        <v>31</v>
      </c>
      <c r="E1777" s="13">
        <v>45995</v>
      </c>
      <c r="F1777" s="14" t="s">
        <v>394</v>
      </c>
      <c r="G1777" s="14" t="s">
        <v>147</v>
      </c>
      <c r="H1777" s="14" t="s">
        <v>47</v>
      </c>
      <c r="I1777" s="15">
        <v>-1.93</v>
      </c>
      <c r="J1777" s="15">
        <v>-77</v>
      </c>
      <c r="K1777" s="15">
        <v>111.74</v>
      </c>
      <c r="L1777" s="15">
        <v>-8603.98</v>
      </c>
      <c r="M1777" s="15">
        <v>661.65</v>
      </c>
      <c r="N1777" s="15">
        <v>0</v>
      </c>
      <c r="O1777" s="15">
        <v>-1032.5031220000001</v>
      </c>
      <c r="P1777" s="15">
        <v>-8974.833122</v>
      </c>
    </row>
    <row r="1778" spans="1:16" ht="15" x14ac:dyDescent="0.2">
      <c r="A1778" s="4" t="s">
        <v>583</v>
      </c>
      <c r="B1778" s="21" t="str">
        <f t="shared" si="54"/>
        <v>Dec-2025</v>
      </c>
      <c r="C1778" s="2" t="str">
        <f t="shared" si="55"/>
        <v>Q3</v>
      </c>
      <c r="D1778" s="2" t="s">
        <v>31</v>
      </c>
      <c r="E1778" s="13">
        <v>45995</v>
      </c>
      <c r="F1778" s="14" t="s">
        <v>394</v>
      </c>
      <c r="G1778" s="14" t="s">
        <v>147</v>
      </c>
      <c r="H1778" s="14" t="s">
        <v>109</v>
      </c>
      <c r="I1778" s="15">
        <v>-0.93</v>
      </c>
      <c r="J1778" s="15">
        <v>-14</v>
      </c>
      <c r="K1778" s="15">
        <v>260.72000000000003</v>
      </c>
      <c r="L1778" s="15">
        <v>-3650.08</v>
      </c>
      <c r="M1778" s="15">
        <v>280.69</v>
      </c>
      <c r="N1778" s="15">
        <v>0</v>
      </c>
      <c r="O1778" s="15">
        <v>-438.02079400000002</v>
      </c>
      <c r="P1778" s="15">
        <v>-3807.4107939999999</v>
      </c>
    </row>
    <row r="1779" spans="1:16" ht="15" x14ac:dyDescent="0.2">
      <c r="A1779" s="4" t="s">
        <v>584</v>
      </c>
      <c r="B1779" s="21" t="str">
        <f t="shared" si="54"/>
        <v>Dec-2025</v>
      </c>
      <c r="C1779" s="2" t="str">
        <f t="shared" si="55"/>
        <v>Q3</v>
      </c>
      <c r="D1779" s="2" t="s">
        <v>31</v>
      </c>
      <c r="E1779" s="13">
        <v>45995</v>
      </c>
      <c r="F1779" s="14" t="s">
        <v>394</v>
      </c>
      <c r="G1779" s="14" t="s">
        <v>147</v>
      </c>
      <c r="H1779" s="14" t="s">
        <v>99</v>
      </c>
      <c r="I1779" s="15">
        <v>-0.85</v>
      </c>
      <c r="J1779" s="15">
        <v>-34</v>
      </c>
      <c r="K1779" s="15">
        <v>81.94</v>
      </c>
      <c r="L1779" s="15">
        <v>-2785.9599999999996</v>
      </c>
      <c r="M1779" s="15">
        <v>214.24</v>
      </c>
      <c r="N1779" s="15">
        <v>0</v>
      </c>
      <c r="O1779" s="15">
        <v>-334.32367200000004</v>
      </c>
      <c r="P1779" s="15">
        <v>-2906.0436719999998</v>
      </c>
    </row>
    <row r="1780" spans="1:16" ht="15" x14ac:dyDescent="0.2">
      <c r="A1780" s="4" t="s">
        <v>581</v>
      </c>
      <c r="B1780" s="21" t="str">
        <f t="shared" si="54"/>
        <v>Dec-2025</v>
      </c>
      <c r="C1780" s="2" t="str">
        <f t="shared" si="55"/>
        <v>Q3</v>
      </c>
      <c r="D1780" s="2" t="s">
        <v>31</v>
      </c>
      <c r="E1780" s="13">
        <v>45995</v>
      </c>
      <c r="F1780" s="14" t="s">
        <v>394</v>
      </c>
      <c r="G1780" s="14" t="s">
        <v>147</v>
      </c>
      <c r="H1780" s="14" t="s">
        <v>125</v>
      </c>
      <c r="I1780" s="15">
        <v>-1</v>
      </c>
      <c r="J1780" s="15">
        <v>-800</v>
      </c>
      <c r="K1780" s="15">
        <v>7.46</v>
      </c>
      <c r="L1780" s="15">
        <v>-5968</v>
      </c>
      <c r="M1780" s="15">
        <v>458.94</v>
      </c>
      <c r="N1780" s="15">
        <v>0</v>
      </c>
      <c r="O1780" s="15">
        <v>-716.177954</v>
      </c>
      <c r="P1780" s="15">
        <v>-6225.2379540000002</v>
      </c>
    </row>
    <row r="1781" spans="1:16" ht="15" x14ac:dyDescent="0.2">
      <c r="A1781" s="4" t="s">
        <v>573</v>
      </c>
      <c r="B1781" s="21" t="str">
        <f t="shared" si="54"/>
        <v>Dec-2025</v>
      </c>
      <c r="C1781" s="2" t="str">
        <f t="shared" si="55"/>
        <v>Q3</v>
      </c>
      <c r="D1781" s="2" t="s">
        <v>31</v>
      </c>
      <c r="E1781" s="13">
        <v>45995</v>
      </c>
      <c r="F1781" s="14" t="s">
        <v>394</v>
      </c>
      <c r="G1781" s="14" t="s">
        <v>147</v>
      </c>
      <c r="H1781" s="14" t="s">
        <v>136</v>
      </c>
      <c r="I1781" s="15">
        <v>-1.35</v>
      </c>
      <c r="J1781" s="15">
        <v>-54</v>
      </c>
      <c r="K1781" s="15">
        <v>111.74</v>
      </c>
      <c r="L1781" s="15">
        <v>-6033.96</v>
      </c>
      <c r="M1781" s="15">
        <v>464.01</v>
      </c>
      <c r="N1781" s="15">
        <v>0</v>
      </c>
      <c r="O1781" s="15">
        <v>-724.09365600000001</v>
      </c>
      <c r="P1781" s="15">
        <v>-6294.0436559999998</v>
      </c>
    </row>
    <row r="1782" spans="1:16" ht="15" x14ac:dyDescent="0.2">
      <c r="A1782" s="4" t="s">
        <v>593</v>
      </c>
      <c r="B1782" s="21" t="str">
        <f t="shared" si="54"/>
        <v>Dec-2025</v>
      </c>
      <c r="C1782" s="2" t="str">
        <f t="shared" si="55"/>
        <v>Q3</v>
      </c>
      <c r="D1782" s="2" t="s">
        <v>31</v>
      </c>
      <c r="E1782" s="13">
        <v>45995</v>
      </c>
      <c r="F1782" s="14" t="s">
        <v>394</v>
      </c>
      <c r="G1782" s="14" t="s">
        <v>147</v>
      </c>
      <c r="H1782" s="14" t="s">
        <v>117</v>
      </c>
      <c r="I1782" s="15">
        <v>-2</v>
      </c>
      <c r="J1782" s="15">
        <v>-8</v>
      </c>
      <c r="K1782" s="15">
        <v>595.92999999999995</v>
      </c>
      <c r="L1782" s="15">
        <v>-4767.4399999999996</v>
      </c>
      <c r="M1782" s="15">
        <v>366.62</v>
      </c>
      <c r="N1782" s="15">
        <v>0</v>
      </c>
      <c r="O1782" s="15">
        <v>-572.10672299999999</v>
      </c>
      <c r="P1782" s="15">
        <v>-4972.9267229999996</v>
      </c>
    </row>
    <row r="1783" spans="1:16" ht="15" x14ac:dyDescent="0.2">
      <c r="A1783" s="4" t="s">
        <v>580</v>
      </c>
      <c r="B1783" s="21" t="str">
        <f t="shared" si="54"/>
        <v>Dec-2025</v>
      </c>
      <c r="C1783" s="2" t="str">
        <f t="shared" si="55"/>
        <v>Q3</v>
      </c>
      <c r="D1783" s="2" t="s">
        <v>31</v>
      </c>
      <c r="E1783" s="13">
        <v>45995</v>
      </c>
      <c r="F1783" s="14" t="s">
        <v>394</v>
      </c>
      <c r="G1783" s="14" t="s">
        <v>147</v>
      </c>
      <c r="H1783" s="14" t="s">
        <v>65</v>
      </c>
      <c r="I1783" s="15">
        <v>-1.57</v>
      </c>
      <c r="J1783" s="15">
        <v>-204</v>
      </c>
      <c r="K1783" s="15">
        <v>37.25</v>
      </c>
      <c r="L1783" s="15">
        <v>-7599</v>
      </c>
      <c r="M1783" s="15">
        <v>584.36</v>
      </c>
      <c r="N1783" s="15">
        <v>0</v>
      </c>
      <c r="O1783" s="15">
        <v>-911.90339599999993</v>
      </c>
      <c r="P1783" s="15">
        <v>-7926.543396</v>
      </c>
    </row>
    <row r="1784" spans="1:16" ht="15" x14ac:dyDescent="0.2">
      <c r="A1784" s="4" t="s">
        <v>580</v>
      </c>
      <c r="B1784" s="21" t="str">
        <f t="shared" si="54"/>
        <v>Dec-2025</v>
      </c>
      <c r="C1784" s="2" t="str">
        <f t="shared" si="55"/>
        <v>Q3</v>
      </c>
      <c r="D1784" s="2" t="s">
        <v>31</v>
      </c>
      <c r="E1784" s="13">
        <v>45995</v>
      </c>
      <c r="F1784" s="14" t="s">
        <v>394</v>
      </c>
      <c r="G1784" s="14" t="s">
        <v>147</v>
      </c>
      <c r="H1784" s="14" t="s">
        <v>89</v>
      </c>
      <c r="I1784" s="15">
        <v>-0.66</v>
      </c>
      <c r="J1784" s="15">
        <v>-46</v>
      </c>
      <c r="K1784" s="15">
        <v>32.78</v>
      </c>
      <c r="L1784" s="15">
        <v>-1507.88</v>
      </c>
      <c r="M1784" s="15">
        <v>115.96</v>
      </c>
      <c r="N1784" s="15">
        <v>0</v>
      </c>
      <c r="O1784" s="15">
        <v>-180.94963899999999</v>
      </c>
      <c r="P1784" s="15">
        <v>-1572.869639</v>
      </c>
    </row>
    <row r="1785" spans="1:16" ht="15" x14ac:dyDescent="0.2">
      <c r="A1785" s="4" t="s">
        <v>578</v>
      </c>
      <c r="B1785" s="21" t="str">
        <f t="shared" si="54"/>
        <v>Dec-2025</v>
      </c>
      <c r="C1785" s="2" t="str">
        <f t="shared" si="55"/>
        <v>Q3</v>
      </c>
      <c r="D1785" s="2" t="s">
        <v>31</v>
      </c>
      <c r="E1785" s="13">
        <v>45995</v>
      </c>
      <c r="F1785" s="14" t="s">
        <v>394</v>
      </c>
      <c r="G1785" s="14" t="s">
        <v>147</v>
      </c>
      <c r="H1785" s="14" t="s">
        <v>60</v>
      </c>
      <c r="I1785" s="15">
        <v>-2</v>
      </c>
      <c r="J1785" s="15">
        <v>-84</v>
      </c>
      <c r="K1785" s="15">
        <v>74.489999999999995</v>
      </c>
      <c r="L1785" s="15">
        <v>-6257.16</v>
      </c>
      <c r="M1785" s="15">
        <v>481.18</v>
      </c>
      <c r="N1785" s="15">
        <v>0</v>
      </c>
      <c r="O1785" s="15">
        <v>-750.87756100000001</v>
      </c>
      <c r="P1785" s="15">
        <v>-6526.8575609999998</v>
      </c>
    </row>
    <row r="1786" spans="1:16" ht="15" x14ac:dyDescent="0.2">
      <c r="A1786" s="4" t="s">
        <v>576</v>
      </c>
      <c r="B1786" s="21" t="str">
        <f t="shared" si="54"/>
        <v>Dec-2025</v>
      </c>
      <c r="C1786" s="2" t="str">
        <f t="shared" si="55"/>
        <v>Q3</v>
      </c>
      <c r="D1786" s="2" t="s">
        <v>31</v>
      </c>
      <c r="E1786" s="13">
        <v>45995</v>
      </c>
      <c r="F1786" s="14" t="s">
        <v>394</v>
      </c>
      <c r="G1786" s="14" t="s">
        <v>147</v>
      </c>
      <c r="H1786" s="14" t="s">
        <v>68</v>
      </c>
      <c r="I1786" s="15">
        <v>-0.9</v>
      </c>
      <c r="J1786" s="15">
        <v>-18</v>
      </c>
      <c r="K1786" s="15">
        <v>175.05</v>
      </c>
      <c r="L1786" s="15">
        <v>-3150.9</v>
      </c>
      <c r="M1786" s="15">
        <v>242.3</v>
      </c>
      <c r="N1786" s="15">
        <v>0</v>
      </c>
      <c r="O1786" s="15">
        <v>-378.11808100000002</v>
      </c>
      <c r="P1786" s="15">
        <v>-3286.718081</v>
      </c>
    </row>
    <row r="1787" spans="1:16" ht="15" x14ac:dyDescent="0.2">
      <c r="A1787" s="4" t="s">
        <v>573</v>
      </c>
      <c r="B1787" s="21" t="str">
        <f t="shared" si="54"/>
        <v>Dec-2025</v>
      </c>
      <c r="C1787" s="2" t="str">
        <f t="shared" si="55"/>
        <v>Q3</v>
      </c>
      <c r="D1787" s="2" t="s">
        <v>31</v>
      </c>
      <c r="E1787" s="13">
        <v>45995</v>
      </c>
      <c r="F1787" s="14" t="s">
        <v>394</v>
      </c>
      <c r="G1787" s="14" t="s">
        <v>147</v>
      </c>
      <c r="H1787" s="14" t="s">
        <v>111</v>
      </c>
      <c r="I1787" s="15">
        <v>-1.45</v>
      </c>
      <c r="J1787" s="15">
        <v>-58</v>
      </c>
      <c r="K1787" s="15">
        <v>111.74</v>
      </c>
      <c r="L1787" s="15">
        <v>-6480.92</v>
      </c>
      <c r="M1787" s="15">
        <v>498.38</v>
      </c>
      <c r="N1787" s="15">
        <v>0</v>
      </c>
      <c r="O1787" s="15">
        <v>-777.73036699999989</v>
      </c>
      <c r="P1787" s="15">
        <v>-6760.2703670000001</v>
      </c>
    </row>
    <row r="1788" spans="1:16" ht="15" x14ac:dyDescent="0.2">
      <c r="A1788" s="4" t="s">
        <v>584</v>
      </c>
      <c r="B1788" s="21" t="str">
        <f t="shared" si="54"/>
        <v>Dec-2025</v>
      </c>
      <c r="C1788" s="2" t="str">
        <f t="shared" si="55"/>
        <v>Q3</v>
      </c>
      <c r="D1788" s="2" t="s">
        <v>31</v>
      </c>
      <c r="E1788" s="13">
        <v>45995</v>
      </c>
      <c r="F1788" s="14" t="s">
        <v>394</v>
      </c>
      <c r="G1788" s="14" t="s">
        <v>147</v>
      </c>
      <c r="H1788" s="14" t="s">
        <v>100</v>
      </c>
      <c r="I1788" s="15">
        <v>-1</v>
      </c>
      <c r="J1788" s="15">
        <v>-40</v>
      </c>
      <c r="K1788" s="15">
        <v>81.94</v>
      </c>
      <c r="L1788" s="15">
        <v>-3277.6</v>
      </c>
      <c r="M1788" s="15">
        <v>252.05</v>
      </c>
      <c r="N1788" s="15">
        <v>0</v>
      </c>
      <c r="O1788" s="15">
        <v>-393.32158499999997</v>
      </c>
      <c r="P1788" s="15">
        <v>-3418.8715849999999</v>
      </c>
    </row>
    <row r="1789" spans="1:16" ht="15" x14ac:dyDescent="0.2">
      <c r="A1789" s="4" t="s">
        <v>584</v>
      </c>
      <c r="B1789" s="21" t="str">
        <f t="shared" si="54"/>
        <v>Dec-2025</v>
      </c>
      <c r="C1789" s="2" t="str">
        <f t="shared" si="55"/>
        <v>Q3</v>
      </c>
      <c r="D1789" s="2" t="s">
        <v>31</v>
      </c>
      <c r="E1789" s="13">
        <v>45995</v>
      </c>
      <c r="F1789" s="14" t="s">
        <v>394</v>
      </c>
      <c r="G1789" s="14" t="s">
        <v>147</v>
      </c>
      <c r="H1789" s="14" t="s">
        <v>120</v>
      </c>
      <c r="I1789" s="15">
        <v>-1</v>
      </c>
      <c r="J1789" s="15">
        <v>-40</v>
      </c>
      <c r="K1789" s="15">
        <v>81.94</v>
      </c>
      <c r="L1789" s="15">
        <v>-3277.6</v>
      </c>
      <c r="M1789" s="15">
        <v>252.05</v>
      </c>
      <c r="N1789" s="15">
        <v>0</v>
      </c>
      <c r="O1789" s="15">
        <v>-393.32158499999997</v>
      </c>
      <c r="P1789" s="15">
        <v>-3418.8715849999999</v>
      </c>
    </row>
    <row r="1790" spans="1:16" ht="15" x14ac:dyDescent="0.2">
      <c r="A1790" s="4" t="s">
        <v>581</v>
      </c>
      <c r="B1790" s="21" t="str">
        <f t="shared" si="54"/>
        <v>Dec-2025</v>
      </c>
      <c r="C1790" s="2" t="str">
        <f t="shared" si="55"/>
        <v>Q3</v>
      </c>
      <c r="D1790" s="2" t="s">
        <v>31</v>
      </c>
      <c r="E1790" s="13">
        <v>45995</v>
      </c>
      <c r="F1790" s="14" t="s">
        <v>394</v>
      </c>
      <c r="G1790" s="14" t="s">
        <v>147</v>
      </c>
      <c r="H1790" s="14" t="s">
        <v>97</v>
      </c>
      <c r="I1790" s="15">
        <v>-1</v>
      </c>
      <c r="J1790" s="15">
        <v>-40</v>
      </c>
      <c r="K1790" s="15">
        <v>67.040000000000006</v>
      </c>
      <c r="L1790" s="15">
        <v>-2681.6</v>
      </c>
      <c r="M1790" s="15">
        <v>206.22</v>
      </c>
      <c r="N1790" s="15">
        <v>0</v>
      </c>
      <c r="O1790" s="15">
        <v>-321.79946899999999</v>
      </c>
      <c r="P1790" s="15">
        <v>-2797.1794690000002</v>
      </c>
    </row>
    <row r="1791" spans="1:16" ht="15" x14ac:dyDescent="0.2">
      <c r="A1791" s="4" t="s">
        <v>589</v>
      </c>
      <c r="B1791" s="21" t="str">
        <f t="shared" si="54"/>
        <v>Dec-2025</v>
      </c>
      <c r="C1791" s="2" t="str">
        <f t="shared" si="55"/>
        <v>Q3</v>
      </c>
      <c r="D1791" s="2" t="s">
        <v>31</v>
      </c>
      <c r="E1791" s="13">
        <v>45995</v>
      </c>
      <c r="F1791" s="14" t="s">
        <v>394</v>
      </c>
      <c r="G1791" s="14" t="s">
        <v>147</v>
      </c>
      <c r="H1791" s="14" t="s">
        <v>98</v>
      </c>
      <c r="I1791" s="15">
        <v>-0.57999999999999996</v>
      </c>
      <c r="J1791" s="15">
        <v>-35</v>
      </c>
      <c r="K1791" s="15">
        <v>145.26</v>
      </c>
      <c r="L1791" s="15">
        <v>-5084.1000000000004</v>
      </c>
      <c r="M1791" s="15">
        <v>390.97</v>
      </c>
      <c r="N1791" s="15">
        <v>0</v>
      </c>
      <c r="O1791" s="15">
        <v>-610.10703100000001</v>
      </c>
      <c r="P1791" s="15">
        <v>-5303.2370309999997</v>
      </c>
    </row>
    <row r="1792" spans="1:16" ht="15" x14ac:dyDescent="0.2">
      <c r="A1792" s="4" t="s">
        <v>586</v>
      </c>
      <c r="B1792" s="21" t="str">
        <f t="shared" si="54"/>
        <v>Dec-2025</v>
      </c>
      <c r="C1792" s="2" t="str">
        <f t="shared" si="55"/>
        <v>Q3</v>
      </c>
      <c r="D1792" s="2" t="s">
        <v>31</v>
      </c>
      <c r="E1792" s="13">
        <v>45995</v>
      </c>
      <c r="F1792" s="14" t="s">
        <v>394</v>
      </c>
      <c r="G1792" s="14" t="s">
        <v>147</v>
      </c>
      <c r="H1792" s="14" t="s">
        <v>114</v>
      </c>
      <c r="I1792" s="15">
        <v>-1</v>
      </c>
      <c r="J1792" s="15">
        <v>-240</v>
      </c>
      <c r="K1792" s="15">
        <v>14.9</v>
      </c>
      <c r="L1792" s="15">
        <v>-3576</v>
      </c>
      <c r="M1792" s="15">
        <v>274.99</v>
      </c>
      <c r="N1792" s="15">
        <v>0</v>
      </c>
      <c r="O1792" s="15">
        <v>-429.13139200000001</v>
      </c>
      <c r="P1792" s="15">
        <v>-3730.141392</v>
      </c>
    </row>
    <row r="1793" spans="1:16" ht="15" x14ac:dyDescent="0.2">
      <c r="A1793" s="4" t="s">
        <v>586</v>
      </c>
      <c r="B1793" s="21" t="str">
        <f t="shared" si="54"/>
        <v>Dec-2025</v>
      </c>
      <c r="C1793" s="2" t="str">
        <f t="shared" si="55"/>
        <v>Q3</v>
      </c>
      <c r="D1793" s="2" t="s">
        <v>31</v>
      </c>
      <c r="E1793" s="13">
        <v>45995</v>
      </c>
      <c r="F1793" s="14" t="s">
        <v>394</v>
      </c>
      <c r="G1793" s="14" t="s">
        <v>147</v>
      </c>
      <c r="H1793" s="14" t="s">
        <v>78</v>
      </c>
      <c r="I1793" s="15">
        <v>-1</v>
      </c>
      <c r="J1793" s="15">
        <v>-600</v>
      </c>
      <c r="K1793" s="15">
        <v>7.45</v>
      </c>
      <c r="L1793" s="15">
        <v>-4470</v>
      </c>
      <c r="M1793" s="15">
        <v>343.74</v>
      </c>
      <c r="N1793" s="15">
        <v>0</v>
      </c>
      <c r="O1793" s="15">
        <v>-536.41391499999997</v>
      </c>
      <c r="P1793" s="15">
        <v>-4662.6739150000003</v>
      </c>
    </row>
    <row r="1794" spans="1:16" ht="15" x14ac:dyDescent="0.2">
      <c r="A1794" s="4" t="s">
        <v>585</v>
      </c>
      <c r="B1794" s="21" t="str">
        <f t="shared" si="54"/>
        <v>Dec-2025</v>
      </c>
      <c r="C1794" s="2" t="str">
        <f t="shared" si="55"/>
        <v>Q3</v>
      </c>
      <c r="D1794" s="2" t="s">
        <v>31</v>
      </c>
      <c r="E1794" s="13">
        <v>45995</v>
      </c>
      <c r="F1794" s="14" t="s">
        <v>394</v>
      </c>
      <c r="G1794" s="14" t="s">
        <v>147</v>
      </c>
      <c r="H1794" s="14" t="s">
        <v>180</v>
      </c>
      <c r="I1794" s="15">
        <v>-1.3</v>
      </c>
      <c r="J1794" s="15">
        <v>-1300</v>
      </c>
      <c r="K1794" s="15">
        <v>1.79</v>
      </c>
      <c r="L1794" s="15">
        <v>-2327</v>
      </c>
      <c r="M1794" s="15">
        <v>178.95</v>
      </c>
      <c r="N1794" s="15">
        <v>0</v>
      </c>
      <c r="O1794" s="15">
        <v>-279.24655999999999</v>
      </c>
      <c r="P1794" s="15">
        <v>-2427.2965600000002</v>
      </c>
    </row>
    <row r="1795" spans="1:16" ht="15" x14ac:dyDescent="0.2">
      <c r="A1795" s="4" t="s">
        <v>583</v>
      </c>
      <c r="B1795" s="21" t="str">
        <f t="shared" ref="B1795:B1858" si="56">+TEXT(E1795,"MMM-yyy")</f>
        <v>Dec-2025</v>
      </c>
      <c r="C1795" s="2" t="str">
        <f t="shared" ref="C1795:C1858" si="57">"Q" &amp; CHOOSE(MONTH(E1795),4,4,4,1,1,1,2,2,2,3,3,3)</f>
        <v>Q3</v>
      </c>
      <c r="D1795" s="2" t="s">
        <v>31</v>
      </c>
      <c r="E1795" s="13">
        <v>45995</v>
      </c>
      <c r="F1795" s="14" t="s">
        <v>394</v>
      </c>
      <c r="G1795" s="14" t="s">
        <v>147</v>
      </c>
      <c r="H1795" s="14" t="s">
        <v>113</v>
      </c>
      <c r="I1795" s="15">
        <v>-1.87</v>
      </c>
      <c r="J1795" s="15">
        <v>-28</v>
      </c>
      <c r="K1795" s="15">
        <v>260.72000000000003</v>
      </c>
      <c r="L1795" s="15">
        <v>-7300.16</v>
      </c>
      <c r="M1795" s="15">
        <v>561.38</v>
      </c>
      <c r="N1795" s="15">
        <v>0</v>
      </c>
      <c r="O1795" s="15">
        <v>-876.04158800000005</v>
      </c>
      <c r="P1795" s="15">
        <v>-7614.8215879999998</v>
      </c>
    </row>
    <row r="1796" spans="1:16" ht="15" x14ac:dyDescent="0.2">
      <c r="A1796" s="4" t="s">
        <v>581</v>
      </c>
      <c r="B1796" s="21" t="str">
        <f t="shared" si="56"/>
        <v>Dec-2025</v>
      </c>
      <c r="C1796" s="2" t="str">
        <f t="shared" si="57"/>
        <v>Q3</v>
      </c>
      <c r="D1796" s="2" t="s">
        <v>31</v>
      </c>
      <c r="E1796" s="13">
        <v>45995</v>
      </c>
      <c r="F1796" s="14" t="s">
        <v>394</v>
      </c>
      <c r="G1796" s="14" t="s">
        <v>147</v>
      </c>
      <c r="H1796" s="14" t="s">
        <v>104</v>
      </c>
      <c r="I1796" s="15">
        <v>-1</v>
      </c>
      <c r="J1796" s="15">
        <v>-40</v>
      </c>
      <c r="K1796" s="15">
        <v>67.040000000000006</v>
      </c>
      <c r="L1796" s="15">
        <v>-2681.6</v>
      </c>
      <c r="M1796" s="15">
        <v>206.22</v>
      </c>
      <c r="N1796" s="15">
        <v>0</v>
      </c>
      <c r="O1796" s="15">
        <v>-321.79946899999999</v>
      </c>
      <c r="P1796" s="15">
        <v>-2797.1794690000002</v>
      </c>
    </row>
    <row r="1797" spans="1:16" ht="15" x14ac:dyDescent="0.2">
      <c r="A1797" s="4" t="s">
        <v>581</v>
      </c>
      <c r="B1797" s="21" t="str">
        <f t="shared" si="56"/>
        <v>Dec-2025</v>
      </c>
      <c r="C1797" s="2" t="str">
        <f t="shared" si="57"/>
        <v>Q3</v>
      </c>
      <c r="D1797" s="2" t="s">
        <v>31</v>
      </c>
      <c r="E1797" s="13">
        <v>45995</v>
      </c>
      <c r="F1797" s="14" t="s">
        <v>394</v>
      </c>
      <c r="G1797" s="14" t="s">
        <v>147</v>
      </c>
      <c r="H1797" s="14" t="s">
        <v>96</v>
      </c>
      <c r="I1797" s="15">
        <v>-2</v>
      </c>
      <c r="J1797" s="15">
        <v>-80</v>
      </c>
      <c r="K1797" s="15">
        <v>67.040000000000006</v>
      </c>
      <c r="L1797" s="15">
        <v>-5363.2</v>
      </c>
      <c r="M1797" s="15">
        <v>412.43</v>
      </c>
      <c r="N1797" s="15">
        <v>0</v>
      </c>
      <c r="O1797" s="15">
        <v>-643.60023799999999</v>
      </c>
      <c r="P1797" s="15">
        <v>-5594.3702380000004</v>
      </c>
    </row>
    <row r="1798" spans="1:16" ht="15" x14ac:dyDescent="0.2">
      <c r="A1798" s="4" t="s">
        <v>592</v>
      </c>
      <c r="B1798" s="21" t="str">
        <f t="shared" si="56"/>
        <v>Dec-2025</v>
      </c>
      <c r="C1798" s="2" t="str">
        <f t="shared" si="57"/>
        <v>Q3</v>
      </c>
      <c r="D1798" s="2" t="s">
        <v>31</v>
      </c>
      <c r="E1798" s="13">
        <v>45995</v>
      </c>
      <c r="F1798" s="14" t="s">
        <v>394</v>
      </c>
      <c r="G1798" s="14" t="s">
        <v>147</v>
      </c>
      <c r="H1798" s="14" t="s">
        <v>115</v>
      </c>
      <c r="I1798" s="15">
        <v>-1</v>
      </c>
      <c r="J1798" s="15">
        <v>-50</v>
      </c>
      <c r="K1798" s="15">
        <v>89.39</v>
      </c>
      <c r="L1798" s="15">
        <v>-4469.5</v>
      </c>
      <c r="M1798" s="15">
        <v>343.7</v>
      </c>
      <c r="N1798" s="15">
        <v>0</v>
      </c>
      <c r="O1798" s="15">
        <v>-536.35411499999998</v>
      </c>
      <c r="P1798" s="15">
        <v>-4662.1541150000003</v>
      </c>
    </row>
    <row r="1799" spans="1:16" ht="15" x14ac:dyDescent="0.2">
      <c r="A1799" s="4" t="s">
        <v>582</v>
      </c>
      <c r="B1799" s="21" t="str">
        <f t="shared" si="56"/>
        <v>Dec-2025</v>
      </c>
      <c r="C1799" s="2" t="str">
        <f t="shared" si="57"/>
        <v>Q3</v>
      </c>
      <c r="D1799" s="2" t="s">
        <v>31</v>
      </c>
      <c r="E1799" s="13">
        <v>45995</v>
      </c>
      <c r="F1799" s="14" t="s">
        <v>394</v>
      </c>
      <c r="G1799" s="14" t="s">
        <v>147</v>
      </c>
      <c r="H1799" s="14" t="s">
        <v>108</v>
      </c>
      <c r="I1799" s="15">
        <v>-1</v>
      </c>
      <c r="J1799" s="15">
        <v>-24</v>
      </c>
      <c r="K1799" s="15">
        <v>186.23</v>
      </c>
      <c r="L1799" s="15">
        <v>-4469.5200000000004</v>
      </c>
      <c r="M1799" s="15">
        <v>343.71</v>
      </c>
      <c r="N1799" s="15">
        <v>0</v>
      </c>
      <c r="O1799" s="15">
        <v>-536.35541499999999</v>
      </c>
      <c r="P1799" s="15">
        <v>-4662.1654150000004</v>
      </c>
    </row>
    <row r="1800" spans="1:16" ht="15" x14ac:dyDescent="0.2">
      <c r="A1800" s="4" t="s">
        <v>579</v>
      </c>
      <c r="B1800" s="21" t="str">
        <f t="shared" si="56"/>
        <v>Dec-2025</v>
      </c>
      <c r="C1800" s="2" t="str">
        <f t="shared" si="57"/>
        <v>Q3</v>
      </c>
      <c r="D1800" s="2" t="s">
        <v>31</v>
      </c>
      <c r="E1800" s="13">
        <v>45995</v>
      </c>
      <c r="F1800" s="14" t="s">
        <v>394</v>
      </c>
      <c r="G1800" s="14" t="s">
        <v>147</v>
      </c>
      <c r="H1800" s="14" t="s">
        <v>92</v>
      </c>
      <c r="I1800" s="15">
        <v>-1</v>
      </c>
      <c r="J1800" s="15">
        <v>-20</v>
      </c>
      <c r="K1800" s="15">
        <v>242.1</v>
      </c>
      <c r="L1800" s="15">
        <v>-4841.9999999999991</v>
      </c>
      <c r="M1800" s="15">
        <v>372.35</v>
      </c>
      <c r="N1800" s="15">
        <v>0</v>
      </c>
      <c r="O1800" s="15">
        <v>-581.05462499999999</v>
      </c>
      <c r="P1800" s="15">
        <v>-5050.7046250000003</v>
      </c>
    </row>
    <row r="1801" spans="1:16" ht="15" x14ac:dyDescent="0.2">
      <c r="A1801" s="4" t="s">
        <v>589</v>
      </c>
      <c r="B1801" s="21" t="str">
        <f t="shared" si="56"/>
        <v>Dec-2025</v>
      </c>
      <c r="C1801" s="2" t="str">
        <f t="shared" si="57"/>
        <v>Q3</v>
      </c>
      <c r="D1801" s="2" t="s">
        <v>31</v>
      </c>
      <c r="E1801" s="13">
        <v>45996</v>
      </c>
      <c r="F1801" s="14" t="s">
        <v>395</v>
      </c>
      <c r="G1801" s="14" t="s">
        <v>25</v>
      </c>
      <c r="H1801" s="14" t="s">
        <v>105</v>
      </c>
      <c r="I1801" s="15">
        <v>-0.03</v>
      </c>
      <c r="J1801" s="15">
        <v>-1</v>
      </c>
      <c r="K1801" s="15">
        <v>282.08</v>
      </c>
      <c r="L1801" s="15">
        <v>-282.08</v>
      </c>
      <c r="M1801" s="15">
        <v>0</v>
      </c>
      <c r="N1801" s="15">
        <v>0</v>
      </c>
      <c r="O1801" s="15">
        <v>-36.669367999999999</v>
      </c>
      <c r="P1801" s="15">
        <v>-318.749368</v>
      </c>
    </row>
    <row r="1802" spans="1:16" ht="15" x14ac:dyDescent="0.2">
      <c r="A1802" s="4" t="s">
        <v>589</v>
      </c>
      <c r="B1802" s="21" t="str">
        <f t="shared" si="56"/>
        <v>Dec-2025</v>
      </c>
      <c r="C1802" s="2" t="str">
        <f t="shared" si="57"/>
        <v>Q3</v>
      </c>
      <c r="D1802" s="2" t="s">
        <v>31</v>
      </c>
      <c r="E1802" s="13">
        <v>45996</v>
      </c>
      <c r="F1802" s="14" t="s">
        <v>395</v>
      </c>
      <c r="G1802" s="14" t="s">
        <v>25</v>
      </c>
      <c r="H1802" s="14" t="s">
        <v>98</v>
      </c>
      <c r="I1802" s="15">
        <v>-0.08</v>
      </c>
      <c r="J1802" s="15">
        <v>-5</v>
      </c>
      <c r="K1802" s="15">
        <v>129.41999999999999</v>
      </c>
      <c r="L1802" s="15">
        <v>-647.1</v>
      </c>
      <c r="M1802" s="15">
        <v>0</v>
      </c>
      <c r="N1802" s="15">
        <v>0</v>
      </c>
      <c r="O1802" s="15">
        <v>-84.120632000000001</v>
      </c>
      <c r="P1802" s="15">
        <v>-731.22063200000002</v>
      </c>
    </row>
    <row r="1803" spans="1:16" ht="15" x14ac:dyDescent="0.2">
      <c r="A1803" s="4" t="s">
        <v>576</v>
      </c>
      <c r="B1803" s="21" t="str">
        <f t="shared" si="56"/>
        <v>Dec-2025</v>
      </c>
      <c r="C1803" s="2" t="str">
        <f t="shared" si="57"/>
        <v>Q3</v>
      </c>
      <c r="D1803" s="2" t="s">
        <v>31</v>
      </c>
      <c r="E1803" s="13">
        <v>45999</v>
      </c>
      <c r="F1803" s="14" t="s">
        <v>396</v>
      </c>
      <c r="G1803" s="14" t="s">
        <v>25</v>
      </c>
      <c r="H1803" s="14" t="s">
        <v>110</v>
      </c>
      <c r="I1803" s="15">
        <v>11</v>
      </c>
      <c r="J1803" s="15">
        <v>220</v>
      </c>
      <c r="K1803" s="15">
        <v>155.97</v>
      </c>
      <c r="L1803" s="15">
        <v>34313.4</v>
      </c>
      <c r="M1803" s="15">
        <v>0</v>
      </c>
      <c r="N1803" s="15">
        <v>0</v>
      </c>
      <c r="O1803" s="15">
        <v>4460.7416030000004</v>
      </c>
      <c r="P1803" s="15">
        <v>38774.141602999996</v>
      </c>
    </row>
    <row r="1804" spans="1:16" ht="15" x14ac:dyDescent="0.2">
      <c r="A1804" s="4" t="s">
        <v>589</v>
      </c>
      <c r="B1804" s="21" t="str">
        <f t="shared" si="56"/>
        <v>Dec-2025</v>
      </c>
      <c r="C1804" s="2" t="str">
        <f t="shared" si="57"/>
        <v>Q3</v>
      </c>
      <c r="D1804" s="2" t="s">
        <v>31</v>
      </c>
      <c r="E1804" s="13">
        <v>45999</v>
      </c>
      <c r="F1804" s="14" t="s">
        <v>396</v>
      </c>
      <c r="G1804" s="14" t="s">
        <v>25</v>
      </c>
      <c r="H1804" s="14" t="s">
        <v>105</v>
      </c>
      <c r="I1804" s="15">
        <v>10</v>
      </c>
      <c r="J1804" s="15">
        <v>300</v>
      </c>
      <c r="K1804" s="15">
        <v>282.08</v>
      </c>
      <c r="L1804" s="15">
        <v>84624</v>
      </c>
      <c r="M1804" s="15">
        <v>0</v>
      </c>
      <c r="N1804" s="15">
        <v>0</v>
      </c>
      <c r="O1804" s="15">
        <v>11001.119021</v>
      </c>
      <c r="P1804" s="15">
        <v>95625.119021000006</v>
      </c>
    </row>
    <row r="1805" spans="1:16" ht="15" x14ac:dyDescent="0.2">
      <c r="A1805" s="4" t="s">
        <v>589</v>
      </c>
      <c r="B1805" s="21" t="str">
        <f t="shared" si="56"/>
        <v>Dec-2025</v>
      </c>
      <c r="C1805" s="2" t="str">
        <f t="shared" si="57"/>
        <v>Q3</v>
      </c>
      <c r="D1805" s="2" t="s">
        <v>31</v>
      </c>
      <c r="E1805" s="13">
        <v>45999</v>
      </c>
      <c r="F1805" s="14" t="s">
        <v>396</v>
      </c>
      <c r="G1805" s="14" t="s">
        <v>25</v>
      </c>
      <c r="H1805" s="14" t="s">
        <v>98</v>
      </c>
      <c r="I1805" s="15">
        <v>3</v>
      </c>
      <c r="J1805" s="15">
        <v>180</v>
      </c>
      <c r="K1805" s="15">
        <v>129.41999999999999</v>
      </c>
      <c r="L1805" s="15">
        <v>23295.599999999999</v>
      </c>
      <c r="M1805" s="15">
        <v>0</v>
      </c>
      <c r="N1805" s="15">
        <v>0</v>
      </c>
      <c r="O1805" s="15">
        <v>3028.4277310000002</v>
      </c>
      <c r="P1805" s="15">
        <v>26324.027730999998</v>
      </c>
    </row>
    <row r="1806" spans="1:16" ht="15" x14ac:dyDescent="0.2">
      <c r="A1806" s="4" t="s">
        <v>581</v>
      </c>
      <c r="B1806" s="21" t="str">
        <f t="shared" si="56"/>
        <v>Dec-2025</v>
      </c>
      <c r="C1806" s="2" t="str">
        <f t="shared" si="57"/>
        <v>Q3</v>
      </c>
      <c r="D1806" s="2" t="s">
        <v>31</v>
      </c>
      <c r="E1806" s="13">
        <v>45999</v>
      </c>
      <c r="F1806" s="14" t="s">
        <v>396</v>
      </c>
      <c r="G1806" s="14" t="s">
        <v>25</v>
      </c>
      <c r="H1806" s="14" t="s">
        <v>96</v>
      </c>
      <c r="I1806" s="15">
        <v>1</v>
      </c>
      <c r="J1806" s="15">
        <v>40</v>
      </c>
      <c r="K1806" s="15">
        <v>66.37</v>
      </c>
      <c r="L1806" s="15">
        <v>2654.8</v>
      </c>
      <c r="M1806" s="15">
        <v>0</v>
      </c>
      <c r="N1806" s="15">
        <v>0</v>
      </c>
      <c r="O1806" s="15">
        <v>345.12396899999999</v>
      </c>
      <c r="P1806" s="15">
        <v>2999.9239689999999</v>
      </c>
    </row>
    <row r="1807" spans="1:16" ht="15" x14ac:dyDescent="0.2">
      <c r="A1807" s="4" t="s">
        <v>576</v>
      </c>
      <c r="B1807" s="21" t="str">
        <f t="shared" si="56"/>
        <v>Dec-2025</v>
      </c>
      <c r="C1807" s="2" t="str">
        <f t="shared" si="57"/>
        <v>Q3</v>
      </c>
      <c r="D1807" s="2" t="s">
        <v>31</v>
      </c>
      <c r="E1807" s="13">
        <v>45999</v>
      </c>
      <c r="F1807" s="14" t="s">
        <v>396</v>
      </c>
      <c r="G1807" s="14" t="s">
        <v>25</v>
      </c>
      <c r="H1807" s="14" t="s">
        <v>124</v>
      </c>
      <c r="I1807" s="15">
        <v>9</v>
      </c>
      <c r="J1807" s="15">
        <v>180</v>
      </c>
      <c r="K1807" s="15">
        <v>155.97</v>
      </c>
      <c r="L1807" s="15">
        <v>28074.600000000002</v>
      </c>
      <c r="M1807" s="15">
        <v>0</v>
      </c>
      <c r="N1807" s="15">
        <v>0</v>
      </c>
      <c r="O1807" s="15">
        <v>3649.6976749999999</v>
      </c>
      <c r="P1807" s="15">
        <v>31724.297675000002</v>
      </c>
    </row>
    <row r="1808" spans="1:16" ht="15" x14ac:dyDescent="0.2">
      <c r="A1808" s="4" t="s">
        <v>580</v>
      </c>
      <c r="B1808" s="21" t="str">
        <f t="shared" si="56"/>
        <v>Dec-2025</v>
      </c>
      <c r="C1808" s="2" t="str">
        <f t="shared" si="57"/>
        <v>Q3</v>
      </c>
      <c r="D1808" s="2" t="s">
        <v>31</v>
      </c>
      <c r="E1808" s="13">
        <v>45999</v>
      </c>
      <c r="F1808" s="14" t="s">
        <v>397</v>
      </c>
      <c r="G1808" s="14" t="s">
        <v>380</v>
      </c>
      <c r="H1808" s="14" t="s">
        <v>89</v>
      </c>
      <c r="I1808" s="15">
        <v>20</v>
      </c>
      <c r="J1808" s="15">
        <v>1400</v>
      </c>
      <c r="K1808" s="15">
        <v>37.25</v>
      </c>
      <c r="L1808" s="15">
        <v>52150</v>
      </c>
      <c r="M1808" s="15">
        <v>-4010.3399999999997</v>
      </c>
      <c r="N1808" s="15">
        <v>0</v>
      </c>
      <c r="O1808" s="15">
        <v>6258.1600000000008</v>
      </c>
      <c r="P1808" s="15">
        <v>54397.82</v>
      </c>
    </row>
    <row r="1809" spans="1:16" ht="15" x14ac:dyDescent="0.2">
      <c r="A1809" s="4" t="s">
        <v>573</v>
      </c>
      <c r="B1809" s="21" t="str">
        <f t="shared" si="56"/>
        <v>Dec-2025</v>
      </c>
      <c r="C1809" s="2" t="str">
        <f t="shared" si="57"/>
        <v>Q3</v>
      </c>
      <c r="D1809" s="2" t="s">
        <v>31</v>
      </c>
      <c r="E1809" s="13">
        <v>45999</v>
      </c>
      <c r="F1809" s="14" t="s">
        <v>398</v>
      </c>
      <c r="G1809" s="14" t="s">
        <v>119</v>
      </c>
      <c r="H1809" s="14" t="s">
        <v>111</v>
      </c>
      <c r="I1809" s="15">
        <v>3</v>
      </c>
      <c r="J1809" s="15">
        <v>120</v>
      </c>
      <c r="K1809" s="15">
        <v>111.74</v>
      </c>
      <c r="L1809" s="15">
        <v>13408.8</v>
      </c>
      <c r="M1809" s="15">
        <v>-1031.1400000000001</v>
      </c>
      <c r="N1809" s="15">
        <v>0</v>
      </c>
      <c r="O1809" s="15">
        <v>1609.0946750000001</v>
      </c>
      <c r="P1809" s="15">
        <v>13986.754675</v>
      </c>
    </row>
    <row r="1810" spans="1:16" ht="15" x14ac:dyDescent="0.2">
      <c r="A1810" s="4" t="s">
        <v>573</v>
      </c>
      <c r="B1810" s="21" t="str">
        <f t="shared" si="56"/>
        <v>Dec-2025</v>
      </c>
      <c r="C1810" s="2" t="str">
        <f t="shared" si="57"/>
        <v>Q3</v>
      </c>
      <c r="D1810" s="2" t="s">
        <v>31</v>
      </c>
      <c r="E1810" s="13">
        <v>45999</v>
      </c>
      <c r="F1810" s="14" t="s">
        <v>398</v>
      </c>
      <c r="G1810" s="14" t="s">
        <v>119</v>
      </c>
      <c r="H1810" s="14" t="s">
        <v>136</v>
      </c>
      <c r="I1810" s="15">
        <v>1</v>
      </c>
      <c r="J1810" s="15">
        <v>40</v>
      </c>
      <c r="K1810" s="15">
        <v>111.74</v>
      </c>
      <c r="L1810" s="15">
        <v>4469.6000000000004</v>
      </c>
      <c r="M1810" s="15">
        <v>-343.71</v>
      </c>
      <c r="N1810" s="15">
        <v>0</v>
      </c>
      <c r="O1810" s="15">
        <v>536.36532499999998</v>
      </c>
      <c r="P1810" s="15">
        <v>4662.2553250000001</v>
      </c>
    </row>
    <row r="1811" spans="1:16" ht="15" x14ac:dyDescent="0.2">
      <c r="A1811" s="4" t="s">
        <v>586</v>
      </c>
      <c r="B1811" s="21" t="str">
        <f t="shared" si="56"/>
        <v>Dec-2025</v>
      </c>
      <c r="C1811" s="2" t="str">
        <f t="shared" si="57"/>
        <v>Q3</v>
      </c>
      <c r="D1811" s="2" t="s">
        <v>31</v>
      </c>
      <c r="E1811" s="13">
        <v>46000</v>
      </c>
      <c r="F1811" s="14" t="s">
        <v>399</v>
      </c>
      <c r="G1811" s="14" t="s">
        <v>16</v>
      </c>
      <c r="H1811" s="14" t="s">
        <v>78</v>
      </c>
      <c r="I1811" s="15">
        <v>1</v>
      </c>
      <c r="J1811" s="15">
        <v>600</v>
      </c>
      <c r="K1811" s="15">
        <v>7.45</v>
      </c>
      <c r="L1811" s="15">
        <v>4470</v>
      </c>
      <c r="M1811" s="15">
        <v>-343.74</v>
      </c>
      <c r="N1811" s="15">
        <v>0</v>
      </c>
      <c r="O1811" s="15">
        <v>536.41551400000003</v>
      </c>
      <c r="P1811" s="15">
        <v>4662.6755139999996</v>
      </c>
    </row>
    <row r="1812" spans="1:16" ht="15" x14ac:dyDescent="0.2">
      <c r="A1812" s="4" t="s">
        <v>581</v>
      </c>
      <c r="B1812" s="21" t="str">
        <f t="shared" si="56"/>
        <v>Dec-2025</v>
      </c>
      <c r="C1812" s="2" t="str">
        <f t="shared" si="57"/>
        <v>Q3</v>
      </c>
      <c r="D1812" s="2" t="s">
        <v>31</v>
      </c>
      <c r="E1812" s="13">
        <v>46000</v>
      </c>
      <c r="F1812" s="14" t="s">
        <v>399</v>
      </c>
      <c r="G1812" s="14" t="s">
        <v>16</v>
      </c>
      <c r="H1812" s="14" t="s">
        <v>97</v>
      </c>
      <c r="I1812" s="15">
        <v>2</v>
      </c>
      <c r="J1812" s="15">
        <v>80</v>
      </c>
      <c r="K1812" s="15">
        <v>74.489999999999995</v>
      </c>
      <c r="L1812" s="15">
        <v>5959.2</v>
      </c>
      <c r="M1812" s="15">
        <v>-458.26</v>
      </c>
      <c r="N1812" s="15">
        <v>0</v>
      </c>
      <c r="O1812" s="15">
        <v>715.12448599999993</v>
      </c>
      <c r="P1812" s="15">
        <v>6216.0644860000002</v>
      </c>
    </row>
    <row r="1813" spans="1:16" ht="15" x14ac:dyDescent="0.2">
      <c r="A1813" s="4" t="s">
        <v>589</v>
      </c>
      <c r="B1813" s="21" t="str">
        <f t="shared" si="56"/>
        <v>Dec-2025</v>
      </c>
      <c r="C1813" s="2" t="str">
        <f t="shared" si="57"/>
        <v>Q3</v>
      </c>
      <c r="D1813" s="2" t="s">
        <v>31</v>
      </c>
      <c r="E1813" s="13">
        <v>46000</v>
      </c>
      <c r="F1813" s="14" t="s">
        <v>400</v>
      </c>
      <c r="G1813" s="14" t="s">
        <v>14</v>
      </c>
      <c r="H1813" s="14" t="s">
        <v>105</v>
      </c>
      <c r="I1813" s="15">
        <v>2</v>
      </c>
      <c r="J1813" s="15">
        <v>60</v>
      </c>
      <c r="K1813" s="15">
        <v>316.58999999999997</v>
      </c>
      <c r="L1813" s="15">
        <v>18995.399999999998</v>
      </c>
      <c r="M1813" s="15">
        <v>-1460.75</v>
      </c>
      <c r="N1813" s="15">
        <v>0</v>
      </c>
      <c r="O1813" s="15">
        <v>2279.5047679999998</v>
      </c>
      <c r="P1813" s="15">
        <v>19814.154768</v>
      </c>
    </row>
    <row r="1814" spans="1:16" ht="15" x14ac:dyDescent="0.2">
      <c r="A1814" s="4" t="s">
        <v>592</v>
      </c>
      <c r="B1814" s="21" t="str">
        <f t="shared" si="56"/>
        <v>Dec-2025</v>
      </c>
      <c r="C1814" s="2" t="str">
        <f t="shared" si="57"/>
        <v>Q3</v>
      </c>
      <c r="D1814" s="2" t="s">
        <v>31</v>
      </c>
      <c r="E1814" s="13">
        <v>46000</v>
      </c>
      <c r="F1814" s="14" t="s">
        <v>400</v>
      </c>
      <c r="G1814" s="14" t="s">
        <v>14</v>
      </c>
      <c r="H1814" s="14" t="s">
        <v>115</v>
      </c>
      <c r="I1814" s="15">
        <v>5</v>
      </c>
      <c r="J1814" s="15">
        <v>250</v>
      </c>
      <c r="K1814" s="15">
        <v>89.39</v>
      </c>
      <c r="L1814" s="15">
        <v>22347.5</v>
      </c>
      <c r="M1814" s="15">
        <v>-1718.52</v>
      </c>
      <c r="N1814" s="15">
        <v>0</v>
      </c>
      <c r="O1814" s="15">
        <v>2681.7677160000003</v>
      </c>
      <c r="P1814" s="15">
        <v>23310.747716000002</v>
      </c>
    </row>
    <row r="1815" spans="1:16" ht="15" x14ac:dyDescent="0.2">
      <c r="A1815" s="4" t="s">
        <v>573</v>
      </c>
      <c r="B1815" s="21" t="str">
        <f t="shared" si="56"/>
        <v>Dec-2025</v>
      </c>
      <c r="C1815" s="2" t="str">
        <f t="shared" si="57"/>
        <v>Q3</v>
      </c>
      <c r="D1815" s="2" t="s">
        <v>31</v>
      </c>
      <c r="E1815" s="13">
        <v>46000</v>
      </c>
      <c r="F1815" s="14" t="s">
        <v>400</v>
      </c>
      <c r="G1815" s="14" t="s">
        <v>14</v>
      </c>
      <c r="H1815" s="14" t="s">
        <v>111</v>
      </c>
      <c r="I1815" s="15">
        <v>5</v>
      </c>
      <c r="J1815" s="15">
        <v>200</v>
      </c>
      <c r="K1815" s="15">
        <v>111.74</v>
      </c>
      <c r="L1815" s="15">
        <v>22348</v>
      </c>
      <c r="M1815" s="15">
        <v>-1718.56</v>
      </c>
      <c r="N1815" s="15">
        <v>0</v>
      </c>
      <c r="O1815" s="15">
        <v>2681.8275159999998</v>
      </c>
      <c r="P1815" s="15">
        <v>23311.267516</v>
      </c>
    </row>
    <row r="1816" spans="1:16" ht="15" x14ac:dyDescent="0.2">
      <c r="A1816" s="4" t="s">
        <v>574</v>
      </c>
      <c r="B1816" s="21" t="str">
        <f t="shared" si="56"/>
        <v>Dec-2025</v>
      </c>
      <c r="C1816" s="2" t="str">
        <f t="shared" si="57"/>
        <v>Q3</v>
      </c>
      <c r="D1816" s="2" t="s">
        <v>31</v>
      </c>
      <c r="E1816" s="13">
        <v>46000</v>
      </c>
      <c r="F1816" s="14" t="s">
        <v>401</v>
      </c>
      <c r="G1816" s="14" t="s">
        <v>18</v>
      </c>
      <c r="H1816" s="14" t="s">
        <v>84</v>
      </c>
      <c r="I1816" s="15">
        <v>1</v>
      </c>
      <c r="J1816" s="15">
        <v>18</v>
      </c>
      <c r="K1816" s="15">
        <v>178.78</v>
      </c>
      <c r="L1816" s="15">
        <v>3218.0400000000004</v>
      </c>
      <c r="M1816" s="15">
        <v>-247.47</v>
      </c>
      <c r="N1816" s="15">
        <v>0</v>
      </c>
      <c r="O1816" s="15">
        <v>386.17500000000001</v>
      </c>
      <c r="P1816" s="15">
        <v>3356.7449999999999</v>
      </c>
    </row>
    <row r="1817" spans="1:16" ht="15" x14ac:dyDescent="0.2">
      <c r="A1817" s="4" t="s">
        <v>574</v>
      </c>
      <c r="B1817" s="21" t="str">
        <f t="shared" si="56"/>
        <v>Dec-2025</v>
      </c>
      <c r="C1817" s="2" t="str">
        <f t="shared" si="57"/>
        <v>Q3</v>
      </c>
      <c r="D1817" s="2" t="s">
        <v>31</v>
      </c>
      <c r="E1817" s="13">
        <v>46000</v>
      </c>
      <c r="F1817" s="14" t="s">
        <v>401</v>
      </c>
      <c r="G1817" s="14" t="s">
        <v>18</v>
      </c>
      <c r="H1817" s="14" t="s">
        <v>52</v>
      </c>
      <c r="I1817" s="15">
        <v>1</v>
      </c>
      <c r="J1817" s="15">
        <v>18</v>
      </c>
      <c r="K1817" s="15">
        <v>178.78</v>
      </c>
      <c r="L1817" s="15">
        <v>3218.0400000000004</v>
      </c>
      <c r="M1817" s="15">
        <v>-247.47</v>
      </c>
      <c r="N1817" s="15">
        <v>0</v>
      </c>
      <c r="O1817" s="15">
        <v>386.17500000000001</v>
      </c>
      <c r="P1817" s="15">
        <v>3356.7449999999999</v>
      </c>
    </row>
    <row r="1818" spans="1:16" ht="15" x14ac:dyDescent="0.2">
      <c r="A1818" s="4" t="s">
        <v>576</v>
      </c>
      <c r="B1818" s="21" t="str">
        <f t="shared" si="56"/>
        <v>Dec-2025</v>
      </c>
      <c r="C1818" s="2" t="str">
        <f t="shared" si="57"/>
        <v>Q3</v>
      </c>
      <c r="D1818" s="2" t="s">
        <v>31</v>
      </c>
      <c r="E1818" s="13">
        <v>46001</v>
      </c>
      <c r="F1818" s="14" t="s">
        <v>402</v>
      </c>
      <c r="G1818" s="14" t="s">
        <v>380</v>
      </c>
      <c r="H1818" s="14" t="s">
        <v>110</v>
      </c>
      <c r="I1818" s="15">
        <v>3</v>
      </c>
      <c r="J1818" s="15">
        <v>60</v>
      </c>
      <c r="K1818" s="15">
        <v>175.06</v>
      </c>
      <c r="L1818" s="15">
        <v>10503.6</v>
      </c>
      <c r="M1818" s="15">
        <v>-807.7299999999999</v>
      </c>
      <c r="N1818" s="15">
        <v>0</v>
      </c>
      <c r="O1818" s="15">
        <v>1260.46075</v>
      </c>
      <c r="P1818" s="15">
        <v>10956.330749999999</v>
      </c>
    </row>
    <row r="1819" spans="1:16" ht="15" x14ac:dyDescent="0.2">
      <c r="A1819" s="4" t="s">
        <v>576</v>
      </c>
      <c r="B1819" s="21" t="str">
        <f t="shared" si="56"/>
        <v>Dec-2025</v>
      </c>
      <c r="C1819" s="2" t="str">
        <f t="shared" si="57"/>
        <v>Q3</v>
      </c>
      <c r="D1819" s="2" t="s">
        <v>31</v>
      </c>
      <c r="E1819" s="13">
        <v>46001</v>
      </c>
      <c r="F1819" s="14" t="s">
        <v>402</v>
      </c>
      <c r="G1819" s="14" t="s">
        <v>380</v>
      </c>
      <c r="H1819" s="14" t="s">
        <v>124</v>
      </c>
      <c r="I1819" s="15">
        <v>3</v>
      </c>
      <c r="J1819" s="15">
        <v>60</v>
      </c>
      <c r="K1819" s="15">
        <v>175.05</v>
      </c>
      <c r="L1819" s="15">
        <v>10503</v>
      </c>
      <c r="M1819" s="15">
        <v>-807.68</v>
      </c>
      <c r="N1819" s="15">
        <v>0</v>
      </c>
      <c r="O1819" s="15">
        <v>1260.3892500000002</v>
      </c>
      <c r="P1819" s="15">
        <v>10955.70925</v>
      </c>
    </row>
    <row r="1820" spans="1:16" ht="15" x14ac:dyDescent="0.2">
      <c r="A1820" s="4" t="s">
        <v>580</v>
      </c>
      <c r="B1820" s="21" t="str">
        <f t="shared" si="56"/>
        <v>Dec-2025</v>
      </c>
      <c r="C1820" s="2" t="str">
        <f t="shared" si="57"/>
        <v>Q3</v>
      </c>
      <c r="D1820" s="2" t="s">
        <v>31</v>
      </c>
      <c r="E1820" s="13">
        <v>46001</v>
      </c>
      <c r="F1820" s="14" t="s">
        <v>403</v>
      </c>
      <c r="G1820" s="14" t="s">
        <v>187</v>
      </c>
      <c r="H1820" s="14" t="s">
        <v>65</v>
      </c>
      <c r="I1820" s="15">
        <v>5</v>
      </c>
      <c r="J1820" s="15">
        <v>650</v>
      </c>
      <c r="K1820" s="15">
        <v>37.25</v>
      </c>
      <c r="L1820" s="15">
        <v>24212.5</v>
      </c>
      <c r="M1820" s="15">
        <v>-1861.9399999999998</v>
      </c>
      <c r="N1820" s="15">
        <v>0</v>
      </c>
      <c r="O1820" s="15">
        <v>2905.5741459999999</v>
      </c>
      <c r="P1820" s="15">
        <v>25256.134146</v>
      </c>
    </row>
    <row r="1821" spans="1:16" ht="15" x14ac:dyDescent="0.2">
      <c r="A1821" s="4" t="s">
        <v>581</v>
      </c>
      <c r="B1821" s="21" t="str">
        <f t="shared" si="56"/>
        <v>Dec-2025</v>
      </c>
      <c r="C1821" s="2" t="str">
        <f t="shared" si="57"/>
        <v>Q3</v>
      </c>
      <c r="D1821" s="2" t="s">
        <v>31</v>
      </c>
      <c r="E1821" s="13">
        <v>46001</v>
      </c>
      <c r="F1821" s="14" t="s">
        <v>403</v>
      </c>
      <c r="G1821" s="14" t="s">
        <v>187</v>
      </c>
      <c r="H1821" s="14" t="s">
        <v>104</v>
      </c>
      <c r="I1821" s="15">
        <v>1</v>
      </c>
      <c r="J1821" s="15">
        <v>40</v>
      </c>
      <c r="K1821" s="15">
        <v>67.040000000000006</v>
      </c>
      <c r="L1821" s="15">
        <v>2681.6</v>
      </c>
      <c r="M1821" s="15">
        <v>-206.22</v>
      </c>
      <c r="N1821" s="15">
        <v>0</v>
      </c>
      <c r="O1821" s="15">
        <v>321.79954900000001</v>
      </c>
      <c r="P1821" s="15">
        <v>2797.179549</v>
      </c>
    </row>
    <row r="1822" spans="1:16" ht="15" x14ac:dyDescent="0.2">
      <c r="A1822" s="4" t="s">
        <v>584</v>
      </c>
      <c r="B1822" s="21" t="str">
        <f t="shared" si="56"/>
        <v>Dec-2025</v>
      </c>
      <c r="C1822" s="2" t="str">
        <f t="shared" si="57"/>
        <v>Q3</v>
      </c>
      <c r="D1822" s="2" t="s">
        <v>31</v>
      </c>
      <c r="E1822" s="13">
        <v>46001</v>
      </c>
      <c r="F1822" s="14" t="s">
        <v>403</v>
      </c>
      <c r="G1822" s="14" t="s">
        <v>187</v>
      </c>
      <c r="H1822" s="14" t="s">
        <v>100</v>
      </c>
      <c r="I1822" s="15">
        <v>1</v>
      </c>
      <c r="J1822" s="15">
        <v>40</v>
      </c>
      <c r="K1822" s="15">
        <v>81.94</v>
      </c>
      <c r="L1822" s="15">
        <v>3277.6</v>
      </c>
      <c r="M1822" s="15">
        <v>-252.05</v>
      </c>
      <c r="N1822" s="15">
        <v>0</v>
      </c>
      <c r="O1822" s="15">
        <v>393.32168200000001</v>
      </c>
      <c r="P1822" s="15">
        <v>3418.871682</v>
      </c>
    </row>
    <row r="1823" spans="1:16" ht="15" x14ac:dyDescent="0.2">
      <c r="A1823" s="4" t="s">
        <v>581</v>
      </c>
      <c r="B1823" s="21" t="str">
        <f t="shared" si="56"/>
        <v>Dec-2025</v>
      </c>
      <c r="C1823" s="2" t="str">
        <f t="shared" si="57"/>
        <v>Q3</v>
      </c>
      <c r="D1823" s="2" t="s">
        <v>31</v>
      </c>
      <c r="E1823" s="13">
        <v>46001</v>
      </c>
      <c r="F1823" s="14" t="s">
        <v>403</v>
      </c>
      <c r="G1823" s="14" t="s">
        <v>187</v>
      </c>
      <c r="H1823" s="14" t="s">
        <v>125</v>
      </c>
      <c r="I1823" s="15">
        <v>4</v>
      </c>
      <c r="J1823" s="15">
        <v>3200</v>
      </c>
      <c r="K1823" s="15">
        <v>7.45</v>
      </c>
      <c r="L1823" s="15">
        <v>23840</v>
      </c>
      <c r="M1823" s="15">
        <v>-1833.3</v>
      </c>
      <c r="N1823" s="15">
        <v>0</v>
      </c>
      <c r="O1823" s="15">
        <v>2860.8723260000002</v>
      </c>
      <c r="P1823" s="15">
        <v>24867.572326000001</v>
      </c>
    </row>
    <row r="1824" spans="1:16" ht="15" x14ac:dyDescent="0.2">
      <c r="A1824" s="4" t="s">
        <v>583</v>
      </c>
      <c r="B1824" s="21" t="str">
        <f t="shared" si="56"/>
        <v>Dec-2025</v>
      </c>
      <c r="C1824" s="2" t="str">
        <f t="shared" si="57"/>
        <v>Q3</v>
      </c>
      <c r="D1824" s="2" t="s">
        <v>31</v>
      </c>
      <c r="E1824" s="13">
        <v>46001</v>
      </c>
      <c r="F1824" s="14" t="s">
        <v>403</v>
      </c>
      <c r="G1824" s="14" t="s">
        <v>187</v>
      </c>
      <c r="H1824" s="14" t="s">
        <v>109</v>
      </c>
      <c r="I1824" s="15">
        <v>1</v>
      </c>
      <c r="J1824" s="15">
        <v>15</v>
      </c>
      <c r="K1824" s="15">
        <v>260.72000000000003</v>
      </c>
      <c r="L1824" s="15">
        <v>3910.8</v>
      </c>
      <c r="M1824" s="15">
        <v>-300.74</v>
      </c>
      <c r="N1824" s="15">
        <v>0</v>
      </c>
      <c r="O1824" s="15">
        <v>469.30801700000001</v>
      </c>
      <c r="P1824" s="15">
        <v>4079.3680169999998</v>
      </c>
    </row>
    <row r="1825" spans="1:16" ht="15" x14ac:dyDescent="0.2">
      <c r="A1825" s="4" t="s">
        <v>574</v>
      </c>
      <c r="B1825" s="21" t="str">
        <f t="shared" si="56"/>
        <v>Dec-2025</v>
      </c>
      <c r="C1825" s="2" t="str">
        <f t="shared" si="57"/>
        <v>Q3</v>
      </c>
      <c r="D1825" s="2" t="s">
        <v>31</v>
      </c>
      <c r="E1825" s="13">
        <v>46001</v>
      </c>
      <c r="F1825" s="14" t="s">
        <v>403</v>
      </c>
      <c r="G1825" s="14" t="s">
        <v>187</v>
      </c>
      <c r="H1825" s="14" t="s">
        <v>85</v>
      </c>
      <c r="I1825" s="15">
        <v>1</v>
      </c>
      <c r="J1825" s="15">
        <v>18</v>
      </c>
      <c r="K1825" s="15">
        <v>178.78</v>
      </c>
      <c r="L1825" s="15">
        <v>3218.0400000000004</v>
      </c>
      <c r="M1825" s="15">
        <v>-247.47</v>
      </c>
      <c r="N1825" s="15">
        <v>0</v>
      </c>
      <c r="O1825" s="15">
        <v>386.17427899999996</v>
      </c>
      <c r="P1825" s="15">
        <v>3356.744279</v>
      </c>
    </row>
    <row r="1826" spans="1:16" ht="15" x14ac:dyDescent="0.2">
      <c r="A1826" s="4" t="s">
        <v>574</v>
      </c>
      <c r="B1826" s="21" t="str">
        <f t="shared" si="56"/>
        <v>Dec-2025</v>
      </c>
      <c r="C1826" s="2" t="str">
        <f t="shared" si="57"/>
        <v>Q3</v>
      </c>
      <c r="D1826" s="2" t="s">
        <v>31</v>
      </c>
      <c r="E1826" s="13">
        <v>46001</v>
      </c>
      <c r="F1826" s="14" t="s">
        <v>404</v>
      </c>
      <c r="G1826" s="14" t="s">
        <v>187</v>
      </c>
      <c r="H1826" s="14" t="s">
        <v>52</v>
      </c>
      <c r="I1826" s="15">
        <v>1</v>
      </c>
      <c r="J1826" s="15">
        <v>18</v>
      </c>
      <c r="K1826" s="15">
        <v>178.78</v>
      </c>
      <c r="L1826" s="15">
        <v>3218.0400000000004</v>
      </c>
      <c r="M1826" s="15">
        <v>-247.47</v>
      </c>
      <c r="N1826" s="15">
        <v>0</v>
      </c>
      <c r="O1826" s="15">
        <v>386.17</v>
      </c>
      <c r="P1826" s="15">
        <v>3356.74</v>
      </c>
    </row>
    <row r="1827" spans="1:16" ht="15" x14ac:dyDescent="0.2">
      <c r="A1827" s="4" t="s">
        <v>579</v>
      </c>
      <c r="B1827" s="21" t="str">
        <f t="shared" si="56"/>
        <v>Dec-2025</v>
      </c>
      <c r="C1827" s="2" t="str">
        <f t="shared" si="57"/>
        <v>Q3</v>
      </c>
      <c r="D1827" s="2" t="s">
        <v>31</v>
      </c>
      <c r="E1827" s="13">
        <v>46001</v>
      </c>
      <c r="F1827" s="14" t="s">
        <v>405</v>
      </c>
      <c r="G1827" s="14" t="s">
        <v>88</v>
      </c>
      <c r="H1827" s="14" t="s">
        <v>92</v>
      </c>
      <c r="I1827" s="15">
        <v>1</v>
      </c>
      <c r="J1827" s="15">
        <v>20</v>
      </c>
      <c r="K1827" s="15">
        <v>242.1</v>
      </c>
      <c r="L1827" s="15">
        <v>4841.9999999999991</v>
      </c>
      <c r="M1827" s="15">
        <v>-372.35</v>
      </c>
      <c r="N1827" s="15">
        <v>0</v>
      </c>
      <c r="O1827" s="15">
        <v>581.04999999999995</v>
      </c>
      <c r="P1827" s="15">
        <v>5050.7</v>
      </c>
    </row>
    <row r="1828" spans="1:16" ht="15" x14ac:dyDescent="0.2">
      <c r="A1828" s="4" t="s">
        <v>590</v>
      </c>
      <c r="B1828" s="21" t="str">
        <f t="shared" si="56"/>
        <v>Dec-2025</v>
      </c>
      <c r="C1828" s="2" t="str">
        <f t="shared" si="57"/>
        <v>Q3</v>
      </c>
      <c r="D1828" s="2" t="s">
        <v>31</v>
      </c>
      <c r="E1828" s="13">
        <v>46003</v>
      </c>
      <c r="F1828" s="14" t="s">
        <v>406</v>
      </c>
      <c r="G1828" s="14" t="s">
        <v>15</v>
      </c>
      <c r="H1828" s="14" t="s">
        <v>102</v>
      </c>
      <c r="I1828" s="15">
        <v>1</v>
      </c>
      <c r="J1828" s="15">
        <v>20</v>
      </c>
      <c r="K1828" s="15">
        <v>249.55</v>
      </c>
      <c r="L1828" s="15">
        <v>4991</v>
      </c>
      <c r="M1828" s="15">
        <v>-383.81</v>
      </c>
      <c r="N1828" s="15">
        <v>0</v>
      </c>
      <c r="O1828" s="15">
        <v>598.93424100000004</v>
      </c>
      <c r="P1828" s="15">
        <v>5206.1242410000004</v>
      </c>
    </row>
    <row r="1829" spans="1:16" ht="15" x14ac:dyDescent="0.2">
      <c r="A1829" s="4" t="s">
        <v>584</v>
      </c>
      <c r="B1829" s="21" t="str">
        <f t="shared" si="56"/>
        <v>Dec-2025</v>
      </c>
      <c r="C1829" s="2" t="str">
        <f t="shared" si="57"/>
        <v>Q3</v>
      </c>
      <c r="D1829" s="2" t="s">
        <v>31</v>
      </c>
      <c r="E1829" s="13">
        <v>46003</v>
      </c>
      <c r="F1829" s="14" t="s">
        <v>406</v>
      </c>
      <c r="G1829" s="14" t="s">
        <v>15</v>
      </c>
      <c r="H1829" s="14" t="s">
        <v>120</v>
      </c>
      <c r="I1829" s="15">
        <v>1</v>
      </c>
      <c r="J1829" s="15">
        <v>40</v>
      </c>
      <c r="K1829" s="15">
        <v>81.94</v>
      </c>
      <c r="L1829" s="15">
        <v>3277.6</v>
      </c>
      <c r="M1829" s="15">
        <v>-252.05</v>
      </c>
      <c r="N1829" s="15">
        <v>0</v>
      </c>
      <c r="O1829" s="15">
        <v>393.32119799999998</v>
      </c>
      <c r="P1829" s="15">
        <v>3418.8711979999998</v>
      </c>
    </row>
    <row r="1830" spans="1:16" ht="15" x14ac:dyDescent="0.2">
      <c r="A1830" s="4" t="s">
        <v>592</v>
      </c>
      <c r="B1830" s="21" t="str">
        <f t="shared" si="56"/>
        <v>Dec-2025</v>
      </c>
      <c r="C1830" s="2" t="str">
        <f t="shared" si="57"/>
        <v>Q3</v>
      </c>
      <c r="D1830" s="2" t="s">
        <v>31</v>
      </c>
      <c r="E1830" s="13">
        <v>46003</v>
      </c>
      <c r="F1830" s="14" t="s">
        <v>406</v>
      </c>
      <c r="G1830" s="14" t="s">
        <v>15</v>
      </c>
      <c r="H1830" s="14" t="s">
        <v>115</v>
      </c>
      <c r="I1830" s="15">
        <v>3</v>
      </c>
      <c r="J1830" s="15">
        <v>150</v>
      </c>
      <c r="K1830" s="15">
        <v>89.39</v>
      </c>
      <c r="L1830" s="15">
        <v>13408.500000000002</v>
      </c>
      <c r="M1830" s="15">
        <v>-1031.1100000000001</v>
      </c>
      <c r="N1830" s="15">
        <v>0</v>
      </c>
      <c r="O1830" s="15">
        <v>1609.0594660000002</v>
      </c>
      <c r="P1830" s="15">
        <v>13986.449466</v>
      </c>
    </row>
    <row r="1831" spans="1:16" ht="15" x14ac:dyDescent="0.2">
      <c r="A1831" s="4" t="s">
        <v>583</v>
      </c>
      <c r="B1831" s="21" t="str">
        <f t="shared" si="56"/>
        <v>Dec-2025</v>
      </c>
      <c r="C1831" s="2" t="str">
        <f t="shared" si="57"/>
        <v>Q3</v>
      </c>
      <c r="D1831" s="2" t="s">
        <v>31</v>
      </c>
      <c r="E1831" s="13">
        <v>46003</v>
      </c>
      <c r="F1831" s="14" t="s">
        <v>406</v>
      </c>
      <c r="G1831" s="14" t="s">
        <v>15</v>
      </c>
      <c r="H1831" s="14" t="s">
        <v>113</v>
      </c>
      <c r="I1831" s="15">
        <v>2</v>
      </c>
      <c r="J1831" s="15">
        <v>30</v>
      </c>
      <c r="K1831" s="15">
        <v>260.72000000000003</v>
      </c>
      <c r="L1831" s="15">
        <v>7821.6</v>
      </c>
      <c r="M1831" s="15">
        <v>-601.48</v>
      </c>
      <c r="N1831" s="15">
        <v>0</v>
      </c>
      <c r="O1831" s="15">
        <v>938.61487999999997</v>
      </c>
      <c r="P1831" s="15">
        <v>8158.73488</v>
      </c>
    </row>
    <row r="1832" spans="1:16" ht="15" x14ac:dyDescent="0.2">
      <c r="A1832" s="4" t="s">
        <v>582</v>
      </c>
      <c r="B1832" s="21" t="str">
        <f t="shared" si="56"/>
        <v>Dec-2025</v>
      </c>
      <c r="C1832" s="2" t="str">
        <f t="shared" si="57"/>
        <v>Q3</v>
      </c>
      <c r="D1832" s="2" t="s">
        <v>31</v>
      </c>
      <c r="E1832" s="13">
        <v>46003</v>
      </c>
      <c r="F1832" s="14" t="s">
        <v>406</v>
      </c>
      <c r="G1832" s="14" t="s">
        <v>15</v>
      </c>
      <c r="H1832" s="14" t="s">
        <v>108</v>
      </c>
      <c r="I1832" s="15">
        <v>1</v>
      </c>
      <c r="J1832" s="15">
        <v>24</v>
      </c>
      <c r="K1832" s="15">
        <v>186.23</v>
      </c>
      <c r="L1832" s="15">
        <v>4469.5200000000004</v>
      </c>
      <c r="M1832" s="15">
        <v>-343.71</v>
      </c>
      <c r="N1832" s="15">
        <v>0</v>
      </c>
      <c r="O1832" s="15">
        <v>536.35488900000007</v>
      </c>
      <c r="P1832" s="15">
        <v>4662.1648889999997</v>
      </c>
    </row>
    <row r="1833" spans="1:16" ht="15" x14ac:dyDescent="0.2">
      <c r="A1833" s="4" t="s">
        <v>584</v>
      </c>
      <c r="B1833" s="21" t="str">
        <f t="shared" si="56"/>
        <v>Dec-2025</v>
      </c>
      <c r="C1833" s="2" t="str">
        <f t="shared" si="57"/>
        <v>Q3</v>
      </c>
      <c r="D1833" s="2" t="s">
        <v>31</v>
      </c>
      <c r="E1833" s="13">
        <v>46003</v>
      </c>
      <c r="F1833" s="14" t="s">
        <v>406</v>
      </c>
      <c r="G1833" s="14" t="s">
        <v>15</v>
      </c>
      <c r="H1833" s="14" t="s">
        <v>99</v>
      </c>
      <c r="I1833" s="15">
        <v>1</v>
      </c>
      <c r="J1833" s="15">
        <v>40</v>
      </c>
      <c r="K1833" s="15">
        <v>81.94</v>
      </c>
      <c r="L1833" s="15">
        <v>3277.6</v>
      </c>
      <c r="M1833" s="15">
        <v>-252.05</v>
      </c>
      <c r="N1833" s="15">
        <v>0</v>
      </c>
      <c r="O1833" s="15">
        <v>393.32119799999998</v>
      </c>
      <c r="P1833" s="15">
        <v>3418.8711979999998</v>
      </c>
    </row>
    <row r="1834" spans="1:16" ht="15" x14ac:dyDescent="0.2">
      <c r="A1834" s="4" t="s">
        <v>581</v>
      </c>
      <c r="B1834" s="21" t="str">
        <f t="shared" si="56"/>
        <v>Dec-2025</v>
      </c>
      <c r="C1834" s="2" t="str">
        <f t="shared" si="57"/>
        <v>Q3</v>
      </c>
      <c r="D1834" s="2" t="s">
        <v>31</v>
      </c>
      <c r="E1834" s="13">
        <v>46003</v>
      </c>
      <c r="F1834" s="14" t="s">
        <v>406</v>
      </c>
      <c r="G1834" s="14" t="s">
        <v>15</v>
      </c>
      <c r="H1834" s="14" t="s">
        <v>97</v>
      </c>
      <c r="I1834" s="15">
        <v>2</v>
      </c>
      <c r="J1834" s="15">
        <v>80</v>
      </c>
      <c r="K1834" s="15">
        <v>74.489999999999995</v>
      </c>
      <c r="L1834" s="15">
        <v>5959.2</v>
      </c>
      <c r="M1834" s="15">
        <v>-458.26</v>
      </c>
      <c r="N1834" s="15">
        <v>0</v>
      </c>
      <c r="O1834" s="15">
        <v>715.12165100000004</v>
      </c>
      <c r="P1834" s="15">
        <v>6216.061651</v>
      </c>
    </row>
    <row r="1835" spans="1:16" ht="15" x14ac:dyDescent="0.2">
      <c r="A1835" s="4" t="s">
        <v>581</v>
      </c>
      <c r="B1835" s="21" t="str">
        <f t="shared" si="56"/>
        <v>Dec-2025</v>
      </c>
      <c r="C1835" s="2" t="str">
        <f t="shared" si="57"/>
        <v>Q3</v>
      </c>
      <c r="D1835" s="2" t="s">
        <v>31</v>
      </c>
      <c r="E1835" s="13">
        <v>46003</v>
      </c>
      <c r="F1835" s="14" t="s">
        <v>406</v>
      </c>
      <c r="G1835" s="14" t="s">
        <v>15</v>
      </c>
      <c r="H1835" s="14" t="s">
        <v>96</v>
      </c>
      <c r="I1835" s="15">
        <v>3</v>
      </c>
      <c r="J1835" s="15">
        <v>120</v>
      </c>
      <c r="K1835" s="15">
        <v>74.489999999999995</v>
      </c>
      <c r="L1835" s="15">
        <v>8938.8000000000011</v>
      </c>
      <c r="M1835" s="15">
        <v>-687.3900000000001</v>
      </c>
      <c r="N1835" s="15">
        <v>0</v>
      </c>
      <c r="O1835" s="15">
        <v>1072.6824770000001</v>
      </c>
      <c r="P1835" s="15">
        <v>9324.0924770000001</v>
      </c>
    </row>
    <row r="1836" spans="1:16" ht="15" x14ac:dyDescent="0.2">
      <c r="A1836" s="4" t="s">
        <v>573</v>
      </c>
      <c r="B1836" s="21" t="str">
        <f t="shared" si="56"/>
        <v>Dec-2025</v>
      </c>
      <c r="C1836" s="2" t="str">
        <f t="shared" si="57"/>
        <v>Q3</v>
      </c>
      <c r="D1836" s="2" t="s">
        <v>31</v>
      </c>
      <c r="E1836" s="13">
        <v>46003</v>
      </c>
      <c r="F1836" s="14" t="s">
        <v>407</v>
      </c>
      <c r="G1836" s="14" t="s">
        <v>347</v>
      </c>
      <c r="H1836" s="14" t="s">
        <v>111</v>
      </c>
      <c r="I1836" s="15">
        <v>2</v>
      </c>
      <c r="J1836" s="15">
        <v>80</v>
      </c>
      <c r="K1836" s="15">
        <v>111.74</v>
      </c>
      <c r="L1836" s="15">
        <v>8939.2000000000007</v>
      </c>
      <c r="M1836" s="15">
        <v>-687.42</v>
      </c>
      <c r="N1836" s="15">
        <v>0</v>
      </c>
      <c r="O1836" s="15">
        <v>1072.7295320000001</v>
      </c>
      <c r="P1836" s="15">
        <v>9324.509532</v>
      </c>
    </row>
    <row r="1837" spans="1:16" ht="15" x14ac:dyDescent="0.2">
      <c r="A1837" s="4" t="s">
        <v>589</v>
      </c>
      <c r="B1837" s="21" t="str">
        <f t="shared" si="56"/>
        <v>Dec-2025</v>
      </c>
      <c r="C1837" s="2" t="str">
        <f t="shared" si="57"/>
        <v>Q3</v>
      </c>
      <c r="D1837" s="2" t="s">
        <v>31</v>
      </c>
      <c r="E1837" s="13">
        <v>46003</v>
      </c>
      <c r="F1837" s="14" t="s">
        <v>407</v>
      </c>
      <c r="G1837" s="14" t="s">
        <v>347</v>
      </c>
      <c r="H1837" s="14" t="s">
        <v>98</v>
      </c>
      <c r="I1837" s="15">
        <v>1</v>
      </c>
      <c r="J1837" s="15">
        <v>60</v>
      </c>
      <c r="K1837" s="15">
        <v>145.26</v>
      </c>
      <c r="L1837" s="15">
        <v>8715.6</v>
      </c>
      <c r="M1837" s="15">
        <v>-670.23</v>
      </c>
      <c r="N1837" s="15">
        <v>0</v>
      </c>
      <c r="O1837" s="15">
        <v>1045.8962779999999</v>
      </c>
      <c r="P1837" s="15">
        <v>9091.2662779999991</v>
      </c>
    </row>
    <row r="1838" spans="1:16" ht="15" x14ac:dyDescent="0.2">
      <c r="A1838" s="4" t="s">
        <v>581</v>
      </c>
      <c r="B1838" s="21" t="str">
        <f t="shared" si="56"/>
        <v>Dec-2025</v>
      </c>
      <c r="C1838" s="2" t="str">
        <f t="shared" si="57"/>
        <v>Q3</v>
      </c>
      <c r="D1838" s="2" t="s">
        <v>31</v>
      </c>
      <c r="E1838" s="13">
        <v>46003</v>
      </c>
      <c r="F1838" s="14" t="s">
        <v>407</v>
      </c>
      <c r="G1838" s="14" t="s">
        <v>347</v>
      </c>
      <c r="H1838" s="14" t="s">
        <v>66</v>
      </c>
      <c r="I1838" s="15">
        <v>1</v>
      </c>
      <c r="J1838" s="15">
        <v>24</v>
      </c>
      <c r="K1838" s="15">
        <v>141.54</v>
      </c>
      <c r="L1838" s="15">
        <v>3396.96</v>
      </c>
      <c r="M1838" s="15">
        <v>-261.23</v>
      </c>
      <c r="N1838" s="15">
        <v>0</v>
      </c>
      <c r="O1838" s="15">
        <v>407.64418999999998</v>
      </c>
      <c r="P1838" s="15">
        <v>3543.37419</v>
      </c>
    </row>
    <row r="1839" spans="1:16" ht="15" x14ac:dyDescent="0.2">
      <c r="A1839" s="4" t="s">
        <v>576</v>
      </c>
      <c r="B1839" s="21" t="str">
        <f t="shared" si="56"/>
        <v>Dec-2025</v>
      </c>
      <c r="C1839" s="2" t="str">
        <f t="shared" si="57"/>
        <v>Q3</v>
      </c>
      <c r="D1839" s="2" t="s">
        <v>31</v>
      </c>
      <c r="E1839" s="13">
        <v>46003</v>
      </c>
      <c r="F1839" s="14" t="s">
        <v>408</v>
      </c>
      <c r="G1839" s="14" t="s">
        <v>18</v>
      </c>
      <c r="H1839" s="14" t="s">
        <v>124</v>
      </c>
      <c r="I1839" s="15">
        <v>3</v>
      </c>
      <c r="J1839" s="15">
        <v>60</v>
      </c>
      <c r="K1839" s="15">
        <v>175.05</v>
      </c>
      <c r="L1839" s="15">
        <v>10503</v>
      </c>
      <c r="M1839" s="15">
        <v>-807.68</v>
      </c>
      <c r="N1839" s="15">
        <v>0</v>
      </c>
      <c r="O1839" s="15">
        <v>1260.390958</v>
      </c>
      <c r="P1839" s="15">
        <v>10955.710958</v>
      </c>
    </row>
    <row r="1840" spans="1:16" ht="15" x14ac:dyDescent="0.2">
      <c r="A1840" s="4" t="s">
        <v>585</v>
      </c>
      <c r="B1840" s="21" t="str">
        <f t="shared" si="56"/>
        <v>Dec-2025</v>
      </c>
      <c r="C1840" s="2" t="str">
        <f t="shared" si="57"/>
        <v>Q3</v>
      </c>
      <c r="D1840" s="2" t="s">
        <v>31</v>
      </c>
      <c r="E1840" s="13">
        <v>46003</v>
      </c>
      <c r="F1840" s="14" t="s">
        <v>408</v>
      </c>
      <c r="G1840" s="14" t="s">
        <v>18</v>
      </c>
      <c r="H1840" s="14" t="s">
        <v>180</v>
      </c>
      <c r="I1840" s="15">
        <v>1</v>
      </c>
      <c r="J1840" s="15">
        <v>1000</v>
      </c>
      <c r="K1840" s="15">
        <v>1.86</v>
      </c>
      <c r="L1840" s="15">
        <v>1860</v>
      </c>
      <c r="M1840" s="15">
        <v>-143.03</v>
      </c>
      <c r="N1840" s="15">
        <v>0</v>
      </c>
      <c r="O1840" s="15">
        <v>223.205986</v>
      </c>
      <c r="P1840" s="15">
        <v>1940.175986</v>
      </c>
    </row>
    <row r="1841" spans="1:16" ht="15" x14ac:dyDescent="0.2">
      <c r="A1841" s="4" t="s">
        <v>583</v>
      </c>
      <c r="B1841" s="21" t="str">
        <f t="shared" si="56"/>
        <v>Dec-2025</v>
      </c>
      <c r="C1841" s="2" t="str">
        <f t="shared" si="57"/>
        <v>Q3</v>
      </c>
      <c r="D1841" s="2" t="s">
        <v>31</v>
      </c>
      <c r="E1841" s="13">
        <v>46003</v>
      </c>
      <c r="F1841" s="14" t="s">
        <v>408</v>
      </c>
      <c r="G1841" s="14" t="s">
        <v>18</v>
      </c>
      <c r="H1841" s="14" t="s">
        <v>113</v>
      </c>
      <c r="I1841" s="15">
        <v>5</v>
      </c>
      <c r="J1841" s="15">
        <v>75</v>
      </c>
      <c r="K1841" s="15">
        <v>260.72000000000003</v>
      </c>
      <c r="L1841" s="15">
        <v>19554</v>
      </c>
      <c r="M1841" s="15">
        <v>-1503.6999999999998</v>
      </c>
      <c r="N1841" s="15">
        <v>0</v>
      </c>
      <c r="O1841" s="15">
        <v>2346.5378040000001</v>
      </c>
      <c r="P1841" s="15">
        <v>20396.837803999999</v>
      </c>
    </row>
    <row r="1842" spans="1:16" ht="15" x14ac:dyDescent="0.2">
      <c r="A1842" s="4" t="s">
        <v>574</v>
      </c>
      <c r="B1842" s="21" t="str">
        <f t="shared" si="56"/>
        <v>Dec-2025</v>
      </c>
      <c r="C1842" s="2" t="str">
        <f t="shared" si="57"/>
        <v>Q3</v>
      </c>
      <c r="D1842" s="2" t="s">
        <v>31</v>
      </c>
      <c r="E1842" s="13">
        <v>46003</v>
      </c>
      <c r="F1842" s="14" t="s">
        <v>408</v>
      </c>
      <c r="G1842" s="14" t="s">
        <v>18</v>
      </c>
      <c r="H1842" s="14" t="s">
        <v>86</v>
      </c>
      <c r="I1842" s="15">
        <v>1</v>
      </c>
      <c r="J1842" s="15">
        <v>18</v>
      </c>
      <c r="K1842" s="15">
        <v>178.78</v>
      </c>
      <c r="L1842" s="15">
        <v>3218.0400000000004</v>
      </c>
      <c r="M1842" s="15">
        <v>-247.47</v>
      </c>
      <c r="N1842" s="15">
        <v>0</v>
      </c>
      <c r="O1842" s="15">
        <v>386.173903</v>
      </c>
      <c r="P1842" s="15">
        <v>3356.743903</v>
      </c>
    </row>
    <row r="1843" spans="1:16" ht="15" x14ac:dyDescent="0.2">
      <c r="A1843" s="4" t="s">
        <v>581</v>
      </c>
      <c r="B1843" s="21" t="str">
        <f t="shared" si="56"/>
        <v>Dec-2025</v>
      </c>
      <c r="C1843" s="2" t="str">
        <f t="shared" si="57"/>
        <v>Q3</v>
      </c>
      <c r="D1843" s="2" t="s">
        <v>31</v>
      </c>
      <c r="E1843" s="13">
        <v>46003</v>
      </c>
      <c r="F1843" s="14" t="s">
        <v>408</v>
      </c>
      <c r="G1843" s="14" t="s">
        <v>18</v>
      </c>
      <c r="H1843" s="14" t="s">
        <v>97</v>
      </c>
      <c r="I1843" s="15">
        <v>1</v>
      </c>
      <c r="J1843" s="15">
        <v>40</v>
      </c>
      <c r="K1843" s="15">
        <v>74.489999999999995</v>
      </c>
      <c r="L1843" s="15">
        <v>2979.6</v>
      </c>
      <c r="M1843" s="15">
        <v>-229.13</v>
      </c>
      <c r="N1843" s="15">
        <v>0</v>
      </c>
      <c r="O1843" s="15">
        <v>357.56091799999996</v>
      </c>
      <c r="P1843" s="15">
        <v>3108.0309179999999</v>
      </c>
    </row>
    <row r="1844" spans="1:16" ht="15" x14ac:dyDescent="0.2">
      <c r="A1844" s="4" t="s">
        <v>574</v>
      </c>
      <c r="B1844" s="21" t="str">
        <f t="shared" si="56"/>
        <v>Dec-2025</v>
      </c>
      <c r="C1844" s="2" t="str">
        <f t="shared" si="57"/>
        <v>Q3</v>
      </c>
      <c r="D1844" s="2" t="s">
        <v>31</v>
      </c>
      <c r="E1844" s="13">
        <v>46003</v>
      </c>
      <c r="F1844" s="14" t="s">
        <v>408</v>
      </c>
      <c r="G1844" s="14" t="s">
        <v>18</v>
      </c>
      <c r="H1844" s="14" t="s">
        <v>84</v>
      </c>
      <c r="I1844" s="15">
        <v>1</v>
      </c>
      <c r="J1844" s="15">
        <v>18</v>
      </c>
      <c r="K1844" s="15">
        <v>178.78</v>
      </c>
      <c r="L1844" s="15">
        <v>3218.0400000000004</v>
      </c>
      <c r="M1844" s="15">
        <v>-247.47</v>
      </c>
      <c r="N1844" s="15">
        <v>0</v>
      </c>
      <c r="O1844" s="15">
        <v>386.173903</v>
      </c>
      <c r="P1844" s="15">
        <v>3356.743903</v>
      </c>
    </row>
    <row r="1845" spans="1:16" ht="15" x14ac:dyDescent="0.2">
      <c r="A1845" s="4" t="s">
        <v>583</v>
      </c>
      <c r="B1845" s="21" t="str">
        <f t="shared" si="56"/>
        <v>Dec-2025</v>
      </c>
      <c r="C1845" s="2" t="str">
        <f t="shared" si="57"/>
        <v>Q3</v>
      </c>
      <c r="D1845" s="2" t="s">
        <v>31</v>
      </c>
      <c r="E1845" s="13">
        <v>46003</v>
      </c>
      <c r="F1845" s="14" t="s">
        <v>408</v>
      </c>
      <c r="G1845" s="14" t="s">
        <v>18</v>
      </c>
      <c r="H1845" s="14" t="s">
        <v>109</v>
      </c>
      <c r="I1845" s="15">
        <v>5</v>
      </c>
      <c r="J1845" s="15">
        <v>75</v>
      </c>
      <c r="K1845" s="15">
        <v>260.72000000000003</v>
      </c>
      <c r="L1845" s="15">
        <v>19554</v>
      </c>
      <c r="M1845" s="15">
        <v>-1503.6999999999998</v>
      </c>
      <c r="N1845" s="15">
        <v>0</v>
      </c>
      <c r="O1845" s="15">
        <v>2346.5378040000001</v>
      </c>
      <c r="P1845" s="15">
        <v>20396.837803999999</v>
      </c>
    </row>
    <row r="1846" spans="1:16" ht="15" x14ac:dyDescent="0.2">
      <c r="A1846" s="4" t="s">
        <v>574</v>
      </c>
      <c r="B1846" s="21" t="str">
        <f t="shared" si="56"/>
        <v>Dec-2025</v>
      </c>
      <c r="C1846" s="2" t="str">
        <f t="shared" si="57"/>
        <v>Q3</v>
      </c>
      <c r="D1846" s="2" t="s">
        <v>31</v>
      </c>
      <c r="E1846" s="13">
        <v>46003</v>
      </c>
      <c r="F1846" s="14" t="s">
        <v>408</v>
      </c>
      <c r="G1846" s="14" t="s">
        <v>18</v>
      </c>
      <c r="H1846" s="14" t="s">
        <v>52</v>
      </c>
      <c r="I1846" s="15">
        <v>1</v>
      </c>
      <c r="J1846" s="15">
        <v>18</v>
      </c>
      <c r="K1846" s="15">
        <v>178.78</v>
      </c>
      <c r="L1846" s="15">
        <v>3218.0400000000004</v>
      </c>
      <c r="M1846" s="15">
        <v>-247.47</v>
      </c>
      <c r="N1846" s="15">
        <v>0</v>
      </c>
      <c r="O1846" s="15">
        <v>386.173903</v>
      </c>
      <c r="P1846" s="15">
        <v>3356.743903</v>
      </c>
    </row>
    <row r="1847" spans="1:16" ht="15" x14ac:dyDescent="0.2">
      <c r="A1847" s="4" t="s">
        <v>581</v>
      </c>
      <c r="B1847" s="21" t="str">
        <f t="shared" si="56"/>
        <v>Dec-2025</v>
      </c>
      <c r="C1847" s="2" t="str">
        <f t="shared" si="57"/>
        <v>Q3</v>
      </c>
      <c r="D1847" s="2" t="s">
        <v>31</v>
      </c>
      <c r="E1847" s="13">
        <v>46003</v>
      </c>
      <c r="F1847" s="14" t="s">
        <v>408</v>
      </c>
      <c r="G1847" s="14" t="s">
        <v>18</v>
      </c>
      <c r="H1847" s="14" t="s">
        <v>96</v>
      </c>
      <c r="I1847" s="15">
        <v>1</v>
      </c>
      <c r="J1847" s="15">
        <v>40</v>
      </c>
      <c r="K1847" s="15">
        <v>74.489999999999995</v>
      </c>
      <c r="L1847" s="15">
        <v>2979.6</v>
      </c>
      <c r="M1847" s="15">
        <v>-229.13</v>
      </c>
      <c r="N1847" s="15">
        <v>0</v>
      </c>
      <c r="O1847" s="15">
        <v>357.56091799999996</v>
      </c>
      <c r="P1847" s="15">
        <v>3108.0309179999999</v>
      </c>
    </row>
    <row r="1848" spans="1:16" ht="15" x14ac:dyDescent="0.2">
      <c r="A1848" s="4" t="s">
        <v>574</v>
      </c>
      <c r="B1848" s="21" t="str">
        <f t="shared" si="56"/>
        <v>Dec-2025</v>
      </c>
      <c r="C1848" s="2" t="str">
        <f t="shared" si="57"/>
        <v>Q3</v>
      </c>
      <c r="D1848" s="2" t="s">
        <v>31</v>
      </c>
      <c r="E1848" s="13">
        <v>46003</v>
      </c>
      <c r="F1848" s="14" t="s">
        <v>408</v>
      </c>
      <c r="G1848" s="14" t="s">
        <v>18</v>
      </c>
      <c r="H1848" s="14" t="s">
        <v>85</v>
      </c>
      <c r="I1848" s="15">
        <v>1</v>
      </c>
      <c r="J1848" s="15">
        <v>18</v>
      </c>
      <c r="K1848" s="15">
        <v>178.78</v>
      </c>
      <c r="L1848" s="15">
        <v>3218.0400000000004</v>
      </c>
      <c r="M1848" s="15">
        <v>-247.47</v>
      </c>
      <c r="N1848" s="15">
        <v>0</v>
      </c>
      <c r="O1848" s="15">
        <v>386.173903</v>
      </c>
      <c r="P1848" s="15">
        <v>3356.743903</v>
      </c>
    </row>
    <row r="1849" spans="1:16" ht="15" x14ac:dyDescent="0.2">
      <c r="A1849" s="4" t="s">
        <v>574</v>
      </c>
      <c r="B1849" s="21" t="str">
        <f t="shared" si="56"/>
        <v>Dec-2025</v>
      </c>
      <c r="C1849" s="2" t="str">
        <f t="shared" si="57"/>
        <v>Q3</v>
      </c>
      <c r="D1849" s="2" t="s">
        <v>31</v>
      </c>
      <c r="E1849" s="13">
        <v>46003</v>
      </c>
      <c r="F1849" s="14" t="s">
        <v>409</v>
      </c>
      <c r="G1849" s="14" t="s">
        <v>17</v>
      </c>
      <c r="H1849" s="14" t="s">
        <v>85</v>
      </c>
      <c r="I1849" s="15">
        <v>1</v>
      </c>
      <c r="J1849" s="15">
        <v>18</v>
      </c>
      <c r="K1849" s="15">
        <v>178.78</v>
      </c>
      <c r="L1849" s="15">
        <v>3218.0400000000004</v>
      </c>
      <c r="M1849" s="15">
        <v>-247.47</v>
      </c>
      <c r="N1849" s="15">
        <v>0</v>
      </c>
      <c r="O1849" s="15">
        <v>386.17441500000001</v>
      </c>
      <c r="P1849" s="15">
        <v>3356.7444150000001</v>
      </c>
    </row>
    <row r="1850" spans="1:16" ht="15" x14ac:dyDescent="0.2">
      <c r="A1850" s="4" t="s">
        <v>581</v>
      </c>
      <c r="B1850" s="21" t="str">
        <f t="shared" si="56"/>
        <v>Dec-2025</v>
      </c>
      <c r="C1850" s="2" t="str">
        <f t="shared" si="57"/>
        <v>Q3</v>
      </c>
      <c r="D1850" s="2" t="s">
        <v>31</v>
      </c>
      <c r="E1850" s="13">
        <v>46003</v>
      </c>
      <c r="F1850" s="14" t="s">
        <v>409</v>
      </c>
      <c r="G1850" s="14" t="s">
        <v>17</v>
      </c>
      <c r="H1850" s="14" t="s">
        <v>125</v>
      </c>
      <c r="I1850" s="15">
        <v>2</v>
      </c>
      <c r="J1850" s="15">
        <v>1600</v>
      </c>
      <c r="K1850" s="15">
        <v>7.46</v>
      </c>
      <c r="L1850" s="15">
        <v>11936</v>
      </c>
      <c r="M1850" s="15">
        <v>-917.88</v>
      </c>
      <c r="N1850" s="15">
        <v>0</v>
      </c>
      <c r="O1850" s="15">
        <v>1432.3567700000001</v>
      </c>
      <c r="P1850" s="15">
        <v>12450.476769999999</v>
      </c>
    </row>
    <row r="1851" spans="1:16" ht="15" x14ac:dyDescent="0.2">
      <c r="A1851" s="4" t="s">
        <v>581</v>
      </c>
      <c r="B1851" s="21" t="str">
        <f t="shared" si="56"/>
        <v>Dec-2025</v>
      </c>
      <c r="C1851" s="2" t="str">
        <f t="shared" si="57"/>
        <v>Q3</v>
      </c>
      <c r="D1851" s="2" t="s">
        <v>31</v>
      </c>
      <c r="E1851" s="13">
        <v>46003</v>
      </c>
      <c r="F1851" s="14" t="s">
        <v>409</v>
      </c>
      <c r="G1851" s="14" t="s">
        <v>17</v>
      </c>
      <c r="H1851" s="14" t="s">
        <v>96</v>
      </c>
      <c r="I1851" s="15">
        <v>2</v>
      </c>
      <c r="J1851" s="15">
        <v>80</v>
      </c>
      <c r="K1851" s="15">
        <v>74.489999999999995</v>
      </c>
      <c r="L1851" s="15">
        <v>5959.2</v>
      </c>
      <c r="M1851" s="15">
        <v>-458.26</v>
      </c>
      <c r="N1851" s="15">
        <v>0</v>
      </c>
      <c r="O1851" s="15">
        <v>715.12278400000002</v>
      </c>
      <c r="P1851" s="15">
        <v>6216.0627839999997</v>
      </c>
    </row>
    <row r="1852" spans="1:16" ht="15" x14ac:dyDescent="0.2">
      <c r="A1852" s="4" t="s">
        <v>574</v>
      </c>
      <c r="B1852" s="21" t="str">
        <f t="shared" si="56"/>
        <v>Dec-2025</v>
      </c>
      <c r="C1852" s="2" t="str">
        <f t="shared" si="57"/>
        <v>Q3</v>
      </c>
      <c r="D1852" s="2" t="s">
        <v>31</v>
      </c>
      <c r="E1852" s="13">
        <v>46003</v>
      </c>
      <c r="F1852" s="14" t="s">
        <v>409</v>
      </c>
      <c r="G1852" s="14" t="s">
        <v>17</v>
      </c>
      <c r="H1852" s="14" t="s">
        <v>52</v>
      </c>
      <c r="I1852" s="15">
        <v>1</v>
      </c>
      <c r="J1852" s="15">
        <v>18</v>
      </c>
      <c r="K1852" s="15">
        <v>178.78</v>
      </c>
      <c r="L1852" s="15">
        <v>3218.0400000000004</v>
      </c>
      <c r="M1852" s="15">
        <v>-247.47</v>
      </c>
      <c r="N1852" s="15">
        <v>0</v>
      </c>
      <c r="O1852" s="15">
        <v>386.17441500000001</v>
      </c>
      <c r="P1852" s="15">
        <v>3356.7444150000001</v>
      </c>
    </row>
    <row r="1853" spans="1:16" ht="15" x14ac:dyDescent="0.2">
      <c r="A1853" s="4" t="s">
        <v>574</v>
      </c>
      <c r="B1853" s="21" t="str">
        <f t="shared" si="56"/>
        <v>Dec-2025</v>
      </c>
      <c r="C1853" s="2" t="str">
        <f t="shared" si="57"/>
        <v>Q3</v>
      </c>
      <c r="D1853" s="2" t="s">
        <v>31</v>
      </c>
      <c r="E1853" s="13">
        <v>46003</v>
      </c>
      <c r="F1853" s="14" t="s">
        <v>409</v>
      </c>
      <c r="G1853" s="14" t="s">
        <v>17</v>
      </c>
      <c r="H1853" s="14" t="s">
        <v>86</v>
      </c>
      <c r="I1853" s="15">
        <v>1</v>
      </c>
      <c r="J1853" s="15">
        <v>18</v>
      </c>
      <c r="K1853" s="15">
        <v>178.78</v>
      </c>
      <c r="L1853" s="15">
        <v>3218.0400000000004</v>
      </c>
      <c r="M1853" s="15">
        <v>-247.47</v>
      </c>
      <c r="N1853" s="15">
        <v>0</v>
      </c>
      <c r="O1853" s="15">
        <v>386.17441500000001</v>
      </c>
      <c r="P1853" s="15">
        <v>3356.7444150000001</v>
      </c>
    </row>
    <row r="1854" spans="1:16" ht="15" x14ac:dyDescent="0.2">
      <c r="A1854" s="4" t="s">
        <v>581</v>
      </c>
      <c r="B1854" s="21" t="str">
        <f t="shared" si="56"/>
        <v>Dec-2025</v>
      </c>
      <c r="C1854" s="2" t="str">
        <f t="shared" si="57"/>
        <v>Q3</v>
      </c>
      <c r="D1854" s="2" t="s">
        <v>31</v>
      </c>
      <c r="E1854" s="13">
        <v>46003</v>
      </c>
      <c r="F1854" s="14" t="s">
        <v>409</v>
      </c>
      <c r="G1854" s="14" t="s">
        <v>17</v>
      </c>
      <c r="H1854" s="14" t="s">
        <v>97</v>
      </c>
      <c r="I1854" s="15">
        <v>2</v>
      </c>
      <c r="J1854" s="15">
        <v>80</v>
      </c>
      <c r="K1854" s="15">
        <v>74.489999999999995</v>
      </c>
      <c r="L1854" s="15">
        <v>5959.2</v>
      </c>
      <c r="M1854" s="15">
        <v>-458.26</v>
      </c>
      <c r="N1854" s="15">
        <v>0</v>
      </c>
      <c r="O1854" s="15">
        <v>715.12278400000002</v>
      </c>
      <c r="P1854" s="15">
        <v>6216.0627839999997</v>
      </c>
    </row>
    <row r="1855" spans="1:16" ht="15" x14ac:dyDescent="0.2">
      <c r="A1855" s="4" t="s">
        <v>574</v>
      </c>
      <c r="B1855" s="21" t="str">
        <f t="shared" si="56"/>
        <v>Dec-2025</v>
      </c>
      <c r="C1855" s="2" t="str">
        <f t="shared" si="57"/>
        <v>Q3</v>
      </c>
      <c r="D1855" s="2" t="s">
        <v>31</v>
      </c>
      <c r="E1855" s="13">
        <v>46003</v>
      </c>
      <c r="F1855" s="14" t="s">
        <v>409</v>
      </c>
      <c r="G1855" s="14" t="s">
        <v>17</v>
      </c>
      <c r="H1855" s="14" t="s">
        <v>84</v>
      </c>
      <c r="I1855" s="15">
        <v>1</v>
      </c>
      <c r="J1855" s="15">
        <v>18</v>
      </c>
      <c r="K1855" s="15">
        <v>178.78</v>
      </c>
      <c r="L1855" s="15">
        <v>3218.0400000000004</v>
      </c>
      <c r="M1855" s="15">
        <v>-247.47</v>
      </c>
      <c r="N1855" s="15">
        <v>0</v>
      </c>
      <c r="O1855" s="15">
        <v>386.17441500000001</v>
      </c>
      <c r="P1855" s="15">
        <v>3356.7444150000001</v>
      </c>
    </row>
    <row r="1856" spans="1:16" ht="15" x14ac:dyDescent="0.2">
      <c r="A1856" s="4" t="s">
        <v>585</v>
      </c>
      <c r="B1856" s="21" t="str">
        <f t="shared" si="56"/>
        <v>Dec-2025</v>
      </c>
      <c r="C1856" s="2" t="str">
        <f t="shared" si="57"/>
        <v>Q3</v>
      </c>
      <c r="D1856" s="2" t="s">
        <v>31</v>
      </c>
      <c r="E1856" s="13">
        <v>46005</v>
      </c>
      <c r="F1856" s="14" t="s">
        <v>410</v>
      </c>
      <c r="G1856" s="14" t="s">
        <v>18</v>
      </c>
      <c r="H1856" s="14" t="s">
        <v>180</v>
      </c>
      <c r="I1856" s="15">
        <v>2</v>
      </c>
      <c r="J1856" s="15">
        <v>2000</v>
      </c>
      <c r="K1856" s="15">
        <v>1.86</v>
      </c>
      <c r="L1856" s="15">
        <v>3720</v>
      </c>
      <c r="M1856" s="15">
        <v>-286.07</v>
      </c>
      <c r="N1856" s="15">
        <v>0</v>
      </c>
      <c r="O1856" s="15">
        <v>446.41</v>
      </c>
      <c r="P1856" s="15">
        <v>3880.34</v>
      </c>
    </row>
    <row r="1857" spans="1:16" ht="15" x14ac:dyDescent="0.2">
      <c r="A1857" s="4" t="s">
        <v>580</v>
      </c>
      <c r="B1857" s="21" t="str">
        <f t="shared" si="56"/>
        <v>Dec-2025</v>
      </c>
      <c r="C1857" s="2" t="str">
        <f t="shared" si="57"/>
        <v>Q3</v>
      </c>
      <c r="D1857" s="2" t="s">
        <v>31</v>
      </c>
      <c r="E1857" s="13">
        <v>46006</v>
      </c>
      <c r="F1857" s="14" t="s">
        <v>411</v>
      </c>
      <c r="G1857" s="14" t="s">
        <v>13</v>
      </c>
      <c r="H1857" s="14" t="s">
        <v>65</v>
      </c>
      <c r="I1857" s="15">
        <v>1</v>
      </c>
      <c r="J1857" s="15">
        <v>130</v>
      </c>
      <c r="K1857" s="15">
        <v>37.25</v>
      </c>
      <c r="L1857" s="15">
        <v>4842.5</v>
      </c>
      <c r="M1857" s="15">
        <v>-372.39</v>
      </c>
      <c r="N1857" s="15">
        <v>0</v>
      </c>
      <c r="O1857" s="15">
        <v>581.11406899999997</v>
      </c>
      <c r="P1857" s="15">
        <v>5051.2240689999999</v>
      </c>
    </row>
    <row r="1858" spans="1:16" ht="15" x14ac:dyDescent="0.2">
      <c r="A1858" s="4" t="s">
        <v>580</v>
      </c>
      <c r="B1858" s="21" t="str">
        <f t="shared" si="56"/>
        <v>Dec-2025</v>
      </c>
      <c r="C1858" s="2" t="str">
        <f t="shared" si="57"/>
        <v>Q3</v>
      </c>
      <c r="D1858" s="2" t="s">
        <v>31</v>
      </c>
      <c r="E1858" s="13">
        <v>46006</v>
      </c>
      <c r="F1858" s="14" t="s">
        <v>411</v>
      </c>
      <c r="G1858" s="14" t="s">
        <v>13</v>
      </c>
      <c r="H1858" s="14" t="s">
        <v>89</v>
      </c>
      <c r="I1858" s="15">
        <v>1</v>
      </c>
      <c r="J1858" s="15">
        <v>70</v>
      </c>
      <c r="K1858" s="15">
        <v>37.25</v>
      </c>
      <c r="L1858" s="15">
        <v>2607.5</v>
      </c>
      <c r="M1858" s="15">
        <v>-200.52</v>
      </c>
      <c r="N1858" s="15">
        <v>0</v>
      </c>
      <c r="O1858" s="15">
        <v>312.90727500000003</v>
      </c>
      <c r="P1858" s="15">
        <v>2719.887275</v>
      </c>
    </row>
    <row r="1859" spans="1:16" ht="15" x14ac:dyDescent="0.2">
      <c r="A1859" s="4" t="s">
        <v>573</v>
      </c>
      <c r="B1859" s="21" t="str">
        <f t="shared" ref="B1859:B1922" si="58">+TEXT(E1859,"MMM-yyy")</f>
        <v>Dec-2025</v>
      </c>
      <c r="C1859" s="2" t="str">
        <f t="shared" ref="C1859:C1922" si="59">"Q" &amp; CHOOSE(MONTH(E1859),4,4,4,1,1,1,2,2,2,3,3,3)</f>
        <v>Q3</v>
      </c>
      <c r="D1859" s="2" t="s">
        <v>31</v>
      </c>
      <c r="E1859" s="13">
        <v>46006</v>
      </c>
      <c r="F1859" s="14" t="s">
        <v>411</v>
      </c>
      <c r="G1859" s="14" t="s">
        <v>13</v>
      </c>
      <c r="H1859" s="14" t="s">
        <v>111</v>
      </c>
      <c r="I1859" s="15">
        <v>2</v>
      </c>
      <c r="J1859" s="15">
        <v>80</v>
      </c>
      <c r="K1859" s="15">
        <v>111.74</v>
      </c>
      <c r="L1859" s="15">
        <v>8939.2000000000007</v>
      </c>
      <c r="M1859" s="15">
        <v>-687.42</v>
      </c>
      <c r="N1859" s="15">
        <v>0</v>
      </c>
      <c r="O1859" s="15">
        <v>1072.7309729999999</v>
      </c>
      <c r="P1859" s="15">
        <v>9324.5109730000004</v>
      </c>
    </row>
    <row r="1860" spans="1:16" ht="15" x14ac:dyDescent="0.2">
      <c r="A1860" s="4" t="s">
        <v>589</v>
      </c>
      <c r="B1860" s="21" t="str">
        <f t="shared" si="58"/>
        <v>Dec-2025</v>
      </c>
      <c r="C1860" s="2" t="str">
        <f t="shared" si="59"/>
        <v>Q3</v>
      </c>
      <c r="D1860" s="2" t="s">
        <v>31</v>
      </c>
      <c r="E1860" s="13">
        <v>46006</v>
      </c>
      <c r="F1860" s="14" t="s">
        <v>411</v>
      </c>
      <c r="G1860" s="14" t="s">
        <v>13</v>
      </c>
      <c r="H1860" s="14" t="s">
        <v>98</v>
      </c>
      <c r="I1860" s="15">
        <v>1</v>
      </c>
      <c r="J1860" s="15">
        <v>60</v>
      </c>
      <c r="K1860" s="15">
        <v>145.26</v>
      </c>
      <c r="L1860" s="15">
        <v>8715.6</v>
      </c>
      <c r="M1860" s="15">
        <v>-670.23</v>
      </c>
      <c r="N1860" s="15">
        <v>0</v>
      </c>
      <c r="O1860" s="15">
        <v>1045.8976829999999</v>
      </c>
      <c r="P1860" s="15">
        <v>9091.267683</v>
      </c>
    </row>
    <row r="1861" spans="1:16" ht="15" x14ac:dyDescent="0.2">
      <c r="A1861" s="4" t="s">
        <v>593</v>
      </c>
      <c r="B1861" s="21" t="str">
        <f t="shared" si="58"/>
        <v>Dec-2025</v>
      </c>
      <c r="C1861" s="2" t="str">
        <f t="shared" si="59"/>
        <v>Q3</v>
      </c>
      <c r="D1861" s="2" t="s">
        <v>31</v>
      </c>
      <c r="E1861" s="13">
        <v>46006</v>
      </c>
      <c r="F1861" s="14" t="s">
        <v>412</v>
      </c>
      <c r="G1861" s="14" t="s">
        <v>12</v>
      </c>
      <c r="H1861" s="14" t="s">
        <v>117</v>
      </c>
      <c r="I1861" s="15">
        <v>10</v>
      </c>
      <c r="J1861" s="15">
        <v>40</v>
      </c>
      <c r="K1861" s="15">
        <v>595.92999999999995</v>
      </c>
      <c r="L1861" s="15">
        <v>23837.200000000001</v>
      </c>
      <c r="M1861" s="15">
        <v>-1833.08</v>
      </c>
      <c r="N1861" s="15">
        <v>0</v>
      </c>
      <c r="O1861" s="15">
        <v>2860.536881</v>
      </c>
      <c r="P1861" s="15">
        <v>24864.656880999999</v>
      </c>
    </row>
    <row r="1862" spans="1:16" ht="15" x14ac:dyDescent="0.2">
      <c r="A1862" s="4" t="s">
        <v>587</v>
      </c>
      <c r="B1862" s="21" t="str">
        <f t="shared" si="58"/>
        <v>Dec-2025</v>
      </c>
      <c r="C1862" s="2" t="str">
        <f t="shared" si="59"/>
        <v>Q3</v>
      </c>
      <c r="D1862" s="2" t="s">
        <v>31</v>
      </c>
      <c r="E1862" s="13">
        <v>46006</v>
      </c>
      <c r="F1862" s="14" t="s">
        <v>412</v>
      </c>
      <c r="G1862" s="14" t="s">
        <v>12</v>
      </c>
      <c r="H1862" s="14" t="s">
        <v>94</v>
      </c>
      <c r="I1862" s="15">
        <v>2</v>
      </c>
      <c r="J1862" s="15">
        <v>120</v>
      </c>
      <c r="K1862" s="15">
        <v>111.74</v>
      </c>
      <c r="L1862" s="15">
        <v>13408.8</v>
      </c>
      <c r="M1862" s="15">
        <v>-1031.1400000000001</v>
      </c>
      <c r="N1862" s="15">
        <v>0</v>
      </c>
      <c r="O1862" s="15">
        <v>1609.0965209999999</v>
      </c>
      <c r="P1862" s="15">
        <v>13986.756520999999</v>
      </c>
    </row>
    <row r="1863" spans="1:16" ht="15" x14ac:dyDescent="0.2">
      <c r="A1863" s="4" t="s">
        <v>583</v>
      </c>
      <c r="B1863" s="21" t="str">
        <f t="shared" si="58"/>
        <v>Dec-2025</v>
      </c>
      <c r="C1863" s="2" t="str">
        <f t="shared" si="59"/>
        <v>Q3</v>
      </c>
      <c r="D1863" s="2" t="s">
        <v>31</v>
      </c>
      <c r="E1863" s="13">
        <v>46006</v>
      </c>
      <c r="F1863" s="14" t="s">
        <v>412</v>
      </c>
      <c r="G1863" s="14" t="s">
        <v>12</v>
      </c>
      <c r="H1863" s="14" t="s">
        <v>113</v>
      </c>
      <c r="I1863" s="15">
        <v>5</v>
      </c>
      <c r="J1863" s="15">
        <v>75</v>
      </c>
      <c r="K1863" s="15">
        <v>260.72000000000003</v>
      </c>
      <c r="L1863" s="15">
        <v>19554</v>
      </c>
      <c r="M1863" s="15">
        <v>-1503.6999999999998</v>
      </c>
      <c r="N1863" s="15">
        <v>0</v>
      </c>
      <c r="O1863" s="15">
        <v>2346.5400509999999</v>
      </c>
      <c r="P1863" s="15">
        <v>20396.840050999999</v>
      </c>
    </row>
    <row r="1864" spans="1:16" ht="15" x14ac:dyDescent="0.2">
      <c r="A1864" s="4" t="s">
        <v>581</v>
      </c>
      <c r="B1864" s="21" t="str">
        <f t="shared" si="58"/>
        <v>Dec-2025</v>
      </c>
      <c r="C1864" s="2" t="str">
        <f t="shared" si="59"/>
        <v>Q3</v>
      </c>
      <c r="D1864" s="2" t="s">
        <v>31</v>
      </c>
      <c r="E1864" s="13">
        <v>46006</v>
      </c>
      <c r="F1864" s="14" t="s">
        <v>412</v>
      </c>
      <c r="G1864" s="14" t="s">
        <v>12</v>
      </c>
      <c r="H1864" s="14" t="s">
        <v>66</v>
      </c>
      <c r="I1864" s="15">
        <v>3</v>
      </c>
      <c r="J1864" s="15">
        <v>72</v>
      </c>
      <c r="K1864" s="15">
        <v>141.54</v>
      </c>
      <c r="L1864" s="15">
        <v>10190.879999999999</v>
      </c>
      <c r="M1864" s="15">
        <v>-783.68</v>
      </c>
      <c r="N1864" s="15">
        <v>0</v>
      </c>
      <c r="O1864" s="15">
        <v>1222.9365480000001</v>
      </c>
      <c r="P1864" s="15">
        <v>10630.136548</v>
      </c>
    </row>
    <row r="1865" spans="1:16" ht="15" x14ac:dyDescent="0.2">
      <c r="A1865" s="4" t="s">
        <v>584</v>
      </c>
      <c r="B1865" s="21" t="str">
        <f t="shared" si="58"/>
        <v>Dec-2025</v>
      </c>
      <c r="C1865" s="2" t="str">
        <f t="shared" si="59"/>
        <v>Q3</v>
      </c>
      <c r="D1865" s="2" t="s">
        <v>31</v>
      </c>
      <c r="E1865" s="13">
        <v>46006</v>
      </c>
      <c r="F1865" s="14" t="s">
        <v>413</v>
      </c>
      <c r="G1865" s="14" t="s">
        <v>18</v>
      </c>
      <c r="H1865" s="14" t="s">
        <v>120</v>
      </c>
      <c r="I1865" s="15">
        <v>0.85</v>
      </c>
      <c r="J1865" s="15">
        <v>34</v>
      </c>
      <c r="K1865" s="15">
        <v>81.94</v>
      </c>
      <c r="L1865" s="15">
        <v>2785.9599999999996</v>
      </c>
      <c r="M1865" s="15">
        <v>-214.24</v>
      </c>
      <c r="N1865" s="15">
        <v>0</v>
      </c>
      <c r="O1865" s="15">
        <v>334.32350700000001</v>
      </c>
      <c r="P1865" s="15">
        <v>2906.0435069999999</v>
      </c>
    </row>
    <row r="1866" spans="1:16" ht="15" x14ac:dyDescent="0.2">
      <c r="A1866" s="4" t="s">
        <v>580</v>
      </c>
      <c r="B1866" s="21" t="str">
        <f t="shared" si="58"/>
        <v>Dec-2025</v>
      </c>
      <c r="C1866" s="2" t="str">
        <f t="shared" si="59"/>
        <v>Q3</v>
      </c>
      <c r="D1866" s="2" t="s">
        <v>31</v>
      </c>
      <c r="E1866" s="13">
        <v>46006</v>
      </c>
      <c r="F1866" s="14" t="s">
        <v>413</v>
      </c>
      <c r="G1866" s="14" t="s">
        <v>18</v>
      </c>
      <c r="H1866" s="14" t="s">
        <v>65</v>
      </c>
      <c r="I1866" s="15">
        <v>0.78</v>
      </c>
      <c r="J1866" s="15">
        <v>101</v>
      </c>
      <c r="K1866" s="15">
        <v>37.25</v>
      </c>
      <c r="L1866" s="15">
        <v>3762.25</v>
      </c>
      <c r="M1866" s="15">
        <v>-289.32</v>
      </c>
      <c r="N1866" s="15">
        <v>0</v>
      </c>
      <c r="O1866" s="15">
        <v>451.48077499999999</v>
      </c>
      <c r="P1866" s="15">
        <v>3924.4107749999998</v>
      </c>
    </row>
    <row r="1867" spans="1:16" ht="15" x14ac:dyDescent="0.2">
      <c r="A1867" s="4" t="s">
        <v>575</v>
      </c>
      <c r="B1867" s="21" t="str">
        <f t="shared" si="58"/>
        <v>Dec-2025</v>
      </c>
      <c r="C1867" s="2" t="str">
        <f t="shared" si="59"/>
        <v>Q3</v>
      </c>
      <c r="D1867" s="2" t="s">
        <v>31</v>
      </c>
      <c r="E1867" s="13">
        <v>46006</v>
      </c>
      <c r="F1867" s="14" t="s">
        <v>413</v>
      </c>
      <c r="G1867" s="14" t="s">
        <v>18</v>
      </c>
      <c r="H1867" s="14" t="s">
        <v>55</v>
      </c>
      <c r="I1867" s="15">
        <v>0.1</v>
      </c>
      <c r="J1867" s="15">
        <v>2</v>
      </c>
      <c r="K1867" s="15">
        <v>186.23</v>
      </c>
      <c r="L1867" s="15">
        <v>372.46</v>
      </c>
      <c r="M1867" s="15">
        <v>-28.64</v>
      </c>
      <c r="N1867" s="15">
        <v>0</v>
      </c>
      <c r="O1867" s="15">
        <v>44.696587999999998</v>
      </c>
      <c r="P1867" s="15">
        <v>388.51658800000001</v>
      </c>
    </row>
    <row r="1868" spans="1:16" ht="15" x14ac:dyDescent="0.2">
      <c r="A1868" s="4" t="s">
        <v>581</v>
      </c>
      <c r="B1868" s="21" t="str">
        <f t="shared" si="58"/>
        <v>Dec-2025</v>
      </c>
      <c r="C1868" s="2" t="str">
        <f t="shared" si="59"/>
        <v>Q3</v>
      </c>
      <c r="D1868" s="2" t="s">
        <v>31</v>
      </c>
      <c r="E1868" s="13">
        <v>46006</v>
      </c>
      <c r="F1868" s="14" t="s">
        <v>413</v>
      </c>
      <c r="G1868" s="14" t="s">
        <v>18</v>
      </c>
      <c r="H1868" s="14" t="s">
        <v>97</v>
      </c>
      <c r="I1868" s="15">
        <v>0.33</v>
      </c>
      <c r="J1868" s="15">
        <v>13</v>
      </c>
      <c r="K1868" s="15">
        <v>67.040000000000006</v>
      </c>
      <c r="L1868" s="15">
        <v>871.52</v>
      </c>
      <c r="M1868" s="15">
        <v>-67.02</v>
      </c>
      <c r="N1868" s="15">
        <v>0</v>
      </c>
      <c r="O1868" s="15">
        <v>104.58497100000001</v>
      </c>
      <c r="P1868" s="15">
        <v>909.084971</v>
      </c>
    </row>
    <row r="1869" spans="1:16" ht="15" x14ac:dyDescent="0.2">
      <c r="A1869" s="4" t="s">
        <v>573</v>
      </c>
      <c r="B1869" s="21" t="str">
        <f t="shared" si="58"/>
        <v>Dec-2025</v>
      </c>
      <c r="C1869" s="2" t="str">
        <f t="shared" si="59"/>
        <v>Q3</v>
      </c>
      <c r="D1869" s="2" t="s">
        <v>31</v>
      </c>
      <c r="E1869" s="13">
        <v>46006</v>
      </c>
      <c r="F1869" s="14" t="s">
        <v>413</v>
      </c>
      <c r="G1869" s="14" t="s">
        <v>18</v>
      </c>
      <c r="H1869" s="14" t="s">
        <v>136</v>
      </c>
      <c r="I1869" s="15">
        <v>0.3</v>
      </c>
      <c r="J1869" s="15">
        <v>12</v>
      </c>
      <c r="K1869" s="15">
        <v>111.74</v>
      </c>
      <c r="L1869" s="15">
        <v>1340.88</v>
      </c>
      <c r="M1869" s="15">
        <v>-103.11</v>
      </c>
      <c r="N1869" s="15">
        <v>0</v>
      </c>
      <c r="O1869" s="15">
        <v>160.910055</v>
      </c>
      <c r="P1869" s="15">
        <v>1398.680055</v>
      </c>
    </row>
    <row r="1870" spans="1:16" ht="15" x14ac:dyDescent="0.2">
      <c r="A1870" s="4" t="s">
        <v>581</v>
      </c>
      <c r="B1870" s="21" t="str">
        <f t="shared" si="58"/>
        <v>Dec-2025</v>
      </c>
      <c r="C1870" s="2" t="str">
        <f t="shared" si="59"/>
        <v>Q3</v>
      </c>
      <c r="D1870" s="2" t="s">
        <v>31</v>
      </c>
      <c r="E1870" s="13">
        <v>46006</v>
      </c>
      <c r="F1870" s="14" t="s">
        <v>413</v>
      </c>
      <c r="G1870" s="14" t="s">
        <v>18</v>
      </c>
      <c r="H1870" s="14" t="s">
        <v>104</v>
      </c>
      <c r="I1870" s="15">
        <v>0.08</v>
      </c>
      <c r="J1870" s="15">
        <v>3</v>
      </c>
      <c r="K1870" s="15">
        <v>67.040000000000006</v>
      </c>
      <c r="L1870" s="15">
        <v>201.12</v>
      </c>
      <c r="M1870" s="15">
        <v>-15.47</v>
      </c>
      <c r="N1870" s="15">
        <v>0</v>
      </c>
      <c r="O1870" s="15">
        <v>24.134492999999999</v>
      </c>
      <c r="P1870" s="15">
        <v>209.784493</v>
      </c>
    </row>
    <row r="1871" spans="1:16" ht="15" x14ac:dyDescent="0.2">
      <c r="A1871" s="4" t="s">
        <v>590</v>
      </c>
      <c r="B1871" s="21" t="str">
        <f t="shared" si="58"/>
        <v>Dec-2025</v>
      </c>
      <c r="C1871" s="2" t="str">
        <f t="shared" si="59"/>
        <v>Q3</v>
      </c>
      <c r="D1871" s="2" t="s">
        <v>31</v>
      </c>
      <c r="E1871" s="13">
        <v>46006</v>
      </c>
      <c r="F1871" s="14" t="s">
        <v>413</v>
      </c>
      <c r="G1871" s="14" t="s">
        <v>18</v>
      </c>
      <c r="H1871" s="14" t="s">
        <v>102</v>
      </c>
      <c r="I1871" s="15">
        <v>1.7</v>
      </c>
      <c r="J1871" s="15">
        <v>34</v>
      </c>
      <c r="K1871" s="15">
        <v>249.55</v>
      </c>
      <c r="L1871" s="15">
        <v>8484.6999999999989</v>
      </c>
      <c r="M1871" s="15">
        <v>-652.47</v>
      </c>
      <c r="N1871" s="15">
        <v>0</v>
      </c>
      <c r="O1871" s="15">
        <v>1018.1896180000001</v>
      </c>
      <c r="P1871" s="15">
        <v>8850.4196179999999</v>
      </c>
    </row>
    <row r="1872" spans="1:16" ht="15" x14ac:dyDescent="0.2">
      <c r="A1872" s="4" t="s">
        <v>573</v>
      </c>
      <c r="B1872" s="21" t="str">
        <f t="shared" si="58"/>
        <v>Dec-2025</v>
      </c>
      <c r="C1872" s="2" t="str">
        <f t="shared" si="59"/>
        <v>Q3</v>
      </c>
      <c r="D1872" s="2" t="s">
        <v>31</v>
      </c>
      <c r="E1872" s="13">
        <v>46006</v>
      </c>
      <c r="F1872" s="14" t="s">
        <v>413</v>
      </c>
      <c r="G1872" s="14" t="s">
        <v>18</v>
      </c>
      <c r="H1872" s="14" t="s">
        <v>111</v>
      </c>
      <c r="I1872" s="15">
        <v>1.1000000000000001</v>
      </c>
      <c r="J1872" s="15">
        <v>44</v>
      </c>
      <c r="K1872" s="15">
        <v>111.74</v>
      </c>
      <c r="L1872" s="15">
        <v>4916.5599999999995</v>
      </c>
      <c r="M1872" s="15">
        <v>-378.08</v>
      </c>
      <c r="N1872" s="15">
        <v>0</v>
      </c>
      <c r="O1872" s="15">
        <v>590.00223600000004</v>
      </c>
      <c r="P1872" s="15">
        <v>5128.4822359999998</v>
      </c>
    </row>
    <row r="1873" spans="1:16" ht="15" x14ac:dyDescent="0.2">
      <c r="A1873" s="4" t="s">
        <v>576</v>
      </c>
      <c r="B1873" s="21" t="str">
        <f t="shared" si="58"/>
        <v>Dec-2025</v>
      </c>
      <c r="C1873" s="2" t="str">
        <f t="shared" si="59"/>
        <v>Q3</v>
      </c>
      <c r="D1873" s="2" t="s">
        <v>31</v>
      </c>
      <c r="E1873" s="13">
        <v>46006</v>
      </c>
      <c r="F1873" s="14" t="s">
        <v>413</v>
      </c>
      <c r="G1873" s="14" t="s">
        <v>18</v>
      </c>
      <c r="H1873" s="14" t="s">
        <v>110</v>
      </c>
      <c r="I1873" s="15">
        <v>0.7</v>
      </c>
      <c r="J1873" s="15">
        <v>14</v>
      </c>
      <c r="K1873" s="15">
        <v>175.05</v>
      </c>
      <c r="L1873" s="15">
        <v>2450.7000000000003</v>
      </c>
      <c r="M1873" s="15">
        <v>-188.46</v>
      </c>
      <c r="N1873" s="15">
        <v>0</v>
      </c>
      <c r="O1873" s="15">
        <v>294.09111799999999</v>
      </c>
      <c r="P1873" s="15">
        <v>2556.3311180000001</v>
      </c>
    </row>
    <row r="1874" spans="1:16" ht="15" x14ac:dyDescent="0.2">
      <c r="A1874" s="4" t="s">
        <v>583</v>
      </c>
      <c r="B1874" s="21" t="str">
        <f t="shared" si="58"/>
        <v>Dec-2025</v>
      </c>
      <c r="C1874" s="2" t="str">
        <f t="shared" si="59"/>
        <v>Q3</v>
      </c>
      <c r="D1874" s="2" t="s">
        <v>31</v>
      </c>
      <c r="E1874" s="13">
        <v>46006</v>
      </c>
      <c r="F1874" s="14" t="s">
        <v>413</v>
      </c>
      <c r="G1874" s="14" t="s">
        <v>18</v>
      </c>
      <c r="H1874" s="14" t="s">
        <v>109</v>
      </c>
      <c r="I1874" s="15">
        <v>0.67</v>
      </c>
      <c r="J1874" s="15">
        <v>10</v>
      </c>
      <c r="K1874" s="15">
        <v>260.72000000000003</v>
      </c>
      <c r="L1874" s="15">
        <v>2607.1999999999998</v>
      </c>
      <c r="M1874" s="15">
        <v>-200.49</v>
      </c>
      <c r="N1874" s="15">
        <v>0</v>
      </c>
      <c r="O1874" s="15">
        <v>312.87221299999999</v>
      </c>
      <c r="P1874" s="15">
        <v>2719.5822130000001</v>
      </c>
    </row>
    <row r="1875" spans="1:16" ht="15" x14ac:dyDescent="0.2">
      <c r="A1875" s="4" t="s">
        <v>589</v>
      </c>
      <c r="B1875" s="21" t="str">
        <f t="shared" si="58"/>
        <v>Dec-2025</v>
      </c>
      <c r="C1875" s="2" t="str">
        <f t="shared" si="59"/>
        <v>Q3</v>
      </c>
      <c r="D1875" s="2" t="s">
        <v>31</v>
      </c>
      <c r="E1875" s="13">
        <v>46006</v>
      </c>
      <c r="F1875" s="14" t="s">
        <v>413</v>
      </c>
      <c r="G1875" s="14" t="s">
        <v>18</v>
      </c>
      <c r="H1875" s="14" t="s">
        <v>98</v>
      </c>
      <c r="I1875" s="15">
        <v>0.75</v>
      </c>
      <c r="J1875" s="15">
        <v>45</v>
      </c>
      <c r="K1875" s="15">
        <v>145.26</v>
      </c>
      <c r="L1875" s="15">
        <v>6536.7</v>
      </c>
      <c r="M1875" s="15">
        <v>-502.67</v>
      </c>
      <c r="N1875" s="15">
        <v>0</v>
      </c>
      <c r="O1875" s="15">
        <v>784.4236830000001</v>
      </c>
      <c r="P1875" s="15">
        <v>6818.4536829999997</v>
      </c>
    </row>
    <row r="1876" spans="1:16" ht="15" x14ac:dyDescent="0.2">
      <c r="A1876" s="4" t="s">
        <v>576</v>
      </c>
      <c r="B1876" s="21" t="str">
        <f t="shared" si="58"/>
        <v>Dec-2025</v>
      </c>
      <c r="C1876" s="2" t="str">
        <f t="shared" si="59"/>
        <v>Q3</v>
      </c>
      <c r="D1876" s="2" t="s">
        <v>31</v>
      </c>
      <c r="E1876" s="13">
        <v>46006</v>
      </c>
      <c r="F1876" s="14" t="s">
        <v>413</v>
      </c>
      <c r="G1876" s="14" t="s">
        <v>18</v>
      </c>
      <c r="H1876" s="14" t="s">
        <v>56</v>
      </c>
      <c r="I1876" s="15">
        <v>0.5</v>
      </c>
      <c r="J1876" s="15">
        <v>10</v>
      </c>
      <c r="K1876" s="15">
        <v>175.05</v>
      </c>
      <c r="L1876" s="15">
        <v>1750.4999999999998</v>
      </c>
      <c r="M1876" s="15">
        <v>-134.61000000000001</v>
      </c>
      <c r="N1876" s="15">
        <v>0</v>
      </c>
      <c r="O1876" s="15">
        <v>210.065642</v>
      </c>
      <c r="P1876" s="15">
        <v>1825.9556419999999</v>
      </c>
    </row>
    <row r="1877" spans="1:16" ht="15" x14ac:dyDescent="0.2">
      <c r="A1877" s="4" t="s">
        <v>584</v>
      </c>
      <c r="B1877" s="21" t="str">
        <f t="shared" si="58"/>
        <v>Dec-2025</v>
      </c>
      <c r="C1877" s="2" t="str">
        <f t="shared" si="59"/>
        <v>Q3</v>
      </c>
      <c r="D1877" s="2" t="s">
        <v>31</v>
      </c>
      <c r="E1877" s="13">
        <v>46006</v>
      </c>
      <c r="F1877" s="14" t="s">
        <v>413</v>
      </c>
      <c r="G1877" s="14" t="s">
        <v>18</v>
      </c>
      <c r="H1877" s="14" t="s">
        <v>100</v>
      </c>
      <c r="I1877" s="15">
        <v>0.85</v>
      </c>
      <c r="J1877" s="15">
        <v>34</v>
      </c>
      <c r="K1877" s="15">
        <v>81.94</v>
      </c>
      <c r="L1877" s="15">
        <v>2785.9599999999996</v>
      </c>
      <c r="M1877" s="15">
        <v>-214.24</v>
      </c>
      <c r="N1877" s="15">
        <v>0</v>
      </c>
      <c r="O1877" s="15">
        <v>334.32350700000001</v>
      </c>
      <c r="P1877" s="15">
        <v>2906.0435069999999</v>
      </c>
    </row>
    <row r="1878" spans="1:16" ht="15" x14ac:dyDescent="0.2">
      <c r="A1878" s="4" t="s">
        <v>581</v>
      </c>
      <c r="B1878" s="21" t="str">
        <f t="shared" si="58"/>
        <v>Dec-2025</v>
      </c>
      <c r="C1878" s="2" t="str">
        <f t="shared" si="59"/>
        <v>Q3</v>
      </c>
      <c r="D1878" s="2" t="s">
        <v>31</v>
      </c>
      <c r="E1878" s="13">
        <v>46006</v>
      </c>
      <c r="F1878" s="14" t="s">
        <v>413</v>
      </c>
      <c r="G1878" s="14" t="s">
        <v>18</v>
      </c>
      <c r="H1878" s="14" t="s">
        <v>125</v>
      </c>
      <c r="I1878" s="15">
        <v>0.64</v>
      </c>
      <c r="J1878" s="15">
        <v>510</v>
      </c>
      <c r="K1878" s="15">
        <v>7.45</v>
      </c>
      <c r="L1878" s="15">
        <v>3799.5</v>
      </c>
      <c r="M1878" s="15">
        <v>-292.18</v>
      </c>
      <c r="N1878" s="15">
        <v>0</v>
      </c>
      <c r="O1878" s="15">
        <v>455.95147400000002</v>
      </c>
      <c r="P1878" s="15">
        <v>3963.2714740000001</v>
      </c>
    </row>
    <row r="1879" spans="1:16" ht="15" x14ac:dyDescent="0.2">
      <c r="A1879" s="4" t="s">
        <v>573</v>
      </c>
      <c r="B1879" s="21" t="str">
        <f t="shared" si="58"/>
        <v>Dec-2025</v>
      </c>
      <c r="C1879" s="2" t="str">
        <f t="shared" si="59"/>
        <v>Q3</v>
      </c>
      <c r="D1879" s="2" t="s">
        <v>31</v>
      </c>
      <c r="E1879" s="13">
        <v>46006</v>
      </c>
      <c r="F1879" s="14" t="s">
        <v>413</v>
      </c>
      <c r="G1879" s="14" t="s">
        <v>18</v>
      </c>
      <c r="H1879" s="14" t="s">
        <v>138</v>
      </c>
      <c r="I1879" s="15">
        <v>0.45</v>
      </c>
      <c r="J1879" s="15">
        <v>18</v>
      </c>
      <c r="K1879" s="15">
        <v>111.74</v>
      </c>
      <c r="L1879" s="15">
        <v>2011.32</v>
      </c>
      <c r="M1879" s="15">
        <v>-154.66999999999999</v>
      </c>
      <c r="N1879" s="15">
        <v>0</v>
      </c>
      <c r="O1879" s="15">
        <v>241.36443299999999</v>
      </c>
      <c r="P1879" s="15">
        <v>2098.0144329999998</v>
      </c>
    </row>
    <row r="1880" spans="1:16" ht="15" x14ac:dyDescent="0.2">
      <c r="A1880" s="4" t="s">
        <v>584</v>
      </c>
      <c r="B1880" s="21" t="str">
        <f t="shared" si="58"/>
        <v>Dec-2025</v>
      </c>
      <c r="C1880" s="2" t="str">
        <f t="shared" si="59"/>
        <v>Q3</v>
      </c>
      <c r="D1880" s="2" t="s">
        <v>31</v>
      </c>
      <c r="E1880" s="13">
        <v>46006</v>
      </c>
      <c r="F1880" s="14" t="s">
        <v>413</v>
      </c>
      <c r="G1880" s="14" t="s">
        <v>18</v>
      </c>
      <c r="H1880" s="14" t="s">
        <v>99</v>
      </c>
      <c r="I1880" s="15">
        <v>0.23</v>
      </c>
      <c r="J1880" s="15">
        <v>9</v>
      </c>
      <c r="K1880" s="15">
        <v>81.94</v>
      </c>
      <c r="L1880" s="15">
        <v>737.46</v>
      </c>
      <c r="M1880" s="15">
        <v>-56.71</v>
      </c>
      <c r="N1880" s="15">
        <v>0</v>
      </c>
      <c r="O1880" s="15">
        <v>88.497475000000009</v>
      </c>
      <c r="P1880" s="15">
        <v>769.24747500000001</v>
      </c>
    </row>
    <row r="1881" spans="1:16" ht="15" x14ac:dyDescent="0.2">
      <c r="A1881" s="4" t="s">
        <v>573</v>
      </c>
      <c r="B1881" s="21" t="str">
        <f t="shared" si="58"/>
        <v>Dec-2025</v>
      </c>
      <c r="C1881" s="2" t="str">
        <f t="shared" si="59"/>
        <v>Q3</v>
      </c>
      <c r="D1881" s="2" t="s">
        <v>31</v>
      </c>
      <c r="E1881" s="13">
        <v>46006</v>
      </c>
      <c r="F1881" s="14" t="s">
        <v>413</v>
      </c>
      <c r="G1881" s="14" t="s">
        <v>18</v>
      </c>
      <c r="H1881" s="14" t="s">
        <v>138</v>
      </c>
      <c r="I1881" s="15">
        <v>0.23</v>
      </c>
      <c r="J1881" s="15">
        <v>9</v>
      </c>
      <c r="K1881" s="15">
        <v>175.05</v>
      </c>
      <c r="L1881" s="15">
        <v>1575.45</v>
      </c>
      <c r="M1881" s="15">
        <v>-121.15</v>
      </c>
      <c r="N1881" s="15">
        <v>0</v>
      </c>
      <c r="O1881" s="15">
        <v>189.05894799999999</v>
      </c>
      <c r="P1881" s="15">
        <v>1643.3589480000001</v>
      </c>
    </row>
    <row r="1882" spans="1:16" ht="15" x14ac:dyDescent="0.2">
      <c r="A1882" s="4" t="s">
        <v>589</v>
      </c>
      <c r="B1882" s="21" t="str">
        <f t="shared" si="58"/>
        <v>Dec-2025</v>
      </c>
      <c r="C1882" s="2" t="str">
        <f t="shared" si="59"/>
        <v>Q3</v>
      </c>
      <c r="D1882" s="2" t="s">
        <v>31</v>
      </c>
      <c r="E1882" s="13">
        <v>46006</v>
      </c>
      <c r="F1882" s="14" t="s">
        <v>413</v>
      </c>
      <c r="G1882" s="14" t="s">
        <v>18</v>
      </c>
      <c r="H1882" s="14" t="s">
        <v>105</v>
      </c>
      <c r="I1882" s="15">
        <v>1.7</v>
      </c>
      <c r="J1882" s="15">
        <v>51</v>
      </c>
      <c r="K1882" s="15">
        <v>316.58999999999997</v>
      </c>
      <c r="L1882" s="15">
        <v>16146.09</v>
      </c>
      <c r="M1882" s="15">
        <v>-1241.6300000000001</v>
      </c>
      <c r="N1882" s="15">
        <v>0</v>
      </c>
      <c r="O1882" s="15">
        <v>1937.5792630000001</v>
      </c>
      <c r="P1882" s="15">
        <v>16842.039262999999</v>
      </c>
    </row>
    <row r="1883" spans="1:16" ht="15" x14ac:dyDescent="0.2">
      <c r="A1883" s="4" t="s">
        <v>576</v>
      </c>
      <c r="B1883" s="21" t="str">
        <f t="shared" si="58"/>
        <v>Dec-2025</v>
      </c>
      <c r="C1883" s="2" t="str">
        <f t="shared" si="59"/>
        <v>Q3</v>
      </c>
      <c r="D1883" s="2" t="s">
        <v>31</v>
      </c>
      <c r="E1883" s="13">
        <v>46006</v>
      </c>
      <c r="F1883" s="14" t="s">
        <v>414</v>
      </c>
      <c r="G1883" s="14" t="s">
        <v>179</v>
      </c>
      <c r="H1883" s="14" t="s">
        <v>56</v>
      </c>
      <c r="I1883" s="15">
        <v>-0.5</v>
      </c>
      <c r="J1883" s="15">
        <v>-10</v>
      </c>
      <c r="K1883" s="15">
        <v>175.05</v>
      </c>
      <c r="L1883" s="15">
        <v>-1750.4999999999998</v>
      </c>
      <c r="M1883" s="15">
        <v>134.57</v>
      </c>
      <c r="N1883" s="15">
        <v>0</v>
      </c>
      <c r="O1883" s="15">
        <v>-210.07076700000002</v>
      </c>
      <c r="P1883" s="15">
        <v>-1826.000767</v>
      </c>
    </row>
    <row r="1884" spans="1:16" ht="15" x14ac:dyDescent="0.2">
      <c r="A1884" s="4" t="s">
        <v>583</v>
      </c>
      <c r="B1884" s="21" t="str">
        <f t="shared" si="58"/>
        <v>Dec-2025</v>
      </c>
      <c r="C1884" s="2" t="str">
        <f t="shared" si="59"/>
        <v>Q3</v>
      </c>
      <c r="D1884" s="2" t="s">
        <v>31</v>
      </c>
      <c r="E1884" s="13">
        <v>46006</v>
      </c>
      <c r="F1884" s="14" t="s">
        <v>414</v>
      </c>
      <c r="G1884" s="14" t="s">
        <v>179</v>
      </c>
      <c r="H1884" s="14" t="s">
        <v>109</v>
      </c>
      <c r="I1884" s="15">
        <v>-0.67</v>
      </c>
      <c r="J1884" s="15">
        <v>-10</v>
      </c>
      <c r="K1884" s="15">
        <v>260.72000000000003</v>
      </c>
      <c r="L1884" s="15">
        <v>-2607.1999999999998</v>
      </c>
      <c r="M1884" s="15">
        <v>200.5</v>
      </c>
      <c r="N1884" s="15">
        <v>0</v>
      </c>
      <c r="O1884" s="15">
        <v>-312.87080199999997</v>
      </c>
      <c r="P1884" s="15">
        <v>-2719.5708020000002</v>
      </c>
    </row>
    <row r="1885" spans="1:16" ht="15" x14ac:dyDescent="0.2">
      <c r="A1885" s="4" t="s">
        <v>589</v>
      </c>
      <c r="B1885" s="21" t="str">
        <f t="shared" si="58"/>
        <v>Dec-2025</v>
      </c>
      <c r="C1885" s="2" t="str">
        <f t="shared" si="59"/>
        <v>Q3</v>
      </c>
      <c r="D1885" s="2" t="s">
        <v>31</v>
      </c>
      <c r="E1885" s="13">
        <v>46006</v>
      </c>
      <c r="F1885" s="14" t="s">
        <v>414</v>
      </c>
      <c r="G1885" s="14" t="s">
        <v>179</v>
      </c>
      <c r="H1885" s="14" t="s">
        <v>98</v>
      </c>
      <c r="I1885" s="15">
        <v>-0.75</v>
      </c>
      <c r="J1885" s="15">
        <v>-45</v>
      </c>
      <c r="K1885" s="15">
        <v>145.26</v>
      </c>
      <c r="L1885" s="15">
        <v>-6536.7</v>
      </c>
      <c r="M1885" s="15">
        <v>502.76</v>
      </c>
      <c r="N1885" s="15">
        <v>0</v>
      </c>
      <c r="O1885" s="15">
        <v>-784.41170299999999</v>
      </c>
      <c r="P1885" s="15">
        <v>-6818.3517030000003</v>
      </c>
    </row>
    <row r="1886" spans="1:16" ht="15" x14ac:dyDescent="0.2">
      <c r="A1886" s="4" t="s">
        <v>589</v>
      </c>
      <c r="B1886" s="21" t="str">
        <f t="shared" si="58"/>
        <v>Dec-2025</v>
      </c>
      <c r="C1886" s="2" t="str">
        <f t="shared" si="59"/>
        <v>Q3</v>
      </c>
      <c r="D1886" s="2" t="s">
        <v>31</v>
      </c>
      <c r="E1886" s="13">
        <v>46006</v>
      </c>
      <c r="F1886" s="14" t="s">
        <v>414</v>
      </c>
      <c r="G1886" s="14" t="s">
        <v>179</v>
      </c>
      <c r="H1886" s="14" t="s">
        <v>105</v>
      </c>
      <c r="I1886" s="15">
        <v>-1.7</v>
      </c>
      <c r="J1886" s="15">
        <v>-51</v>
      </c>
      <c r="K1886" s="15">
        <v>316.58999999999997</v>
      </c>
      <c r="L1886" s="15">
        <v>-16146.09</v>
      </c>
      <c r="M1886" s="15">
        <v>1241.7400000000002</v>
      </c>
      <c r="N1886" s="15">
        <v>0</v>
      </c>
      <c r="O1886" s="15">
        <v>-1937.5642720000001</v>
      </c>
      <c r="P1886" s="15">
        <v>-16841.914272000002</v>
      </c>
    </row>
    <row r="1887" spans="1:16" ht="15" x14ac:dyDescent="0.2">
      <c r="A1887" s="4" t="s">
        <v>581</v>
      </c>
      <c r="B1887" s="21" t="str">
        <f t="shared" si="58"/>
        <v>Dec-2025</v>
      </c>
      <c r="C1887" s="2" t="str">
        <f t="shared" si="59"/>
        <v>Q3</v>
      </c>
      <c r="D1887" s="2" t="s">
        <v>31</v>
      </c>
      <c r="E1887" s="13">
        <v>46006</v>
      </c>
      <c r="F1887" s="14" t="s">
        <v>414</v>
      </c>
      <c r="G1887" s="14" t="s">
        <v>179</v>
      </c>
      <c r="H1887" s="14" t="s">
        <v>97</v>
      </c>
      <c r="I1887" s="15">
        <v>-0.33</v>
      </c>
      <c r="J1887" s="15">
        <v>-13</v>
      </c>
      <c r="K1887" s="15">
        <v>67.040000000000006</v>
      </c>
      <c r="L1887" s="15">
        <v>-871.52</v>
      </c>
      <c r="M1887" s="15">
        <v>66.989999999999995</v>
      </c>
      <c r="N1887" s="15">
        <v>0</v>
      </c>
      <c r="O1887" s="15">
        <v>-104.58883399999999</v>
      </c>
      <c r="P1887" s="15">
        <v>-909.11883399999999</v>
      </c>
    </row>
    <row r="1888" spans="1:16" ht="15" x14ac:dyDescent="0.2">
      <c r="A1888" s="4" t="s">
        <v>590</v>
      </c>
      <c r="B1888" s="21" t="str">
        <f t="shared" si="58"/>
        <v>Dec-2025</v>
      </c>
      <c r="C1888" s="2" t="str">
        <f t="shared" si="59"/>
        <v>Q3</v>
      </c>
      <c r="D1888" s="2" t="s">
        <v>31</v>
      </c>
      <c r="E1888" s="13">
        <v>46006</v>
      </c>
      <c r="F1888" s="14" t="s">
        <v>414</v>
      </c>
      <c r="G1888" s="14" t="s">
        <v>179</v>
      </c>
      <c r="H1888" s="14" t="s">
        <v>102</v>
      </c>
      <c r="I1888" s="15">
        <v>-1.7</v>
      </c>
      <c r="J1888" s="15">
        <v>-34</v>
      </c>
      <c r="K1888" s="15">
        <v>249.55</v>
      </c>
      <c r="L1888" s="15">
        <v>-8484.6999999999989</v>
      </c>
      <c r="M1888" s="15">
        <v>652.6099999999999</v>
      </c>
      <c r="N1888" s="15">
        <v>0</v>
      </c>
      <c r="O1888" s="15">
        <v>-1018.171055</v>
      </c>
      <c r="P1888" s="15">
        <v>-8850.2610550000009</v>
      </c>
    </row>
    <row r="1889" spans="1:16" ht="15" x14ac:dyDescent="0.2">
      <c r="A1889" s="4" t="s">
        <v>573</v>
      </c>
      <c r="B1889" s="21" t="str">
        <f t="shared" si="58"/>
        <v>Dec-2025</v>
      </c>
      <c r="C1889" s="2" t="str">
        <f t="shared" si="59"/>
        <v>Q3</v>
      </c>
      <c r="D1889" s="2" t="s">
        <v>31</v>
      </c>
      <c r="E1889" s="13">
        <v>46006</v>
      </c>
      <c r="F1889" s="14" t="s">
        <v>414</v>
      </c>
      <c r="G1889" s="14" t="s">
        <v>179</v>
      </c>
      <c r="H1889" s="14" t="s">
        <v>111</v>
      </c>
      <c r="I1889" s="15">
        <v>-1.1000000000000001</v>
      </c>
      <c r="J1889" s="15">
        <v>-44</v>
      </c>
      <c r="K1889" s="15">
        <v>111.74</v>
      </c>
      <c r="L1889" s="15">
        <v>-4916.5599999999995</v>
      </c>
      <c r="M1889" s="15">
        <v>378.21</v>
      </c>
      <c r="N1889" s="15">
        <v>0</v>
      </c>
      <c r="O1889" s="15">
        <v>-589.98512599999992</v>
      </c>
      <c r="P1889" s="15">
        <v>-5128.3351259999999</v>
      </c>
    </row>
    <row r="1890" spans="1:16" ht="15" x14ac:dyDescent="0.2">
      <c r="A1890" s="4" t="s">
        <v>581</v>
      </c>
      <c r="B1890" s="21" t="str">
        <f t="shared" si="58"/>
        <v>Dec-2025</v>
      </c>
      <c r="C1890" s="2" t="str">
        <f t="shared" si="59"/>
        <v>Q3</v>
      </c>
      <c r="D1890" s="2" t="s">
        <v>31</v>
      </c>
      <c r="E1890" s="13">
        <v>46006</v>
      </c>
      <c r="F1890" s="14" t="s">
        <v>414</v>
      </c>
      <c r="G1890" s="14" t="s">
        <v>179</v>
      </c>
      <c r="H1890" s="14" t="s">
        <v>125</v>
      </c>
      <c r="I1890" s="15">
        <v>-0.64</v>
      </c>
      <c r="J1890" s="15">
        <v>-510</v>
      </c>
      <c r="K1890" s="15">
        <v>7.45</v>
      </c>
      <c r="L1890" s="15">
        <v>-3799.5</v>
      </c>
      <c r="M1890" s="15">
        <v>292.58999999999997</v>
      </c>
      <c r="N1890" s="15">
        <v>0</v>
      </c>
      <c r="O1890" s="15">
        <v>-455.898011</v>
      </c>
      <c r="P1890" s="15">
        <v>-3962.8080110000001</v>
      </c>
    </row>
    <row r="1891" spans="1:16" ht="15" x14ac:dyDescent="0.2">
      <c r="A1891" s="4" t="s">
        <v>584</v>
      </c>
      <c r="B1891" s="21" t="str">
        <f t="shared" si="58"/>
        <v>Dec-2025</v>
      </c>
      <c r="C1891" s="2" t="str">
        <f t="shared" si="59"/>
        <v>Q3</v>
      </c>
      <c r="D1891" s="2" t="s">
        <v>31</v>
      </c>
      <c r="E1891" s="13">
        <v>46006</v>
      </c>
      <c r="F1891" s="14" t="s">
        <v>414</v>
      </c>
      <c r="G1891" s="14" t="s">
        <v>179</v>
      </c>
      <c r="H1891" s="14" t="s">
        <v>99</v>
      </c>
      <c r="I1891" s="15">
        <v>-0.23</v>
      </c>
      <c r="J1891" s="15">
        <v>-9</v>
      </c>
      <c r="K1891" s="15">
        <v>81.94</v>
      </c>
      <c r="L1891" s="15">
        <v>-737.46</v>
      </c>
      <c r="M1891" s="15">
        <v>56.71</v>
      </c>
      <c r="N1891" s="15">
        <v>0</v>
      </c>
      <c r="O1891" s="15">
        <v>-88.497444000000002</v>
      </c>
      <c r="P1891" s="15">
        <v>-769.24744399999997</v>
      </c>
    </row>
    <row r="1892" spans="1:16" ht="15" x14ac:dyDescent="0.2">
      <c r="A1892" s="4" t="s">
        <v>580</v>
      </c>
      <c r="B1892" s="21" t="str">
        <f t="shared" si="58"/>
        <v>Dec-2025</v>
      </c>
      <c r="C1892" s="2" t="str">
        <f t="shared" si="59"/>
        <v>Q3</v>
      </c>
      <c r="D1892" s="2" t="s">
        <v>31</v>
      </c>
      <c r="E1892" s="13">
        <v>46006</v>
      </c>
      <c r="F1892" s="14" t="s">
        <v>414</v>
      </c>
      <c r="G1892" s="14" t="s">
        <v>179</v>
      </c>
      <c r="H1892" s="14" t="s">
        <v>65</v>
      </c>
      <c r="I1892" s="15">
        <v>-0.78</v>
      </c>
      <c r="J1892" s="15">
        <v>-101</v>
      </c>
      <c r="K1892" s="15">
        <v>37.25</v>
      </c>
      <c r="L1892" s="15">
        <v>-3762.25</v>
      </c>
      <c r="M1892" s="15">
        <v>289.73</v>
      </c>
      <c r="N1892" s="15">
        <v>0</v>
      </c>
      <c r="O1892" s="15">
        <v>-451.42731399999997</v>
      </c>
      <c r="P1892" s="15">
        <v>-3923.947314</v>
      </c>
    </row>
    <row r="1893" spans="1:16" ht="15" x14ac:dyDescent="0.2">
      <c r="A1893" s="4" t="s">
        <v>575</v>
      </c>
      <c r="B1893" s="21" t="str">
        <f t="shared" si="58"/>
        <v>Dec-2025</v>
      </c>
      <c r="C1893" s="2" t="str">
        <f t="shared" si="59"/>
        <v>Q3</v>
      </c>
      <c r="D1893" s="2" t="s">
        <v>31</v>
      </c>
      <c r="E1893" s="13">
        <v>46006</v>
      </c>
      <c r="F1893" s="14" t="s">
        <v>414</v>
      </c>
      <c r="G1893" s="14" t="s">
        <v>179</v>
      </c>
      <c r="H1893" s="14" t="s">
        <v>55</v>
      </c>
      <c r="I1893" s="15">
        <v>-0.1</v>
      </c>
      <c r="J1893" s="15">
        <v>-2</v>
      </c>
      <c r="K1893" s="15">
        <v>186.23</v>
      </c>
      <c r="L1893" s="15">
        <v>-372.46</v>
      </c>
      <c r="M1893" s="15">
        <v>28.65</v>
      </c>
      <c r="N1893" s="15">
        <v>0</v>
      </c>
      <c r="O1893" s="15">
        <v>-44.695272000000003</v>
      </c>
      <c r="P1893" s="15">
        <v>-388.50527199999999</v>
      </c>
    </row>
    <row r="1894" spans="1:16" ht="15" x14ac:dyDescent="0.2">
      <c r="A1894" s="4" t="s">
        <v>581</v>
      </c>
      <c r="B1894" s="21" t="str">
        <f t="shared" si="58"/>
        <v>Dec-2025</v>
      </c>
      <c r="C1894" s="2" t="str">
        <f t="shared" si="59"/>
        <v>Q3</v>
      </c>
      <c r="D1894" s="2" t="s">
        <v>31</v>
      </c>
      <c r="E1894" s="13">
        <v>46006</v>
      </c>
      <c r="F1894" s="14" t="s">
        <v>414</v>
      </c>
      <c r="G1894" s="14" t="s">
        <v>179</v>
      </c>
      <c r="H1894" s="14" t="s">
        <v>104</v>
      </c>
      <c r="I1894" s="15">
        <v>-0.08</v>
      </c>
      <c r="J1894" s="15">
        <v>-3</v>
      </c>
      <c r="K1894" s="15">
        <v>67.040000000000006</v>
      </c>
      <c r="L1894" s="15">
        <v>-201.12</v>
      </c>
      <c r="M1894" s="15">
        <v>15.46</v>
      </c>
      <c r="N1894" s="15">
        <v>0</v>
      </c>
      <c r="O1894" s="15">
        <v>-24.135784999999998</v>
      </c>
      <c r="P1894" s="15">
        <v>-209.795785</v>
      </c>
    </row>
    <row r="1895" spans="1:16" ht="15" x14ac:dyDescent="0.2">
      <c r="A1895" s="4" t="s">
        <v>573</v>
      </c>
      <c r="B1895" s="21" t="str">
        <f t="shared" si="58"/>
        <v>Dec-2025</v>
      </c>
      <c r="C1895" s="2" t="str">
        <f t="shared" si="59"/>
        <v>Q3</v>
      </c>
      <c r="D1895" s="2" t="s">
        <v>31</v>
      </c>
      <c r="E1895" s="13">
        <v>46006</v>
      </c>
      <c r="F1895" s="14" t="s">
        <v>414</v>
      </c>
      <c r="G1895" s="14" t="s">
        <v>179</v>
      </c>
      <c r="H1895" s="14" t="s">
        <v>136</v>
      </c>
      <c r="I1895" s="15">
        <v>-0.3</v>
      </c>
      <c r="J1895" s="15">
        <v>-12</v>
      </c>
      <c r="K1895" s="15">
        <v>111.74</v>
      </c>
      <c r="L1895" s="15">
        <v>-1340.88</v>
      </c>
      <c r="M1895" s="15">
        <v>103.15</v>
      </c>
      <c r="N1895" s="15">
        <v>0</v>
      </c>
      <c r="O1895" s="15">
        <v>-160.904798</v>
      </c>
      <c r="P1895" s="15">
        <v>-1398.634798</v>
      </c>
    </row>
    <row r="1896" spans="1:16" ht="15" x14ac:dyDescent="0.2">
      <c r="A1896" s="4" t="s">
        <v>573</v>
      </c>
      <c r="B1896" s="21" t="str">
        <f t="shared" si="58"/>
        <v>Dec-2025</v>
      </c>
      <c r="C1896" s="2" t="str">
        <f t="shared" si="59"/>
        <v>Q3</v>
      </c>
      <c r="D1896" s="2" t="s">
        <v>31</v>
      </c>
      <c r="E1896" s="13">
        <v>46006</v>
      </c>
      <c r="F1896" s="14" t="s">
        <v>414</v>
      </c>
      <c r="G1896" s="14" t="s">
        <v>179</v>
      </c>
      <c r="H1896" s="14" t="s">
        <v>138</v>
      </c>
      <c r="I1896" s="15">
        <v>-0.23</v>
      </c>
      <c r="J1896" s="15">
        <v>-9</v>
      </c>
      <c r="K1896" s="15">
        <v>175.05</v>
      </c>
      <c r="L1896" s="15">
        <v>-1575.45</v>
      </c>
      <c r="M1896" s="15">
        <v>121.12</v>
      </c>
      <c r="N1896" s="15">
        <v>0</v>
      </c>
      <c r="O1896" s="15">
        <v>-189.06278</v>
      </c>
      <c r="P1896" s="15">
        <v>-1643.3927799999999</v>
      </c>
    </row>
    <row r="1897" spans="1:16" ht="15" x14ac:dyDescent="0.2">
      <c r="A1897" s="4" t="s">
        <v>584</v>
      </c>
      <c r="B1897" s="21" t="str">
        <f t="shared" si="58"/>
        <v>Dec-2025</v>
      </c>
      <c r="C1897" s="2" t="str">
        <f t="shared" si="59"/>
        <v>Q3</v>
      </c>
      <c r="D1897" s="2" t="s">
        <v>31</v>
      </c>
      <c r="E1897" s="13">
        <v>46006</v>
      </c>
      <c r="F1897" s="14" t="s">
        <v>414</v>
      </c>
      <c r="G1897" s="14" t="s">
        <v>179</v>
      </c>
      <c r="H1897" s="14" t="s">
        <v>120</v>
      </c>
      <c r="I1897" s="15">
        <v>-0.85</v>
      </c>
      <c r="J1897" s="15">
        <v>-34</v>
      </c>
      <c r="K1897" s="15">
        <v>81.94</v>
      </c>
      <c r="L1897" s="15">
        <v>-2785.9599999999996</v>
      </c>
      <c r="M1897" s="15">
        <v>214.23</v>
      </c>
      <c r="N1897" s="15">
        <v>0</v>
      </c>
      <c r="O1897" s="15">
        <v>-334.32468799999998</v>
      </c>
      <c r="P1897" s="15">
        <v>-2906.0546880000002</v>
      </c>
    </row>
    <row r="1898" spans="1:16" ht="15" x14ac:dyDescent="0.2">
      <c r="A1898" s="4" t="s">
        <v>584</v>
      </c>
      <c r="B1898" s="21" t="str">
        <f t="shared" si="58"/>
        <v>Dec-2025</v>
      </c>
      <c r="C1898" s="2" t="str">
        <f t="shared" si="59"/>
        <v>Q3</v>
      </c>
      <c r="D1898" s="2" t="s">
        <v>31</v>
      </c>
      <c r="E1898" s="13">
        <v>46006</v>
      </c>
      <c r="F1898" s="14" t="s">
        <v>414</v>
      </c>
      <c r="G1898" s="14" t="s">
        <v>179</v>
      </c>
      <c r="H1898" s="14" t="s">
        <v>100</v>
      </c>
      <c r="I1898" s="15">
        <v>-0.85</v>
      </c>
      <c r="J1898" s="15">
        <v>-34</v>
      </c>
      <c r="K1898" s="15">
        <v>81.94</v>
      </c>
      <c r="L1898" s="15">
        <v>-2785.9599999999996</v>
      </c>
      <c r="M1898" s="15">
        <v>214.23</v>
      </c>
      <c r="N1898" s="15">
        <v>0</v>
      </c>
      <c r="O1898" s="15">
        <v>-334.32468799999998</v>
      </c>
      <c r="P1898" s="15">
        <v>-2906.0546880000002</v>
      </c>
    </row>
    <row r="1899" spans="1:16" ht="15" x14ac:dyDescent="0.2">
      <c r="A1899" s="4" t="s">
        <v>573</v>
      </c>
      <c r="B1899" s="21" t="str">
        <f t="shared" si="58"/>
        <v>Dec-2025</v>
      </c>
      <c r="C1899" s="2" t="str">
        <f t="shared" si="59"/>
        <v>Q3</v>
      </c>
      <c r="D1899" s="2" t="s">
        <v>31</v>
      </c>
      <c r="E1899" s="13">
        <v>46006</v>
      </c>
      <c r="F1899" s="14" t="s">
        <v>414</v>
      </c>
      <c r="G1899" s="14" t="s">
        <v>179</v>
      </c>
      <c r="H1899" s="14" t="s">
        <v>138</v>
      </c>
      <c r="I1899" s="15">
        <v>-0.45</v>
      </c>
      <c r="J1899" s="15">
        <v>-18</v>
      </c>
      <c r="K1899" s="15">
        <v>111.74</v>
      </c>
      <c r="L1899" s="15">
        <v>-2011.32</v>
      </c>
      <c r="M1899" s="15">
        <v>154.72</v>
      </c>
      <c r="N1899" s="15">
        <v>0</v>
      </c>
      <c r="O1899" s="15">
        <v>-241.35784699999999</v>
      </c>
      <c r="P1899" s="15">
        <v>-2097.9578470000001</v>
      </c>
    </row>
    <row r="1900" spans="1:16" ht="15" x14ac:dyDescent="0.2">
      <c r="A1900" s="4" t="s">
        <v>576</v>
      </c>
      <c r="B1900" s="21" t="str">
        <f t="shared" si="58"/>
        <v>Dec-2025</v>
      </c>
      <c r="C1900" s="2" t="str">
        <f t="shared" si="59"/>
        <v>Q3</v>
      </c>
      <c r="D1900" s="2" t="s">
        <v>31</v>
      </c>
      <c r="E1900" s="13">
        <v>46006</v>
      </c>
      <c r="F1900" s="14" t="s">
        <v>414</v>
      </c>
      <c r="G1900" s="14" t="s">
        <v>179</v>
      </c>
      <c r="H1900" s="14" t="s">
        <v>110</v>
      </c>
      <c r="I1900" s="15">
        <v>-0.7</v>
      </c>
      <c r="J1900" s="15">
        <v>-14</v>
      </c>
      <c r="K1900" s="15">
        <v>175.05</v>
      </c>
      <c r="L1900" s="15">
        <v>-2450.7000000000003</v>
      </c>
      <c r="M1900" s="15">
        <v>188.4</v>
      </c>
      <c r="N1900" s="15">
        <v>0</v>
      </c>
      <c r="O1900" s="15">
        <v>-294.098814</v>
      </c>
      <c r="P1900" s="15">
        <v>-2556.3988140000001</v>
      </c>
    </row>
    <row r="1901" spans="1:16" ht="15" x14ac:dyDescent="0.2">
      <c r="A1901" s="4" t="s">
        <v>581</v>
      </c>
      <c r="B1901" s="21" t="str">
        <f t="shared" si="58"/>
        <v>Dec-2025</v>
      </c>
      <c r="C1901" s="2" t="str">
        <f t="shared" si="59"/>
        <v>Q3</v>
      </c>
      <c r="D1901" s="2" t="s">
        <v>31</v>
      </c>
      <c r="E1901" s="13">
        <v>46007</v>
      </c>
      <c r="F1901" s="14" t="s">
        <v>415</v>
      </c>
      <c r="G1901" s="14" t="s">
        <v>25</v>
      </c>
      <c r="H1901" s="14" t="s">
        <v>96</v>
      </c>
      <c r="I1901" s="15">
        <v>7</v>
      </c>
      <c r="J1901" s="15">
        <v>280</v>
      </c>
      <c r="K1901" s="15">
        <v>66.37</v>
      </c>
      <c r="L1901" s="15">
        <v>18583.600000000002</v>
      </c>
      <c r="M1901" s="15">
        <v>0</v>
      </c>
      <c r="N1901" s="15">
        <v>0</v>
      </c>
      <c r="O1901" s="15">
        <v>2415.8689640000002</v>
      </c>
      <c r="P1901" s="15">
        <v>20999.468964</v>
      </c>
    </row>
    <row r="1902" spans="1:16" ht="15" x14ac:dyDescent="0.2">
      <c r="A1902" s="4" t="s">
        <v>576</v>
      </c>
      <c r="B1902" s="21" t="str">
        <f t="shared" si="58"/>
        <v>Dec-2025</v>
      </c>
      <c r="C1902" s="2" t="str">
        <f t="shared" si="59"/>
        <v>Q3</v>
      </c>
      <c r="D1902" s="2" t="s">
        <v>31</v>
      </c>
      <c r="E1902" s="13">
        <v>46007</v>
      </c>
      <c r="F1902" s="14" t="s">
        <v>415</v>
      </c>
      <c r="G1902" s="14" t="s">
        <v>25</v>
      </c>
      <c r="H1902" s="14" t="s">
        <v>124</v>
      </c>
      <c r="I1902" s="15">
        <v>4.2</v>
      </c>
      <c r="J1902" s="15">
        <v>84</v>
      </c>
      <c r="K1902" s="15">
        <v>155.97</v>
      </c>
      <c r="L1902" s="15">
        <v>13101.48</v>
      </c>
      <c r="M1902" s="15">
        <v>0</v>
      </c>
      <c r="N1902" s="15">
        <v>0</v>
      </c>
      <c r="O1902" s="15">
        <v>1703.1930790000001</v>
      </c>
      <c r="P1902" s="15">
        <v>14804.673079</v>
      </c>
    </row>
    <row r="1903" spans="1:16" ht="15" x14ac:dyDescent="0.2">
      <c r="A1903" s="4" t="s">
        <v>589</v>
      </c>
      <c r="B1903" s="21" t="str">
        <f t="shared" si="58"/>
        <v>Dec-2025</v>
      </c>
      <c r="C1903" s="2" t="str">
        <f t="shared" si="59"/>
        <v>Q3</v>
      </c>
      <c r="D1903" s="2" t="s">
        <v>31</v>
      </c>
      <c r="E1903" s="13">
        <v>46007</v>
      </c>
      <c r="F1903" s="14" t="s">
        <v>415</v>
      </c>
      <c r="G1903" s="14" t="s">
        <v>25</v>
      </c>
      <c r="H1903" s="14" t="s">
        <v>105</v>
      </c>
      <c r="I1903" s="15">
        <v>2</v>
      </c>
      <c r="J1903" s="15">
        <v>60</v>
      </c>
      <c r="K1903" s="15">
        <v>282.08</v>
      </c>
      <c r="L1903" s="15">
        <v>16924.8</v>
      </c>
      <c r="M1903" s="15">
        <v>0</v>
      </c>
      <c r="N1903" s="15">
        <v>0</v>
      </c>
      <c r="O1903" s="15">
        <v>2200.224878</v>
      </c>
      <c r="P1903" s="15">
        <v>19125.024878</v>
      </c>
    </row>
    <row r="1904" spans="1:16" ht="15" x14ac:dyDescent="0.2">
      <c r="A1904" s="4" t="s">
        <v>576</v>
      </c>
      <c r="B1904" s="21" t="str">
        <f t="shared" si="58"/>
        <v>Dec-2025</v>
      </c>
      <c r="C1904" s="2" t="str">
        <f t="shared" si="59"/>
        <v>Q3</v>
      </c>
      <c r="D1904" s="2" t="s">
        <v>31</v>
      </c>
      <c r="E1904" s="13">
        <v>46007</v>
      </c>
      <c r="F1904" s="14" t="s">
        <v>415</v>
      </c>
      <c r="G1904" s="14" t="s">
        <v>25</v>
      </c>
      <c r="H1904" s="14" t="s">
        <v>110</v>
      </c>
      <c r="I1904" s="15">
        <v>4.2</v>
      </c>
      <c r="J1904" s="15">
        <v>84</v>
      </c>
      <c r="K1904" s="15">
        <v>155.97</v>
      </c>
      <c r="L1904" s="15">
        <v>13101.48</v>
      </c>
      <c r="M1904" s="15">
        <v>0</v>
      </c>
      <c r="N1904" s="15">
        <v>0</v>
      </c>
      <c r="O1904" s="15">
        <v>1703.1930790000001</v>
      </c>
      <c r="P1904" s="15">
        <v>14804.673079</v>
      </c>
    </row>
    <row r="1905" spans="1:16" ht="15" x14ac:dyDescent="0.2">
      <c r="A1905" s="4" t="s">
        <v>582</v>
      </c>
      <c r="B1905" s="21" t="str">
        <f t="shared" si="58"/>
        <v>Dec-2025</v>
      </c>
      <c r="C1905" s="2" t="str">
        <f t="shared" si="59"/>
        <v>Q3</v>
      </c>
      <c r="D1905" s="2" t="s">
        <v>31</v>
      </c>
      <c r="E1905" s="13">
        <v>46007</v>
      </c>
      <c r="F1905" s="14" t="s">
        <v>416</v>
      </c>
      <c r="G1905" s="14" t="s">
        <v>306</v>
      </c>
      <c r="H1905" s="14" t="s">
        <v>108</v>
      </c>
      <c r="I1905" s="15">
        <v>0.21</v>
      </c>
      <c r="J1905" s="15">
        <v>5</v>
      </c>
      <c r="K1905" s="15">
        <v>176.99</v>
      </c>
      <c r="L1905" s="15">
        <v>884.95</v>
      </c>
      <c r="M1905" s="15">
        <v>0</v>
      </c>
      <c r="N1905" s="15">
        <v>0</v>
      </c>
      <c r="O1905" s="15">
        <v>115.04</v>
      </c>
      <c r="P1905" s="15">
        <v>999.99</v>
      </c>
    </row>
    <row r="1906" spans="1:16" ht="15" x14ac:dyDescent="0.2">
      <c r="A1906" s="4" t="s">
        <v>579</v>
      </c>
      <c r="B1906" s="21" t="str">
        <f t="shared" si="58"/>
        <v>Dec-2025</v>
      </c>
      <c r="C1906" s="2" t="str">
        <f t="shared" si="59"/>
        <v>Q3</v>
      </c>
      <c r="D1906" s="2" t="s">
        <v>31</v>
      </c>
      <c r="E1906" s="13">
        <v>46009</v>
      </c>
      <c r="F1906" s="14" t="s">
        <v>417</v>
      </c>
      <c r="G1906" s="14" t="s">
        <v>386</v>
      </c>
      <c r="H1906" s="14" t="s">
        <v>92</v>
      </c>
      <c r="I1906" s="15">
        <v>3.65</v>
      </c>
      <c r="J1906" s="15">
        <v>73</v>
      </c>
      <c r="K1906" s="15">
        <v>212.83</v>
      </c>
      <c r="L1906" s="15">
        <v>15536.59</v>
      </c>
      <c r="M1906" s="15">
        <v>0</v>
      </c>
      <c r="N1906" s="15">
        <v>0</v>
      </c>
      <c r="O1906" s="15">
        <v>2019.7560659999999</v>
      </c>
      <c r="P1906" s="15">
        <v>17556.346065999998</v>
      </c>
    </row>
    <row r="1907" spans="1:16" ht="15" x14ac:dyDescent="0.2">
      <c r="A1907" s="4" t="s">
        <v>592</v>
      </c>
      <c r="B1907" s="21" t="str">
        <f t="shared" si="58"/>
        <v>Dec-2025</v>
      </c>
      <c r="C1907" s="2" t="str">
        <f t="shared" si="59"/>
        <v>Q3</v>
      </c>
      <c r="D1907" s="2" t="s">
        <v>31</v>
      </c>
      <c r="E1907" s="13">
        <v>46009</v>
      </c>
      <c r="F1907" s="14" t="s">
        <v>417</v>
      </c>
      <c r="G1907" s="14" t="s">
        <v>386</v>
      </c>
      <c r="H1907" s="14" t="s">
        <v>418</v>
      </c>
      <c r="I1907" s="15">
        <v>0.32</v>
      </c>
      <c r="J1907" s="15">
        <v>16</v>
      </c>
      <c r="K1907" s="15">
        <v>72.040000000000006</v>
      </c>
      <c r="L1907" s="15">
        <v>1152.6400000000001</v>
      </c>
      <c r="M1907" s="15">
        <v>0</v>
      </c>
      <c r="N1907" s="15">
        <v>0</v>
      </c>
      <c r="O1907" s="15">
        <v>149.843153</v>
      </c>
      <c r="P1907" s="15">
        <v>1302.4831529999999</v>
      </c>
    </row>
    <row r="1908" spans="1:16" ht="15" x14ac:dyDescent="0.2">
      <c r="A1908" s="4" t="s">
        <v>584</v>
      </c>
      <c r="B1908" s="21" t="str">
        <f t="shared" si="58"/>
        <v>Dec-2025</v>
      </c>
      <c r="C1908" s="2" t="str">
        <f t="shared" si="59"/>
        <v>Q3</v>
      </c>
      <c r="D1908" s="2" t="s">
        <v>31</v>
      </c>
      <c r="E1908" s="13">
        <v>46009</v>
      </c>
      <c r="F1908" s="14" t="s">
        <v>417</v>
      </c>
      <c r="G1908" s="14" t="s">
        <v>386</v>
      </c>
      <c r="H1908" s="14" t="s">
        <v>100</v>
      </c>
      <c r="I1908" s="15">
        <v>3.5</v>
      </c>
      <c r="J1908" s="15">
        <v>140</v>
      </c>
      <c r="K1908" s="15">
        <v>72.040000000000006</v>
      </c>
      <c r="L1908" s="15">
        <v>10085.6</v>
      </c>
      <c r="M1908" s="15">
        <v>0</v>
      </c>
      <c r="N1908" s="15">
        <v>0</v>
      </c>
      <c r="O1908" s="15">
        <v>1311.1275880000001</v>
      </c>
      <c r="P1908" s="15">
        <v>11396.727588</v>
      </c>
    </row>
    <row r="1909" spans="1:16" ht="15" x14ac:dyDescent="0.2">
      <c r="A1909" s="4" t="s">
        <v>582</v>
      </c>
      <c r="B1909" s="21" t="str">
        <f t="shared" si="58"/>
        <v>Dec-2025</v>
      </c>
      <c r="C1909" s="2" t="str">
        <f t="shared" si="59"/>
        <v>Q3</v>
      </c>
      <c r="D1909" s="2" t="s">
        <v>31</v>
      </c>
      <c r="E1909" s="13">
        <v>46009</v>
      </c>
      <c r="F1909" s="14" t="s">
        <v>417</v>
      </c>
      <c r="G1909" s="14" t="s">
        <v>386</v>
      </c>
      <c r="H1909" s="14" t="s">
        <v>108</v>
      </c>
      <c r="I1909" s="15">
        <v>0.21</v>
      </c>
      <c r="J1909" s="15">
        <v>5</v>
      </c>
      <c r="K1909" s="15">
        <v>117.88</v>
      </c>
      <c r="L1909" s="15">
        <v>589.4</v>
      </c>
      <c r="M1909" s="15">
        <v>0</v>
      </c>
      <c r="N1909" s="15">
        <v>0</v>
      </c>
      <c r="O1909" s="15">
        <v>76.621976000000004</v>
      </c>
      <c r="P1909" s="15">
        <v>666.021976</v>
      </c>
    </row>
    <row r="1910" spans="1:16" ht="15" x14ac:dyDescent="0.2">
      <c r="A1910" s="4" t="s">
        <v>581</v>
      </c>
      <c r="B1910" s="21" t="str">
        <f t="shared" si="58"/>
        <v>Dec-2025</v>
      </c>
      <c r="C1910" s="2" t="str">
        <f t="shared" si="59"/>
        <v>Q3</v>
      </c>
      <c r="D1910" s="2" t="s">
        <v>31</v>
      </c>
      <c r="E1910" s="13">
        <v>46009</v>
      </c>
      <c r="F1910" s="14" t="s">
        <v>417</v>
      </c>
      <c r="G1910" s="14" t="s">
        <v>386</v>
      </c>
      <c r="H1910" s="14" t="s">
        <v>104</v>
      </c>
      <c r="I1910" s="15">
        <v>0.08</v>
      </c>
      <c r="J1910" s="15">
        <v>3</v>
      </c>
      <c r="K1910" s="15">
        <v>65.489999999999995</v>
      </c>
      <c r="L1910" s="15">
        <v>196.47</v>
      </c>
      <c r="M1910" s="15">
        <v>0</v>
      </c>
      <c r="N1910" s="15">
        <v>0</v>
      </c>
      <c r="O1910" s="15">
        <v>25.541091999999999</v>
      </c>
      <c r="P1910" s="15">
        <v>222.01109199999999</v>
      </c>
    </row>
    <row r="1911" spans="1:16" ht="15" x14ac:dyDescent="0.2">
      <c r="A1911" s="4" t="s">
        <v>579</v>
      </c>
      <c r="B1911" s="21" t="str">
        <f t="shared" si="58"/>
        <v>Dec-2025</v>
      </c>
      <c r="C1911" s="2" t="str">
        <f t="shared" si="59"/>
        <v>Q3</v>
      </c>
      <c r="D1911" s="2" t="s">
        <v>31</v>
      </c>
      <c r="E1911" s="13">
        <v>46009</v>
      </c>
      <c r="F1911" s="14" t="s">
        <v>417</v>
      </c>
      <c r="G1911" s="14" t="s">
        <v>386</v>
      </c>
      <c r="H1911" s="14" t="s">
        <v>63</v>
      </c>
      <c r="I1911" s="15">
        <v>0.75</v>
      </c>
      <c r="J1911" s="15">
        <v>15</v>
      </c>
      <c r="K1911" s="15">
        <v>163.72</v>
      </c>
      <c r="L1911" s="15">
        <v>2455.8000000000002</v>
      </c>
      <c r="M1911" s="15">
        <v>0</v>
      </c>
      <c r="N1911" s="15">
        <v>0</v>
      </c>
      <c r="O1911" s="15">
        <v>319.25390000000004</v>
      </c>
      <c r="P1911" s="15">
        <v>2775.0538999999999</v>
      </c>
    </row>
    <row r="1912" spans="1:16" ht="15" x14ac:dyDescent="0.2">
      <c r="A1912" s="4" t="s">
        <v>576</v>
      </c>
      <c r="B1912" s="21" t="str">
        <f t="shared" si="58"/>
        <v>Dec-2025</v>
      </c>
      <c r="C1912" s="2" t="str">
        <f t="shared" si="59"/>
        <v>Q3</v>
      </c>
      <c r="D1912" s="2" t="s">
        <v>31</v>
      </c>
      <c r="E1912" s="13">
        <v>46009</v>
      </c>
      <c r="F1912" s="14" t="s">
        <v>417</v>
      </c>
      <c r="G1912" s="14" t="s">
        <v>386</v>
      </c>
      <c r="H1912" s="14" t="s">
        <v>56</v>
      </c>
      <c r="I1912" s="15">
        <v>2.15</v>
      </c>
      <c r="J1912" s="15">
        <v>43</v>
      </c>
      <c r="K1912" s="15">
        <v>150.62</v>
      </c>
      <c r="L1912" s="15">
        <v>6476.66</v>
      </c>
      <c r="M1912" s="15">
        <v>0</v>
      </c>
      <c r="N1912" s="15">
        <v>0</v>
      </c>
      <c r="O1912" s="15">
        <v>841.96553600000004</v>
      </c>
      <c r="P1912" s="15">
        <v>7318.6255359999996</v>
      </c>
    </row>
    <row r="1913" spans="1:16" ht="15" x14ac:dyDescent="0.2">
      <c r="A1913" s="4" t="s">
        <v>581</v>
      </c>
      <c r="B1913" s="21" t="str">
        <f t="shared" si="58"/>
        <v>Dec-2025</v>
      </c>
      <c r="C1913" s="2" t="str">
        <f t="shared" si="59"/>
        <v>Q3</v>
      </c>
      <c r="D1913" s="2" t="s">
        <v>31</v>
      </c>
      <c r="E1913" s="13">
        <v>46009</v>
      </c>
      <c r="F1913" s="14" t="s">
        <v>417</v>
      </c>
      <c r="G1913" s="14" t="s">
        <v>386</v>
      </c>
      <c r="H1913" s="14" t="s">
        <v>66</v>
      </c>
      <c r="I1913" s="15">
        <v>1.17</v>
      </c>
      <c r="J1913" s="15">
        <v>28</v>
      </c>
      <c r="K1913" s="15">
        <v>124.42</v>
      </c>
      <c r="L1913" s="15">
        <v>3483.76</v>
      </c>
      <c r="M1913" s="15">
        <v>0</v>
      </c>
      <c r="N1913" s="15">
        <v>0</v>
      </c>
      <c r="O1913" s="15">
        <v>452.88865799999996</v>
      </c>
      <c r="P1913" s="15">
        <v>3936.6486580000001</v>
      </c>
    </row>
    <row r="1914" spans="1:16" ht="15" x14ac:dyDescent="0.2">
      <c r="A1914" s="4" t="s">
        <v>579</v>
      </c>
      <c r="B1914" s="21" t="str">
        <f t="shared" si="58"/>
        <v>Dec-2025</v>
      </c>
      <c r="C1914" s="2" t="str">
        <f t="shared" si="59"/>
        <v>Q3</v>
      </c>
      <c r="D1914" s="2" t="s">
        <v>31</v>
      </c>
      <c r="E1914" s="13">
        <v>46009</v>
      </c>
      <c r="F1914" s="14" t="s">
        <v>417</v>
      </c>
      <c r="G1914" s="14" t="s">
        <v>386</v>
      </c>
      <c r="H1914" s="14" t="s">
        <v>70</v>
      </c>
      <c r="I1914" s="15">
        <v>0.45</v>
      </c>
      <c r="J1914" s="15">
        <v>9</v>
      </c>
      <c r="K1914" s="15">
        <v>163.72</v>
      </c>
      <c r="L1914" s="15">
        <v>1473.48</v>
      </c>
      <c r="M1914" s="15">
        <v>0</v>
      </c>
      <c r="N1914" s="15">
        <v>0</v>
      </c>
      <c r="O1914" s="15">
        <v>191.55233999999999</v>
      </c>
      <c r="P1914" s="15">
        <v>1665.03234</v>
      </c>
    </row>
    <row r="1915" spans="1:16" ht="15" x14ac:dyDescent="0.2">
      <c r="A1915" s="4" t="s">
        <v>579</v>
      </c>
      <c r="B1915" s="21" t="str">
        <f t="shared" si="58"/>
        <v>Dec-2025</v>
      </c>
      <c r="C1915" s="2" t="str">
        <f t="shared" si="59"/>
        <v>Q3</v>
      </c>
      <c r="D1915" s="2" t="s">
        <v>31</v>
      </c>
      <c r="E1915" s="13">
        <v>46009</v>
      </c>
      <c r="F1915" s="14" t="s">
        <v>417</v>
      </c>
      <c r="G1915" s="14" t="s">
        <v>386</v>
      </c>
      <c r="H1915" s="14" t="s">
        <v>69</v>
      </c>
      <c r="I1915" s="15">
        <v>2.5499999999999998</v>
      </c>
      <c r="J1915" s="15">
        <v>51</v>
      </c>
      <c r="K1915" s="15">
        <v>163.72</v>
      </c>
      <c r="L1915" s="15">
        <v>8349.7200000000012</v>
      </c>
      <c r="M1915" s="15">
        <v>0</v>
      </c>
      <c r="N1915" s="15">
        <v>0</v>
      </c>
      <c r="O1915" s="15">
        <v>1085.4632589999999</v>
      </c>
      <c r="P1915" s="15">
        <v>9435.1832589999995</v>
      </c>
    </row>
    <row r="1916" spans="1:16" ht="15" x14ac:dyDescent="0.2">
      <c r="A1916" s="4" t="s">
        <v>579</v>
      </c>
      <c r="B1916" s="21" t="str">
        <f t="shared" si="58"/>
        <v>Dec-2025</v>
      </c>
      <c r="C1916" s="2" t="str">
        <f t="shared" si="59"/>
        <v>Q3</v>
      </c>
      <c r="D1916" s="2" t="s">
        <v>31</v>
      </c>
      <c r="E1916" s="13">
        <v>46009</v>
      </c>
      <c r="F1916" s="14" t="s">
        <v>417</v>
      </c>
      <c r="G1916" s="14" t="s">
        <v>386</v>
      </c>
      <c r="H1916" s="14" t="s">
        <v>419</v>
      </c>
      <c r="I1916" s="15">
        <v>1.25</v>
      </c>
      <c r="J1916" s="15">
        <v>25</v>
      </c>
      <c r="K1916" s="15">
        <v>212.83</v>
      </c>
      <c r="L1916" s="15">
        <v>5320.75</v>
      </c>
      <c r="M1916" s="15">
        <v>0</v>
      </c>
      <c r="N1916" s="15">
        <v>0</v>
      </c>
      <c r="O1916" s="15">
        <v>691.69728300000008</v>
      </c>
      <c r="P1916" s="15">
        <v>6012.4472830000004</v>
      </c>
    </row>
    <row r="1917" spans="1:16" ht="15" x14ac:dyDescent="0.2">
      <c r="A1917" s="4" t="s">
        <v>573</v>
      </c>
      <c r="B1917" s="21" t="str">
        <f t="shared" si="58"/>
        <v>Dec-2025</v>
      </c>
      <c r="C1917" s="2" t="str">
        <f t="shared" si="59"/>
        <v>Q3</v>
      </c>
      <c r="D1917" s="2" t="s">
        <v>31</v>
      </c>
      <c r="E1917" s="13">
        <v>46009</v>
      </c>
      <c r="F1917" s="14" t="s">
        <v>417</v>
      </c>
      <c r="G1917" s="14" t="s">
        <v>386</v>
      </c>
      <c r="H1917" s="14" t="s">
        <v>58</v>
      </c>
      <c r="I1917" s="15">
        <v>2.88</v>
      </c>
      <c r="J1917" s="15">
        <v>115</v>
      </c>
      <c r="K1917" s="15">
        <v>98.23</v>
      </c>
      <c r="L1917" s="15">
        <v>11296.449999999999</v>
      </c>
      <c r="M1917" s="15">
        <v>0</v>
      </c>
      <c r="N1917" s="15">
        <v>0</v>
      </c>
      <c r="O1917" s="15">
        <v>1468.538039</v>
      </c>
      <c r="P1917" s="15">
        <v>12764.988039</v>
      </c>
    </row>
    <row r="1918" spans="1:16" ht="15" x14ac:dyDescent="0.2">
      <c r="A1918" s="4" t="s">
        <v>584</v>
      </c>
      <c r="B1918" s="21" t="str">
        <f t="shared" si="58"/>
        <v>Dec-2025</v>
      </c>
      <c r="C1918" s="2" t="str">
        <f t="shared" si="59"/>
        <v>Q3</v>
      </c>
      <c r="D1918" s="2" t="s">
        <v>31</v>
      </c>
      <c r="E1918" s="13">
        <v>46009</v>
      </c>
      <c r="F1918" s="14" t="s">
        <v>417</v>
      </c>
      <c r="G1918" s="14" t="s">
        <v>386</v>
      </c>
      <c r="H1918" s="14" t="s">
        <v>72</v>
      </c>
      <c r="I1918" s="15">
        <v>2.33</v>
      </c>
      <c r="J1918" s="15">
        <v>93</v>
      </c>
      <c r="K1918" s="15">
        <v>72.040000000000006</v>
      </c>
      <c r="L1918" s="15">
        <v>6699.7199999999993</v>
      </c>
      <c r="M1918" s="15">
        <v>0</v>
      </c>
      <c r="N1918" s="15">
        <v>0</v>
      </c>
      <c r="O1918" s="15">
        <v>870.96332600000005</v>
      </c>
      <c r="P1918" s="15">
        <v>7570.6833260000003</v>
      </c>
    </row>
    <row r="1919" spans="1:16" ht="15" x14ac:dyDescent="0.2">
      <c r="A1919" s="4" t="s">
        <v>579</v>
      </c>
      <c r="B1919" s="21" t="str">
        <f t="shared" si="58"/>
        <v>Dec-2025</v>
      </c>
      <c r="C1919" s="2" t="str">
        <f t="shared" si="59"/>
        <v>Q3</v>
      </c>
      <c r="D1919" s="2" t="s">
        <v>31</v>
      </c>
      <c r="E1919" s="13">
        <v>46009</v>
      </c>
      <c r="F1919" s="14" t="s">
        <v>417</v>
      </c>
      <c r="G1919" s="14" t="s">
        <v>386</v>
      </c>
      <c r="H1919" s="14" t="s">
        <v>90</v>
      </c>
      <c r="I1919" s="15">
        <v>0.35</v>
      </c>
      <c r="J1919" s="15">
        <v>7</v>
      </c>
      <c r="K1919" s="15">
        <v>163.72</v>
      </c>
      <c r="L1919" s="15">
        <v>1146.04</v>
      </c>
      <c r="M1919" s="15">
        <v>0</v>
      </c>
      <c r="N1919" s="15">
        <v>0</v>
      </c>
      <c r="O1919" s="15">
        <v>148.985153</v>
      </c>
      <c r="P1919" s="15">
        <v>1295.025153</v>
      </c>
    </row>
    <row r="1920" spans="1:16" ht="15" x14ac:dyDescent="0.2">
      <c r="A1920" s="4" t="s">
        <v>573</v>
      </c>
      <c r="B1920" s="21" t="str">
        <f t="shared" si="58"/>
        <v>Dec-2025</v>
      </c>
      <c r="C1920" s="2" t="str">
        <f t="shared" si="59"/>
        <v>Q3</v>
      </c>
      <c r="D1920" s="2" t="s">
        <v>31</v>
      </c>
      <c r="E1920" s="13">
        <v>46009</v>
      </c>
      <c r="F1920" s="14" t="s">
        <v>417</v>
      </c>
      <c r="G1920" s="14" t="s">
        <v>386</v>
      </c>
      <c r="H1920" s="14" t="s">
        <v>49</v>
      </c>
      <c r="I1920" s="15">
        <v>1.93</v>
      </c>
      <c r="J1920" s="15">
        <v>77</v>
      </c>
      <c r="K1920" s="15">
        <v>98.23</v>
      </c>
      <c r="L1920" s="15">
        <v>7563.71</v>
      </c>
      <c r="M1920" s="15">
        <v>0</v>
      </c>
      <c r="N1920" s="15">
        <v>0</v>
      </c>
      <c r="O1920" s="15">
        <v>983.28199100000006</v>
      </c>
      <c r="P1920" s="15">
        <v>8546.9919910000008</v>
      </c>
    </row>
    <row r="1921" spans="1:16" ht="15" x14ac:dyDescent="0.2">
      <c r="A1921" s="4" t="s">
        <v>584</v>
      </c>
      <c r="B1921" s="21" t="str">
        <f t="shared" si="58"/>
        <v>Dec-2025</v>
      </c>
      <c r="C1921" s="2" t="str">
        <f t="shared" si="59"/>
        <v>Q3</v>
      </c>
      <c r="D1921" s="2" t="s">
        <v>31</v>
      </c>
      <c r="E1921" s="13">
        <v>46009</v>
      </c>
      <c r="F1921" s="14" t="s">
        <v>417</v>
      </c>
      <c r="G1921" s="14" t="s">
        <v>386</v>
      </c>
      <c r="H1921" s="14" t="s">
        <v>99</v>
      </c>
      <c r="I1921" s="15">
        <v>1.35</v>
      </c>
      <c r="J1921" s="15">
        <v>54</v>
      </c>
      <c r="K1921" s="15">
        <v>72.040000000000006</v>
      </c>
      <c r="L1921" s="15">
        <v>3890.16</v>
      </c>
      <c r="M1921" s="15">
        <v>0</v>
      </c>
      <c r="N1921" s="15">
        <v>0</v>
      </c>
      <c r="O1921" s="15">
        <v>505.720641</v>
      </c>
      <c r="P1921" s="15">
        <v>4395.8806409999997</v>
      </c>
    </row>
    <row r="1922" spans="1:16" ht="15" x14ac:dyDescent="0.2">
      <c r="A1922" s="4" t="s">
        <v>573</v>
      </c>
      <c r="B1922" s="21" t="str">
        <f t="shared" si="58"/>
        <v>Dec-2025</v>
      </c>
      <c r="C1922" s="2" t="str">
        <f t="shared" si="59"/>
        <v>Q3</v>
      </c>
      <c r="D1922" s="2" t="s">
        <v>31</v>
      </c>
      <c r="E1922" s="13">
        <v>46009</v>
      </c>
      <c r="F1922" s="14" t="s">
        <v>420</v>
      </c>
      <c r="G1922" s="14" t="s">
        <v>347</v>
      </c>
      <c r="H1922" s="14" t="s">
        <v>111</v>
      </c>
      <c r="I1922" s="15">
        <v>3</v>
      </c>
      <c r="J1922" s="15">
        <v>120</v>
      </c>
      <c r="K1922" s="15">
        <v>111.74</v>
      </c>
      <c r="L1922" s="15">
        <v>13408.8</v>
      </c>
      <c r="M1922" s="15">
        <v>-1031.1400000000001</v>
      </c>
      <c r="N1922" s="15">
        <v>0</v>
      </c>
      <c r="O1922" s="15">
        <v>1609.096014</v>
      </c>
      <c r="P1922" s="15">
        <v>13986.756014000001</v>
      </c>
    </row>
    <row r="1923" spans="1:16" ht="15" x14ac:dyDescent="0.2">
      <c r="A1923" s="4" t="s">
        <v>584</v>
      </c>
      <c r="B1923" s="21" t="str">
        <f t="shared" ref="B1923:B1986" si="60">+TEXT(E1923,"MMM-yyy")</f>
        <v>Dec-2025</v>
      </c>
      <c r="C1923" s="2" t="str">
        <f t="shared" ref="C1923:C1986" si="61">"Q" &amp; CHOOSE(MONTH(E1923),4,4,4,1,1,1,2,2,2,3,3,3)</f>
        <v>Q3</v>
      </c>
      <c r="D1923" s="2" t="s">
        <v>31</v>
      </c>
      <c r="E1923" s="13">
        <v>46009</v>
      </c>
      <c r="F1923" s="14" t="s">
        <v>420</v>
      </c>
      <c r="G1923" s="14" t="s">
        <v>347</v>
      </c>
      <c r="H1923" s="14" t="s">
        <v>99</v>
      </c>
      <c r="I1923" s="15">
        <v>1</v>
      </c>
      <c r="J1923" s="15">
        <v>40</v>
      </c>
      <c r="K1923" s="15">
        <v>81.94</v>
      </c>
      <c r="L1923" s="15">
        <v>3277.6</v>
      </c>
      <c r="M1923" s="15">
        <v>-252.05</v>
      </c>
      <c r="N1923" s="15">
        <v>0</v>
      </c>
      <c r="O1923" s="15">
        <v>393.321552</v>
      </c>
      <c r="P1923" s="15">
        <v>3418.8715520000001</v>
      </c>
    </row>
    <row r="1924" spans="1:16" ht="15" x14ac:dyDescent="0.2">
      <c r="A1924" s="4" t="s">
        <v>580</v>
      </c>
      <c r="B1924" s="21" t="str">
        <f t="shared" si="60"/>
        <v>Dec-2025</v>
      </c>
      <c r="C1924" s="2" t="str">
        <f t="shared" si="61"/>
        <v>Q3</v>
      </c>
      <c r="D1924" s="2" t="s">
        <v>31</v>
      </c>
      <c r="E1924" s="13">
        <v>46009</v>
      </c>
      <c r="F1924" s="14" t="s">
        <v>420</v>
      </c>
      <c r="G1924" s="14" t="s">
        <v>347</v>
      </c>
      <c r="H1924" s="14" t="s">
        <v>65</v>
      </c>
      <c r="I1924" s="15">
        <v>1</v>
      </c>
      <c r="J1924" s="15">
        <v>130</v>
      </c>
      <c r="K1924" s="15">
        <v>37.25</v>
      </c>
      <c r="L1924" s="15">
        <v>4842.5</v>
      </c>
      <c r="M1924" s="15">
        <v>-372.39</v>
      </c>
      <c r="N1924" s="15">
        <v>0</v>
      </c>
      <c r="O1924" s="15">
        <v>581.11437699999999</v>
      </c>
      <c r="P1924" s="15">
        <v>5051.2243769999995</v>
      </c>
    </row>
    <row r="1925" spans="1:16" ht="15" x14ac:dyDescent="0.2">
      <c r="A1925" s="4" t="s">
        <v>589</v>
      </c>
      <c r="B1925" s="21" t="str">
        <f t="shared" si="60"/>
        <v>Dec-2025</v>
      </c>
      <c r="C1925" s="2" t="str">
        <f t="shared" si="61"/>
        <v>Q3</v>
      </c>
      <c r="D1925" s="2" t="s">
        <v>31</v>
      </c>
      <c r="E1925" s="13">
        <v>46009</v>
      </c>
      <c r="F1925" s="14" t="s">
        <v>420</v>
      </c>
      <c r="G1925" s="14" t="s">
        <v>347</v>
      </c>
      <c r="H1925" s="14" t="s">
        <v>105</v>
      </c>
      <c r="I1925" s="15">
        <v>1</v>
      </c>
      <c r="J1925" s="15">
        <v>30</v>
      </c>
      <c r="K1925" s="15">
        <v>316.58999999999997</v>
      </c>
      <c r="L1925" s="15">
        <v>9497.6999999999989</v>
      </c>
      <c r="M1925" s="15">
        <v>-730.36999999999989</v>
      </c>
      <c r="N1925" s="15">
        <v>0</v>
      </c>
      <c r="O1925" s="15">
        <v>1139.753052</v>
      </c>
      <c r="P1925" s="15">
        <v>9907.083052</v>
      </c>
    </row>
    <row r="1926" spans="1:16" ht="15" x14ac:dyDescent="0.2">
      <c r="A1926" s="4" t="s">
        <v>580</v>
      </c>
      <c r="B1926" s="21" t="str">
        <f t="shared" si="60"/>
        <v>Dec-2025</v>
      </c>
      <c r="C1926" s="2" t="str">
        <f t="shared" si="61"/>
        <v>Q3</v>
      </c>
      <c r="D1926" s="2" t="s">
        <v>31</v>
      </c>
      <c r="E1926" s="13">
        <v>46009</v>
      </c>
      <c r="F1926" s="14" t="s">
        <v>420</v>
      </c>
      <c r="G1926" s="14" t="s">
        <v>347</v>
      </c>
      <c r="H1926" s="14" t="s">
        <v>89</v>
      </c>
      <c r="I1926" s="15">
        <v>10</v>
      </c>
      <c r="J1926" s="15">
        <v>700</v>
      </c>
      <c r="K1926" s="15">
        <v>37.25</v>
      </c>
      <c r="L1926" s="15">
        <v>26075</v>
      </c>
      <c r="M1926" s="15">
        <v>-2005.1699999999998</v>
      </c>
      <c r="N1926" s="15">
        <v>0</v>
      </c>
      <c r="O1926" s="15">
        <v>3129.0783160000001</v>
      </c>
      <c r="P1926" s="15">
        <v>27198.908316000001</v>
      </c>
    </row>
    <row r="1927" spans="1:16" ht="15" x14ac:dyDescent="0.2">
      <c r="A1927" s="4" t="s">
        <v>586</v>
      </c>
      <c r="B1927" s="21" t="str">
        <f t="shared" si="60"/>
        <v>Dec-2025</v>
      </c>
      <c r="C1927" s="2" t="str">
        <f t="shared" si="61"/>
        <v>Q3</v>
      </c>
      <c r="D1927" s="2" t="s">
        <v>31</v>
      </c>
      <c r="E1927" s="13">
        <v>46009</v>
      </c>
      <c r="F1927" s="14" t="s">
        <v>420</v>
      </c>
      <c r="G1927" s="14" t="s">
        <v>347</v>
      </c>
      <c r="H1927" s="14" t="s">
        <v>114</v>
      </c>
      <c r="I1927" s="15">
        <v>1</v>
      </c>
      <c r="J1927" s="15">
        <v>240</v>
      </c>
      <c r="K1927" s="15">
        <v>14.9</v>
      </c>
      <c r="L1927" s="15">
        <v>3576</v>
      </c>
      <c r="M1927" s="15">
        <v>-274.99</v>
      </c>
      <c r="N1927" s="15">
        <v>0</v>
      </c>
      <c r="O1927" s="15">
        <v>429.13135700000004</v>
      </c>
      <c r="P1927" s="15">
        <v>3730.141357</v>
      </c>
    </row>
    <row r="1928" spans="1:16" ht="15" x14ac:dyDescent="0.2">
      <c r="A1928" s="4" t="s">
        <v>592</v>
      </c>
      <c r="B1928" s="21" t="str">
        <f t="shared" si="60"/>
        <v>Dec-2025</v>
      </c>
      <c r="C1928" s="2" t="str">
        <f t="shared" si="61"/>
        <v>Q3</v>
      </c>
      <c r="D1928" s="2" t="s">
        <v>31</v>
      </c>
      <c r="E1928" s="13">
        <v>46009</v>
      </c>
      <c r="F1928" s="14" t="s">
        <v>420</v>
      </c>
      <c r="G1928" s="14" t="s">
        <v>347</v>
      </c>
      <c r="H1928" s="14" t="s">
        <v>115</v>
      </c>
      <c r="I1928" s="15">
        <v>1</v>
      </c>
      <c r="J1928" s="15">
        <v>50</v>
      </c>
      <c r="K1928" s="15">
        <v>89.39</v>
      </c>
      <c r="L1928" s="15">
        <v>4469.5</v>
      </c>
      <c r="M1928" s="15">
        <v>-343.7</v>
      </c>
      <c r="N1928" s="15">
        <v>0</v>
      </c>
      <c r="O1928" s="15">
        <v>536.35407099999998</v>
      </c>
      <c r="P1928" s="15">
        <v>4662.1540709999999</v>
      </c>
    </row>
    <row r="1929" spans="1:16" ht="15" x14ac:dyDescent="0.2">
      <c r="A1929" s="4" t="s">
        <v>593</v>
      </c>
      <c r="B1929" s="21" t="str">
        <f t="shared" si="60"/>
        <v>Dec-2025</v>
      </c>
      <c r="C1929" s="2" t="str">
        <f t="shared" si="61"/>
        <v>Q3</v>
      </c>
      <c r="D1929" s="2" t="s">
        <v>31</v>
      </c>
      <c r="E1929" s="13">
        <v>46009</v>
      </c>
      <c r="F1929" s="14" t="s">
        <v>420</v>
      </c>
      <c r="G1929" s="14" t="s">
        <v>347</v>
      </c>
      <c r="H1929" s="14" t="s">
        <v>117</v>
      </c>
      <c r="I1929" s="15">
        <v>15</v>
      </c>
      <c r="J1929" s="15">
        <v>60</v>
      </c>
      <c r="K1929" s="15">
        <v>595.94000000000005</v>
      </c>
      <c r="L1929" s="15">
        <v>35756.400000000001</v>
      </c>
      <c r="M1929" s="15">
        <v>-2749.67</v>
      </c>
      <c r="N1929" s="15">
        <v>0</v>
      </c>
      <c r="O1929" s="15">
        <v>4290.87547</v>
      </c>
      <c r="P1929" s="15">
        <v>37297.605470000002</v>
      </c>
    </row>
    <row r="1930" spans="1:16" ht="15" x14ac:dyDescent="0.2">
      <c r="A1930" s="4" t="s">
        <v>581</v>
      </c>
      <c r="B1930" s="21" t="str">
        <f t="shared" si="60"/>
        <v>Dec-2025</v>
      </c>
      <c r="C1930" s="2" t="str">
        <f t="shared" si="61"/>
        <v>Q3</v>
      </c>
      <c r="D1930" s="2" t="s">
        <v>31</v>
      </c>
      <c r="E1930" s="13">
        <v>46009</v>
      </c>
      <c r="F1930" s="14" t="s">
        <v>420</v>
      </c>
      <c r="G1930" s="14" t="s">
        <v>347</v>
      </c>
      <c r="H1930" s="14" t="s">
        <v>125</v>
      </c>
      <c r="I1930" s="15">
        <v>2</v>
      </c>
      <c r="J1930" s="15">
        <v>1600</v>
      </c>
      <c r="K1930" s="15">
        <v>7.46</v>
      </c>
      <c r="L1930" s="15">
        <v>11936</v>
      </c>
      <c r="M1930" s="15">
        <v>-917.88</v>
      </c>
      <c r="N1930" s="15">
        <v>0</v>
      </c>
      <c r="O1930" s="15">
        <v>1432.3557900000001</v>
      </c>
      <c r="P1930" s="15">
        <v>12450.47579</v>
      </c>
    </row>
    <row r="1931" spans="1:16" ht="15" x14ac:dyDescent="0.2">
      <c r="A1931" s="4" t="s">
        <v>586</v>
      </c>
      <c r="B1931" s="21" t="str">
        <f t="shared" si="60"/>
        <v>Dec-2025</v>
      </c>
      <c r="C1931" s="2" t="str">
        <f t="shared" si="61"/>
        <v>Q3</v>
      </c>
      <c r="D1931" s="2" t="s">
        <v>31</v>
      </c>
      <c r="E1931" s="13">
        <v>46009</v>
      </c>
      <c r="F1931" s="14" t="s">
        <v>421</v>
      </c>
      <c r="G1931" s="14" t="s">
        <v>380</v>
      </c>
      <c r="H1931" s="14" t="s">
        <v>76</v>
      </c>
      <c r="I1931" s="15">
        <v>1</v>
      </c>
      <c r="J1931" s="15">
        <v>240</v>
      </c>
      <c r="K1931" s="15">
        <v>14.9</v>
      </c>
      <c r="L1931" s="15">
        <v>3576</v>
      </c>
      <c r="M1931" s="15">
        <v>-274.99</v>
      </c>
      <c r="N1931" s="15">
        <v>0</v>
      </c>
      <c r="O1931" s="15">
        <v>429.13127800000001</v>
      </c>
      <c r="P1931" s="15">
        <v>3730.1412780000001</v>
      </c>
    </row>
    <row r="1932" spans="1:16" ht="15" x14ac:dyDescent="0.2">
      <c r="A1932" s="4" t="s">
        <v>584</v>
      </c>
      <c r="B1932" s="21" t="str">
        <f t="shared" si="60"/>
        <v>Dec-2025</v>
      </c>
      <c r="C1932" s="2" t="str">
        <f t="shared" si="61"/>
        <v>Q3</v>
      </c>
      <c r="D1932" s="2" t="s">
        <v>31</v>
      </c>
      <c r="E1932" s="13">
        <v>46009</v>
      </c>
      <c r="F1932" s="14" t="s">
        <v>421</v>
      </c>
      <c r="G1932" s="14" t="s">
        <v>380</v>
      </c>
      <c r="H1932" s="14" t="s">
        <v>99</v>
      </c>
      <c r="I1932" s="15">
        <v>1</v>
      </c>
      <c r="J1932" s="15">
        <v>40</v>
      </c>
      <c r="K1932" s="15">
        <v>81.94</v>
      </c>
      <c r="L1932" s="15">
        <v>3277.6</v>
      </c>
      <c r="M1932" s="15">
        <v>-252.05</v>
      </c>
      <c r="N1932" s="15">
        <v>0</v>
      </c>
      <c r="O1932" s="15">
        <v>393.32147999999995</v>
      </c>
      <c r="P1932" s="15">
        <v>3418.8714799999998</v>
      </c>
    </row>
    <row r="1933" spans="1:16" ht="15" x14ac:dyDescent="0.2">
      <c r="A1933" s="4" t="s">
        <v>586</v>
      </c>
      <c r="B1933" s="21" t="str">
        <f t="shared" si="60"/>
        <v>Dec-2025</v>
      </c>
      <c r="C1933" s="2" t="str">
        <f t="shared" si="61"/>
        <v>Q3</v>
      </c>
      <c r="D1933" s="2" t="s">
        <v>31</v>
      </c>
      <c r="E1933" s="13">
        <v>46009</v>
      </c>
      <c r="F1933" s="14" t="s">
        <v>421</v>
      </c>
      <c r="G1933" s="14" t="s">
        <v>380</v>
      </c>
      <c r="H1933" s="14" t="s">
        <v>114</v>
      </c>
      <c r="I1933" s="15">
        <v>1</v>
      </c>
      <c r="J1933" s="15">
        <v>240</v>
      </c>
      <c r="K1933" s="15">
        <v>14.9</v>
      </c>
      <c r="L1933" s="15">
        <v>3576</v>
      </c>
      <c r="M1933" s="15">
        <v>-274.99</v>
      </c>
      <c r="N1933" s="15">
        <v>0</v>
      </c>
      <c r="O1933" s="15">
        <v>429.13127800000001</v>
      </c>
      <c r="P1933" s="15">
        <v>3730.1412780000001</v>
      </c>
    </row>
    <row r="1934" spans="1:16" ht="15" x14ac:dyDescent="0.2">
      <c r="A1934" s="4" t="s">
        <v>592</v>
      </c>
      <c r="B1934" s="21" t="str">
        <f t="shared" si="60"/>
        <v>Dec-2025</v>
      </c>
      <c r="C1934" s="2" t="str">
        <f t="shared" si="61"/>
        <v>Q3</v>
      </c>
      <c r="D1934" s="2" t="s">
        <v>31</v>
      </c>
      <c r="E1934" s="13">
        <v>46009</v>
      </c>
      <c r="F1934" s="14" t="s">
        <v>421</v>
      </c>
      <c r="G1934" s="14" t="s">
        <v>380</v>
      </c>
      <c r="H1934" s="14" t="s">
        <v>115</v>
      </c>
      <c r="I1934" s="15">
        <v>2</v>
      </c>
      <c r="J1934" s="15">
        <v>100</v>
      </c>
      <c r="K1934" s="15">
        <v>89.39</v>
      </c>
      <c r="L1934" s="15">
        <v>8939</v>
      </c>
      <c r="M1934" s="15">
        <v>-687.41</v>
      </c>
      <c r="N1934" s="15">
        <v>0</v>
      </c>
      <c r="O1934" s="15">
        <v>1072.7066460000001</v>
      </c>
      <c r="P1934" s="15">
        <v>9324.2966460000007</v>
      </c>
    </row>
    <row r="1935" spans="1:16" ht="15" x14ac:dyDescent="0.2">
      <c r="A1935" s="4" t="s">
        <v>584</v>
      </c>
      <c r="B1935" s="21" t="str">
        <f t="shared" si="60"/>
        <v>Dec-2025</v>
      </c>
      <c r="C1935" s="2" t="str">
        <f t="shared" si="61"/>
        <v>Q3</v>
      </c>
      <c r="D1935" s="2" t="s">
        <v>31</v>
      </c>
      <c r="E1935" s="13">
        <v>46009</v>
      </c>
      <c r="F1935" s="14" t="s">
        <v>421</v>
      </c>
      <c r="G1935" s="14" t="s">
        <v>380</v>
      </c>
      <c r="H1935" s="14" t="s">
        <v>120</v>
      </c>
      <c r="I1935" s="15">
        <v>1</v>
      </c>
      <c r="J1935" s="15">
        <v>40</v>
      </c>
      <c r="K1935" s="15">
        <v>81.94</v>
      </c>
      <c r="L1935" s="15">
        <v>3277.6</v>
      </c>
      <c r="M1935" s="15">
        <v>-252.05</v>
      </c>
      <c r="N1935" s="15">
        <v>0</v>
      </c>
      <c r="O1935" s="15">
        <v>393.32147999999995</v>
      </c>
      <c r="P1935" s="15">
        <v>3418.8714799999998</v>
      </c>
    </row>
    <row r="1936" spans="1:16" ht="15" x14ac:dyDescent="0.2">
      <c r="A1936" s="4" t="s">
        <v>581</v>
      </c>
      <c r="B1936" s="21" t="str">
        <f t="shared" si="60"/>
        <v>Dec-2025</v>
      </c>
      <c r="C1936" s="2" t="str">
        <f t="shared" si="61"/>
        <v>Q3</v>
      </c>
      <c r="D1936" s="2" t="s">
        <v>31</v>
      </c>
      <c r="E1936" s="13">
        <v>46009</v>
      </c>
      <c r="F1936" s="14" t="s">
        <v>421</v>
      </c>
      <c r="G1936" s="14" t="s">
        <v>380</v>
      </c>
      <c r="H1936" s="14" t="s">
        <v>96</v>
      </c>
      <c r="I1936" s="15">
        <v>2</v>
      </c>
      <c r="J1936" s="15">
        <v>80</v>
      </c>
      <c r="K1936" s="15">
        <v>74.489999999999995</v>
      </c>
      <c r="L1936" s="15">
        <v>5959.2</v>
      </c>
      <c r="M1936" s="15">
        <v>-458.26</v>
      </c>
      <c r="N1936" s="15">
        <v>0</v>
      </c>
      <c r="O1936" s="15">
        <v>715.122164</v>
      </c>
      <c r="P1936" s="15">
        <v>6216.0621639999999</v>
      </c>
    </row>
    <row r="1937" spans="1:16" ht="15" x14ac:dyDescent="0.2">
      <c r="A1937" s="4" t="s">
        <v>573</v>
      </c>
      <c r="B1937" s="21" t="str">
        <f t="shared" si="60"/>
        <v>Dec-2025</v>
      </c>
      <c r="C1937" s="2" t="str">
        <f t="shared" si="61"/>
        <v>Q3</v>
      </c>
      <c r="D1937" s="2" t="s">
        <v>31</v>
      </c>
      <c r="E1937" s="13">
        <v>46009</v>
      </c>
      <c r="F1937" s="14" t="s">
        <v>421</v>
      </c>
      <c r="G1937" s="14" t="s">
        <v>380</v>
      </c>
      <c r="H1937" s="14" t="s">
        <v>111</v>
      </c>
      <c r="I1937" s="15">
        <v>1</v>
      </c>
      <c r="J1937" s="15">
        <v>40</v>
      </c>
      <c r="K1937" s="15">
        <v>111.74</v>
      </c>
      <c r="L1937" s="15">
        <v>4469.6000000000004</v>
      </c>
      <c r="M1937" s="15">
        <v>-343.71</v>
      </c>
      <c r="N1937" s="15">
        <v>0</v>
      </c>
      <c r="O1937" s="15">
        <v>536.36567300000002</v>
      </c>
      <c r="P1937" s="15">
        <v>4662.2556729999997</v>
      </c>
    </row>
    <row r="1938" spans="1:16" ht="15" x14ac:dyDescent="0.2">
      <c r="A1938" s="4" t="s">
        <v>573</v>
      </c>
      <c r="B1938" s="21" t="str">
        <f t="shared" si="60"/>
        <v>Dec-2025</v>
      </c>
      <c r="C1938" s="2" t="str">
        <f t="shared" si="61"/>
        <v>Q3</v>
      </c>
      <c r="D1938" s="2" t="s">
        <v>31</v>
      </c>
      <c r="E1938" s="13">
        <v>46009</v>
      </c>
      <c r="F1938" s="14" t="s">
        <v>422</v>
      </c>
      <c r="G1938" s="14" t="s">
        <v>345</v>
      </c>
      <c r="H1938" s="14" t="s">
        <v>111</v>
      </c>
      <c r="I1938" s="15">
        <v>5</v>
      </c>
      <c r="J1938" s="15">
        <v>200</v>
      </c>
      <c r="K1938" s="15">
        <v>111.74</v>
      </c>
      <c r="L1938" s="15">
        <v>22348</v>
      </c>
      <c r="M1938" s="15">
        <v>-1718.56</v>
      </c>
      <c r="N1938" s="15">
        <v>0</v>
      </c>
      <c r="O1938" s="15">
        <v>2681.8275870000002</v>
      </c>
      <c r="P1938" s="15">
        <v>23311.267586999998</v>
      </c>
    </row>
    <row r="1939" spans="1:16" ht="15" x14ac:dyDescent="0.2">
      <c r="A1939" s="4" t="s">
        <v>589</v>
      </c>
      <c r="B1939" s="21" t="str">
        <f t="shared" si="60"/>
        <v>Dec-2025</v>
      </c>
      <c r="C1939" s="2" t="str">
        <f t="shared" si="61"/>
        <v>Q3</v>
      </c>
      <c r="D1939" s="2" t="s">
        <v>31</v>
      </c>
      <c r="E1939" s="13">
        <v>46009</v>
      </c>
      <c r="F1939" s="14" t="s">
        <v>422</v>
      </c>
      <c r="G1939" s="14" t="s">
        <v>345</v>
      </c>
      <c r="H1939" s="14" t="s">
        <v>98</v>
      </c>
      <c r="I1939" s="15">
        <v>2</v>
      </c>
      <c r="J1939" s="15">
        <v>120</v>
      </c>
      <c r="K1939" s="15">
        <v>145.26</v>
      </c>
      <c r="L1939" s="15">
        <v>17431.2</v>
      </c>
      <c r="M1939" s="15">
        <v>-1340.46</v>
      </c>
      <c r="N1939" s="15">
        <v>0</v>
      </c>
      <c r="O1939" s="15">
        <v>2091.7965020000001</v>
      </c>
      <c r="P1939" s="15">
        <v>18182.536501999999</v>
      </c>
    </row>
    <row r="1940" spans="1:16" ht="15" x14ac:dyDescent="0.2">
      <c r="A1940" s="4" t="s">
        <v>576</v>
      </c>
      <c r="B1940" s="21" t="str">
        <f t="shared" si="60"/>
        <v>Dec-2025</v>
      </c>
      <c r="C1940" s="2" t="str">
        <f t="shared" si="61"/>
        <v>Q3</v>
      </c>
      <c r="D1940" s="2" t="s">
        <v>31</v>
      </c>
      <c r="E1940" s="13">
        <v>46009</v>
      </c>
      <c r="F1940" s="14" t="s">
        <v>422</v>
      </c>
      <c r="G1940" s="14" t="s">
        <v>345</v>
      </c>
      <c r="H1940" s="14" t="s">
        <v>110</v>
      </c>
      <c r="I1940" s="15">
        <v>2</v>
      </c>
      <c r="J1940" s="15">
        <v>40</v>
      </c>
      <c r="K1940" s="15">
        <v>175.05</v>
      </c>
      <c r="L1940" s="15">
        <v>7001.9999999999991</v>
      </c>
      <c r="M1940" s="15">
        <v>-538.45000000000005</v>
      </c>
      <c r="N1940" s="15">
        <v>0</v>
      </c>
      <c r="O1940" s="15">
        <v>840.26162099999999</v>
      </c>
      <c r="P1940" s="15">
        <v>7303.8116209999998</v>
      </c>
    </row>
    <row r="1941" spans="1:16" ht="15" x14ac:dyDescent="0.2">
      <c r="A1941" s="4" t="s">
        <v>589</v>
      </c>
      <c r="B1941" s="21" t="str">
        <f t="shared" si="60"/>
        <v>Dec-2025</v>
      </c>
      <c r="C1941" s="2" t="str">
        <f t="shared" si="61"/>
        <v>Q3</v>
      </c>
      <c r="D1941" s="2" t="s">
        <v>31</v>
      </c>
      <c r="E1941" s="13">
        <v>46009</v>
      </c>
      <c r="F1941" s="14" t="s">
        <v>422</v>
      </c>
      <c r="G1941" s="14" t="s">
        <v>345</v>
      </c>
      <c r="H1941" s="14" t="s">
        <v>105</v>
      </c>
      <c r="I1941" s="15">
        <v>2</v>
      </c>
      <c r="J1941" s="15">
        <v>60</v>
      </c>
      <c r="K1941" s="15">
        <v>316.58999999999997</v>
      </c>
      <c r="L1941" s="15">
        <v>18995.399999999998</v>
      </c>
      <c r="M1941" s="15">
        <v>-1460.75</v>
      </c>
      <c r="N1941" s="15">
        <v>0</v>
      </c>
      <c r="O1941" s="15">
        <v>2279.504829</v>
      </c>
      <c r="P1941" s="15">
        <v>19814.154828999999</v>
      </c>
    </row>
    <row r="1942" spans="1:16" ht="15" x14ac:dyDescent="0.2">
      <c r="A1942" s="4" t="s">
        <v>581</v>
      </c>
      <c r="B1942" s="21" t="str">
        <f t="shared" si="60"/>
        <v>Dec-2025</v>
      </c>
      <c r="C1942" s="2" t="str">
        <f t="shared" si="61"/>
        <v>Q3</v>
      </c>
      <c r="D1942" s="2" t="s">
        <v>31</v>
      </c>
      <c r="E1942" s="13">
        <v>46009</v>
      </c>
      <c r="F1942" s="14" t="s">
        <v>422</v>
      </c>
      <c r="G1942" s="14" t="s">
        <v>345</v>
      </c>
      <c r="H1942" s="14" t="s">
        <v>125</v>
      </c>
      <c r="I1942" s="15">
        <v>1</v>
      </c>
      <c r="J1942" s="15">
        <v>800</v>
      </c>
      <c r="K1942" s="15">
        <v>7.46</v>
      </c>
      <c r="L1942" s="15">
        <v>5968</v>
      </c>
      <c r="M1942" s="15">
        <v>-458.94</v>
      </c>
      <c r="N1942" s="15">
        <v>0</v>
      </c>
      <c r="O1942" s="15">
        <v>716.17790300000001</v>
      </c>
      <c r="P1942" s="15">
        <v>6225.2379030000002</v>
      </c>
    </row>
    <row r="1943" spans="1:16" ht="15" x14ac:dyDescent="0.2">
      <c r="A1943" s="4" t="s">
        <v>584</v>
      </c>
      <c r="B1943" s="21" t="str">
        <f t="shared" si="60"/>
        <v>Dec-2025</v>
      </c>
      <c r="C1943" s="2" t="str">
        <f t="shared" si="61"/>
        <v>Q3</v>
      </c>
      <c r="D1943" s="2" t="s">
        <v>31</v>
      </c>
      <c r="E1943" s="13">
        <v>46009</v>
      </c>
      <c r="F1943" s="14" t="s">
        <v>422</v>
      </c>
      <c r="G1943" s="14" t="s">
        <v>345</v>
      </c>
      <c r="H1943" s="14" t="s">
        <v>120</v>
      </c>
      <c r="I1943" s="15">
        <v>1</v>
      </c>
      <c r="J1943" s="15">
        <v>40</v>
      </c>
      <c r="K1943" s="15">
        <v>81.94</v>
      </c>
      <c r="L1943" s="15">
        <v>3277.6</v>
      </c>
      <c r="M1943" s="15">
        <v>-252.05</v>
      </c>
      <c r="N1943" s="15">
        <v>0</v>
      </c>
      <c r="O1943" s="15">
        <v>393.32155699999998</v>
      </c>
      <c r="P1943" s="15">
        <v>3418.8715569999999</v>
      </c>
    </row>
    <row r="1944" spans="1:16" ht="15" x14ac:dyDescent="0.2">
      <c r="A1944" s="4" t="s">
        <v>585</v>
      </c>
      <c r="B1944" s="21" t="str">
        <f t="shared" si="60"/>
        <v>Dec-2025</v>
      </c>
      <c r="C1944" s="2" t="str">
        <f t="shared" si="61"/>
        <v>Q3</v>
      </c>
      <c r="D1944" s="2" t="s">
        <v>31</v>
      </c>
      <c r="E1944" s="13">
        <v>46009</v>
      </c>
      <c r="F1944" s="14" t="s">
        <v>423</v>
      </c>
      <c r="G1944" s="14" t="s">
        <v>347</v>
      </c>
      <c r="H1944" s="14" t="s">
        <v>180</v>
      </c>
      <c r="I1944" s="15">
        <v>1</v>
      </c>
      <c r="J1944" s="15">
        <v>1000</v>
      </c>
      <c r="K1944" s="15">
        <v>1.86</v>
      </c>
      <c r="L1944" s="15">
        <v>1860</v>
      </c>
      <c r="M1944" s="15">
        <v>-143.03</v>
      </c>
      <c r="N1944" s="15">
        <v>0</v>
      </c>
      <c r="O1944" s="15">
        <v>223.21</v>
      </c>
      <c r="P1944" s="15">
        <v>1940.18</v>
      </c>
    </row>
    <row r="1945" spans="1:16" ht="15" x14ac:dyDescent="0.2">
      <c r="A1945" s="4" t="s">
        <v>585</v>
      </c>
      <c r="B1945" s="21" t="str">
        <f t="shared" si="60"/>
        <v>Dec-2025</v>
      </c>
      <c r="C1945" s="2" t="str">
        <f t="shared" si="61"/>
        <v>Q3</v>
      </c>
      <c r="D1945" s="2" t="s">
        <v>31</v>
      </c>
      <c r="E1945" s="13">
        <v>46009</v>
      </c>
      <c r="F1945" s="14" t="s">
        <v>424</v>
      </c>
      <c r="G1945" s="14" t="s">
        <v>380</v>
      </c>
      <c r="H1945" s="14" t="s">
        <v>180</v>
      </c>
      <c r="I1945" s="15">
        <v>1</v>
      </c>
      <c r="J1945" s="15">
        <v>1000</v>
      </c>
      <c r="K1945" s="15">
        <v>1.86</v>
      </c>
      <c r="L1945" s="15">
        <v>1860</v>
      </c>
      <c r="M1945" s="15">
        <v>-143.03</v>
      </c>
      <c r="N1945" s="15">
        <v>0</v>
      </c>
      <c r="O1945" s="15">
        <v>223.21</v>
      </c>
      <c r="P1945" s="15">
        <v>1940.18</v>
      </c>
    </row>
    <row r="1946" spans="1:16" ht="15" x14ac:dyDescent="0.2">
      <c r="A1946" s="4" t="s">
        <v>581</v>
      </c>
      <c r="B1946" s="21" t="str">
        <f t="shared" si="60"/>
        <v>Dec-2025</v>
      </c>
      <c r="C1946" s="2" t="str">
        <f t="shared" si="61"/>
        <v>Q3</v>
      </c>
      <c r="D1946" s="2" t="s">
        <v>31</v>
      </c>
      <c r="E1946" s="13">
        <v>46009</v>
      </c>
      <c r="F1946" s="14" t="s">
        <v>425</v>
      </c>
      <c r="G1946" s="14" t="s">
        <v>15</v>
      </c>
      <c r="H1946" s="14" t="s">
        <v>97</v>
      </c>
      <c r="I1946" s="15">
        <v>4</v>
      </c>
      <c r="J1946" s="15">
        <v>160</v>
      </c>
      <c r="K1946" s="15">
        <v>74.489999999999995</v>
      </c>
      <c r="L1946" s="15">
        <v>11918.4</v>
      </c>
      <c r="M1946" s="15">
        <v>-916.52</v>
      </c>
      <c r="N1946" s="15">
        <v>0</v>
      </c>
      <c r="O1946" s="15">
        <v>1430.2439180000001</v>
      </c>
      <c r="P1946" s="15">
        <v>12432.123917999999</v>
      </c>
    </row>
    <row r="1947" spans="1:16" ht="15" x14ac:dyDescent="0.2">
      <c r="A1947" s="4" t="s">
        <v>589</v>
      </c>
      <c r="B1947" s="21" t="str">
        <f t="shared" si="60"/>
        <v>Dec-2025</v>
      </c>
      <c r="C1947" s="2" t="str">
        <f t="shared" si="61"/>
        <v>Q3</v>
      </c>
      <c r="D1947" s="2" t="s">
        <v>31</v>
      </c>
      <c r="E1947" s="13">
        <v>46009</v>
      </c>
      <c r="F1947" s="14" t="s">
        <v>425</v>
      </c>
      <c r="G1947" s="14" t="s">
        <v>15</v>
      </c>
      <c r="H1947" s="14" t="s">
        <v>98</v>
      </c>
      <c r="I1947" s="15">
        <v>1</v>
      </c>
      <c r="J1947" s="15">
        <v>60</v>
      </c>
      <c r="K1947" s="15">
        <v>145.26</v>
      </c>
      <c r="L1947" s="15">
        <v>8715.6</v>
      </c>
      <c r="M1947" s="15">
        <v>-670.23</v>
      </c>
      <c r="N1947" s="15">
        <v>0</v>
      </c>
      <c r="O1947" s="15">
        <v>1045.8977480000001</v>
      </c>
      <c r="P1947" s="15">
        <v>9091.2677480000002</v>
      </c>
    </row>
    <row r="1948" spans="1:16" ht="15" x14ac:dyDescent="0.2">
      <c r="A1948" s="4" t="s">
        <v>581</v>
      </c>
      <c r="B1948" s="21" t="str">
        <f t="shared" si="60"/>
        <v>Dec-2025</v>
      </c>
      <c r="C1948" s="2" t="str">
        <f t="shared" si="61"/>
        <v>Q3</v>
      </c>
      <c r="D1948" s="2" t="s">
        <v>31</v>
      </c>
      <c r="E1948" s="13">
        <v>46009</v>
      </c>
      <c r="F1948" s="14" t="s">
        <v>425</v>
      </c>
      <c r="G1948" s="14" t="s">
        <v>15</v>
      </c>
      <c r="H1948" s="14" t="s">
        <v>66</v>
      </c>
      <c r="I1948" s="15">
        <v>1</v>
      </c>
      <c r="J1948" s="15">
        <v>24</v>
      </c>
      <c r="K1948" s="15">
        <v>141.54</v>
      </c>
      <c r="L1948" s="15">
        <v>3396.96</v>
      </c>
      <c r="M1948" s="15">
        <v>-261.23</v>
      </c>
      <c r="N1948" s="15">
        <v>0</v>
      </c>
      <c r="O1948" s="15">
        <v>407.64476300000001</v>
      </c>
      <c r="P1948" s="15">
        <v>3543.3747629999998</v>
      </c>
    </row>
    <row r="1949" spans="1:16" ht="15" x14ac:dyDescent="0.2">
      <c r="A1949" s="4" t="s">
        <v>583</v>
      </c>
      <c r="B1949" s="21" t="str">
        <f t="shared" si="60"/>
        <v>Dec-2025</v>
      </c>
      <c r="C1949" s="2" t="str">
        <f t="shared" si="61"/>
        <v>Q3</v>
      </c>
      <c r="D1949" s="2" t="s">
        <v>31</v>
      </c>
      <c r="E1949" s="13">
        <v>46009</v>
      </c>
      <c r="F1949" s="14" t="s">
        <v>425</v>
      </c>
      <c r="G1949" s="14" t="s">
        <v>15</v>
      </c>
      <c r="H1949" s="14" t="s">
        <v>109</v>
      </c>
      <c r="I1949" s="15">
        <v>2</v>
      </c>
      <c r="J1949" s="15">
        <v>30</v>
      </c>
      <c r="K1949" s="15">
        <v>260.72000000000003</v>
      </c>
      <c r="L1949" s="15">
        <v>7821.6</v>
      </c>
      <c r="M1949" s="15">
        <v>-601.48</v>
      </c>
      <c r="N1949" s="15">
        <v>0</v>
      </c>
      <c r="O1949" s="15">
        <v>938.61528400000009</v>
      </c>
      <c r="P1949" s="15">
        <v>8158.7352840000003</v>
      </c>
    </row>
    <row r="1950" spans="1:16" ht="15" x14ac:dyDescent="0.2">
      <c r="A1950" s="4" t="s">
        <v>576</v>
      </c>
      <c r="B1950" s="21" t="str">
        <f t="shared" si="60"/>
        <v>Dec-2025</v>
      </c>
      <c r="C1950" s="2" t="str">
        <f t="shared" si="61"/>
        <v>Q3</v>
      </c>
      <c r="D1950" s="2" t="s">
        <v>31</v>
      </c>
      <c r="E1950" s="13">
        <v>46009</v>
      </c>
      <c r="F1950" s="14" t="s">
        <v>425</v>
      </c>
      <c r="G1950" s="14" t="s">
        <v>15</v>
      </c>
      <c r="H1950" s="14" t="s">
        <v>110</v>
      </c>
      <c r="I1950" s="15">
        <v>2</v>
      </c>
      <c r="J1950" s="15">
        <v>40</v>
      </c>
      <c r="K1950" s="15">
        <v>175.06</v>
      </c>
      <c r="L1950" s="15">
        <v>7002.4</v>
      </c>
      <c r="M1950" s="15">
        <v>-538.48</v>
      </c>
      <c r="N1950" s="15">
        <v>0</v>
      </c>
      <c r="O1950" s="15">
        <v>840.30931700000008</v>
      </c>
      <c r="P1950" s="15">
        <v>7304.2293170000003</v>
      </c>
    </row>
    <row r="1951" spans="1:16" ht="15" x14ac:dyDescent="0.2">
      <c r="A1951" s="4" t="s">
        <v>580</v>
      </c>
      <c r="B1951" s="21" t="str">
        <f t="shared" si="60"/>
        <v>Dec-2025</v>
      </c>
      <c r="C1951" s="2" t="str">
        <f t="shared" si="61"/>
        <v>Q3</v>
      </c>
      <c r="D1951" s="2" t="s">
        <v>31</v>
      </c>
      <c r="E1951" s="13">
        <v>46009</v>
      </c>
      <c r="F1951" s="14" t="s">
        <v>425</v>
      </c>
      <c r="G1951" s="14" t="s">
        <v>15</v>
      </c>
      <c r="H1951" s="14" t="s">
        <v>65</v>
      </c>
      <c r="I1951" s="15">
        <v>1</v>
      </c>
      <c r="J1951" s="15">
        <v>130</v>
      </c>
      <c r="K1951" s="15">
        <v>37.25</v>
      </c>
      <c r="L1951" s="15">
        <v>4842.5</v>
      </c>
      <c r="M1951" s="15">
        <v>-372.39</v>
      </c>
      <c r="N1951" s="15">
        <v>0</v>
      </c>
      <c r="O1951" s="15">
        <v>581.114104</v>
      </c>
      <c r="P1951" s="15">
        <v>5051.2241039999999</v>
      </c>
    </row>
    <row r="1952" spans="1:16" ht="15" x14ac:dyDescent="0.2">
      <c r="A1952" s="4" t="s">
        <v>580</v>
      </c>
      <c r="B1952" s="21" t="str">
        <f t="shared" si="60"/>
        <v>Dec-2025</v>
      </c>
      <c r="C1952" s="2" t="str">
        <f t="shared" si="61"/>
        <v>Q3</v>
      </c>
      <c r="D1952" s="2" t="s">
        <v>31</v>
      </c>
      <c r="E1952" s="13">
        <v>46009</v>
      </c>
      <c r="F1952" s="14" t="s">
        <v>425</v>
      </c>
      <c r="G1952" s="14" t="s">
        <v>15</v>
      </c>
      <c r="H1952" s="14" t="s">
        <v>89</v>
      </c>
      <c r="I1952" s="15">
        <v>2</v>
      </c>
      <c r="J1952" s="15">
        <v>140</v>
      </c>
      <c r="K1952" s="15">
        <v>37.25</v>
      </c>
      <c r="L1952" s="15">
        <v>5215</v>
      </c>
      <c r="M1952" s="15">
        <v>-401.03</v>
      </c>
      <c r="N1952" s="15">
        <v>0</v>
      </c>
      <c r="O1952" s="15">
        <v>625.81588899999997</v>
      </c>
      <c r="P1952" s="15">
        <v>5439.7858889999998</v>
      </c>
    </row>
    <row r="1953" spans="1:16" ht="15" x14ac:dyDescent="0.2">
      <c r="A1953" s="4" t="s">
        <v>581</v>
      </c>
      <c r="B1953" s="21" t="str">
        <f t="shared" si="60"/>
        <v>Dec-2025</v>
      </c>
      <c r="C1953" s="2" t="str">
        <f t="shared" si="61"/>
        <v>Q3</v>
      </c>
      <c r="D1953" s="2" t="s">
        <v>31</v>
      </c>
      <c r="E1953" s="13">
        <v>46009</v>
      </c>
      <c r="F1953" s="14" t="s">
        <v>425</v>
      </c>
      <c r="G1953" s="14" t="s">
        <v>15</v>
      </c>
      <c r="H1953" s="14" t="s">
        <v>96</v>
      </c>
      <c r="I1953" s="15">
        <v>2</v>
      </c>
      <c r="J1953" s="15">
        <v>80</v>
      </c>
      <c r="K1953" s="15">
        <v>74.489999999999995</v>
      </c>
      <c r="L1953" s="15">
        <v>5959.2</v>
      </c>
      <c r="M1953" s="15">
        <v>-458.26</v>
      </c>
      <c r="N1953" s="15">
        <v>0</v>
      </c>
      <c r="O1953" s="15">
        <v>715.12195900000006</v>
      </c>
      <c r="P1953" s="15">
        <v>6216.0619589999997</v>
      </c>
    </row>
    <row r="1954" spans="1:16" ht="15" x14ac:dyDescent="0.2">
      <c r="A1954" s="4" t="s">
        <v>576</v>
      </c>
      <c r="B1954" s="21" t="str">
        <f t="shared" si="60"/>
        <v>Dec-2025</v>
      </c>
      <c r="C1954" s="2" t="str">
        <f t="shared" si="61"/>
        <v>Q3</v>
      </c>
      <c r="D1954" s="2" t="s">
        <v>31</v>
      </c>
      <c r="E1954" s="13">
        <v>46009</v>
      </c>
      <c r="F1954" s="14" t="s">
        <v>425</v>
      </c>
      <c r="G1954" s="14" t="s">
        <v>15</v>
      </c>
      <c r="H1954" s="14" t="s">
        <v>124</v>
      </c>
      <c r="I1954" s="15">
        <v>1</v>
      </c>
      <c r="J1954" s="15">
        <v>20</v>
      </c>
      <c r="K1954" s="15">
        <v>175.05</v>
      </c>
      <c r="L1954" s="15">
        <v>3500.9999999999995</v>
      </c>
      <c r="M1954" s="15">
        <v>-269.23</v>
      </c>
      <c r="N1954" s="15">
        <v>0</v>
      </c>
      <c r="O1954" s="15">
        <v>420.12995899999999</v>
      </c>
      <c r="P1954" s="15">
        <v>3651.8999589999999</v>
      </c>
    </row>
    <row r="1955" spans="1:16" ht="15" x14ac:dyDescent="0.2">
      <c r="A1955" s="4" t="s">
        <v>582</v>
      </c>
      <c r="B1955" s="21" t="str">
        <f t="shared" si="60"/>
        <v>Dec-2025</v>
      </c>
      <c r="C1955" s="2" t="str">
        <f t="shared" si="61"/>
        <v>Q3</v>
      </c>
      <c r="D1955" s="2" t="s">
        <v>31</v>
      </c>
      <c r="E1955" s="13">
        <v>46009</v>
      </c>
      <c r="F1955" s="14" t="s">
        <v>425</v>
      </c>
      <c r="G1955" s="14" t="s">
        <v>15</v>
      </c>
      <c r="H1955" s="14" t="s">
        <v>101</v>
      </c>
      <c r="I1955" s="15">
        <v>1</v>
      </c>
      <c r="J1955" s="15">
        <v>24</v>
      </c>
      <c r="K1955" s="15">
        <v>186.22</v>
      </c>
      <c r="L1955" s="15">
        <v>4469.28</v>
      </c>
      <c r="M1955" s="15">
        <v>-343.69</v>
      </c>
      <c r="N1955" s="15">
        <v>0</v>
      </c>
      <c r="O1955" s="15">
        <v>536.32651899999996</v>
      </c>
      <c r="P1955" s="15">
        <v>4661.9165190000003</v>
      </c>
    </row>
    <row r="1956" spans="1:16" ht="15" x14ac:dyDescent="0.2">
      <c r="A1956" s="4" t="s">
        <v>590</v>
      </c>
      <c r="B1956" s="21" t="str">
        <f t="shared" si="60"/>
        <v>Dec-2025</v>
      </c>
      <c r="C1956" s="2" t="str">
        <f t="shared" si="61"/>
        <v>Q3</v>
      </c>
      <c r="D1956" s="2" t="s">
        <v>31</v>
      </c>
      <c r="E1956" s="13">
        <v>46009</v>
      </c>
      <c r="F1956" s="14" t="s">
        <v>425</v>
      </c>
      <c r="G1956" s="14" t="s">
        <v>15</v>
      </c>
      <c r="H1956" s="14" t="s">
        <v>102</v>
      </c>
      <c r="I1956" s="15">
        <v>1</v>
      </c>
      <c r="J1956" s="15">
        <v>20</v>
      </c>
      <c r="K1956" s="15">
        <v>249.55</v>
      </c>
      <c r="L1956" s="15">
        <v>4991</v>
      </c>
      <c r="M1956" s="15">
        <v>-383.81</v>
      </c>
      <c r="N1956" s="15">
        <v>0</v>
      </c>
      <c r="O1956" s="15">
        <v>598.93449799999996</v>
      </c>
      <c r="P1956" s="15">
        <v>5206.1244980000001</v>
      </c>
    </row>
    <row r="1957" spans="1:16" ht="15" x14ac:dyDescent="0.2">
      <c r="A1957" s="4" t="s">
        <v>584</v>
      </c>
      <c r="B1957" s="21" t="str">
        <f t="shared" si="60"/>
        <v>Dec-2025</v>
      </c>
      <c r="C1957" s="2" t="str">
        <f t="shared" si="61"/>
        <v>Q3</v>
      </c>
      <c r="D1957" s="2" t="s">
        <v>31</v>
      </c>
      <c r="E1957" s="13">
        <v>46009</v>
      </c>
      <c r="F1957" s="14" t="s">
        <v>425</v>
      </c>
      <c r="G1957" s="14" t="s">
        <v>15</v>
      </c>
      <c r="H1957" s="14" t="s">
        <v>99</v>
      </c>
      <c r="I1957" s="15">
        <v>1</v>
      </c>
      <c r="J1957" s="15">
        <v>40</v>
      </c>
      <c r="K1957" s="15">
        <v>81.94</v>
      </c>
      <c r="L1957" s="15">
        <v>3277.6</v>
      </c>
      <c r="M1957" s="15">
        <v>-252.05</v>
      </c>
      <c r="N1957" s="15">
        <v>0</v>
      </c>
      <c r="O1957" s="15">
        <v>393.32136800000001</v>
      </c>
      <c r="P1957" s="15">
        <v>3418.8713680000001</v>
      </c>
    </row>
    <row r="1958" spans="1:16" ht="15" x14ac:dyDescent="0.2">
      <c r="A1958" s="4" t="s">
        <v>584</v>
      </c>
      <c r="B1958" s="21" t="str">
        <f t="shared" si="60"/>
        <v>Dec-2025</v>
      </c>
      <c r="C1958" s="2" t="str">
        <f t="shared" si="61"/>
        <v>Q3</v>
      </c>
      <c r="D1958" s="2" t="s">
        <v>31</v>
      </c>
      <c r="E1958" s="13">
        <v>46009</v>
      </c>
      <c r="F1958" s="14" t="s">
        <v>425</v>
      </c>
      <c r="G1958" s="14" t="s">
        <v>15</v>
      </c>
      <c r="H1958" s="14" t="s">
        <v>120</v>
      </c>
      <c r="I1958" s="15">
        <v>2</v>
      </c>
      <c r="J1958" s="15">
        <v>80</v>
      </c>
      <c r="K1958" s="15">
        <v>81.94</v>
      </c>
      <c r="L1958" s="15">
        <v>6555.2</v>
      </c>
      <c r="M1958" s="15">
        <v>-504.09</v>
      </c>
      <c r="N1958" s="15">
        <v>0</v>
      </c>
      <c r="O1958" s="15">
        <v>786.64403500000003</v>
      </c>
      <c r="P1958" s="15">
        <v>6837.7540349999999</v>
      </c>
    </row>
    <row r="1959" spans="1:16" ht="15" x14ac:dyDescent="0.2">
      <c r="A1959" s="4" t="s">
        <v>573</v>
      </c>
      <c r="B1959" s="21" t="str">
        <f t="shared" si="60"/>
        <v>Dec-2025</v>
      </c>
      <c r="C1959" s="2" t="str">
        <f t="shared" si="61"/>
        <v>Q3</v>
      </c>
      <c r="D1959" s="2" t="s">
        <v>31</v>
      </c>
      <c r="E1959" s="13">
        <v>46009</v>
      </c>
      <c r="F1959" s="14" t="s">
        <v>425</v>
      </c>
      <c r="G1959" s="14" t="s">
        <v>15</v>
      </c>
      <c r="H1959" s="14" t="s">
        <v>111</v>
      </c>
      <c r="I1959" s="15">
        <v>1</v>
      </c>
      <c r="J1959" s="15">
        <v>40</v>
      </c>
      <c r="K1959" s="15">
        <v>111.74</v>
      </c>
      <c r="L1959" s="15">
        <v>4469.6000000000004</v>
      </c>
      <c r="M1959" s="15">
        <v>-343.71</v>
      </c>
      <c r="N1959" s="15">
        <v>0</v>
      </c>
      <c r="O1959" s="15">
        <v>536.36551899999995</v>
      </c>
      <c r="P1959" s="15">
        <v>4662.2555190000003</v>
      </c>
    </row>
    <row r="1960" spans="1:16" ht="15" x14ac:dyDescent="0.2">
      <c r="A1960" s="4" t="s">
        <v>582</v>
      </c>
      <c r="B1960" s="21" t="str">
        <f t="shared" si="60"/>
        <v>Dec-2025</v>
      </c>
      <c r="C1960" s="2" t="str">
        <f t="shared" si="61"/>
        <v>Q3</v>
      </c>
      <c r="D1960" s="2" t="s">
        <v>31</v>
      </c>
      <c r="E1960" s="13">
        <v>46009</v>
      </c>
      <c r="F1960" s="14" t="s">
        <v>425</v>
      </c>
      <c r="G1960" s="14" t="s">
        <v>15</v>
      </c>
      <c r="H1960" s="14" t="s">
        <v>108</v>
      </c>
      <c r="I1960" s="15">
        <v>1</v>
      </c>
      <c r="J1960" s="15">
        <v>24</v>
      </c>
      <c r="K1960" s="15">
        <v>186.23</v>
      </c>
      <c r="L1960" s="15">
        <v>4469.5200000000004</v>
      </c>
      <c r="M1960" s="15">
        <v>-343.71</v>
      </c>
      <c r="N1960" s="15">
        <v>0</v>
      </c>
      <c r="O1960" s="15">
        <v>536.35511900000006</v>
      </c>
      <c r="P1960" s="15">
        <v>4662.1651190000002</v>
      </c>
    </row>
    <row r="1961" spans="1:16" ht="15" x14ac:dyDescent="0.2">
      <c r="A1961" s="4" t="s">
        <v>579</v>
      </c>
      <c r="B1961" s="21" t="str">
        <f t="shared" si="60"/>
        <v>Dec-2025</v>
      </c>
      <c r="C1961" s="2" t="str">
        <f t="shared" si="61"/>
        <v>Q3</v>
      </c>
      <c r="D1961" s="2" t="s">
        <v>31</v>
      </c>
      <c r="E1961" s="13">
        <v>46009</v>
      </c>
      <c r="F1961" s="14" t="s">
        <v>426</v>
      </c>
      <c r="G1961" s="14" t="s">
        <v>15</v>
      </c>
      <c r="H1961" s="14" t="s">
        <v>91</v>
      </c>
      <c r="I1961" s="15">
        <v>1</v>
      </c>
      <c r="J1961" s="15">
        <v>20</v>
      </c>
      <c r="K1961" s="15">
        <v>204.85</v>
      </c>
      <c r="L1961" s="15">
        <v>4097</v>
      </c>
      <c r="M1961" s="15">
        <v>-315.06</v>
      </c>
      <c r="N1961" s="15">
        <v>0</v>
      </c>
      <c r="O1961" s="15">
        <v>491.65204599999998</v>
      </c>
      <c r="P1961" s="15">
        <v>4273.5920459999998</v>
      </c>
    </row>
    <row r="1962" spans="1:16" ht="15" x14ac:dyDescent="0.2">
      <c r="A1962" s="4" t="s">
        <v>579</v>
      </c>
      <c r="B1962" s="21" t="str">
        <f t="shared" si="60"/>
        <v>Dec-2025</v>
      </c>
      <c r="C1962" s="2" t="str">
        <f t="shared" si="61"/>
        <v>Q3</v>
      </c>
      <c r="D1962" s="2" t="s">
        <v>31</v>
      </c>
      <c r="E1962" s="13">
        <v>46009</v>
      </c>
      <c r="F1962" s="14" t="s">
        <v>426</v>
      </c>
      <c r="G1962" s="14" t="s">
        <v>15</v>
      </c>
      <c r="H1962" s="14" t="s">
        <v>90</v>
      </c>
      <c r="I1962" s="15">
        <v>2</v>
      </c>
      <c r="J1962" s="15">
        <v>40</v>
      </c>
      <c r="K1962" s="15">
        <v>204.85</v>
      </c>
      <c r="L1962" s="15">
        <v>8194</v>
      </c>
      <c r="M1962" s="15">
        <v>-630.12</v>
      </c>
      <c r="N1962" s="15">
        <v>0</v>
      </c>
      <c r="O1962" s="15">
        <v>983.30409199999997</v>
      </c>
      <c r="P1962" s="15">
        <v>8547.1840919999995</v>
      </c>
    </row>
    <row r="1963" spans="1:16" ht="15" x14ac:dyDescent="0.2">
      <c r="A1963" s="4" t="s">
        <v>579</v>
      </c>
      <c r="B1963" s="21" t="str">
        <f t="shared" si="60"/>
        <v>Dec-2025</v>
      </c>
      <c r="C1963" s="2" t="str">
        <f t="shared" si="61"/>
        <v>Q3</v>
      </c>
      <c r="D1963" s="2" t="s">
        <v>31</v>
      </c>
      <c r="E1963" s="13">
        <v>46009</v>
      </c>
      <c r="F1963" s="14" t="s">
        <v>426</v>
      </c>
      <c r="G1963" s="14" t="s">
        <v>15</v>
      </c>
      <c r="H1963" s="14" t="s">
        <v>140</v>
      </c>
      <c r="I1963" s="15">
        <v>1</v>
      </c>
      <c r="J1963" s="15">
        <v>20</v>
      </c>
      <c r="K1963" s="15">
        <v>204.85</v>
      </c>
      <c r="L1963" s="15">
        <v>4097</v>
      </c>
      <c r="M1963" s="15">
        <v>-315.06</v>
      </c>
      <c r="N1963" s="15">
        <v>0</v>
      </c>
      <c r="O1963" s="15">
        <v>491.65204599999998</v>
      </c>
      <c r="P1963" s="15">
        <v>4273.5920459999998</v>
      </c>
    </row>
    <row r="1964" spans="1:16" ht="15" x14ac:dyDescent="0.2">
      <c r="A1964" s="4" t="s">
        <v>579</v>
      </c>
      <c r="B1964" s="21" t="str">
        <f t="shared" si="60"/>
        <v>Dec-2025</v>
      </c>
      <c r="C1964" s="2" t="str">
        <f t="shared" si="61"/>
        <v>Q3</v>
      </c>
      <c r="D1964" s="2" t="s">
        <v>31</v>
      </c>
      <c r="E1964" s="13">
        <v>46009</v>
      </c>
      <c r="F1964" s="14" t="s">
        <v>426</v>
      </c>
      <c r="G1964" s="14" t="s">
        <v>15</v>
      </c>
      <c r="H1964" s="14" t="s">
        <v>112</v>
      </c>
      <c r="I1964" s="15">
        <v>2</v>
      </c>
      <c r="J1964" s="15">
        <v>40</v>
      </c>
      <c r="K1964" s="15">
        <v>204.85</v>
      </c>
      <c r="L1964" s="15">
        <v>8194</v>
      </c>
      <c r="M1964" s="15">
        <v>-630.12</v>
      </c>
      <c r="N1964" s="15">
        <v>0</v>
      </c>
      <c r="O1964" s="15">
        <v>983.30409199999997</v>
      </c>
      <c r="P1964" s="15">
        <v>8547.1840919999995</v>
      </c>
    </row>
    <row r="1965" spans="1:16" ht="15" x14ac:dyDescent="0.2">
      <c r="A1965" s="4" t="s">
        <v>586</v>
      </c>
      <c r="B1965" s="21" t="str">
        <f t="shared" si="60"/>
        <v>Dec-2025</v>
      </c>
      <c r="C1965" s="2" t="str">
        <f t="shared" si="61"/>
        <v>Q3</v>
      </c>
      <c r="D1965" s="2" t="s">
        <v>31</v>
      </c>
      <c r="E1965" s="13">
        <v>46009</v>
      </c>
      <c r="F1965" s="14" t="s">
        <v>426</v>
      </c>
      <c r="G1965" s="14" t="s">
        <v>15</v>
      </c>
      <c r="H1965" s="14" t="s">
        <v>76</v>
      </c>
      <c r="I1965" s="15">
        <v>1</v>
      </c>
      <c r="J1965" s="15">
        <v>240</v>
      </c>
      <c r="K1965" s="15">
        <v>14.9</v>
      </c>
      <c r="L1965" s="15">
        <v>3576</v>
      </c>
      <c r="M1965" s="15">
        <v>-274.99</v>
      </c>
      <c r="N1965" s="15">
        <v>0</v>
      </c>
      <c r="O1965" s="15">
        <v>429.13116500000001</v>
      </c>
      <c r="P1965" s="15">
        <v>3730.141165</v>
      </c>
    </row>
    <row r="1966" spans="1:16" ht="15" x14ac:dyDescent="0.2">
      <c r="A1966" s="4" t="s">
        <v>592</v>
      </c>
      <c r="B1966" s="21" t="str">
        <f t="shared" si="60"/>
        <v>Dec-2025</v>
      </c>
      <c r="C1966" s="2" t="str">
        <f t="shared" si="61"/>
        <v>Q3</v>
      </c>
      <c r="D1966" s="2" t="s">
        <v>31</v>
      </c>
      <c r="E1966" s="13">
        <v>46009</v>
      </c>
      <c r="F1966" s="14" t="s">
        <v>426</v>
      </c>
      <c r="G1966" s="14" t="s">
        <v>15</v>
      </c>
      <c r="H1966" s="14" t="s">
        <v>115</v>
      </c>
      <c r="I1966" s="15">
        <v>5</v>
      </c>
      <c r="J1966" s="15">
        <v>250</v>
      </c>
      <c r="K1966" s="15">
        <v>89.39</v>
      </c>
      <c r="L1966" s="15">
        <v>22347.5</v>
      </c>
      <c r="M1966" s="15">
        <v>-1718.52</v>
      </c>
      <c r="N1966" s="15">
        <v>0</v>
      </c>
      <c r="O1966" s="15">
        <v>2681.7665590000001</v>
      </c>
      <c r="P1966" s="15">
        <v>23310.746558999999</v>
      </c>
    </row>
    <row r="1967" spans="1:16" ht="15" x14ac:dyDescent="0.2">
      <c r="A1967" s="4" t="s">
        <v>592</v>
      </c>
      <c r="B1967" s="21" t="str">
        <f t="shared" si="60"/>
        <v>Dec-2025</v>
      </c>
      <c r="C1967" s="2" t="str">
        <f t="shared" si="61"/>
        <v>Q3</v>
      </c>
      <c r="D1967" s="2" t="s">
        <v>31</v>
      </c>
      <c r="E1967" s="13">
        <v>46009</v>
      </c>
      <c r="F1967" s="14" t="s">
        <v>427</v>
      </c>
      <c r="G1967" s="14" t="s">
        <v>130</v>
      </c>
      <c r="H1967" s="14" t="s">
        <v>115</v>
      </c>
      <c r="I1967" s="15">
        <v>-30</v>
      </c>
      <c r="J1967" s="15">
        <v>-1500</v>
      </c>
      <c r="K1967" s="15">
        <v>89.39</v>
      </c>
      <c r="L1967" s="15">
        <v>-134085</v>
      </c>
      <c r="M1967" s="15">
        <v>10311.14</v>
      </c>
      <c r="N1967" s="15">
        <v>0</v>
      </c>
      <c r="O1967" s="15">
        <v>-16090.601447999999</v>
      </c>
      <c r="P1967" s="15">
        <v>-139864.46144799999</v>
      </c>
    </row>
    <row r="1968" spans="1:16" ht="15" x14ac:dyDescent="0.2">
      <c r="A1968" s="4" t="s">
        <v>582</v>
      </c>
      <c r="B1968" s="21" t="str">
        <f t="shared" si="60"/>
        <v>Dec-2025</v>
      </c>
      <c r="C1968" s="2" t="str">
        <f t="shared" si="61"/>
        <v>Q3</v>
      </c>
      <c r="D1968" s="2" t="s">
        <v>31</v>
      </c>
      <c r="E1968" s="13">
        <v>46009</v>
      </c>
      <c r="F1968" s="14" t="s">
        <v>427</v>
      </c>
      <c r="G1968" s="14" t="s">
        <v>130</v>
      </c>
      <c r="H1968" s="14" t="s">
        <v>77</v>
      </c>
      <c r="I1968" s="15">
        <v>-2</v>
      </c>
      <c r="J1968" s="15">
        <v>-48</v>
      </c>
      <c r="K1968" s="15">
        <v>204.85</v>
      </c>
      <c r="L1968" s="15">
        <v>-9832.8000000000011</v>
      </c>
      <c r="M1968" s="15">
        <v>756.14</v>
      </c>
      <c r="N1968" s="15">
        <v>0</v>
      </c>
      <c r="O1968" s="15">
        <v>-1179.965774</v>
      </c>
      <c r="P1968" s="15">
        <v>-10256.625774</v>
      </c>
    </row>
    <row r="1969" spans="1:16" ht="15" x14ac:dyDescent="0.2">
      <c r="A1969" s="4" t="s">
        <v>574</v>
      </c>
      <c r="B1969" s="21" t="str">
        <f t="shared" si="60"/>
        <v>Dec-2025</v>
      </c>
      <c r="C1969" s="2" t="str">
        <f t="shared" si="61"/>
        <v>Q3</v>
      </c>
      <c r="D1969" s="2" t="s">
        <v>31</v>
      </c>
      <c r="E1969" s="13">
        <v>46009</v>
      </c>
      <c r="F1969" s="14" t="s">
        <v>427</v>
      </c>
      <c r="G1969" s="14" t="s">
        <v>130</v>
      </c>
      <c r="H1969" s="14" t="s">
        <v>84</v>
      </c>
      <c r="I1969" s="15">
        <v>-50</v>
      </c>
      <c r="J1969" s="15">
        <v>-900</v>
      </c>
      <c r="K1969" s="15">
        <v>178.78</v>
      </c>
      <c r="L1969" s="15">
        <v>-160902</v>
      </c>
      <c r="M1969" s="15">
        <v>12373.36</v>
      </c>
      <c r="N1969" s="15">
        <v>0</v>
      </c>
      <c r="O1969" s="15">
        <v>-19308.722778000003</v>
      </c>
      <c r="P1969" s="15">
        <v>-167837.36277800001</v>
      </c>
    </row>
    <row r="1970" spans="1:16" ht="15" x14ac:dyDescent="0.2">
      <c r="A1970" s="4" t="s">
        <v>573</v>
      </c>
      <c r="B1970" s="21" t="str">
        <f t="shared" si="60"/>
        <v>Dec-2025</v>
      </c>
      <c r="C1970" s="2" t="str">
        <f t="shared" si="61"/>
        <v>Q3</v>
      </c>
      <c r="D1970" s="2" t="s">
        <v>31</v>
      </c>
      <c r="E1970" s="13">
        <v>46012</v>
      </c>
      <c r="F1970" s="14" t="s">
        <v>428</v>
      </c>
      <c r="G1970" s="14" t="s">
        <v>306</v>
      </c>
      <c r="H1970" s="14" t="s">
        <v>111</v>
      </c>
      <c r="I1970" s="15">
        <v>0.25</v>
      </c>
      <c r="J1970" s="15">
        <v>10</v>
      </c>
      <c r="K1970" s="15">
        <v>106.19</v>
      </c>
      <c r="L1970" s="15">
        <v>1061.9000000000001</v>
      </c>
      <c r="M1970" s="15">
        <v>0</v>
      </c>
      <c r="N1970" s="15">
        <v>0</v>
      </c>
      <c r="O1970" s="15">
        <v>138.05000000000001</v>
      </c>
      <c r="P1970" s="15">
        <v>1199.95</v>
      </c>
    </row>
    <row r="1971" spans="1:16" ht="15" x14ac:dyDescent="0.2">
      <c r="A1971" s="4" t="s">
        <v>573</v>
      </c>
      <c r="B1971" s="21" t="str">
        <f t="shared" si="60"/>
        <v>Dec-2025</v>
      </c>
      <c r="C1971" s="2" t="str">
        <f t="shared" si="61"/>
        <v>Q3</v>
      </c>
      <c r="D1971" s="2" t="s">
        <v>31</v>
      </c>
      <c r="E1971" s="13">
        <v>46012</v>
      </c>
      <c r="F1971" s="14" t="s">
        <v>429</v>
      </c>
      <c r="G1971" s="14" t="s">
        <v>187</v>
      </c>
      <c r="H1971" s="14" t="s">
        <v>111</v>
      </c>
      <c r="I1971" s="15">
        <v>2</v>
      </c>
      <c r="J1971" s="15">
        <v>80</v>
      </c>
      <c r="K1971" s="15">
        <v>111.74</v>
      </c>
      <c r="L1971" s="15">
        <v>8939.2000000000007</v>
      </c>
      <c r="M1971" s="15">
        <v>-687.42</v>
      </c>
      <c r="N1971" s="15">
        <v>0</v>
      </c>
      <c r="O1971" s="15">
        <v>1072.7313429999999</v>
      </c>
      <c r="P1971" s="15">
        <v>9324.5113430000001</v>
      </c>
    </row>
    <row r="1972" spans="1:16" ht="15" x14ac:dyDescent="0.2">
      <c r="A1972" s="4" t="s">
        <v>593</v>
      </c>
      <c r="B1972" s="21" t="str">
        <f t="shared" si="60"/>
        <v>Dec-2025</v>
      </c>
      <c r="C1972" s="2" t="str">
        <f t="shared" si="61"/>
        <v>Q3</v>
      </c>
      <c r="D1972" s="2" t="s">
        <v>31</v>
      </c>
      <c r="E1972" s="13">
        <v>46012</v>
      </c>
      <c r="F1972" s="14" t="s">
        <v>429</v>
      </c>
      <c r="G1972" s="14" t="s">
        <v>187</v>
      </c>
      <c r="H1972" s="14" t="s">
        <v>117</v>
      </c>
      <c r="I1972" s="15">
        <v>25</v>
      </c>
      <c r="J1972" s="15">
        <v>100</v>
      </c>
      <c r="K1972" s="15">
        <v>595.92999999999995</v>
      </c>
      <c r="L1972" s="15">
        <v>59593</v>
      </c>
      <c r="M1972" s="15">
        <v>-4582.7</v>
      </c>
      <c r="N1972" s="15">
        <v>0</v>
      </c>
      <c r="O1972" s="15">
        <v>7151.3386169999994</v>
      </c>
      <c r="P1972" s="15">
        <v>62161.638616999997</v>
      </c>
    </row>
    <row r="1973" spans="1:16" ht="15" x14ac:dyDescent="0.2">
      <c r="A1973" s="4" t="s">
        <v>583</v>
      </c>
      <c r="B1973" s="21" t="str">
        <f t="shared" si="60"/>
        <v>Dec-2025</v>
      </c>
      <c r="C1973" s="2" t="str">
        <f t="shared" si="61"/>
        <v>Q3</v>
      </c>
      <c r="D1973" s="2" t="s">
        <v>31</v>
      </c>
      <c r="E1973" s="13">
        <v>46012</v>
      </c>
      <c r="F1973" s="14" t="s">
        <v>429</v>
      </c>
      <c r="G1973" s="14" t="s">
        <v>187</v>
      </c>
      <c r="H1973" s="14" t="s">
        <v>109</v>
      </c>
      <c r="I1973" s="15">
        <v>2</v>
      </c>
      <c r="J1973" s="15">
        <v>30</v>
      </c>
      <c r="K1973" s="15">
        <v>260.72000000000003</v>
      </c>
      <c r="L1973" s="15">
        <v>7821.6</v>
      </c>
      <c r="M1973" s="15">
        <v>-601.48</v>
      </c>
      <c r="N1973" s="15">
        <v>0</v>
      </c>
      <c r="O1973" s="15">
        <v>938.61554999999998</v>
      </c>
      <c r="P1973" s="15">
        <v>8158.7355500000003</v>
      </c>
    </row>
    <row r="1974" spans="1:16" ht="15" x14ac:dyDescent="0.2">
      <c r="A1974" s="4" t="s">
        <v>592</v>
      </c>
      <c r="B1974" s="21" t="str">
        <f t="shared" si="60"/>
        <v>Dec-2025</v>
      </c>
      <c r="C1974" s="2" t="str">
        <f t="shared" si="61"/>
        <v>Q3</v>
      </c>
      <c r="D1974" s="2" t="s">
        <v>31</v>
      </c>
      <c r="E1974" s="13">
        <v>46012</v>
      </c>
      <c r="F1974" s="14" t="s">
        <v>429</v>
      </c>
      <c r="G1974" s="14" t="s">
        <v>187</v>
      </c>
      <c r="H1974" s="14" t="s">
        <v>115</v>
      </c>
      <c r="I1974" s="15">
        <v>10</v>
      </c>
      <c r="J1974" s="15">
        <v>500</v>
      </c>
      <c r="K1974" s="15">
        <v>89.39</v>
      </c>
      <c r="L1974" s="15">
        <v>44695</v>
      </c>
      <c r="M1974" s="15">
        <v>-3437.0499999999997</v>
      </c>
      <c r="N1974" s="15">
        <v>0</v>
      </c>
      <c r="O1974" s="15">
        <v>5363.5332130000006</v>
      </c>
      <c r="P1974" s="15">
        <v>46621.483213</v>
      </c>
    </row>
    <row r="1975" spans="1:16" ht="15" x14ac:dyDescent="0.2">
      <c r="A1975" s="4" t="s">
        <v>586</v>
      </c>
      <c r="B1975" s="21" t="str">
        <f t="shared" si="60"/>
        <v>Dec-2025</v>
      </c>
      <c r="C1975" s="2" t="str">
        <f t="shared" si="61"/>
        <v>Q3</v>
      </c>
      <c r="D1975" s="2" t="s">
        <v>31</v>
      </c>
      <c r="E1975" s="13">
        <v>46012</v>
      </c>
      <c r="F1975" s="14" t="s">
        <v>429</v>
      </c>
      <c r="G1975" s="14" t="s">
        <v>187</v>
      </c>
      <c r="H1975" s="14" t="s">
        <v>114</v>
      </c>
      <c r="I1975" s="15">
        <v>1</v>
      </c>
      <c r="J1975" s="15">
        <v>240</v>
      </c>
      <c r="K1975" s="15">
        <v>14.9</v>
      </c>
      <c r="L1975" s="15">
        <v>3576</v>
      </c>
      <c r="M1975" s="15">
        <v>-274.99</v>
      </c>
      <c r="N1975" s="15">
        <v>0</v>
      </c>
      <c r="O1975" s="15">
        <v>429.13127700000001</v>
      </c>
      <c r="P1975" s="15">
        <v>3730.1412770000002</v>
      </c>
    </row>
    <row r="1976" spans="1:16" ht="15" x14ac:dyDescent="0.2">
      <c r="A1976" s="4" t="s">
        <v>576</v>
      </c>
      <c r="B1976" s="21" t="str">
        <f t="shared" si="60"/>
        <v>Dec-2025</v>
      </c>
      <c r="C1976" s="2" t="str">
        <f t="shared" si="61"/>
        <v>Q3</v>
      </c>
      <c r="D1976" s="2" t="s">
        <v>31</v>
      </c>
      <c r="E1976" s="13">
        <v>46012</v>
      </c>
      <c r="F1976" s="14" t="s">
        <v>430</v>
      </c>
      <c r="G1976" s="14" t="s">
        <v>18</v>
      </c>
      <c r="H1976" s="14" t="s">
        <v>110</v>
      </c>
      <c r="I1976" s="15">
        <v>3</v>
      </c>
      <c r="J1976" s="15">
        <v>60</v>
      </c>
      <c r="K1976" s="15">
        <v>175.06</v>
      </c>
      <c r="L1976" s="15">
        <v>10503.6</v>
      </c>
      <c r="M1976" s="15">
        <v>-807.7299999999999</v>
      </c>
      <c r="N1976" s="15">
        <v>0</v>
      </c>
      <c r="O1976" s="15">
        <v>1260.46</v>
      </c>
      <c r="P1976" s="15">
        <v>10956.33</v>
      </c>
    </row>
    <row r="1977" spans="1:16" ht="15" x14ac:dyDescent="0.2">
      <c r="A1977" s="4" t="s">
        <v>590</v>
      </c>
      <c r="B1977" s="21" t="str">
        <f t="shared" si="60"/>
        <v>Dec-2025</v>
      </c>
      <c r="C1977" s="2" t="str">
        <f t="shared" si="61"/>
        <v>Q3</v>
      </c>
      <c r="D1977" s="2" t="s">
        <v>31</v>
      </c>
      <c r="E1977" s="13">
        <v>46013</v>
      </c>
      <c r="F1977" s="14" t="s">
        <v>431</v>
      </c>
      <c r="G1977" s="14" t="s">
        <v>88</v>
      </c>
      <c r="H1977" s="14" t="s">
        <v>102</v>
      </c>
      <c r="I1977" s="15">
        <v>2</v>
      </c>
      <c r="J1977" s="15">
        <v>40</v>
      </c>
      <c r="K1977" s="15">
        <v>249.55</v>
      </c>
      <c r="L1977" s="15">
        <v>9982</v>
      </c>
      <c r="M1977" s="15">
        <v>-767.62</v>
      </c>
      <c r="N1977" s="15">
        <v>0</v>
      </c>
      <c r="O1977" s="15">
        <v>1197.8700000000001</v>
      </c>
      <c r="P1977" s="15">
        <v>10412.25</v>
      </c>
    </row>
    <row r="1978" spans="1:16" ht="15" x14ac:dyDescent="0.2">
      <c r="A1978" s="4" t="s">
        <v>590</v>
      </c>
      <c r="B1978" s="21" t="str">
        <f t="shared" si="60"/>
        <v>Dec-2025</v>
      </c>
      <c r="C1978" s="2" t="str">
        <f t="shared" si="61"/>
        <v>Q3</v>
      </c>
      <c r="D1978" s="2" t="s">
        <v>31</v>
      </c>
      <c r="E1978" s="13">
        <v>46013</v>
      </c>
      <c r="F1978" s="14" t="s">
        <v>432</v>
      </c>
      <c r="G1978" s="14" t="s">
        <v>12</v>
      </c>
      <c r="H1978" s="14" t="s">
        <v>102</v>
      </c>
      <c r="I1978" s="15">
        <v>15</v>
      </c>
      <c r="J1978" s="15">
        <v>300</v>
      </c>
      <c r="K1978" s="15">
        <v>249.55</v>
      </c>
      <c r="L1978" s="15">
        <v>74865</v>
      </c>
      <c r="M1978" s="15">
        <v>-5757.12</v>
      </c>
      <c r="N1978" s="15">
        <v>0</v>
      </c>
      <c r="O1978" s="15">
        <v>8984.02</v>
      </c>
      <c r="P1978" s="15">
        <v>78091.899999999994</v>
      </c>
    </row>
    <row r="1979" spans="1:16" ht="15" x14ac:dyDescent="0.2">
      <c r="A1979" s="4" t="s">
        <v>576</v>
      </c>
      <c r="B1979" s="21" t="str">
        <f t="shared" si="60"/>
        <v>Dec-2025</v>
      </c>
      <c r="C1979" s="2" t="str">
        <f t="shared" si="61"/>
        <v>Q3</v>
      </c>
      <c r="D1979" s="2" t="s">
        <v>31</v>
      </c>
      <c r="E1979" s="13">
        <v>46014</v>
      </c>
      <c r="F1979" s="14" t="s">
        <v>433</v>
      </c>
      <c r="G1979" s="14" t="s">
        <v>25</v>
      </c>
      <c r="H1979" s="14" t="s">
        <v>124</v>
      </c>
      <c r="I1979" s="15">
        <v>3</v>
      </c>
      <c r="J1979" s="15">
        <v>60</v>
      </c>
      <c r="K1979" s="15">
        <v>155.97</v>
      </c>
      <c r="L1979" s="15">
        <v>9358.2000000000007</v>
      </c>
      <c r="M1979" s="15">
        <v>0</v>
      </c>
      <c r="N1979" s="15">
        <v>0</v>
      </c>
      <c r="O1979" s="15">
        <v>1216.566851</v>
      </c>
      <c r="P1979" s="15">
        <v>10574.766851</v>
      </c>
    </row>
    <row r="1980" spans="1:16" ht="15" x14ac:dyDescent="0.2">
      <c r="A1980" s="4" t="s">
        <v>581</v>
      </c>
      <c r="B1980" s="21" t="str">
        <f t="shared" si="60"/>
        <v>Dec-2025</v>
      </c>
      <c r="C1980" s="2" t="str">
        <f t="shared" si="61"/>
        <v>Q3</v>
      </c>
      <c r="D1980" s="2" t="s">
        <v>31</v>
      </c>
      <c r="E1980" s="13">
        <v>46014</v>
      </c>
      <c r="F1980" s="14" t="s">
        <v>433</v>
      </c>
      <c r="G1980" s="14" t="s">
        <v>25</v>
      </c>
      <c r="H1980" s="14" t="s">
        <v>96</v>
      </c>
      <c r="I1980" s="15">
        <v>4</v>
      </c>
      <c r="J1980" s="15">
        <v>160</v>
      </c>
      <c r="K1980" s="15">
        <v>66.37</v>
      </c>
      <c r="L1980" s="15">
        <v>10619.2</v>
      </c>
      <c r="M1980" s="15">
        <v>0</v>
      </c>
      <c r="N1980" s="15">
        <v>0</v>
      </c>
      <c r="O1980" s="15">
        <v>1380.4969660000002</v>
      </c>
      <c r="P1980" s="15">
        <v>11999.696966</v>
      </c>
    </row>
    <row r="1981" spans="1:16" ht="15" x14ac:dyDescent="0.2">
      <c r="A1981" s="4" t="s">
        <v>589</v>
      </c>
      <c r="B1981" s="21" t="str">
        <f t="shared" si="60"/>
        <v>Dec-2025</v>
      </c>
      <c r="C1981" s="2" t="str">
        <f t="shared" si="61"/>
        <v>Q3</v>
      </c>
      <c r="D1981" s="2" t="s">
        <v>31</v>
      </c>
      <c r="E1981" s="13">
        <v>46014</v>
      </c>
      <c r="F1981" s="14" t="s">
        <v>433</v>
      </c>
      <c r="G1981" s="14" t="s">
        <v>25</v>
      </c>
      <c r="H1981" s="14" t="s">
        <v>98</v>
      </c>
      <c r="I1981" s="15">
        <v>2</v>
      </c>
      <c r="J1981" s="15">
        <v>120</v>
      </c>
      <c r="K1981" s="15">
        <v>129.41999999999999</v>
      </c>
      <c r="L1981" s="15">
        <v>15530.4</v>
      </c>
      <c r="M1981" s="15">
        <v>0</v>
      </c>
      <c r="N1981" s="15">
        <v>0</v>
      </c>
      <c r="O1981" s="15">
        <v>2018.953413</v>
      </c>
      <c r="P1981" s="15">
        <v>17549.353413000001</v>
      </c>
    </row>
    <row r="1982" spans="1:16" ht="15" x14ac:dyDescent="0.2">
      <c r="A1982" s="4" t="s">
        <v>589</v>
      </c>
      <c r="B1982" s="21" t="str">
        <f t="shared" si="60"/>
        <v>Dec-2025</v>
      </c>
      <c r="C1982" s="2" t="str">
        <f t="shared" si="61"/>
        <v>Q3</v>
      </c>
      <c r="D1982" s="2" t="s">
        <v>31</v>
      </c>
      <c r="E1982" s="13">
        <v>46014</v>
      </c>
      <c r="F1982" s="14" t="s">
        <v>433</v>
      </c>
      <c r="G1982" s="14" t="s">
        <v>25</v>
      </c>
      <c r="H1982" s="14" t="s">
        <v>105</v>
      </c>
      <c r="I1982" s="15">
        <v>1</v>
      </c>
      <c r="J1982" s="15">
        <v>30</v>
      </c>
      <c r="K1982" s="15">
        <v>282.08</v>
      </c>
      <c r="L1982" s="15">
        <v>8462.4</v>
      </c>
      <c r="M1982" s="15">
        <v>0</v>
      </c>
      <c r="N1982" s="15">
        <v>0</v>
      </c>
      <c r="O1982" s="15">
        <v>1100.11277</v>
      </c>
      <c r="P1982" s="15">
        <v>9562.5127699999994</v>
      </c>
    </row>
    <row r="1983" spans="1:16" ht="15" x14ac:dyDescent="0.2">
      <c r="A1983" s="4" t="s">
        <v>580</v>
      </c>
      <c r="B1983" s="21" t="str">
        <f t="shared" si="60"/>
        <v>Dec-2025</v>
      </c>
      <c r="C1983" s="2" t="str">
        <f t="shared" si="61"/>
        <v>Q3</v>
      </c>
      <c r="D1983" s="2" t="s">
        <v>31</v>
      </c>
      <c r="E1983" s="13">
        <v>46014</v>
      </c>
      <c r="F1983" s="14" t="s">
        <v>434</v>
      </c>
      <c r="G1983" s="14" t="s">
        <v>386</v>
      </c>
      <c r="H1983" s="14" t="s">
        <v>65</v>
      </c>
      <c r="I1983" s="15">
        <v>0.12</v>
      </c>
      <c r="J1983" s="15">
        <v>15</v>
      </c>
      <c r="K1983" s="15">
        <v>29.47</v>
      </c>
      <c r="L1983" s="15">
        <v>442.05</v>
      </c>
      <c r="M1983" s="15">
        <v>0</v>
      </c>
      <c r="N1983" s="15">
        <v>0</v>
      </c>
      <c r="O1983" s="15">
        <v>57.466399000000003</v>
      </c>
      <c r="P1983" s="15">
        <v>499.51639899999998</v>
      </c>
    </row>
    <row r="1984" spans="1:16" ht="15" x14ac:dyDescent="0.2">
      <c r="A1984" s="4" t="s">
        <v>579</v>
      </c>
      <c r="B1984" s="21" t="str">
        <f t="shared" si="60"/>
        <v>Dec-2025</v>
      </c>
      <c r="C1984" s="2" t="str">
        <f t="shared" si="61"/>
        <v>Q3</v>
      </c>
      <c r="D1984" s="2" t="s">
        <v>31</v>
      </c>
      <c r="E1984" s="13">
        <v>46014</v>
      </c>
      <c r="F1984" s="14" t="s">
        <v>434</v>
      </c>
      <c r="G1984" s="14" t="s">
        <v>386</v>
      </c>
      <c r="H1984" s="14" t="s">
        <v>419</v>
      </c>
      <c r="I1984" s="15">
        <v>0.25</v>
      </c>
      <c r="J1984" s="15">
        <v>5</v>
      </c>
      <c r="K1984" s="15">
        <v>212.83</v>
      </c>
      <c r="L1984" s="15">
        <v>1064.1500000000001</v>
      </c>
      <c r="M1984" s="15">
        <v>0</v>
      </c>
      <c r="N1984" s="15">
        <v>0</v>
      </c>
      <c r="O1984" s="15">
        <v>138.339257</v>
      </c>
      <c r="P1984" s="15">
        <v>1202.489257</v>
      </c>
    </row>
    <row r="1985" spans="1:16" ht="15" x14ac:dyDescent="0.2">
      <c r="A1985" s="4" t="s">
        <v>579</v>
      </c>
      <c r="B1985" s="21" t="str">
        <f t="shared" si="60"/>
        <v>Dec-2025</v>
      </c>
      <c r="C1985" s="2" t="str">
        <f t="shared" si="61"/>
        <v>Q3</v>
      </c>
      <c r="D1985" s="2" t="s">
        <v>31</v>
      </c>
      <c r="E1985" s="13">
        <v>46014</v>
      </c>
      <c r="F1985" s="14" t="s">
        <v>434</v>
      </c>
      <c r="G1985" s="14" t="s">
        <v>386</v>
      </c>
      <c r="H1985" s="14" t="s">
        <v>90</v>
      </c>
      <c r="I1985" s="15">
        <v>0.05</v>
      </c>
      <c r="J1985" s="15">
        <v>1</v>
      </c>
      <c r="K1985" s="15">
        <v>163.72</v>
      </c>
      <c r="L1985" s="15">
        <v>163.72</v>
      </c>
      <c r="M1985" s="15">
        <v>0</v>
      </c>
      <c r="N1985" s="15">
        <v>0</v>
      </c>
      <c r="O1985" s="15">
        <v>21.283563000000001</v>
      </c>
      <c r="P1985" s="15">
        <v>185.00356300000001</v>
      </c>
    </row>
    <row r="1986" spans="1:16" ht="15" x14ac:dyDescent="0.2">
      <c r="A1986" s="4" t="s">
        <v>581</v>
      </c>
      <c r="B1986" s="21" t="str">
        <f t="shared" si="60"/>
        <v>Dec-2025</v>
      </c>
      <c r="C1986" s="2" t="str">
        <f t="shared" si="61"/>
        <v>Q3</v>
      </c>
      <c r="D1986" s="2" t="s">
        <v>31</v>
      </c>
      <c r="E1986" s="13">
        <v>46014</v>
      </c>
      <c r="F1986" s="14" t="s">
        <v>434</v>
      </c>
      <c r="G1986" s="14" t="s">
        <v>386</v>
      </c>
      <c r="H1986" s="14" t="s">
        <v>66</v>
      </c>
      <c r="I1986" s="15">
        <v>0.54</v>
      </c>
      <c r="J1986" s="15">
        <v>13</v>
      </c>
      <c r="K1986" s="15">
        <v>124.42</v>
      </c>
      <c r="L1986" s="15">
        <v>1617.4599999999998</v>
      </c>
      <c r="M1986" s="15">
        <v>0</v>
      </c>
      <c r="N1986" s="15">
        <v>0</v>
      </c>
      <c r="O1986" s="15">
        <v>210.269431</v>
      </c>
      <c r="P1986" s="15">
        <v>1827.729431</v>
      </c>
    </row>
    <row r="1987" spans="1:16" ht="15" x14ac:dyDescent="0.2">
      <c r="A1987" s="4" t="s">
        <v>579</v>
      </c>
      <c r="B1987" s="21" t="str">
        <f t="shared" ref="B1987:B2050" si="62">+TEXT(E1987,"MMM-yyy")</f>
        <v>Dec-2025</v>
      </c>
      <c r="C1987" s="2" t="str">
        <f t="shared" ref="C1987:C2050" si="63">"Q" &amp; CHOOSE(MONTH(E1987),4,4,4,1,1,1,2,2,2,3,3,3)</f>
        <v>Q3</v>
      </c>
      <c r="D1987" s="2" t="s">
        <v>31</v>
      </c>
      <c r="E1987" s="13">
        <v>46014</v>
      </c>
      <c r="F1987" s="14" t="s">
        <v>434</v>
      </c>
      <c r="G1987" s="14" t="s">
        <v>386</v>
      </c>
      <c r="H1987" s="14" t="s">
        <v>69</v>
      </c>
      <c r="I1987" s="15">
        <v>0.15</v>
      </c>
      <c r="J1987" s="15">
        <v>3</v>
      </c>
      <c r="K1987" s="15">
        <v>163.72</v>
      </c>
      <c r="L1987" s="15">
        <v>491.16</v>
      </c>
      <c r="M1987" s="15">
        <v>0</v>
      </c>
      <c r="N1987" s="15">
        <v>0</v>
      </c>
      <c r="O1987" s="15">
        <v>63.850687999999998</v>
      </c>
      <c r="P1987" s="15">
        <v>555.01068799999996</v>
      </c>
    </row>
    <row r="1988" spans="1:16" ht="15" x14ac:dyDescent="0.2">
      <c r="A1988" s="4" t="s">
        <v>579</v>
      </c>
      <c r="B1988" s="21" t="str">
        <f t="shared" si="62"/>
        <v>Dec-2025</v>
      </c>
      <c r="C1988" s="2" t="str">
        <f t="shared" si="63"/>
        <v>Q3</v>
      </c>
      <c r="D1988" s="2" t="s">
        <v>31</v>
      </c>
      <c r="E1988" s="13">
        <v>46014</v>
      </c>
      <c r="F1988" s="14" t="s">
        <v>434</v>
      </c>
      <c r="G1988" s="14" t="s">
        <v>386</v>
      </c>
      <c r="H1988" s="14" t="s">
        <v>92</v>
      </c>
      <c r="I1988" s="15">
        <v>0.45</v>
      </c>
      <c r="J1988" s="15">
        <v>9</v>
      </c>
      <c r="K1988" s="15">
        <v>212.83</v>
      </c>
      <c r="L1988" s="15">
        <v>1915.47</v>
      </c>
      <c r="M1988" s="15">
        <v>0</v>
      </c>
      <c r="N1988" s="15">
        <v>0</v>
      </c>
      <c r="O1988" s="15">
        <v>249.01066299999999</v>
      </c>
      <c r="P1988" s="15">
        <v>2164.4806629999998</v>
      </c>
    </row>
    <row r="1989" spans="1:16" ht="15" x14ac:dyDescent="0.2">
      <c r="A1989" s="4" t="s">
        <v>577</v>
      </c>
      <c r="B1989" s="21" t="str">
        <f t="shared" si="62"/>
        <v>Dec-2025</v>
      </c>
      <c r="C1989" s="2" t="str">
        <f t="shared" si="63"/>
        <v>Q3</v>
      </c>
      <c r="D1989" s="2" t="s">
        <v>31</v>
      </c>
      <c r="E1989" s="13">
        <v>46015</v>
      </c>
      <c r="F1989" s="14" t="s">
        <v>435</v>
      </c>
      <c r="G1989" s="14" t="s">
        <v>130</v>
      </c>
      <c r="H1989" s="14" t="s">
        <v>57</v>
      </c>
      <c r="I1989" s="15">
        <v>-4.333333333333333</v>
      </c>
      <c r="J1989" s="15">
        <v>-780</v>
      </c>
      <c r="K1989" s="15">
        <v>18.62</v>
      </c>
      <c r="L1989" s="15">
        <v>-14523.6</v>
      </c>
      <c r="M1989" s="15">
        <v>1116.8599999999999</v>
      </c>
      <c r="N1989" s="15">
        <v>0</v>
      </c>
      <c r="O1989" s="15">
        <v>-1742.8759419999999</v>
      </c>
      <c r="P1989" s="15">
        <v>-15149.615942</v>
      </c>
    </row>
    <row r="1990" spans="1:16" ht="15" x14ac:dyDescent="0.2">
      <c r="A1990" s="4" t="s">
        <v>586</v>
      </c>
      <c r="B1990" s="21" t="str">
        <f t="shared" si="62"/>
        <v>Dec-2025</v>
      </c>
      <c r="C1990" s="2" t="str">
        <f t="shared" si="63"/>
        <v>Q3</v>
      </c>
      <c r="D1990" s="2" t="s">
        <v>31</v>
      </c>
      <c r="E1990" s="13">
        <v>46015</v>
      </c>
      <c r="F1990" s="14" t="s">
        <v>435</v>
      </c>
      <c r="G1990" s="14" t="s">
        <v>130</v>
      </c>
      <c r="H1990" s="14" t="s">
        <v>78</v>
      </c>
      <c r="I1990" s="15">
        <v>-0.96</v>
      </c>
      <c r="J1990" s="15">
        <v>-573</v>
      </c>
      <c r="K1990" s="15">
        <v>7.45</v>
      </c>
      <c r="L1990" s="15">
        <v>-4268.8500000000004</v>
      </c>
      <c r="M1990" s="15">
        <v>328.27</v>
      </c>
      <c r="N1990" s="15">
        <v>0</v>
      </c>
      <c r="O1990" s="15">
        <v>-512.27532400000007</v>
      </c>
      <c r="P1990" s="15">
        <v>-4452.8553240000001</v>
      </c>
    </row>
    <row r="1991" spans="1:16" ht="15" x14ac:dyDescent="0.2">
      <c r="A1991" s="4" t="s">
        <v>581</v>
      </c>
      <c r="B1991" s="21" t="str">
        <f t="shared" si="62"/>
        <v>Dec-2025</v>
      </c>
      <c r="C1991" s="2" t="str">
        <f t="shared" si="63"/>
        <v>Q3</v>
      </c>
      <c r="D1991" s="2" t="s">
        <v>31</v>
      </c>
      <c r="E1991" s="13">
        <v>46015</v>
      </c>
      <c r="F1991" s="14" t="s">
        <v>435</v>
      </c>
      <c r="G1991" s="14" t="s">
        <v>130</v>
      </c>
      <c r="H1991" s="14" t="s">
        <v>125</v>
      </c>
      <c r="I1991" s="15">
        <v>-1.71</v>
      </c>
      <c r="J1991" s="15">
        <v>-1368</v>
      </c>
      <c r="K1991" s="15">
        <v>7.45</v>
      </c>
      <c r="L1991" s="15">
        <v>-10191.6</v>
      </c>
      <c r="M1991" s="15">
        <v>783.7299999999999</v>
      </c>
      <c r="N1991" s="15">
        <v>0</v>
      </c>
      <c r="O1991" s="15">
        <v>-1223.022919</v>
      </c>
      <c r="P1991" s="15">
        <v>-10630.892919</v>
      </c>
    </row>
    <row r="1992" spans="1:16" ht="15" x14ac:dyDescent="0.2">
      <c r="A1992" s="4" t="s">
        <v>588</v>
      </c>
      <c r="B1992" s="21" t="str">
        <f t="shared" si="62"/>
        <v>Dec-2025</v>
      </c>
      <c r="C1992" s="2" t="str">
        <f t="shared" si="63"/>
        <v>Q3</v>
      </c>
      <c r="D1992" s="2" t="s">
        <v>31</v>
      </c>
      <c r="E1992" s="13">
        <v>46015</v>
      </c>
      <c r="F1992" s="14" t="s">
        <v>435</v>
      </c>
      <c r="G1992" s="14" t="s">
        <v>130</v>
      </c>
      <c r="H1992" s="14" t="s">
        <v>95</v>
      </c>
      <c r="I1992" s="15">
        <v>-1.57</v>
      </c>
      <c r="J1992" s="15">
        <v>-94</v>
      </c>
      <c r="K1992" s="15">
        <v>111.74</v>
      </c>
      <c r="L1992" s="15">
        <v>-10503.560000000001</v>
      </c>
      <c r="M1992" s="15">
        <v>807.72</v>
      </c>
      <c r="N1992" s="15">
        <v>0</v>
      </c>
      <c r="O1992" s="15">
        <v>-1260.4590129999999</v>
      </c>
      <c r="P1992" s="15">
        <v>-10956.299013</v>
      </c>
    </row>
    <row r="1993" spans="1:16" ht="15" x14ac:dyDescent="0.2">
      <c r="A1993" s="4" t="s">
        <v>591</v>
      </c>
      <c r="B1993" s="21" t="str">
        <f t="shared" si="62"/>
        <v>Dec-2025</v>
      </c>
      <c r="C1993" s="2" t="str">
        <f t="shared" si="63"/>
        <v>Q3</v>
      </c>
      <c r="D1993" s="2" t="s">
        <v>31</v>
      </c>
      <c r="E1993" s="13">
        <v>46015</v>
      </c>
      <c r="F1993" s="14" t="s">
        <v>435</v>
      </c>
      <c r="G1993" s="14" t="s">
        <v>130</v>
      </c>
      <c r="H1993" s="14" t="s">
        <v>106</v>
      </c>
      <c r="I1993" s="15">
        <v>-2</v>
      </c>
      <c r="J1993" s="15">
        <v>-120</v>
      </c>
      <c r="K1993" s="15">
        <v>111.74</v>
      </c>
      <c r="L1993" s="15">
        <v>-13408.8</v>
      </c>
      <c r="M1993" s="15">
        <v>1031.1400000000001</v>
      </c>
      <c r="N1993" s="15">
        <v>0</v>
      </c>
      <c r="O1993" s="15">
        <v>-1609.0955609999999</v>
      </c>
      <c r="P1993" s="15">
        <v>-13986.755561</v>
      </c>
    </row>
    <row r="1994" spans="1:16" ht="15" x14ac:dyDescent="0.2">
      <c r="A1994" s="4" t="s">
        <v>587</v>
      </c>
      <c r="B1994" s="21" t="str">
        <f t="shared" si="62"/>
        <v>Dec-2025</v>
      </c>
      <c r="C1994" s="2" t="str">
        <f t="shared" si="63"/>
        <v>Q3</v>
      </c>
      <c r="D1994" s="2" t="s">
        <v>31</v>
      </c>
      <c r="E1994" s="13">
        <v>46015</v>
      </c>
      <c r="F1994" s="14" t="s">
        <v>435</v>
      </c>
      <c r="G1994" s="14" t="s">
        <v>130</v>
      </c>
      <c r="H1994" s="14" t="s">
        <v>94</v>
      </c>
      <c r="I1994" s="15">
        <v>-1.33</v>
      </c>
      <c r="J1994" s="15">
        <v>-80</v>
      </c>
      <c r="K1994" s="15">
        <v>111.74</v>
      </c>
      <c r="L1994" s="15">
        <v>-8939.2000000000007</v>
      </c>
      <c r="M1994" s="15">
        <v>687.42</v>
      </c>
      <c r="N1994" s="15">
        <v>0</v>
      </c>
      <c r="O1994" s="15">
        <v>-1072.731241</v>
      </c>
      <c r="P1994" s="15">
        <v>-9324.5112410000002</v>
      </c>
    </row>
    <row r="1995" spans="1:16" ht="15" x14ac:dyDescent="0.2">
      <c r="A1995" s="4" t="s">
        <v>593</v>
      </c>
      <c r="B1995" s="21" t="str">
        <f t="shared" si="62"/>
        <v>Dec-2025</v>
      </c>
      <c r="C1995" s="2" t="str">
        <f t="shared" si="63"/>
        <v>Q3</v>
      </c>
      <c r="D1995" s="2" t="s">
        <v>31</v>
      </c>
      <c r="E1995" s="13">
        <v>46016</v>
      </c>
      <c r="F1995" s="14" t="s">
        <v>436</v>
      </c>
      <c r="G1995" s="14" t="s">
        <v>347</v>
      </c>
      <c r="H1995" s="14" t="s">
        <v>117</v>
      </c>
      <c r="I1995" s="15">
        <v>20</v>
      </c>
      <c r="J1995" s="15">
        <v>80</v>
      </c>
      <c r="K1995" s="15">
        <v>595.92999999999995</v>
      </c>
      <c r="L1995" s="15">
        <v>47674.400000000001</v>
      </c>
      <c r="M1995" s="15">
        <v>-3666.16</v>
      </c>
      <c r="N1995" s="15">
        <v>0</v>
      </c>
      <c r="O1995" s="15">
        <v>5721.0700000000006</v>
      </c>
      <c r="P1995" s="15">
        <v>49729.31</v>
      </c>
    </row>
    <row r="1996" spans="1:16" ht="15" x14ac:dyDescent="0.2">
      <c r="A1996" s="4" t="s">
        <v>584</v>
      </c>
      <c r="B1996" s="21" t="str">
        <f t="shared" si="62"/>
        <v>Dec-2025</v>
      </c>
      <c r="C1996" s="2" t="str">
        <f t="shared" si="63"/>
        <v>Q3</v>
      </c>
      <c r="D1996" s="2" t="s">
        <v>31</v>
      </c>
      <c r="E1996" s="13">
        <v>46017</v>
      </c>
      <c r="F1996" s="14" t="s">
        <v>437</v>
      </c>
      <c r="G1996" s="14" t="s">
        <v>182</v>
      </c>
      <c r="H1996" s="14" t="s">
        <v>99</v>
      </c>
      <c r="I1996" s="15">
        <v>1</v>
      </c>
      <c r="J1996" s="15">
        <v>40</v>
      </c>
      <c r="K1996" s="15">
        <v>81.94</v>
      </c>
      <c r="L1996" s="15">
        <v>3277.6</v>
      </c>
      <c r="M1996" s="15">
        <v>-163.88</v>
      </c>
      <c r="N1996" s="15">
        <v>-62.274250000000002</v>
      </c>
      <c r="O1996" s="15">
        <v>396.68818700000003</v>
      </c>
      <c r="P1996" s="15">
        <v>3448.1339370000001</v>
      </c>
    </row>
    <row r="1997" spans="1:16" ht="15" x14ac:dyDescent="0.2">
      <c r="A1997" s="4" t="s">
        <v>582</v>
      </c>
      <c r="B1997" s="21" t="str">
        <f t="shared" si="62"/>
        <v>Dec-2025</v>
      </c>
      <c r="C1997" s="2" t="str">
        <f t="shared" si="63"/>
        <v>Q3</v>
      </c>
      <c r="D1997" s="2" t="s">
        <v>31</v>
      </c>
      <c r="E1997" s="13">
        <v>46017</v>
      </c>
      <c r="F1997" s="14" t="s">
        <v>437</v>
      </c>
      <c r="G1997" s="14" t="s">
        <v>182</v>
      </c>
      <c r="H1997" s="14" t="s">
        <v>108</v>
      </c>
      <c r="I1997" s="15">
        <v>1</v>
      </c>
      <c r="J1997" s="15">
        <v>24</v>
      </c>
      <c r="K1997" s="15">
        <v>186.23</v>
      </c>
      <c r="L1997" s="15">
        <v>4469.5200000000004</v>
      </c>
      <c r="M1997" s="15">
        <v>-223.48</v>
      </c>
      <c r="N1997" s="15">
        <v>-84.920595000000006</v>
      </c>
      <c r="O1997" s="15">
        <v>540.94584900000007</v>
      </c>
      <c r="P1997" s="15">
        <v>4702.0652540000001</v>
      </c>
    </row>
    <row r="1998" spans="1:16" ht="15" x14ac:dyDescent="0.2">
      <c r="A1998" s="4" t="s">
        <v>580</v>
      </c>
      <c r="B1998" s="21" t="str">
        <f t="shared" si="62"/>
        <v>Dec-2025</v>
      </c>
      <c r="C1998" s="2" t="str">
        <f t="shared" si="63"/>
        <v>Q3</v>
      </c>
      <c r="D1998" s="2" t="s">
        <v>31</v>
      </c>
      <c r="E1998" s="13">
        <v>46017</v>
      </c>
      <c r="F1998" s="14" t="s">
        <v>437</v>
      </c>
      <c r="G1998" s="14" t="s">
        <v>182</v>
      </c>
      <c r="H1998" s="14" t="s">
        <v>65</v>
      </c>
      <c r="I1998" s="15">
        <v>1</v>
      </c>
      <c r="J1998" s="15">
        <v>130</v>
      </c>
      <c r="K1998" s="15">
        <v>37.25</v>
      </c>
      <c r="L1998" s="15">
        <v>4842.5</v>
      </c>
      <c r="M1998" s="15">
        <v>-242.13</v>
      </c>
      <c r="N1998" s="15">
        <v>-92.007177999999996</v>
      </c>
      <c r="O1998" s="15">
        <v>586.08752000000004</v>
      </c>
      <c r="P1998" s="15">
        <v>5094.4503420000001</v>
      </c>
    </row>
    <row r="1999" spans="1:16" ht="15" x14ac:dyDescent="0.2">
      <c r="A1999" s="4" t="s">
        <v>576</v>
      </c>
      <c r="B1999" s="21" t="str">
        <f t="shared" si="62"/>
        <v>Dec-2025</v>
      </c>
      <c r="C1999" s="2" t="str">
        <f t="shared" si="63"/>
        <v>Q3</v>
      </c>
      <c r="D1999" s="2" t="s">
        <v>31</v>
      </c>
      <c r="E1999" s="13">
        <v>46017</v>
      </c>
      <c r="F1999" s="14" t="s">
        <v>437</v>
      </c>
      <c r="G1999" s="14" t="s">
        <v>182</v>
      </c>
      <c r="H1999" s="14" t="s">
        <v>124</v>
      </c>
      <c r="I1999" s="15">
        <v>1</v>
      </c>
      <c r="J1999" s="15">
        <v>20</v>
      </c>
      <c r="K1999" s="15">
        <v>175.05</v>
      </c>
      <c r="L1999" s="15">
        <v>3500.9999999999995</v>
      </c>
      <c r="M1999" s="15">
        <v>-175.05</v>
      </c>
      <c r="N1999" s="15">
        <v>-66.518839</v>
      </c>
      <c r="O1999" s="15">
        <v>423.72630599999997</v>
      </c>
      <c r="P1999" s="15">
        <v>3683.157467</v>
      </c>
    </row>
    <row r="2000" spans="1:16" ht="15" x14ac:dyDescent="0.2">
      <c r="A2000" s="4" t="s">
        <v>589</v>
      </c>
      <c r="B2000" s="21" t="str">
        <f t="shared" si="62"/>
        <v>Dec-2025</v>
      </c>
      <c r="C2000" s="2" t="str">
        <f t="shared" si="63"/>
        <v>Q3</v>
      </c>
      <c r="D2000" s="2" t="s">
        <v>31</v>
      </c>
      <c r="E2000" s="13">
        <v>46017</v>
      </c>
      <c r="F2000" s="14" t="s">
        <v>437</v>
      </c>
      <c r="G2000" s="14" t="s">
        <v>182</v>
      </c>
      <c r="H2000" s="14" t="s">
        <v>98</v>
      </c>
      <c r="I2000" s="15">
        <v>1</v>
      </c>
      <c r="J2000" s="15">
        <v>60</v>
      </c>
      <c r="K2000" s="15">
        <v>145.26</v>
      </c>
      <c r="L2000" s="15">
        <v>8715.6</v>
      </c>
      <c r="M2000" s="15">
        <v>-435.78</v>
      </c>
      <c r="N2000" s="15">
        <v>-165.596</v>
      </c>
      <c r="O2000" s="15">
        <v>1054.8497560000001</v>
      </c>
      <c r="P2000" s="15">
        <v>9169.0737559999998</v>
      </c>
    </row>
    <row r="2001" spans="1:16" ht="15" x14ac:dyDescent="0.2">
      <c r="A2001" s="4" t="s">
        <v>581</v>
      </c>
      <c r="B2001" s="21" t="str">
        <f t="shared" si="62"/>
        <v>Dec-2025</v>
      </c>
      <c r="C2001" s="2" t="str">
        <f t="shared" si="63"/>
        <v>Q3</v>
      </c>
      <c r="D2001" s="2" t="s">
        <v>31</v>
      </c>
      <c r="E2001" s="13">
        <v>46017</v>
      </c>
      <c r="F2001" s="14" t="s">
        <v>437</v>
      </c>
      <c r="G2001" s="14" t="s">
        <v>182</v>
      </c>
      <c r="H2001" s="14" t="s">
        <v>96</v>
      </c>
      <c r="I2001" s="15">
        <v>1</v>
      </c>
      <c r="J2001" s="15">
        <v>40</v>
      </c>
      <c r="K2001" s="15">
        <v>74.489999999999995</v>
      </c>
      <c r="L2001" s="15">
        <v>2979.6</v>
      </c>
      <c r="M2001" s="15">
        <v>-148.97999999999999</v>
      </c>
      <c r="N2001" s="15">
        <v>-56.612263000000006</v>
      </c>
      <c r="O2001" s="15">
        <v>360.62122299999999</v>
      </c>
      <c r="P2001" s="15">
        <v>3134.62896</v>
      </c>
    </row>
    <row r="2002" spans="1:16" ht="15" x14ac:dyDescent="0.2">
      <c r="A2002" s="4" t="s">
        <v>589</v>
      </c>
      <c r="B2002" s="21" t="str">
        <f t="shared" si="62"/>
        <v>Dec-2025</v>
      </c>
      <c r="C2002" s="2" t="str">
        <f t="shared" si="63"/>
        <v>Q3</v>
      </c>
      <c r="D2002" s="2" t="s">
        <v>31</v>
      </c>
      <c r="E2002" s="13">
        <v>46017</v>
      </c>
      <c r="F2002" s="14" t="s">
        <v>437</v>
      </c>
      <c r="G2002" s="14" t="s">
        <v>182</v>
      </c>
      <c r="H2002" s="14" t="s">
        <v>105</v>
      </c>
      <c r="I2002" s="15">
        <v>1</v>
      </c>
      <c r="J2002" s="15">
        <v>30</v>
      </c>
      <c r="K2002" s="15">
        <v>316.58999999999997</v>
      </c>
      <c r="L2002" s="15">
        <v>9497.6999999999989</v>
      </c>
      <c r="M2002" s="15">
        <v>-474.89</v>
      </c>
      <c r="N2002" s="15">
        <v>-180.45576399999999</v>
      </c>
      <c r="O2002" s="15">
        <v>1149.506744</v>
      </c>
      <c r="P2002" s="15">
        <v>9991.8609799999995</v>
      </c>
    </row>
    <row r="2003" spans="1:16" ht="15" x14ac:dyDescent="0.2">
      <c r="A2003" s="4" t="s">
        <v>581</v>
      </c>
      <c r="B2003" s="21" t="str">
        <f t="shared" si="62"/>
        <v>Dec-2025</v>
      </c>
      <c r="C2003" s="2" t="str">
        <f t="shared" si="63"/>
        <v>Q3</v>
      </c>
      <c r="D2003" s="2" t="s">
        <v>31</v>
      </c>
      <c r="E2003" s="13">
        <v>46017</v>
      </c>
      <c r="F2003" s="14" t="s">
        <v>437</v>
      </c>
      <c r="G2003" s="14" t="s">
        <v>182</v>
      </c>
      <c r="H2003" s="14" t="s">
        <v>97</v>
      </c>
      <c r="I2003" s="15">
        <v>1</v>
      </c>
      <c r="J2003" s="15">
        <v>40</v>
      </c>
      <c r="K2003" s="15">
        <v>74.489999999999995</v>
      </c>
      <c r="L2003" s="15">
        <v>2979.6</v>
      </c>
      <c r="M2003" s="15">
        <v>-148.97999999999999</v>
      </c>
      <c r="N2003" s="15">
        <v>-56.612263000000006</v>
      </c>
      <c r="O2003" s="15">
        <v>360.62122299999999</v>
      </c>
      <c r="P2003" s="15">
        <v>3134.62896</v>
      </c>
    </row>
    <row r="2004" spans="1:16" ht="15" x14ac:dyDescent="0.2">
      <c r="A2004" s="4" t="s">
        <v>574</v>
      </c>
      <c r="B2004" s="21" t="str">
        <f t="shared" si="62"/>
        <v>Dec-2025</v>
      </c>
      <c r="C2004" s="2" t="str">
        <f t="shared" si="63"/>
        <v>Q3</v>
      </c>
      <c r="D2004" s="2" t="s">
        <v>31</v>
      </c>
      <c r="E2004" s="13">
        <v>46017</v>
      </c>
      <c r="F2004" s="14" t="s">
        <v>437</v>
      </c>
      <c r="G2004" s="14" t="s">
        <v>182</v>
      </c>
      <c r="H2004" s="14" t="s">
        <v>84</v>
      </c>
      <c r="I2004" s="15">
        <v>1</v>
      </c>
      <c r="J2004" s="15">
        <v>18</v>
      </c>
      <c r="K2004" s="15">
        <v>178.78</v>
      </c>
      <c r="L2004" s="15">
        <v>3218.0400000000004</v>
      </c>
      <c r="M2004" s="15">
        <v>-160.9</v>
      </c>
      <c r="N2004" s="15">
        <v>-61.142651999999998</v>
      </c>
      <c r="O2004" s="15">
        <v>389.47989000000001</v>
      </c>
      <c r="P2004" s="15">
        <v>3385.4772379999999</v>
      </c>
    </row>
    <row r="2005" spans="1:16" ht="15" x14ac:dyDescent="0.2">
      <c r="A2005" s="4" t="s">
        <v>592</v>
      </c>
      <c r="B2005" s="21" t="str">
        <f t="shared" si="62"/>
        <v>Dec-2025</v>
      </c>
      <c r="C2005" s="2" t="str">
        <f t="shared" si="63"/>
        <v>Q3</v>
      </c>
      <c r="D2005" s="2" t="s">
        <v>31</v>
      </c>
      <c r="E2005" s="13">
        <v>46017</v>
      </c>
      <c r="F2005" s="14" t="s">
        <v>437</v>
      </c>
      <c r="G2005" s="14" t="s">
        <v>182</v>
      </c>
      <c r="H2005" s="14" t="s">
        <v>115</v>
      </c>
      <c r="I2005" s="15">
        <v>1</v>
      </c>
      <c r="J2005" s="15">
        <v>50</v>
      </c>
      <c r="K2005" s="15">
        <v>89.39</v>
      </c>
      <c r="L2005" s="15">
        <v>4469.5</v>
      </c>
      <c r="M2005" s="15">
        <v>-223.48</v>
      </c>
      <c r="N2005" s="15">
        <v>-84.920195000000007</v>
      </c>
      <c r="O2005" s="15">
        <v>540.94330100000002</v>
      </c>
      <c r="P2005" s="15">
        <v>4702.0431060000001</v>
      </c>
    </row>
    <row r="2006" spans="1:16" ht="15" x14ac:dyDescent="0.2">
      <c r="A2006" s="4" t="s">
        <v>589</v>
      </c>
      <c r="B2006" s="21" t="str">
        <f t="shared" si="62"/>
        <v>Dec-2025</v>
      </c>
      <c r="C2006" s="2" t="str">
        <f t="shared" si="63"/>
        <v>Q3</v>
      </c>
      <c r="D2006" s="2" t="s">
        <v>31</v>
      </c>
      <c r="E2006" s="13">
        <v>46017</v>
      </c>
      <c r="F2006" s="14" t="s">
        <v>438</v>
      </c>
      <c r="G2006" s="14" t="s">
        <v>25</v>
      </c>
      <c r="H2006" s="14" t="s">
        <v>105</v>
      </c>
      <c r="I2006" s="15">
        <v>1</v>
      </c>
      <c r="J2006" s="15">
        <v>30</v>
      </c>
      <c r="K2006" s="15">
        <v>282.08</v>
      </c>
      <c r="L2006" s="15">
        <v>8462.4</v>
      </c>
      <c r="M2006" s="15">
        <v>0</v>
      </c>
      <c r="N2006" s="15">
        <v>0</v>
      </c>
      <c r="O2006" s="15">
        <v>1100.1130430000001</v>
      </c>
      <c r="P2006" s="15">
        <v>9562.5130430000008</v>
      </c>
    </row>
    <row r="2007" spans="1:16" ht="15" x14ac:dyDescent="0.2">
      <c r="A2007" s="4" t="s">
        <v>589</v>
      </c>
      <c r="B2007" s="21" t="str">
        <f t="shared" si="62"/>
        <v>Dec-2025</v>
      </c>
      <c r="C2007" s="2" t="str">
        <f t="shared" si="63"/>
        <v>Q3</v>
      </c>
      <c r="D2007" s="2" t="s">
        <v>31</v>
      </c>
      <c r="E2007" s="13">
        <v>46017</v>
      </c>
      <c r="F2007" s="14" t="s">
        <v>438</v>
      </c>
      <c r="G2007" s="14" t="s">
        <v>25</v>
      </c>
      <c r="H2007" s="14" t="s">
        <v>98</v>
      </c>
      <c r="I2007" s="15">
        <v>1</v>
      </c>
      <c r="J2007" s="15">
        <v>60</v>
      </c>
      <c r="K2007" s="15">
        <v>129.41999999999999</v>
      </c>
      <c r="L2007" s="15">
        <v>7765.2</v>
      </c>
      <c r="M2007" s="15">
        <v>0</v>
      </c>
      <c r="N2007" s="15">
        <v>0</v>
      </c>
      <c r="O2007" s="15">
        <v>1009.476957</v>
      </c>
      <c r="P2007" s="15">
        <v>8774.6769569999997</v>
      </c>
    </row>
    <row r="2008" spans="1:16" ht="15" x14ac:dyDescent="0.2">
      <c r="A2008" s="4" t="s">
        <v>576</v>
      </c>
      <c r="B2008" s="21" t="str">
        <f t="shared" si="62"/>
        <v>Dec-2025</v>
      </c>
      <c r="C2008" s="2" t="str">
        <f t="shared" si="63"/>
        <v>Q3</v>
      </c>
      <c r="D2008" s="2" t="s">
        <v>31</v>
      </c>
      <c r="E2008" s="13">
        <v>46020</v>
      </c>
      <c r="F2008" s="14" t="s">
        <v>439</v>
      </c>
      <c r="G2008" s="14" t="s">
        <v>15</v>
      </c>
      <c r="H2008" s="14" t="s">
        <v>68</v>
      </c>
      <c r="I2008" s="15">
        <v>1</v>
      </c>
      <c r="J2008" s="15">
        <v>20</v>
      </c>
      <c r="K2008" s="15">
        <v>175.05</v>
      </c>
      <c r="L2008" s="15">
        <v>3500.9999999999995</v>
      </c>
      <c r="M2008" s="15">
        <v>-269.23</v>
      </c>
      <c r="N2008" s="15">
        <v>0</v>
      </c>
      <c r="O2008" s="15">
        <v>420.13007300000004</v>
      </c>
      <c r="P2008" s="15">
        <v>3651.9000729999998</v>
      </c>
    </row>
    <row r="2009" spans="1:16" ht="15" x14ac:dyDescent="0.2">
      <c r="A2009" s="4" t="s">
        <v>582</v>
      </c>
      <c r="B2009" s="21" t="str">
        <f t="shared" si="62"/>
        <v>Dec-2025</v>
      </c>
      <c r="C2009" s="2" t="str">
        <f t="shared" si="63"/>
        <v>Q3</v>
      </c>
      <c r="D2009" s="2" t="s">
        <v>31</v>
      </c>
      <c r="E2009" s="13">
        <v>46020</v>
      </c>
      <c r="F2009" s="14" t="s">
        <v>439</v>
      </c>
      <c r="G2009" s="14" t="s">
        <v>15</v>
      </c>
      <c r="H2009" s="14" t="s">
        <v>101</v>
      </c>
      <c r="I2009" s="15">
        <v>1</v>
      </c>
      <c r="J2009" s="15">
        <v>24</v>
      </c>
      <c r="K2009" s="15">
        <v>186.22</v>
      </c>
      <c r="L2009" s="15">
        <v>4469.28</v>
      </c>
      <c r="M2009" s="15">
        <v>-343.69</v>
      </c>
      <c r="N2009" s="15">
        <v>0</v>
      </c>
      <c r="O2009" s="15">
        <v>536.32666500000005</v>
      </c>
      <c r="P2009" s="15">
        <v>4661.9166649999997</v>
      </c>
    </row>
    <row r="2010" spans="1:16" ht="15" x14ac:dyDescent="0.2">
      <c r="A2010" s="4" t="s">
        <v>581</v>
      </c>
      <c r="B2010" s="21" t="str">
        <f t="shared" si="62"/>
        <v>Dec-2025</v>
      </c>
      <c r="C2010" s="2" t="str">
        <f t="shared" si="63"/>
        <v>Q3</v>
      </c>
      <c r="D2010" s="2" t="s">
        <v>31</v>
      </c>
      <c r="E2010" s="13">
        <v>46020</v>
      </c>
      <c r="F2010" s="14" t="s">
        <v>439</v>
      </c>
      <c r="G2010" s="14" t="s">
        <v>15</v>
      </c>
      <c r="H2010" s="14" t="s">
        <v>66</v>
      </c>
      <c r="I2010" s="15">
        <v>1</v>
      </c>
      <c r="J2010" s="15">
        <v>24</v>
      </c>
      <c r="K2010" s="15">
        <v>141.54</v>
      </c>
      <c r="L2010" s="15">
        <v>3396.96</v>
      </c>
      <c r="M2010" s="15">
        <v>-261.23</v>
      </c>
      <c r="N2010" s="15">
        <v>0</v>
      </c>
      <c r="O2010" s="15">
        <v>407.64487400000002</v>
      </c>
      <c r="P2010" s="15">
        <v>3543.3748740000001</v>
      </c>
    </row>
    <row r="2011" spans="1:16" ht="15" x14ac:dyDescent="0.2">
      <c r="A2011" s="4" t="s">
        <v>579</v>
      </c>
      <c r="B2011" s="21" t="str">
        <f t="shared" si="62"/>
        <v>Dec-2025</v>
      </c>
      <c r="C2011" s="2" t="str">
        <f t="shared" si="63"/>
        <v>Q3</v>
      </c>
      <c r="D2011" s="2" t="s">
        <v>31</v>
      </c>
      <c r="E2011" s="13">
        <v>46020</v>
      </c>
      <c r="F2011" s="14" t="s">
        <v>439</v>
      </c>
      <c r="G2011" s="14" t="s">
        <v>15</v>
      </c>
      <c r="H2011" s="14" t="s">
        <v>91</v>
      </c>
      <c r="I2011" s="15">
        <v>1</v>
      </c>
      <c r="J2011" s="15">
        <v>20</v>
      </c>
      <c r="K2011" s="15">
        <v>204.85</v>
      </c>
      <c r="L2011" s="15">
        <v>4097</v>
      </c>
      <c r="M2011" s="15">
        <v>-315.06</v>
      </c>
      <c r="N2011" s="15">
        <v>0</v>
      </c>
      <c r="O2011" s="15">
        <v>491.65216799999996</v>
      </c>
      <c r="P2011" s="15">
        <v>4273.5921680000001</v>
      </c>
    </row>
    <row r="2012" spans="1:16" ht="15" x14ac:dyDescent="0.2">
      <c r="A2012" s="4" t="s">
        <v>581</v>
      </c>
      <c r="B2012" s="21" t="str">
        <f t="shared" si="62"/>
        <v>Dec-2025</v>
      </c>
      <c r="C2012" s="2" t="str">
        <f t="shared" si="63"/>
        <v>Q3</v>
      </c>
      <c r="D2012" s="2" t="s">
        <v>31</v>
      </c>
      <c r="E2012" s="13">
        <v>46020</v>
      </c>
      <c r="F2012" s="14" t="s">
        <v>439</v>
      </c>
      <c r="G2012" s="14" t="s">
        <v>15</v>
      </c>
      <c r="H2012" s="14" t="s">
        <v>96</v>
      </c>
      <c r="I2012" s="15">
        <v>3</v>
      </c>
      <c r="J2012" s="15">
        <v>120</v>
      </c>
      <c r="K2012" s="15">
        <v>74.489999999999995</v>
      </c>
      <c r="L2012" s="15">
        <v>8938.8000000000011</v>
      </c>
      <c r="M2012" s="15">
        <v>-687.3900000000001</v>
      </c>
      <c r="N2012" s="15">
        <v>0</v>
      </c>
      <c r="O2012" s="15">
        <v>1072.683231</v>
      </c>
      <c r="P2012" s="15">
        <v>9324.0932310000007</v>
      </c>
    </row>
    <row r="2013" spans="1:16" ht="15" x14ac:dyDescent="0.2">
      <c r="A2013" s="4" t="s">
        <v>576</v>
      </c>
      <c r="B2013" s="21" t="str">
        <f t="shared" si="62"/>
        <v>Dec-2025</v>
      </c>
      <c r="C2013" s="2" t="str">
        <f t="shared" si="63"/>
        <v>Q3</v>
      </c>
      <c r="D2013" s="2" t="s">
        <v>31</v>
      </c>
      <c r="E2013" s="13">
        <v>46020</v>
      </c>
      <c r="F2013" s="14" t="s">
        <v>439</v>
      </c>
      <c r="G2013" s="14" t="s">
        <v>15</v>
      </c>
      <c r="H2013" s="14" t="s">
        <v>124</v>
      </c>
      <c r="I2013" s="15">
        <v>1</v>
      </c>
      <c r="J2013" s="15">
        <v>20</v>
      </c>
      <c r="K2013" s="15">
        <v>175.05</v>
      </c>
      <c r="L2013" s="15">
        <v>3500.9999999999995</v>
      </c>
      <c r="M2013" s="15">
        <v>-269.23</v>
      </c>
      <c r="N2013" s="15">
        <v>0</v>
      </c>
      <c r="O2013" s="15">
        <v>420.13007300000004</v>
      </c>
      <c r="P2013" s="15">
        <v>3651.9000729999998</v>
      </c>
    </row>
    <row r="2014" spans="1:16" ht="15" x14ac:dyDescent="0.2">
      <c r="A2014" s="4" t="s">
        <v>573</v>
      </c>
      <c r="B2014" s="21" t="str">
        <f t="shared" si="62"/>
        <v>Dec-2025</v>
      </c>
      <c r="C2014" s="2" t="str">
        <f t="shared" si="63"/>
        <v>Q3</v>
      </c>
      <c r="D2014" s="2" t="s">
        <v>31</v>
      </c>
      <c r="E2014" s="13">
        <v>46020</v>
      </c>
      <c r="F2014" s="14" t="s">
        <v>439</v>
      </c>
      <c r="G2014" s="14" t="s">
        <v>15</v>
      </c>
      <c r="H2014" s="14" t="s">
        <v>111</v>
      </c>
      <c r="I2014" s="15">
        <v>2</v>
      </c>
      <c r="J2014" s="15">
        <v>80</v>
      </c>
      <c r="K2014" s="15">
        <v>111.74</v>
      </c>
      <c r="L2014" s="15">
        <v>8939.2000000000007</v>
      </c>
      <c r="M2014" s="15">
        <v>-687.42</v>
      </c>
      <c r="N2014" s="15">
        <v>0</v>
      </c>
      <c r="O2014" s="15">
        <v>1072.731331</v>
      </c>
      <c r="P2014" s="15">
        <v>9324.5113309999997</v>
      </c>
    </row>
    <row r="2015" spans="1:16" ht="15" x14ac:dyDescent="0.2">
      <c r="A2015" s="4" t="s">
        <v>573</v>
      </c>
      <c r="B2015" s="21" t="str">
        <f t="shared" si="62"/>
        <v>Dec-2025</v>
      </c>
      <c r="C2015" s="2" t="str">
        <f t="shared" si="63"/>
        <v>Q3</v>
      </c>
      <c r="D2015" s="2" t="s">
        <v>31</v>
      </c>
      <c r="E2015" s="13">
        <v>46020</v>
      </c>
      <c r="F2015" s="14" t="s">
        <v>439</v>
      </c>
      <c r="G2015" s="14" t="s">
        <v>15</v>
      </c>
      <c r="H2015" s="14" t="s">
        <v>47</v>
      </c>
      <c r="I2015" s="15">
        <v>1</v>
      </c>
      <c r="J2015" s="15">
        <v>40</v>
      </c>
      <c r="K2015" s="15">
        <v>111.74</v>
      </c>
      <c r="L2015" s="15">
        <v>4469.6000000000004</v>
      </c>
      <c r="M2015" s="15">
        <v>-343.71</v>
      </c>
      <c r="N2015" s="15">
        <v>0</v>
      </c>
      <c r="O2015" s="15">
        <v>536.36566500000004</v>
      </c>
      <c r="P2015" s="15">
        <v>4662.2556649999997</v>
      </c>
    </row>
    <row r="2016" spans="1:16" ht="15" x14ac:dyDescent="0.2">
      <c r="A2016" s="4" t="s">
        <v>579</v>
      </c>
      <c r="B2016" s="21" t="str">
        <f t="shared" si="62"/>
        <v>Dec-2025</v>
      </c>
      <c r="C2016" s="2" t="str">
        <f t="shared" si="63"/>
        <v>Q3</v>
      </c>
      <c r="D2016" s="2" t="s">
        <v>31</v>
      </c>
      <c r="E2016" s="13">
        <v>46020</v>
      </c>
      <c r="F2016" s="14" t="s">
        <v>439</v>
      </c>
      <c r="G2016" s="14" t="s">
        <v>15</v>
      </c>
      <c r="H2016" s="14" t="s">
        <v>90</v>
      </c>
      <c r="I2016" s="15">
        <v>1</v>
      </c>
      <c r="J2016" s="15">
        <v>20</v>
      </c>
      <c r="K2016" s="15">
        <v>204.85</v>
      </c>
      <c r="L2016" s="15">
        <v>4097</v>
      </c>
      <c r="M2016" s="15">
        <v>-315.06</v>
      </c>
      <c r="N2016" s="15">
        <v>0</v>
      </c>
      <c r="O2016" s="15">
        <v>491.65216799999996</v>
      </c>
      <c r="P2016" s="15">
        <v>4273.5921680000001</v>
      </c>
    </row>
    <row r="2017" spans="1:16" ht="15" x14ac:dyDescent="0.2">
      <c r="A2017" s="4" t="s">
        <v>581</v>
      </c>
      <c r="B2017" s="21" t="str">
        <f t="shared" si="62"/>
        <v>Dec-2025</v>
      </c>
      <c r="C2017" s="2" t="str">
        <f t="shared" si="63"/>
        <v>Q3</v>
      </c>
      <c r="D2017" s="2" t="s">
        <v>31</v>
      </c>
      <c r="E2017" s="13">
        <v>46020</v>
      </c>
      <c r="F2017" s="14" t="s">
        <v>439</v>
      </c>
      <c r="G2017" s="14" t="s">
        <v>15</v>
      </c>
      <c r="H2017" s="14" t="s">
        <v>97</v>
      </c>
      <c r="I2017" s="15">
        <v>2</v>
      </c>
      <c r="J2017" s="15">
        <v>80</v>
      </c>
      <c r="K2017" s="15">
        <v>74.489999999999995</v>
      </c>
      <c r="L2017" s="15">
        <v>5959.2</v>
      </c>
      <c r="M2017" s="15">
        <v>-458.26</v>
      </c>
      <c r="N2017" s="15">
        <v>0</v>
      </c>
      <c r="O2017" s="15">
        <v>715.12215399999991</v>
      </c>
      <c r="P2017" s="15">
        <v>6216.0621540000002</v>
      </c>
    </row>
    <row r="2018" spans="1:16" ht="15" x14ac:dyDescent="0.2">
      <c r="A2018" s="4" t="s">
        <v>590</v>
      </c>
      <c r="B2018" s="21" t="str">
        <f t="shared" si="62"/>
        <v>Dec-2025</v>
      </c>
      <c r="C2018" s="2" t="str">
        <f t="shared" si="63"/>
        <v>Q3</v>
      </c>
      <c r="D2018" s="2" t="s">
        <v>31</v>
      </c>
      <c r="E2018" s="13">
        <v>46020</v>
      </c>
      <c r="F2018" s="14" t="s">
        <v>439</v>
      </c>
      <c r="G2018" s="14" t="s">
        <v>15</v>
      </c>
      <c r="H2018" s="14" t="s">
        <v>102</v>
      </c>
      <c r="I2018" s="15">
        <v>1</v>
      </c>
      <c r="J2018" s="15">
        <v>20</v>
      </c>
      <c r="K2018" s="15">
        <v>249.55</v>
      </c>
      <c r="L2018" s="15">
        <v>4991</v>
      </c>
      <c r="M2018" s="15">
        <v>-383.81</v>
      </c>
      <c r="N2018" s="15">
        <v>0</v>
      </c>
      <c r="O2018" s="15">
        <v>598.93466100000001</v>
      </c>
      <c r="P2018" s="15">
        <v>5206.1246609999998</v>
      </c>
    </row>
    <row r="2019" spans="1:16" ht="15" x14ac:dyDescent="0.2">
      <c r="A2019" s="4" t="s">
        <v>579</v>
      </c>
      <c r="B2019" s="21" t="str">
        <f t="shared" si="62"/>
        <v>Dec-2025</v>
      </c>
      <c r="C2019" s="2" t="str">
        <f t="shared" si="63"/>
        <v>Q3</v>
      </c>
      <c r="D2019" s="2" t="s">
        <v>31</v>
      </c>
      <c r="E2019" s="13">
        <v>46020</v>
      </c>
      <c r="F2019" s="14" t="s">
        <v>439</v>
      </c>
      <c r="G2019" s="14" t="s">
        <v>15</v>
      </c>
      <c r="H2019" s="14" t="s">
        <v>140</v>
      </c>
      <c r="I2019" s="15">
        <v>1</v>
      </c>
      <c r="J2019" s="15">
        <v>20</v>
      </c>
      <c r="K2019" s="15">
        <v>204.85</v>
      </c>
      <c r="L2019" s="15">
        <v>4097</v>
      </c>
      <c r="M2019" s="15">
        <v>-315.06</v>
      </c>
      <c r="N2019" s="15">
        <v>0</v>
      </c>
      <c r="O2019" s="15">
        <v>491.65216799999996</v>
      </c>
      <c r="P2019" s="15">
        <v>4273.5921680000001</v>
      </c>
    </row>
    <row r="2020" spans="1:16" ht="15" x14ac:dyDescent="0.2">
      <c r="A2020" s="4" t="s">
        <v>581</v>
      </c>
      <c r="B2020" s="21" t="str">
        <f t="shared" si="62"/>
        <v>Dec-2025</v>
      </c>
      <c r="C2020" s="2" t="str">
        <f t="shared" si="63"/>
        <v>Q3</v>
      </c>
      <c r="D2020" s="2" t="s">
        <v>31</v>
      </c>
      <c r="E2020" s="13">
        <v>46020</v>
      </c>
      <c r="F2020" s="14" t="s">
        <v>439</v>
      </c>
      <c r="G2020" s="14" t="s">
        <v>15</v>
      </c>
      <c r="H2020" s="14" t="s">
        <v>125</v>
      </c>
      <c r="I2020" s="15">
        <v>1</v>
      </c>
      <c r="J2020" s="15">
        <v>800</v>
      </c>
      <c r="K2020" s="15">
        <v>7.46</v>
      </c>
      <c r="L2020" s="15">
        <v>5968</v>
      </c>
      <c r="M2020" s="15">
        <v>-458.94</v>
      </c>
      <c r="N2020" s="15">
        <v>0</v>
      </c>
      <c r="O2020" s="15">
        <v>716.17775400000005</v>
      </c>
      <c r="P2020" s="15">
        <v>6225.2377539999998</v>
      </c>
    </row>
    <row r="2021" spans="1:16" ht="15" x14ac:dyDescent="0.2">
      <c r="A2021" s="4" t="s">
        <v>583</v>
      </c>
      <c r="B2021" s="21" t="str">
        <f t="shared" si="62"/>
        <v>Dec-2025</v>
      </c>
      <c r="C2021" s="2" t="str">
        <f t="shared" si="63"/>
        <v>Q3</v>
      </c>
      <c r="D2021" s="2" t="s">
        <v>31</v>
      </c>
      <c r="E2021" s="13">
        <v>46020</v>
      </c>
      <c r="F2021" s="14" t="s">
        <v>439</v>
      </c>
      <c r="G2021" s="14" t="s">
        <v>15</v>
      </c>
      <c r="H2021" s="14" t="s">
        <v>109</v>
      </c>
      <c r="I2021" s="15">
        <v>1</v>
      </c>
      <c r="J2021" s="15">
        <v>15</v>
      </c>
      <c r="K2021" s="15">
        <v>260.72000000000003</v>
      </c>
      <c r="L2021" s="15">
        <v>3910.8</v>
      </c>
      <c r="M2021" s="15">
        <v>-300.74</v>
      </c>
      <c r="N2021" s="15">
        <v>0</v>
      </c>
      <c r="O2021" s="15">
        <v>469.30777</v>
      </c>
      <c r="P2021" s="15">
        <v>4079.3677699999998</v>
      </c>
    </row>
    <row r="2022" spans="1:16" ht="15" x14ac:dyDescent="0.2">
      <c r="A2022" s="4" t="s">
        <v>584</v>
      </c>
      <c r="B2022" s="21" t="str">
        <f t="shared" si="62"/>
        <v>Dec-2025</v>
      </c>
      <c r="C2022" s="2" t="str">
        <f t="shared" si="63"/>
        <v>Q3</v>
      </c>
      <c r="D2022" s="2" t="s">
        <v>31</v>
      </c>
      <c r="E2022" s="13">
        <v>46020</v>
      </c>
      <c r="F2022" s="14" t="s">
        <v>439</v>
      </c>
      <c r="G2022" s="14" t="s">
        <v>15</v>
      </c>
      <c r="H2022" s="14" t="s">
        <v>120</v>
      </c>
      <c r="I2022" s="15">
        <v>1</v>
      </c>
      <c r="J2022" s="15">
        <v>40</v>
      </c>
      <c r="K2022" s="15">
        <v>81.94</v>
      </c>
      <c r="L2022" s="15">
        <v>3277.6</v>
      </c>
      <c r="M2022" s="15">
        <v>-252.05</v>
      </c>
      <c r="N2022" s="15">
        <v>0</v>
      </c>
      <c r="O2022" s="15">
        <v>393.32147499999996</v>
      </c>
      <c r="P2022" s="15">
        <v>3418.8714749999999</v>
      </c>
    </row>
    <row r="2023" spans="1:16" ht="15" x14ac:dyDescent="0.2">
      <c r="A2023" s="4" t="s">
        <v>583</v>
      </c>
      <c r="B2023" s="21" t="str">
        <f t="shared" si="62"/>
        <v>Dec-2025</v>
      </c>
      <c r="C2023" s="2" t="str">
        <f t="shared" si="63"/>
        <v>Q3</v>
      </c>
      <c r="D2023" s="2" t="s">
        <v>31</v>
      </c>
      <c r="E2023" s="13">
        <v>46020</v>
      </c>
      <c r="F2023" s="14" t="s">
        <v>439</v>
      </c>
      <c r="G2023" s="14" t="s">
        <v>15</v>
      </c>
      <c r="H2023" s="14" t="s">
        <v>113</v>
      </c>
      <c r="I2023" s="15">
        <v>1</v>
      </c>
      <c r="J2023" s="15">
        <v>15</v>
      </c>
      <c r="K2023" s="15">
        <v>260.72000000000003</v>
      </c>
      <c r="L2023" s="15">
        <v>3910.8</v>
      </c>
      <c r="M2023" s="15">
        <v>-300.74</v>
      </c>
      <c r="N2023" s="15">
        <v>0</v>
      </c>
      <c r="O2023" s="15">
        <v>469.30777</v>
      </c>
      <c r="P2023" s="15">
        <v>4079.3677699999998</v>
      </c>
    </row>
    <row r="2024" spans="1:16" ht="15" x14ac:dyDescent="0.2">
      <c r="A2024" s="4" t="s">
        <v>587</v>
      </c>
      <c r="B2024" s="21" t="str">
        <f t="shared" si="62"/>
        <v>Dec-2025</v>
      </c>
      <c r="C2024" s="2" t="str">
        <f t="shared" si="63"/>
        <v>Q3</v>
      </c>
      <c r="D2024" s="2" t="s">
        <v>31</v>
      </c>
      <c r="E2024" s="13">
        <v>46020</v>
      </c>
      <c r="F2024" s="14" t="s">
        <v>440</v>
      </c>
      <c r="G2024" s="14" t="s">
        <v>12</v>
      </c>
      <c r="H2024" s="14" t="s">
        <v>94</v>
      </c>
      <c r="I2024" s="15">
        <v>1</v>
      </c>
      <c r="J2024" s="15">
        <v>60</v>
      </c>
      <c r="K2024" s="15">
        <v>111.74</v>
      </c>
      <c r="L2024" s="15">
        <v>6704.4</v>
      </c>
      <c r="M2024" s="15">
        <v>-515.57000000000005</v>
      </c>
      <c r="N2024" s="15">
        <v>0</v>
      </c>
      <c r="O2024" s="15">
        <v>804.5474999999999</v>
      </c>
      <c r="P2024" s="15">
        <v>6993.3774999999996</v>
      </c>
    </row>
    <row r="2025" spans="1:16" ht="15" x14ac:dyDescent="0.2">
      <c r="A2025" s="4" t="s">
        <v>588</v>
      </c>
      <c r="B2025" s="21" t="str">
        <f t="shared" si="62"/>
        <v>Dec-2025</v>
      </c>
      <c r="C2025" s="2" t="str">
        <f t="shared" si="63"/>
        <v>Q3</v>
      </c>
      <c r="D2025" s="2" t="s">
        <v>31</v>
      </c>
      <c r="E2025" s="13">
        <v>46020</v>
      </c>
      <c r="F2025" s="14" t="s">
        <v>440</v>
      </c>
      <c r="G2025" s="14" t="s">
        <v>12</v>
      </c>
      <c r="H2025" s="14" t="s">
        <v>95</v>
      </c>
      <c r="I2025" s="15">
        <v>3</v>
      </c>
      <c r="J2025" s="15">
        <v>180</v>
      </c>
      <c r="K2025" s="15">
        <v>111.74</v>
      </c>
      <c r="L2025" s="15">
        <v>20113.2</v>
      </c>
      <c r="M2025" s="15">
        <v>-1546.71</v>
      </c>
      <c r="N2025" s="15">
        <v>0</v>
      </c>
      <c r="O2025" s="15">
        <v>2413.6425000000004</v>
      </c>
      <c r="P2025" s="15">
        <v>20980.1325</v>
      </c>
    </row>
    <row r="2026" spans="1:16" ht="15" x14ac:dyDescent="0.2">
      <c r="A2026" s="4" t="s">
        <v>581</v>
      </c>
      <c r="B2026" s="21" t="str">
        <f t="shared" si="62"/>
        <v>Dec-2025</v>
      </c>
      <c r="C2026" s="2" t="str">
        <f t="shared" si="63"/>
        <v>Q3</v>
      </c>
      <c r="D2026" s="2" t="s">
        <v>31</v>
      </c>
      <c r="E2026" s="13">
        <v>46020</v>
      </c>
      <c r="F2026" s="14" t="s">
        <v>441</v>
      </c>
      <c r="G2026" s="14" t="s">
        <v>142</v>
      </c>
      <c r="H2026" s="14" t="s">
        <v>97</v>
      </c>
      <c r="I2026" s="15">
        <v>1</v>
      </c>
      <c r="J2026" s="15">
        <v>40</v>
      </c>
      <c r="K2026" s="15">
        <v>74.489999999999995</v>
      </c>
      <c r="L2026" s="15">
        <v>2979.6</v>
      </c>
      <c r="M2026" s="15">
        <v>-229.13</v>
      </c>
      <c r="N2026" s="15">
        <v>0</v>
      </c>
      <c r="O2026" s="15">
        <v>357.560945</v>
      </c>
      <c r="P2026" s="15">
        <v>3108.030945</v>
      </c>
    </row>
    <row r="2027" spans="1:16" ht="15" x14ac:dyDescent="0.2">
      <c r="A2027" s="4" t="s">
        <v>576</v>
      </c>
      <c r="B2027" s="21" t="str">
        <f t="shared" si="62"/>
        <v>Dec-2025</v>
      </c>
      <c r="C2027" s="2" t="str">
        <f t="shared" si="63"/>
        <v>Q3</v>
      </c>
      <c r="D2027" s="2" t="s">
        <v>31</v>
      </c>
      <c r="E2027" s="13">
        <v>46020</v>
      </c>
      <c r="F2027" s="14" t="s">
        <v>441</v>
      </c>
      <c r="G2027" s="14" t="s">
        <v>142</v>
      </c>
      <c r="H2027" s="14" t="s">
        <v>124</v>
      </c>
      <c r="I2027" s="15">
        <v>1</v>
      </c>
      <c r="J2027" s="15">
        <v>20</v>
      </c>
      <c r="K2027" s="15">
        <v>175.05</v>
      </c>
      <c r="L2027" s="15">
        <v>3500.9999999999995</v>
      </c>
      <c r="M2027" s="15">
        <v>-269.23</v>
      </c>
      <c r="N2027" s="15">
        <v>0</v>
      </c>
      <c r="O2027" s="15">
        <v>420.12991800000003</v>
      </c>
      <c r="P2027" s="15">
        <v>3651.8999180000001</v>
      </c>
    </row>
    <row r="2028" spans="1:16" ht="15" x14ac:dyDescent="0.2">
      <c r="A2028" s="4" t="s">
        <v>583</v>
      </c>
      <c r="B2028" s="21" t="str">
        <f t="shared" si="62"/>
        <v>Dec-2025</v>
      </c>
      <c r="C2028" s="2" t="str">
        <f t="shared" si="63"/>
        <v>Q3</v>
      </c>
      <c r="D2028" s="2" t="s">
        <v>31</v>
      </c>
      <c r="E2028" s="13">
        <v>46020</v>
      </c>
      <c r="F2028" s="14" t="s">
        <v>441</v>
      </c>
      <c r="G2028" s="14" t="s">
        <v>142</v>
      </c>
      <c r="H2028" s="14" t="s">
        <v>109</v>
      </c>
      <c r="I2028" s="15">
        <v>1</v>
      </c>
      <c r="J2028" s="15">
        <v>15</v>
      </c>
      <c r="K2028" s="15">
        <v>260.72000000000003</v>
      </c>
      <c r="L2028" s="15">
        <v>3910.8</v>
      </c>
      <c r="M2028" s="15">
        <v>-300.74</v>
      </c>
      <c r="N2028" s="15">
        <v>0</v>
      </c>
      <c r="O2028" s="15">
        <v>469.30759699999999</v>
      </c>
      <c r="P2028" s="15">
        <v>4079.3675969999999</v>
      </c>
    </row>
    <row r="2029" spans="1:16" ht="15" x14ac:dyDescent="0.2">
      <c r="A2029" s="4" t="s">
        <v>580</v>
      </c>
      <c r="B2029" s="21" t="str">
        <f t="shared" si="62"/>
        <v>Dec-2025</v>
      </c>
      <c r="C2029" s="2" t="str">
        <f t="shared" si="63"/>
        <v>Q3</v>
      </c>
      <c r="D2029" s="2" t="s">
        <v>31</v>
      </c>
      <c r="E2029" s="13">
        <v>46020</v>
      </c>
      <c r="F2029" s="14" t="s">
        <v>441</v>
      </c>
      <c r="G2029" s="14" t="s">
        <v>142</v>
      </c>
      <c r="H2029" s="14" t="s">
        <v>65</v>
      </c>
      <c r="I2029" s="15">
        <v>1</v>
      </c>
      <c r="J2029" s="15">
        <v>130</v>
      </c>
      <c r="K2029" s="15">
        <v>37.25</v>
      </c>
      <c r="L2029" s="15">
        <v>4842.5</v>
      </c>
      <c r="M2029" s="15">
        <v>-372.39</v>
      </c>
      <c r="N2029" s="15">
        <v>0</v>
      </c>
      <c r="O2029" s="15">
        <v>581.11404900000002</v>
      </c>
      <c r="P2029" s="15">
        <v>5051.2240490000004</v>
      </c>
    </row>
    <row r="2030" spans="1:16" ht="15" x14ac:dyDescent="0.2">
      <c r="A2030" s="4" t="s">
        <v>581</v>
      </c>
      <c r="B2030" s="21" t="str">
        <f t="shared" si="62"/>
        <v>Dec-2025</v>
      </c>
      <c r="C2030" s="2" t="str">
        <f t="shared" si="63"/>
        <v>Q3</v>
      </c>
      <c r="D2030" s="2" t="s">
        <v>31</v>
      </c>
      <c r="E2030" s="13">
        <v>46020</v>
      </c>
      <c r="F2030" s="14" t="s">
        <v>441</v>
      </c>
      <c r="G2030" s="14" t="s">
        <v>142</v>
      </c>
      <c r="H2030" s="14" t="s">
        <v>96</v>
      </c>
      <c r="I2030" s="15">
        <v>1</v>
      </c>
      <c r="J2030" s="15">
        <v>40</v>
      </c>
      <c r="K2030" s="15">
        <v>74.489999999999995</v>
      </c>
      <c r="L2030" s="15">
        <v>2979.6</v>
      </c>
      <c r="M2030" s="15">
        <v>-229.13</v>
      </c>
      <c r="N2030" s="15">
        <v>0</v>
      </c>
      <c r="O2030" s="15">
        <v>357.560945</v>
      </c>
      <c r="P2030" s="15">
        <v>3108.030945</v>
      </c>
    </row>
    <row r="2031" spans="1:16" ht="15" x14ac:dyDescent="0.2">
      <c r="A2031" s="4" t="s">
        <v>580</v>
      </c>
      <c r="B2031" s="21" t="str">
        <f t="shared" si="62"/>
        <v>Dec-2025</v>
      </c>
      <c r="C2031" s="2" t="str">
        <f t="shared" si="63"/>
        <v>Q3</v>
      </c>
      <c r="D2031" s="2" t="s">
        <v>31</v>
      </c>
      <c r="E2031" s="13">
        <v>46020</v>
      </c>
      <c r="F2031" s="14" t="s">
        <v>441</v>
      </c>
      <c r="G2031" s="14" t="s">
        <v>142</v>
      </c>
      <c r="H2031" s="14" t="s">
        <v>89</v>
      </c>
      <c r="I2031" s="15">
        <v>10</v>
      </c>
      <c r="J2031" s="15">
        <v>700</v>
      </c>
      <c r="K2031" s="15">
        <v>37.25</v>
      </c>
      <c r="L2031" s="15">
        <v>26075</v>
      </c>
      <c r="M2031" s="15">
        <v>-2005.1699999999998</v>
      </c>
      <c r="N2031" s="15">
        <v>0</v>
      </c>
      <c r="O2031" s="15">
        <v>3129.0765460000002</v>
      </c>
      <c r="P2031" s="15">
        <v>27198.906545999998</v>
      </c>
    </row>
    <row r="2032" spans="1:16" ht="15" x14ac:dyDescent="0.2">
      <c r="A2032" s="4" t="s">
        <v>574</v>
      </c>
      <c r="B2032" s="21" t="str">
        <f t="shared" si="62"/>
        <v>Dec-2025</v>
      </c>
      <c r="C2032" s="2" t="str">
        <f t="shared" si="63"/>
        <v>Q3</v>
      </c>
      <c r="D2032" s="2" t="s">
        <v>31</v>
      </c>
      <c r="E2032" s="13">
        <v>46020</v>
      </c>
      <c r="F2032" s="14" t="s">
        <v>442</v>
      </c>
      <c r="G2032" s="14" t="s">
        <v>130</v>
      </c>
      <c r="H2032" s="14" t="s">
        <v>86</v>
      </c>
      <c r="I2032" s="15">
        <v>10</v>
      </c>
      <c r="J2032" s="15">
        <v>180</v>
      </c>
      <c r="K2032" s="15">
        <v>178.78</v>
      </c>
      <c r="L2032" s="15">
        <v>32180.400000000001</v>
      </c>
      <c r="M2032" s="15">
        <v>-2474.6699999999996</v>
      </c>
      <c r="N2032" s="15">
        <v>0</v>
      </c>
      <c r="O2032" s="15">
        <v>3861.746384</v>
      </c>
      <c r="P2032" s="15">
        <v>33567.476384000001</v>
      </c>
    </row>
    <row r="2033" spans="1:16" ht="15" x14ac:dyDescent="0.2">
      <c r="A2033" s="4" t="s">
        <v>576</v>
      </c>
      <c r="B2033" s="21" t="str">
        <f t="shared" si="62"/>
        <v>Dec-2025</v>
      </c>
      <c r="C2033" s="2" t="str">
        <f t="shared" si="63"/>
        <v>Q3</v>
      </c>
      <c r="D2033" s="2" t="s">
        <v>31</v>
      </c>
      <c r="E2033" s="13">
        <v>46020</v>
      </c>
      <c r="F2033" s="14" t="s">
        <v>442</v>
      </c>
      <c r="G2033" s="14" t="s">
        <v>130</v>
      </c>
      <c r="H2033" s="14" t="s">
        <v>124</v>
      </c>
      <c r="I2033" s="15">
        <v>5</v>
      </c>
      <c r="J2033" s="15">
        <v>100</v>
      </c>
      <c r="K2033" s="15">
        <v>175.05</v>
      </c>
      <c r="L2033" s="15">
        <v>17505</v>
      </c>
      <c r="M2033" s="15">
        <v>-1346.1299999999999</v>
      </c>
      <c r="N2033" s="15">
        <v>0</v>
      </c>
      <c r="O2033" s="15">
        <v>2100.6539069999999</v>
      </c>
      <c r="P2033" s="15">
        <v>18259.523906999999</v>
      </c>
    </row>
    <row r="2034" spans="1:16" ht="15" x14ac:dyDescent="0.2">
      <c r="A2034" s="4" t="s">
        <v>579</v>
      </c>
      <c r="B2034" s="21" t="str">
        <f t="shared" si="62"/>
        <v>Dec-2025</v>
      </c>
      <c r="C2034" s="2" t="str">
        <f t="shared" si="63"/>
        <v>Q3</v>
      </c>
      <c r="D2034" s="2" t="s">
        <v>31</v>
      </c>
      <c r="E2034" s="13">
        <v>46020</v>
      </c>
      <c r="F2034" s="14" t="s">
        <v>442</v>
      </c>
      <c r="G2034" s="14" t="s">
        <v>130</v>
      </c>
      <c r="H2034" s="14" t="s">
        <v>112</v>
      </c>
      <c r="I2034" s="15">
        <v>3</v>
      </c>
      <c r="J2034" s="15">
        <v>60</v>
      </c>
      <c r="K2034" s="15">
        <v>204.85</v>
      </c>
      <c r="L2034" s="15">
        <v>12291</v>
      </c>
      <c r="M2034" s="15">
        <v>-945.18</v>
      </c>
      <c r="N2034" s="15">
        <v>0</v>
      </c>
      <c r="O2034" s="15">
        <v>1474.9571669999998</v>
      </c>
      <c r="P2034" s="15">
        <v>12820.777167</v>
      </c>
    </row>
    <row r="2035" spans="1:16" ht="15" x14ac:dyDescent="0.2">
      <c r="A2035" s="4" t="s">
        <v>574</v>
      </c>
      <c r="B2035" s="21" t="str">
        <f t="shared" si="62"/>
        <v>Dec-2025</v>
      </c>
      <c r="C2035" s="2" t="str">
        <f t="shared" si="63"/>
        <v>Q3</v>
      </c>
      <c r="D2035" s="2" t="s">
        <v>31</v>
      </c>
      <c r="E2035" s="13">
        <v>46020</v>
      </c>
      <c r="F2035" s="14" t="s">
        <v>442</v>
      </c>
      <c r="G2035" s="14" t="s">
        <v>130</v>
      </c>
      <c r="H2035" s="14" t="s">
        <v>84</v>
      </c>
      <c r="I2035" s="15">
        <v>5</v>
      </c>
      <c r="J2035" s="15">
        <v>90</v>
      </c>
      <c r="K2035" s="15">
        <v>178.78</v>
      </c>
      <c r="L2035" s="15">
        <v>16090.2</v>
      </c>
      <c r="M2035" s="15">
        <v>-1237.3400000000001</v>
      </c>
      <c r="N2035" s="15">
        <v>0</v>
      </c>
      <c r="O2035" s="15">
        <v>1930.8725420000001</v>
      </c>
      <c r="P2035" s="15">
        <v>16783.732542000002</v>
      </c>
    </row>
    <row r="2036" spans="1:16" ht="15" x14ac:dyDescent="0.2">
      <c r="A2036" s="4" t="s">
        <v>583</v>
      </c>
      <c r="B2036" s="21" t="str">
        <f t="shared" si="62"/>
        <v>Dec-2025</v>
      </c>
      <c r="C2036" s="2" t="str">
        <f t="shared" si="63"/>
        <v>Q3</v>
      </c>
      <c r="D2036" s="2" t="s">
        <v>31</v>
      </c>
      <c r="E2036" s="13">
        <v>46021</v>
      </c>
      <c r="F2036" s="14" t="s">
        <v>443</v>
      </c>
      <c r="G2036" s="14" t="s">
        <v>380</v>
      </c>
      <c r="H2036" s="14" t="s">
        <v>113</v>
      </c>
      <c r="I2036" s="15">
        <v>2</v>
      </c>
      <c r="J2036" s="15">
        <v>30</v>
      </c>
      <c r="K2036" s="15">
        <v>260.72000000000003</v>
      </c>
      <c r="L2036" s="15">
        <v>7821.6</v>
      </c>
      <c r="M2036" s="15">
        <v>-601.48</v>
      </c>
      <c r="N2036" s="15">
        <v>0</v>
      </c>
      <c r="O2036" s="15">
        <v>938.61588399999994</v>
      </c>
      <c r="P2036" s="15">
        <v>8158.7358839999997</v>
      </c>
    </row>
    <row r="2037" spans="1:16" ht="15" x14ac:dyDescent="0.2">
      <c r="A2037" s="4" t="s">
        <v>583</v>
      </c>
      <c r="B2037" s="21" t="str">
        <f t="shared" si="62"/>
        <v>Dec-2025</v>
      </c>
      <c r="C2037" s="2" t="str">
        <f t="shared" si="63"/>
        <v>Q3</v>
      </c>
      <c r="D2037" s="2" t="s">
        <v>31</v>
      </c>
      <c r="E2037" s="13">
        <v>46021</v>
      </c>
      <c r="F2037" s="14" t="s">
        <v>443</v>
      </c>
      <c r="G2037" s="14" t="s">
        <v>380</v>
      </c>
      <c r="H2037" s="14" t="s">
        <v>109</v>
      </c>
      <c r="I2037" s="15">
        <v>2</v>
      </c>
      <c r="J2037" s="15">
        <v>30</v>
      </c>
      <c r="K2037" s="15">
        <v>260.72000000000003</v>
      </c>
      <c r="L2037" s="15">
        <v>7821.6</v>
      </c>
      <c r="M2037" s="15">
        <v>-601.48</v>
      </c>
      <c r="N2037" s="15">
        <v>0</v>
      </c>
      <c r="O2037" s="15">
        <v>938.61588399999994</v>
      </c>
      <c r="P2037" s="15">
        <v>8158.7358839999997</v>
      </c>
    </row>
    <row r="2038" spans="1:16" ht="15" x14ac:dyDescent="0.2">
      <c r="A2038" s="4" t="s">
        <v>593</v>
      </c>
      <c r="B2038" s="21" t="str">
        <f t="shared" si="62"/>
        <v>Dec-2025</v>
      </c>
      <c r="C2038" s="2" t="str">
        <f t="shared" si="63"/>
        <v>Q3</v>
      </c>
      <c r="D2038" s="2" t="s">
        <v>31</v>
      </c>
      <c r="E2038" s="13">
        <v>46021</v>
      </c>
      <c r="F2038" s="14" t="s">
        <v>443</v>
      </c>
      <c r="G2038" s="14" t="s">
        <v>380</v>
      </c>
      <c r="H2038" s="14" t="s">
        <v>117</v>
      </c>
      <c r="I2038" s="15">
        <v>5</v>
      </c>
      <c r="J2038" s="15">
        <v>20</v>
      </c>
      <c r="K2038" s="15">
        <v>595.92999999999995</v>
      </c>
      <c r="L2038" s="15">
        <v>11918.6</v>
      </c>
      <c r="M2038" s="15">
        <v>-916.54</v>
      </c>
      <c r="N2038" s="15">
        <v>0</v>
      </c>
      <c r="O2038" s="15">
        <v>1430.2682319999999</v>
      </c>
      <c r="P2038" s="15">
        <v>12432.328232</v>
      </c>
    </row>
    <row r="2039" spans="1:16" ht="15" x14ac:dyDescent="0.2">
      <c r="A2039" s="4" t="s">
        <v>581</v>
      </c>
      <c r="B2039" s="21" t="str">
        <f t="shared" si="62"/>
        <v>Dec-2025</v>
      </c>
      <c r="C2039" s="2" t="str">
        <f t="shared" si="63"/>
        <v>Q3</v>
      </c>
      <c r="D2039" s="2" t="s">
        <v>31</v>
      </c>
      <c r="E2039" s="13">
        <v>46021</v>
      </c>
      <c r="F2039" s="14" t="s">
        <v>444</v>
      </c>
      <c r="G2039" s="14" t="s">
        <v>23</v>
      </c>
      <c r="H2039" s="14" t="s">
        <v>96</v>
      </c>
      <c r="I2039" s="15">
        <v>3</v>
      </c>
      <c r="J2039" s="15">
        <v>120</v>
      </c>
      <c r="K2039" s="15">
        <v>74.489999999999995</v>
      </c>
      <c r="L2039" s="15">
        <v>8938.8000000000011</v>
      </c>
      <c r="M2039" s="15">
        <v>-687.3900000000001</v>
      </c>
      <c r="N2039" s="15">
        <v>0</v>
      </c>
      <c r="O2039" s="15">
        <v>1072.683565</v>
      </c>
      <c r="P2039" s="15">
        <v>9324.0935649999992</v>
      </c>
    </row>
    <row r="2040" spans="1:16" ht="15" x14ac:dyDescent="0.2">
      <c r="A2040" s="4" t="s">
        <v>584</v>
      </c>
      <c r="B2040" s="21" t="str">
        <f t="shared" si="62"/>
        <v>Dec-2025</v>
      </c>
      <c r="C2040" s="2" t="str">
        <f t="shared" si="63"/>
        <v>Q3</v>
      </c>
      <c r="D2040" s="2" t="s">
        <v>31</v>
      </c>
      <c r="E2040" s="13">
        <v>46021</v>
      </c>
      <c r="F2040" s="14" t="s">
        <v>444</v>
      </c>
      <c r="G2040" s="14" t="s">
        <v>23</v>
      </c>
      <c r="H2040" s="14" t="s">
        <v>120</v>
      </c>
      <c r="I2040" s="15">
        <v>5</v>
      </c>
      <c r="J2040" s="15">
        <v>200</v>
      </c>
      <c r="K2040" s="15">
        <v>81.94</v>
      </c>
      <c r="L2040" s="15">
        <v>16388</v>
      </c>
      <c r="M2040" s="15">
        <v>-1260.24</v>
      </c>
      <c r="N2040" s="15">
        <v>0</v>
      </c>
      <c r="O2040" s="15">
        <v>1966.6092860000001</v>
      </c>
      <c r="P2040" s="15">
        <v>17094.369286000001</v>
      </c>
    </row>
    <row r="2041" spans="1:16" ht="15" x14ac:dyDescent="0.2">
      <c r="A2041" s="4" t="s">
        <v>581</v>
      </c>
      <c r="B2041" s="21" t="str">
        <f t="shared" si="62"/>
        <v>Dec-2025</v>
      </c>
      <c r="C2041" s="2" t="str">
        <f t="shared" si="63"/>
        <v>Q3</v>
      </c>
      <c r="D2041" s="2" t="s">
        <v>31</v>
      </c>
      <c r="E2041" s="13">
        <v>46021</v>
      </c>
      <c r="F2041" s="14" t="s">
        <v>444</v>
      </c>
      <c r="G2041" s="14" t="s">
        <v>23</v>
      </c>
      <c r="H2041" s="14" t="s">
        <v>97</v>
      </c>
      <c r="I2041" s="15">
        <v>3</v>
      </c>
      <c r="J2041" s="15">
        <v>120</v>
      </c>
      <c r="K2041" s="15">
        <v>74.489999999999995</v>
      </c>
      <c r="L2041" s="15">
        <v>8938.8000000000011</v>
      </c>
      <c r="M2041" s="15">
        <v>-687.3900000000001</v>
      </c>
      <c r="N2041" s="15">
        <v>0</v>
      </c>
      <c r="O2041" s="15">
        <v>1072.683565</v>
      </c>
      <c r="P2041" s="15">
        <v>9324.0935649999992</v>
      </c>
    </row>
    <row r="2042" spans="1:16" ht="15" x14ac:dyDescent="0.2">
      <c r="A2042" s="4" t="s">
        <v>588</v>
      </c>
      <c r="B2042" s="21" t="str">
        <f t="shared" si="62"/>
        <v>Dec-2025</v>
      </c>
      <c r="C2042" s="2" t="str">
        <f t="shared" si="63"/>
        <v>Q3</v>
      </c>
      <c r="D2042" s="2" t="s">
        <v>31</v>
      </c>
      <c r="E2042" s="13">
        <v>46021</v>
      </c>
      <c r="F2042" s="14" t="s">
        <v>444</v>
      </c>
      <c r="G2042" s="14" t="s">
        <v>23</v>
      </c>
      <c r="H2042" s="14" t="s">
        <v>95</v>
      </c>
      <c r="I2042" s="15">
        <v>3</v>
      </c>
      <c r="J2042" s="15">
        <v>180</v>
      </c>
      <c r="K2042" s="15">
        <v>111.74</v>
      </c>
      <c r="L2042" s="15">
        <v>20113.2</v>
      </c>
      <c r="M2042" s="15">
        <v>-1546.71</v>
      </c>
      <c r="N2042" s="15">
        <v>0</v>
      </c>
      <c r="O2042" s="15">
        <v>2413.6442959999999</v>
      </c>
      <c r="P2042" s="15">
        <v>20980.134296</v>
      </c>
    </row>
    <row r="2043" spans="1:16" ht="15" x14ac:dyDescent="0.2">
      <c r="A2043" s="4" t="s">
        <v>589</v>
      </c>
      <c r="B2043" s="21" t="str">
        <f t="shared" si="62"/>
        <v>Dec-2025</v>
      </c>
      <c r="C2043" s="2" t="str">
        <f t="shared" si="63"/>
        <v>Q3</v>
      </c>
      <c r="D2043" s="2" t="s">
        <v>31</v>
      </c>
      <c r="E2043" s="13">
        <v>46021</v>
      </c>
      <c r="F2043" s="14" t="s">
        <v>444</v>
      </c>
      <c r="G2043" s="14" t="s">
        <v>23</v>
      </c>
      <c r="H2043" s="14" t="s">
        <v>105</v>
      </c>
      <c r="I2043" s="15">
        <v>4</v>
      </c>
      <c r="J2043" s="15">
        <v>120</v>
      </c>
      <c r="K2043" s="15">
        <v>316.58999999999997</v>
      </c>
      <c r="L2043" s="15">
        <v>37990.799999999996</v>
      </c>
      <c r="M2043" s="15">
        <v>-2921.4900000000002</v>
      </c>
      <c r="N2043" s="15">
        <v>0</v>
      </c>
      <c r="O2043" s="15">
        <v>4559.011426</v>
      </c>
      <c r="P2043" s="15">
        <v>39628.321426000002</v>
      </c>
    </row>
    <row r="2044" spans="1:16" ht="15" x14ac:dyDescent="0.2">
      <c r="A2044" s="4" t="s">
        <v>573</v>
      </c>
      <c r="B2044" s="21" t="str">
        <f t="shared" si="62"/>
        <v>Dec-2025</v>
      </c>
      <c r="C2044" s="2" t="str">
        <f t="shared" si="63"/>
        <v>Q3</v>
      </c>
      <c r="D2044" s="2" t="s">
        <v>31</v>
      </c>
      <c r="E2044" s="13">
        <v>46021</v>
      </c>
      <c r="F2044" s="14" t="s">
        <v>444</v>
      </c>
      <c r="G2044" s="14" t="s">
        <v>23</v>
      </c>
      <c r="H2044" s="14" t="s">
        <v>111</v>
      </c>
      <c r="I2044" s="15">
        <v>2</v>
      </c>
      <c r="J2044" s="15">
        <v>80</v>
      </c>
      <c r="K2044" s="15">
        <v>111.74</v>
      </c>
      <c r="L2044" s="15">
        <v>8939.2000000000007</v>
      </c>
      <c r="M2044" s="15">
        <v>-687.42</v>
      </c>
      <c r="N2044" s="15">
        <v>0</v>
      </c>
      <c r="O2044" s="15">
        <v>1072.731665</v>
      </c>
      <c r="P2044" s="15">
        <v>9324.511665</v>
      </c>
    </row>
    <row r="2045" spans="1:16" ht="15" x14ac:dyDescent="0.2">
      <c r="A2045" s="4" t="s">
        <v>591</v>
      </c>
      <c r="B2045" s="21" t="str">
        <f t="shared" si="62"/>
        <v>Dec-2025</v>
      </c>
      <c r="C2045" s="2" t="str">
        <f t="shared" si="63"/>
        <v>Q3</v>
      </c>
      <c r="D2045" s="2" t="s">
        <v>31</v>
      </c>
      <c r="E2045" s="13">
        <v>46021</v>
      </c>
      <c r="F2045" s="14" t="s">
        <v>444</v>
      </c>
      <c r="G2045" s="14" t="s">
        <v>23</v>
      </c>
      <c r="H2045" s="14" t="s">
        <v>106</v>
      </c>
      <c r="I2045" s="15">
        <v>2</v>
      </c>
      <c r="J2045" s="15">
        <v>120</v>
      </c>
      <c r="K2045" s="15">
        <v>111.74</v>
      </c>
      <c r="L2045" s="15">
        <v>13408.8</v>
      </c>
      <c r="M2045" s="15">
        <v>-1031.1400000000001</v>
      </c>
      <c r="N2045" s="15">
        <v>0</v>
      </c>
      <c r="O2045" s="15">
        <v>1609.0961969999998</v>
      </c>
      <c r="P2045" s="15">
        <v>13986.756197000001</v>
      </c>
    </row>
    <row r="2046" spans="1:16" ht="15" x14ac:dyDescent="0.2">
      <c r="A2046" s="4" t="s">
        <v>574</v>
      </c>
      <c r="B2046" s="21" t="str">
        <f t="shared" si="62"/>
        <v>Dec-2025</v>
      </c>
      <c r="C2046" s="2" t="str">
        <f t="shared" si="63"/>
        <v>Q3</v>
      </c>
      <c r="D2046" s="2" t="s">
        <v>31</v>
      </c>
      <c r="E2046" s="13">
        <v>46021</v>
      </c>
      <c r="F2046" s="14" t="s">
        <v>445</v>
      </c>
      <c r="G2046" s="14" t="s">
        <v>130</v>
      </c>
      <c r="H2046" s="14" t="s">
        <v>86</v>
      </c>
      <c r="I2046" s="15">
        <v>15</v>
      </c>
      <c r="J2046" s="15">
        <v>270</v>
      </c>
      <c r="K2046" s="15">
        <v>178.78</v>
      </c>
      <c r="L2046" s="15">
        <v>48270.6</v>
      </c>
      <c r="M2046" s="15">
        <v>-3712.0099999999998</v>
      </c>
      <c r="N2046" s="15">
        <v>0</v>
      </c>
      <c r="O2046" s="15">
        <v>5792.6175000000003</v>
      </c>
      <c r="P2046" s="15">
        <v>50351.207499999997</v>
      </c>
    </row>
    <row r="2047" spans="1:16" ht="15" x14ac:dyDescent="0.2">
      <c r="A2047" s="4" t="s">
        <v>574</v>
      </c>
      <c r="B2047" s="21" t="str">
        <f t="shared" si="62"/>
        <v>Dec-2025</v>
      </c>
      <c r="C2047" s="2" t="str">
        <f t="shared" si="63"/>
        <v>Q3</v>
      </c>
      <c r="D2047" s="2" t="s">
        <v>31</v>
      </c>
      <c r="E2047" s="13">
        <v>46021</v>
      </c>
      <c r="F2047" s="14" t="s">
        <v>445</v>
      </c>
      <c r="G2047" s="14" t="s">
        <v>130</v>
      </c>
      <c r="H2047" s="14" t="s">
        <v>52</v>
      </c>
      <c r="I2047" s="15">
        <v>5</v>
      </c>
      <c r="J2047" s="15">
        <v>90</v>
      </c>
      <c r="K2047" s="15">
        <v>178.78</v>
      </c>
      <c r="L2047" s="15">
        <v>16090.2</v>
      </c>
      <c r="M2047" s="15">
        <v>-1237.3400000000001</v>
      </c>
      <c r="N2047" s="15">
        <v>0</v>
      </c>
      <c r="O2047" s="15">
        <v>1930.872067</v>
      </c>
      <c r="P2047" s="15">
        <v>16783.732067000001</v>
      </c>
    </row>
    <row r="2048" spans="1:16" ht="15" x14ac:dyDescent="0.2">
      <c r="A2048" s="4" t="s">
        <v>574</v>
      </c>
      <c r="B2048" s="21" t="str">
        <f t="shared" si="62"/>
        <v>Dec-2025</v>
      </c>
      <c r="C2048" s="2" t="str">
        <f t="shared" si="63"/>
        <v>Q3</v>
      </c>
      <c r="D2048" s="2" t="s">
        <v>31</v>
      </c>
      <c r="E2048" s="13">
        <v>46021</v>
      </c>
      <c r="F2048" s="14" t="s">
        <v>445</v>
      </c>
      <c r="G2048" s="14" t="s">
        <v>130</v>
      </c>
      <c r="H2048" s="14" t="s">
        <v>84</v>
      </c>
      <c r="I2048" s="15">
        <v>40</v>
      </c>
      <c r="J2048" s="15">
        <v>720</v>
      </c>
      <c r="K2048" s="15">
        <v>178.78</v>
      </c>
      <c r="L2048" s="15">
        <v>128721.60000000001</v>
      </c>
      <c r="M2048" s="15">
        <v>-9898.6899999999987</v>
      </c>
      <c r="N2048" s="15">
        <v>0</v>
      </c>
      <c r="O2048" s="15">
        <v>15446.980432999999</v>
      </c>
      <c r="P2048" s="15">
        <v>134269.89043299999</v>
      </c>
    </row>
    <row r="2049" spans="1:16" ht="15" x14ac:dyDescent="0.2">
      <c r="A2049" s="4" t="s">
        <v>589</v>
      </c>
      <c r="B2049" s="21" t="str">
        <f t="shared" si="62"/>
        <v>Dec-2025</v>
      </c>
      <c r="C2049" s="2" t="str">
        <f t="shared" si="63"/>
        <v>Q3</v>
      </c>
      <c r="D2049" s="2" t="s">
        <v>31</v>
      </c>
      <c r="E2049" s="13">
        <v>46021</v>
      </c>
      <c r="F2049" s="14" t="s">
        <v>446</v>
      </c>
      <c r="G2049" s="14" t="s">
        <v>25</v>
      </c>
      <c r="H2049" s="14" t="s">
        <v>98</v>
      </c>
      <c r="I2049" s="15">
        <v>1</v>
      </c>
      <c r="J2049" s="15">
        <v>60</v>
      </c>
      <c r="K2049" s="15">
        <v>129.41999999999999</v>
      </c>
      <c r="L2049" s="15">
        <v>7765.2</v>
      </c>
      <c r="M2049" s="15">
        <v>0</v>
      </c>
      <c r="N2049" s="15">
        <v>0</v>
      </c>
      <c r="O2049" s="15">
        <v>1009.475597</v>
      </c>
      <c r="P2049" s="15">
        <v>8774.6755969999995</v>
      </c>
    </row>
    <row r="2050" spans="1:16" ht="15" x14ac:dyDescent="0.2">
      <c r="A2050" s="4" t="s">
        <v>576</v>
      </c>
      <c r="B2050" s="21" t="str">
        <f t="shared" si="62"/>
        <v>Dec-2025</v>
      </c>
      <c r="C2050" s="2" t="str">
        <f t="shared" si="63"/>
        <v>Q3</v>
      </c>
      <c r="D2050" s="2" t="s">
        <v>31</v>
      </c>
      <c r="E2050" s="13">
        <v>46021</v>
      </c>
      <c r="F2050" s="14" t="s">
        <v>446</v>
      </c>
      <c r="G2050" s="14" t="s">
        <v>25</v>
      </c>
      <c r="H2050" s="14" t="s">
        <v>124</v>
      </c>
      <c r="I2050" s="15">
        <v>3</v>
      </c>
      <c r="J2050" s="15">
        <v>60</v>
      </c>
      <c r="K2050" s="15">
        <v>155.97</v>
      </c>
      <c r="L2050" s="15">
        <v>9358.2000000000007</v>
      </c>
      <c r="M2050" s="15">
        <v>0</v>
      </c>
      <c r="N2050" s="15">
        <v>0</v>
      </c>
      <c r="O2050" s="15">
        <v>1216.5655140000001</v>
      </c>
      <c r="P2050" s="15">
        <v>10574.765514000001</v>
      </c>
    </row>
    <row r="2051" spans="1:16" ht="15" x14ac:dyDescent="0.2">
      <c r="A2051" s="4" t="s">
        <v>576</v>
      </c>
      <c r="B2051" s="21" t="str">
        <f t="shared" ref="B2051:B2114" si="64">+TEXT(E2051,"MMM-yyy")</f>
        <v>Dec-2025</v>
      </c>
      <c r="C2051" s="2" t="str">
        <f t="shared" ref="C2051:C2114" si="65">"Q" &amp; CHOOSE(MONTH(E2051),4,4,4,1,1,1,2,2,2,3,3,3)</f>
        <v>Q3</v>
      </c>
      <c r="D2051" s="2" t="s">
        <v>31</v>
      </c>
      <c r="E2051" s="13">
        <v>46021</v>
      </c>
      <c r="F2051" s="14" t="s">
        <v>446</v>
      </c>
      <c r="G2051" s="14" t="s">
        <v>25</v>
      </c>
      <c r="H2051" s="14" t="s">
        <v>110</v>
      </c>
      <c r="I2051" s="15">
        <v>8.4</v>
      </c>
      <c r="J2051" s="15">
        <v>168</v>
      </c>
      <c r="K2051" s="15">
        <v>155.97</v>
      </c>
      <c r="L2051" s="15">
        <v>26202.959999999999</v>
      </c>
      <c r="M2051" s="15">
        <v>0</v>
      </c>
      <c r="N2051" s="15">
        <v>0</v>
      </c>
      <c r="O2051" s="15">
        <v>3406.3834400000001</v>
      </c>
      <c r="P2051" s="15">
        <v>29609.343440000001</v>
      </c>
    </row>
    <row r="2052" spans="1:16" ht="15" x14ac:dyDescent="0.2">
      <c r="A2052" s="4" t="s">
        <v>581</v>
      </c>
      <c r="B2052" s="21" t="str">
        <f t="shared" si="64"/>
        <v>Dec-2025</v>
      </c>
      <c r="C2052" s="2" t="str">
        <f t="shared" si="65"/>
        <v>Q3</v>
      </c>
      <c r="D2052" s="2" t="s">
        <v>31</v>
      </c>
      <c r="E2052" s="13">
        <v>46021</v>
      </c>
      <c r="F2052" s="14" t="s">
        <v>446</v>
      </c>
      <c r="G2052" s="14" t="s">
        <v>25</v>
      </c>
      <c r="H2052" s="14" t="s">
        <v>96</v>
      </c>
      <c r="I2052" s="15">
        <v>4</v>
      </c>
      <c r="J2052" s="15">
        <v>160</v>
      </c>
      <c r="K2052" s="15">
        <v>66.37</v>
      </c>
      <c r="L2052" s="15">
        <v>10619.2</v>
      </c>
      <c r="M2052" s="15">
        <v>0</v>
      </c>
      <c r="N2052" s="15">
        <v>0</v>
      </c>
      <c r="O2052" s="15">
        <v>1380.495449</v>
      </c>
      <c r="P2052" s="15">
        <v>11999.695449000001</v>
      </c>
    </row>
    <row r="2053" spans="1:16" ht="15" x14ac:dyDescent="0.2">
      <c r="A2053" s="4" t="s">
        <v>581</v>
      </c>
      <c r="B2053" s="21" t="str">
        <f t="shared" si="64"/>
        <v>Dec-2025</v>
      </c>
      <c r="C2053" s="2" t="str">
        <f t="shared" si="65"/>
        <v>Q3</v>
      </c>
      <c r="D2053" s="2" t="s">
        <v>31</v>
      </c>
      <c r="E2053" s="13">
        <v>46021</v>
      </c>
      <c r="F2053" s="14" t="s">
        <v>447</v>
      </c>
      <c r="G2053" s="14" t="s">
        <v>347</v>
      </c>
      <c r="H2053" s="14" t="s">
        <v>97</v>
      </c>
      <c r="I2053" s="15">
        <v>1</v>
      </c>
      <c r="J2053" s="15">
        <v>40</v>
      </c>
      <c r="K2053" s="15">
        <v>74.489999999999995</v>
      </c>
      <c r="L2053" s="15">
        <v>2979.6</v>
      </c>
      <c r="M2053" s="15">
        <v>-229.13</v>
      </c>
      <c r="N2053" s="15">
        <v>0</v>
      </c>
      <c r="O2053" s="15">
        <v>357.561035</v>
      </c>
      <c r="P2053" s="15">
        <v>3108.031035</v>
      </c>
    </row>
    <row r="2054" spans="1:16" ht="15" x14ac:dyDescent="0.2">
      <c r="A2054" s="4" t="s">
        <v>583</v>
      </c>
      <c r="B2054" s="21" t="str">
        <f t="shared" si="64"/>
        <v>Dec-2025</v>
      </c>
      <c r="C2054" s="2" t="str">
        <f t="shared" si="65"/>
        <v>Q3</v>
      </c>
      <c r="D2054" s="2" t="s">
        <v>31</v>
      </c>
      <c r="E2054" s="13">
        <v>46021</v>
      </c>
      <c r="F2054" s="14" t="s">
        <v>447</v>
      </c>
      <c r="G2054" s="14" t="s">
        <v>347</v>
      </c>
      <c r="H2054" s="14" t="s">
        <v>113</v>
      </c>
      <c r="I2054" s="15">
        <v>1</v>
      </c>
      <c r="J2054" s="15">
        <v>15</v>
      </c>
      <c r="K2054" s="15">
        <v>260.72000000000003</v>
      </c>
      <c r="L2054" s="15">
        <v>3910.8</v>
      </c>
      <c r="M2054" s="15">
        <v>-300.74</v>
      </c>
      <c r="N2054" s="15">
        <v>0</v>
      </c>
      <c r="O2054" s="15">
        <v>469.30771399999998</v>
      </c>
      <c r="P2054" s="15">
        <v>4079.367714</v>
      </c>
    </row>
    <row r="2055" spans="1:16" ht="15" x14ac:dyDescent="0.2">
      <c r="A2055" s="4" t="s">
        <v>586</v>
      </c>
      <c r="B2055" s="21" t="str">
        <f t="shared" si="64"/>
        <v>Dec-2025</v>
      </c>
      <c r="C2055" s="2" t="str">
        <f t="shared" si="65"/>
        <v>Q3</v>
      </c>
      <c r="D2055" s="2" t="s">
        <v>31</v>
      </c>
      <c r="E2055" s="13">
        <v>46021</v>
      </c>
      <c r="F2055" s="14" t="s">
        <v>447</v>
      </c>
      <c r="G2055" s="14" t="s">
        <v>347</v>
      </c>
      <c r="H2055" s="14" t="s">
        <v>114</v>
      </c>
      <c r="I2055" s="15">
        <v>1</v>
      </c>
      <c r="J2055" s="15">
        <v>240</v>
      </c>
      <c r="K2055" s="15">
        <v>14.9</v>
      </c>
      <c r="L2055" s="15">
        <v>3576</v>
      </c>
      <c r="M2055" s="15">
        <v>-274.99</v>
      </c>
      <c r="N2055" s="15">
        <v>0</v>
      </c>
      <c r="O2055" s="15">
        <v>429.13122199999998</v>
      </c>
      <c r="P2055" s="15">
        <v>3730.1412220000002</v>
      </c>
    </row>
    <row r="2056" spans="1:16" ht="15" x14ac:dyDescent="0.2">
      <c r="A2056" s="4" t="s">
        <v>589</v>
      </c>
      <c r="B2056" s="21" t="str">
        <f t="shared" si="64"/>
        <v>Dec-2025</v>
      </c>
      <c r="C2056" s="2" t="str">
        <f t="shared" si="65"/>
        <v>Q3</v>
      </c>
      <c r="D2056" s="2" t="s">
        <v>31</v>
      </c>
      <c r="E2056" s="13">
        <v>46021</v>
      </c>
      <c r="F2056" s="14" t="s">
        <v>447</v>
      </c>
      <c r="G2056" s="14" t="s">
        <v>347</v>
      </c>
      <c r="H2056" s="14" t="s">
        <v>105</v>
      </c>
      <c r="I2056" s="15">
        <v>2</v>
      </c>
      <c r="J2056" s="15">
        <v>60</v>
      </c>
      <c r="K2056" s="15">
        <v>316.58999999999997</v>
      </c>
      <c r="L2056" s="15">
        <v>18995.399999999998</v>
      </c>
      <c r="M2056" s="15">
        <v>-1460.75</v>
      </c>
      <c r="N2056" s="15">
        <v>0</v>
      </c>
      <c r="O2056" s="15">
        <v>2279.5040839999997</v>
      </c>
      <c r="P2056" s="15">
        <v>19814.154084000002</v>
      </c>
    </row>
    <row r="2057" spans="1:16" ht="15" x14ac:dyDescent="0.2">
      <c r="A2057" s="4" t="s">
        <v>573</v>
      </c>
      <c r="B2057" s="21" t="str">
        <f t="shared" si="64"/>
        <v>Dec-2025</v>
      </c>
      <c r="C2057" s="2" t="str">
        <f t="shared" si="65"/>
        <v>Q3</v>
      </c>
      <c r="D2057" s="2" t="s">
        <v>31</v>
      </c>
      <c r="E2057" s="13">
        <v>46021</v>
      </c>
      <c r="F2057" s="14" t="s">
        <v>447</v>
      </c>
      <c r="G2057" s="14" t="s">
        <v>347</v>
      </c>
      <c r="H2057" s="14" t="s">
        <v>111</v>
      </c>
      <c r="I2057" s="15">
        <v>3</v>
      </c>
      <c r="J2057" s="15">
        <v>120</v>
      </c>
      <c r="K2057" s="15">
        <v>111.74</v>
      </c>
      <c r="L2057" s="15">
        <v>13408.8</v>
      </c>
      <c r="M2057" s="15">
        <v>-1031.1400000000001</v>
      </c>
      <c r="N2057" s="15">
        <v>0</v>
      </c>
      <c r="O2057" s="15">
        <v>1609.0955060000001</v>
      </c>
      <c r="P2057" s="15">
        <v>13986.755506</v>
      </c>
    </row>
    <row r="2058" spans="1:16" ht="15" x14ac:dyDescent="0.2">
      <c r="A2058" s="4" t="s">
        <v>592</v>
      </c>
      <c r="B2058" s="21" t="str">
        <f t="shared" si="64"/>
        <v>Dec-2025</v>
      </c>
      <c r="C2058" s="2" t="str">
        <f t="shared" si="65"/>
        <v>Q3</v>
      </c>
      <c r="D2058" s="2" t="s">
        <v>31</v>
      </c>
      <c r="E2058" s="13">
        <v>46021</v>
      </c>
      <c r="F2058" s="14" t="s">
        <v>447</v>
      </c>
      <c r="G2058" s="14" t="s">
        <v>347</v>
      </c>
      <c r="H2058" s="14" t="s">
        <v>115</v>
      </c>
      <c r="I2058" s="15">
        <v>5</v>
      </c>
      <c r="J2058" s="15">
        <v>250</v>
      </c>
      <c r="K2058" s="15">
        <v>89.39</v>
      </c>
      <c r="L2058" s="15">
        <v>22347.5</v>
      </c>
      <c r="M2058" s="15">
        <v>-1718.52</v>
      </c>
      <c r="N2058" s="15">
        <v>0</v>
      </c>
      <c r="O2058" s="15">
        <v>2681.7669100000003</v>
      </c>
      <c r="P2058" s="15">
        <v>23310.746910000002</v>
      </c>
    </row>
    <row r="2059" spans="1:16" ht="15" x14ac:dyDescent="0.2">
      <c r="A2059" s="4" t="s">
        <v>574</v>
      </c>
      <c r="B2059" s="21" t="str">
        <f t="shared" si="64"/>
        <v>Dec-2025</v>
      </c>
      <c r="C2059" s="2" t="str">
        <f t="shared" si="65"/>
        <v>Q3</v>
      </c>
      <c r="D2059" s="2" t="s">
        <v>31</v>
      </c>
      <c r="E2059" s="13">
        <v>46021</v>
      </c>
      <c r="F2059" s="14" t="s">
        <v>447</v>
      </c>
      <c r="G2059" s="14" t="s">
        <v>347</v>
      </c>
      <c r="H2059" s="14" t="s">
        <v>84</v>
      </c>
      <c r="I2059" s="15">
        <v>1</v>
      </c>
      <c r="J2059" s="15">
        <v>18</v>
      </c>
      <c r="K2059" s="15">
        <v>178.78</v>
      </c>
      <c r="L2059" s="15">
        <v>3218.0400000000004</v>
      </c>
      <c r="M2059" s="15">
        <v>-247.47</v>
      </c>
      <c r="N2059" s="15">
        <v>0</v>
      </c>
      <c r="O2059" s="15">
        <v>386.17402900000002</v>
      </c>
      <c r="P2059" s="15">
        <v>3356.744029</v>
      </c>
    </row>
    <row r="2060" spans="1:16" ht="15" x14ac:dyDescent="0.2">
      <c r="A2060" s="4" t="s">
        <v>581</v>
      </c>
      <c r="B2060" s="21" t="str">
        <f t="shared" si="64"/>
        <v>Dec-2025</v>
      </c>
      <c r="C2060" s="2" t="str">
        <f t="shared" si="65"/>
        <v>Q3</v>
      </c>
      <c r="D2060" s="2" t="s">
        <v>31</v>
      </c>
      <c r="E2060" s="13">
        <v>46021</v>
      </c>
      <c r="F2060" s="14" t="s">
        <v>447</v>
      </c>
      <c r="G2060" s="14" t="s">
        <v>347</v>
      </c>
      <c r="H2060" s="14" t="s">
        <v>96</v>
      </c>
      <c r="I2060" s="15">
        <v>4</v>
      </c>
      <c r="J2060" s="15">
        <v>160</v>
      </c>
      <c r="K2060" s="15">
        <v>74.489999999999995</v>
      </c>
      <c r="L2060" s="15">
        <v>11918.4</v>
      </c>
      <c r="M2060" s="15">
        <v>-916.52</v>
      </c>
      <c r="N2060" s="15">
        <v>0</v>
      </c>
      <c r="O2060" s="15">
        <v>1430.2441389999999</v>
      </c>
      <c r="P2060" s="15">
        <v>12432.124139</v>
      </c>
    </row>
    <row r="2061" spans="1:16" ht="15" x14ac:dyDescent="0.2">
      <c r="A2061" s="4" t="s">
        <v>583</v>
      </c>
      <c r="B2061" s="21" t="str">
        <f t="shared" si="64"/>
        <v>Dec-2025</v>
      </c>
      <c r="C2061" s="2" t="str">
        <f t="shared" si="65"/>
        <v>Q3</v>
      </c>
      <c r="D2061" s="2" t="s">
        <v>31</v>
      </c>
      <c r="E2061" s="13">
        <v>46021</v>
      </c>
      <c r="F2061" s="14" t="s">
        <v>447</v>
      </c>
      <c r="G2061" s="14" t="s">
        <v>347</v>
      </c>
      <c r="H2061" s="14" t="s">
        <v>109</v>
      </c>
      <c r="I2061" s="15">
        <v>1</v>
      </c>
      <c r="J2061" s="15">
        <v>15</v>
      </c>
      <c r="K2061" s="15">
        <v>260.72000000000003</v>
      </c>
      <c r="L2061" s="15">
        <v>3910.8</v>
      </c>
      <c r="M2061" s="15">
        <v>-300.74</v>
      </c>
      <c r="N2061" s="15">
        <v>0</v>
      </c>
      <c r="O2061" s="15">
        <v>469.30771399999998</v>
      </c>
      <c r="P2061" s="15">
        <v>4079.367714</v>
      </c>
    </row>
    <row r="2062" spans="1:16" ht="15" x14ac:dyDescent="0.2">
      <c r="A2062" s="4" t="s">
        <v>574</v>
      </c>
      <c r="B2062" s="21" t="str">
        <f t="shared" si="64"/>
        <v>Dec-2025</v>
      </c>
      <c r="C2062" s="2" t="str">
        <f t="shared" si="65"/>
        <v>Q3</v>
      </c>
      <c r="D2062" s="2" t="s">
        <v>31</v>
      </c>
      <c r="E2062" s="13">
        <v>46021</v>
      </c>
      <c r="F2062" s="14" t="s">
        <v>447</v>
      </c>
      <c r="G2062" s="14" t="s">
        <v>347</v>
      </c>
      <c r="H2062" s="14" t="s">
        <v>52</v>
      </c>
      <c r="I2062" s="15">
        <v>1</v>
      </c>
      <c r="J2062" s="15">
        <v>18</v>
      </c>
      <c r="K2062" s="15">
        <v>178.78</v>
      </c>
      <c r="L2062" s="15">
        <v>3218.0400000000004</v>
      </c>
      <c r="M2062" s="15">
        <v>-247.47</v>
      </c>
      <c r="N2062" s="15">
        <v>0</v>
      </c>
      <c r="O2062" s="15">
        <v>386.17402900000002</v>
      </c>
      <c r="P2062" s="15">
        <v>3356.744029</v>
      </c>
    </row>
    <row r="2063" spans="1:16" ht="15" x14ac:dyDescent="0.2">
      <c r="A2063" s="4" t="s">
        <v>590</v>
      </c>
      <c r="B2063" s="21" t="str">
        <f t="shared" si="64"/>
        <v>Dec-2025</v>
      </c>
      <c r="C2063" s="2" t="str">
        <f t="shared" si="65"/>
        <v>Q3</v>
      </c>
      <c r="D2063" s="2" t="s">
        <v>31</v>
      </c>
      <c r="E2063" s="13">
        <v>46021</v>
      </c>
      <c r="F2063" s="14" t="s">
        <v>447</v>
      </c>
      <c r="G2063" s="14" t="s">
        <v>347</v>
      </c>
      <c r="H2063" s="14" t="s">
        <v>102</v>
      </c>
      <c r="I2063" s="15">
        <v>2</v>
      </c>
      <c r="J2063" s="15">
        <v>40</v>
      </c>
      <c r="K2063" s="15">
        <v>249.55</v>
      </c>
      <c r="L2063" s="15">
        <v>9982</v>
      </c>
      <c r="M2063" s="15">
        <v>-767.62</v>
      </c>
      <c r="N2063" s="15">
        <v>0</v>
      </c>
      <c r="O2063" s="15">
        <v>1197.869181</v>
      </c>
      <c r="P2063" s="15">
        <v>10412.249180999999</v>
      </c>
    </row>
    <row r="2064" spans="1:16" ht="15" x14ac:dyDescent="0.2">
      <c r="A2064" s="4" t="s">
        <v>593</v>
      </c>
      <c r="B2064" s="21" t="str">
        <f t="shared" si="64"/>
        <v>Dec-2025</v>
      </c>
      <c r="C2064" s="2" t="str">
        <f t="shared" si="65"/>
        <v>Q3</v>
      </c>
      <c r="D2064" s="2" t="s">
        <v>31</v>
      </c>
      <c r="E2064" s="13">
        <v>46021</v>
      </c>
      <c r="F2064" s="14" t="s">
        <v>447</v>
      </c>
      <c r="G2064" s="14" t="s">
        <v>347</v>
      </c>
      <c r="H2064" s="14" t="s">
        <v>117</v>
      </c>
      <c r="I2064" s="15">
        <v>10</v>
      </c>
      <c r="J2064" s="15">
        <v>40</v>
      </c>
      <c r="K2064" s="15">
        <v>595.92999999999995</v>
      </c>
      <c r="L2064" s="15">
        <v>23837.200000000001</v>
      </c>
      <c r="M2064" s="15">
        <v>-1833.08</v>
      </c>
      <c r="N2064" s="15">
        <v>0</v>
      </c>
      <c r="O2064" s="15">
        <v>2860.535077</v>
      </c>
      <c r="P2064" s="15">
        <v>24864.655076999999</v>
      </c>
    </row>
    <row r="2065" spans="1:16" ht="15" x14ac:dyDescent="0.2">
      <c r="A2065" s="4" t="s">
        <v>574</v>
      </c>
      <c r="B2065" s="21" t="str">
        <f t="shared" si="64"/>
        <v>Dec-2025</v>
      </c>
      <c r="C2065" s="2" t="str">
        <f t="shared" si="65"/>
        <v>Q3</v>
      </c>
      <c r="D2065" s="2" t="s">
        <v>31</v>
      </c>
      <c r="E2065" s="13">
        <v>46021</v>
      </c>
      <c r="F2065" s="14" t="s">
        <v>447</v>
      </c>
      <c r="G2065" s="14" t="s">
        <v>347</v>
      </c>
      <c r="H2065" s="14" t="s">
        <v>86</v>
      </c>
      <c r="I2065" s="15">
        <v>2</v>
      </c>
      <c r="J2065" s="15">
        <v>36</v>
      </c>
      <c r="K2065" s="15">
        <v>178.78</v>
      </c>
      <c r="L2065" s="15">
        <v>6436.0800000000008</v>
      </c>
      <c r="M2065" s="15">
        <v>-494.93</v>
      </c>
      <c r="N2065" s="15">
        <v>0</v>
      </c>
      <c r="O2065" s="15">
        <v>772.34935900000005</v>
      </c>
      <c r="P2065" s="15">
        <v>6713.4993590000004</v>
      </c>
    </row>
    <row r="2066" spans="1:16" ht="15" x14ac:dyDescent="0.2">
      <c r="A2066" s="4" t="s">
        <v>592</v>
      </c>
      <c r="B2066" s="21" t="str">
        <f t="shared" si="64"/>
        <v>Dec-2025</v>
      </c>
      <c r="C2066" s="2" t="str">
        <f t="shared" si="65"/>
        <v>Q3</v>
      </c>
      <c r="D2066" s="2" t="s">
        <v>31</v>
      </c>
      <c r="E2066" s="13">
        <v>46021</v>
      </c>
      <c r="F2066" s="14" t="s">
        <v>448</v>
      </c>
      <c r="G2066" s="14" t="s">
        <v>80</v>
      </c>
      <c r="H2066" s="14" t="s">
        <v>115</v>
      </c>
      <c r="I2066" s="15">
        <v>0.04</v>
      </c>
      <c r="J2066" s="15">
        <v>2</v>
      </c>
      <c r="K2066" s="15">
        <v>89.39</v>
      </c>
      <c r="L2066" s="15">
        <v>178.78</v>
      </c>
      <c r="M2066" s="15">
        <v>-13.75</v>
      </c>
      <c r="N2066" s="15">
        <v>0</v>
      </c>
      <c r="O2066" s="15">
        <v>21.45261</v>
      </c>
      <c r="P2066" s="15">
        <v>186.48260999999999</v>
      </c>
    </row>
    <row r="2067" spans="1:16" ht="15" x14ac:dyDescent="0.2">
      <c r="A2067" s="4" t="s">
        <v>576</v>
      </c>
      <c r="B2067" s="21" t="str">
        <f t="shared" si="64"/>
        <v>Dec-2025</v>
      </c>
      <c r="C2067" s="2" t="str">
        <f t="shared" si="65"/>
        <v>Q3</v>
      </c>
      <c r="D2067" s="2" t="s">
        <v>31</v>
      </c>
      <c r="E2067" s="13">
        <v>46021</v>
      </c>
      <c r="F2067" s="14" t="s">
        <v>448</v>
      </c>
      <c r="G2067" s="14" t="s">
        <v>80</v>
      </c>
      <c r="H2067" s="14" t="s">
        <v>110</v>
      </c>
      <c r="I2067" s="15">
        <v>0.05</v>
      </c>
      <c r="J2067" s="15">
        <v>1</v>
      </c>
      <c r="K2067" s="15">
        <v>175.05</v>
      </c>
      <c r="L2067" s="15">
        <v>175.05</v>
      </c>
      <c r="M2067" s="15">
        <v>-13.46</v>
      </c>
      <c r="N2067" s="15">
        <v>0</v>
      </c>
      <c r="O2067" s="15">
        <v>21.005437000000001</v>
      </c>
      <c r="P2067" s="15">
        <v>182.595437</v>
      </c>
    </row>
    <row r="2068" spans="1:16" ht="15" x14ac:dyDescent="0.2">
      <c r="A2068" s="4" t="s">
        <v>586</v>
      </c>
      <c r="B2068" s="21" t="str">
        <f t="shared" si="64"/>
        <v>Dec-2025</v>
      </c>
      <c r="C2068" s="2" t="str">
        <f t="shared" si="65"/>
        <v>Q3</v>
      </c>
      <c r="D2068" s="2" t="s">
        <v>31</v>
      </c>
      <c r="E2068" s="13">
        <v>46021</v>
      </c>
      <c r="F2068" s="14" t="s">
        <v>448</v>
      </c>
      <c r="G2068" s="14" t="s">
        <v>80</v>
      </c>
      <c r="H2068" s="14" t="s">
        <v>78</v>
      </c>
      <c r="I2068" s="15">
        <v>0.01</v>
      </c>
      <c r="J2068" s="15">
        <v>5</v>
      </c>
      <c r="K2068" s="15">
        <v>7.45</v>
      </c>
      <c r="L2068" s="15">
        <v>37.25</v>
      </c>
      <c r="M2068" s="15">
        <v>-2.86</v>
      </c>
      <c r="N2068" s="15">
        <v>0</v>
      </c>
      <c r="O2068" s="15">
        <v>4.4704309999999996</v>
      </c>
      <c r="P2068" s="15">
        <v>38.860430999999998</v>
      </c>
    </row>
    <row r="2069" spans="1:16" ht="15" x14ac:dyDescent="0.2">
      <c r="A2069" s="4" t="s">
        <v>582</v>
      </c>
      <c r="B2069" s="21" t="str">
        <f t="shared" si="64"/>
        <v>Dec-2025</v>
      </c>
      <c r="C2069" s="2" t="str">
        <f t="shared" si="65"/>
        <v>Q3</v>
      </c>
      <c r="D2069" s="2" t="s">
        <v>31</v>
      </c>
      <c r="E2069" s="13">
        <v>46021</v>
      </c>
      <c r="F2069" s="14" t="s">
        <v>448</v>
      </c>
      <c r="G2069" s="14" t="s">
        <v>80</v>
      </c>
      <c r="H2069" s="14" t="s">
        <v>77</v>
      </c>
      <c r="I2069" s="15">
        <v>0.04</v>
      </c>
      <c r="J2069" s="15">
        <v>1</v>
      </c>
      <c r="K2069" s="15">
        <v>204.85</v>
      </c>
      <c r="L2069" s="15">
        <v>204.85</v>
      </c>
      <c r="M2069" s="15">
        <v>-15.75</v>
      </c>
      <c r="N2069" s="15">
        <v>0</v>
      </c>
      <c r="O2069" s="15">
        <v>24.581522</v>
      </c>
      <c r="P2069" s="15">
        <v>213.681522</v>
      </c>
    </row>
    <row r="2070" spans="1:16" ht="15" x14ac:dyDescent="0.2">
      <c r="A2070" s="4" t="s">
        <v>580</v>
      </c>
      <c r="B2070" s="21" t="str">
        <f t="shared" si="64"/>
        <v>Dec-2025</v>
      </c>
      <c r="C2070" s="2" t="str">
        <f t="shared" si="65"/>
        <v>Q3</v>
      </c>
      <c r="D2070" s="2" t="s">
        <v>31</v>
      </c>
      <c r="E2070" s="13">
        <v>46022</v>
      </c>
      <c r="F2070" s="14" t="s">
        <v>449</v>
      </c>
      <c r="G2070" s="14" t="s">
        <v>450</v>
      </c>
      <c r="H2070" s="14" t="s">
        <v>89</v>
      </c>
      <c r="I2070" s="15">
        <v>25</v>
      </c>
      <c r="J2070" s="15">
        <v>1750</v>
      </c>
      <c r="K2070" s="15">
        <v>34.51</v>
      </c>
      <c r="L2070" s="15">
        <v>60392.5</v>
      </c>
      <c r="M2070" s="15">
        <v>0</v>
      </c>
      <c r="N2070" s="15">
        <v>0</v>
      </c>
      <c r="O2070" s="15">
        <v>7851.0248879999999</v>
      </c>
      <c r="P2070" s="15">
        <v>68243.524888</v>
      </c>
    </row>
    <row r="2071" spans="1:16" ht="15" x14ac:dyDescent="0.2">
      <c r="A2071" s="4" t="s">
        <v>579</v>
      </c>
      <c r="B2071" s="21" t="str">
        <f t="shared" si="64"/>
        <v>Dec-2025</v>
      </c>
      <c r="C2071" s="2" t="str">
        <f t="shared" si="65"/>
        <v>Q3</v>
      </c>
      <c r="D2071" s="2" t="s">
        <v>31</v>
      </c>
      <c r="E2071" s="13">
        <v>46022</v>
      </c>
      <c r="F2071" s="14" t="s">
        <v>449</v>
      </c>
      <c r="G2071" s="14" t="s">
        <v>450</v>
      </c>
      <c r="H2071" s="14" t="s">
        <v>90</v>
      </c>
      <c r="I2071" s="15">
        <v>20</v>
      </c>
      <c r="J2071" s="15">
        <v>400</v>
      </c>
      <c r="K2071" s="15">
        <v>189.82</v>
      </c>
      <c r="L2071" s="15">
        <v>75928</v>
      </c>
      <c r="M2071" s="15">
        <v>0</v>
      </c>
      <c r="N2071" s="15">
        <v>0</v>
      </c>
      <c r="O2071" s="15">
        <v>9870.639858999999</v>
      </c>
      <c r="P2071" s="15">
        <v>85798.639859000003</v>
      </c>
    </row>
    <row r="2072" spans="1:16" ht="15" x14ac:dyDescent="0.2">
      <c r="A2072" s="4" t="s">
        <v>580</v>
      </c>
      <c r="B2072" s="21" t="str">
        <f t="shared" si="64"/>
        <v>Dec-2025</v>
      </c>
      <c r="C2072" s="2" t="str">
        <f t="shared" si="65"/>
        <v>Q3</v>
      </c>
      <c r="D2072" s="2" t="s">
        <v>31</v>
      </c>
      <c r="E2072" s="13">
        <v>46022</v>
      </c>
      <c r="F2072" s="14" t="s">
        <v>449</v>
      </c>
      <c r="G2072" s="14" t="s">
        <v>450</v>
      </c>
      <c r="H2072" s="14" t="s">
        <v>65</v>
      </c>
      <c r="I2072" s="15">
        <v>20</v>
      </c>
      <c r="J2072" s="15">
        <v>2600</v>
      </c>
      <c r="K2072" s="15">
        <v>34.51</v>
      </c>
      <c r="L2072" s="15">
        <v>89726</v>
      </c>
      <c r="M2072" s="15">
        <v>0</v>
      </c>
      <c r="N2072" s="15">
        <v>0</v>
      </c>
      <c r="O2072" s="15">
        <v>11664.379833000001</v>
      </c>
      <c r="P2072" s="15">
        <v>101390.379833</v>
      </c>
    </row>
    <row r="2073" spans="1:16" ht="15" x14ac:dyDescent="0.2">
      <c r="A2073" s="4" t="s">
        <v>579</v>
      </c>
      <c r="B2073" s="21" t="str">
        <f t="shared" si="64"/>
        <v>Dec-2025</v>
      </c>
      <c r="C2073" s="2" t="str">
        <f t="shared" si="65"/>
        <v>Q3</v>
      </c>
      <c r="D2073" s="2" t="s">
        <v>31</v>
      </c>
      <c r="E2073" s="13">
        <v>46022</v>
      </c>
      <c r="F2073" s="14" t="s">
        <v>449</v>
      </c>
      <c r="G2073" s="14" t="s">
        <v>450</v>
      </c>
      <c r="H2073" s="14" t="s">
        <v>91</v>
      </c>
      <c r="I2073" s="15">
        <v>20</v>
      </c>
      <c r="J2073" s="15">
        <v>400</v>
      </c>
      <c r="K2073" s="15">
        <v>189.82</v>
      </c>
      <c r="L2073" s="15">
        <v>75928</v>
      </c>
      <c r="M2073" s="15">
        <v>0</v>
      </c>
      <c r="N2073" s="15">
        <v>0</v>
      </c>
      <c r="O2073" s="15">
        <v>9870.639858999999</v>
      </c>
      <c r="P2073" s="15">
        <v>85798.639859000003</v>
      </c>
    </row>
    <row r="2074" spans="1:16" ht="15" x14ac:dyDescent="0.2">
      <c r="A2074" s="4" t="s">
        <v>584</v>
      </c>
      <c r="B2074" s="21" t="str">
        <f t="shared" si="64"/>
        <v>Dec-2025</v>
      </c>
      <c r="C2074" s="2" t="str">
        <f t="shared" si="65"/>
        <v>Q3</v>
      </c>
      <c r="D2074" s="2" t="s">
        <v>31</v>
      </c>
      <c r="E2074" s="13">
        <v>46022</v>
      </c>
      <c r="F2074" s="14" t="s">
        <v>449</v>
      </c>
      <c r="G2074" s="14" t="s">
        <v>450</v>
      </c>
      <c r="H2074" s="14" t="s">
        <v>99</v>
      </c>
      <c r="I2074" s="15">
        <v>15</v>
      </c>
      <c r="J2074" s="15">
        <v>600</v>
      </c>
      <c r="K2074" s="15">
        <v>75.930000000000007</v>
      </c>
      <c r="L2074" s="15">
        <v>45558</v>
      </c>
      <c r="M2074" s="15">
        <v>0</v>
      </c>
      <c r="N2074" s="15">
        <v>0</v>
      </c>
      <c r="O2074" s="15">
        <v>5922.5399150000003</v>
      </c>
      <c r="P2074" s="15">
        <v>51480.539915000001</v>
      </c>
    </row>
    <row r="2075" spans="1:16" ht="15" x14ac:dyDescent="0.2">
      <c r="A2075" s="4" t="s">
        <v>574</v>
      </c>
      <c r="B2075" s="21" t="str">
        <f t="shared" si="64"/>
        <v>Dec-2025</v>
      </c>
      <c r="C2075" s="2" t="str">
        <f t="shared" si="65"/>
        <v>Q3</v>
      </c>
      <c r="D2075" s="2" t="s">
        <v>31</v>
      </c>
      <c r="E2075" s="13">
        <v>46022</v>
      </c>
      <c r="F2075" s="14" t="s">
        <v>449</v>
      </c>
      <c r="G2075" s="14" t="s">
        <v>450</v>
      </c>
      <c r="H2075" s="14" t="s">
        <v>84</v>
      </c>
      <c r="I2075" s="15">
        <v>5</v>
      </c>
      <c r="J2075" s="15">
        <v>90</v>
      </c>
      <c r="K2075" s="15">
        <v>165.66</v>
      </c>
      <c r="L2075" s="15">
        <v>14909.4</v>
      </c>
      <c r="M2075" s="15">
        <v>0</v>
      </c>
      <c r="N2075" s="15">
        <v>0</v>
      </c>
      <c r="O2075" s="15">
        <v>1938.2219719999998</v>
      </c>
      <c r="P2075" s="15">
        <v>16847.621972000001</v>
      </c>
    </row>
    <row r="2076" spans="1:16" ht="15" x14ac:dyDescent="0.2">
      <c r="A2076" s="4" t="s">
        <v>593</v>
      </c>
      <c r="B2076" s="21" t="str">
        <f t="shared" si="64"/>
        <v>Dec-2025</v>
      </c>
      <c r="C2076" s="2" t="str">
        <f t="shared" si="65"/>
        <v>Q3</v>
      </c>
      <c r="D2076" s="2" t="s">
        <v>31</v>
      </c>
      <c r="E2076" s="13">
        <v>46022</v>
      </c>
      <c r="F2076" s="14" t="s">
        <v>449</v>
      </c>
      <c r="G2076" s="14" t="s">
        <v>450</v>
      </c>
      <c r="H2076" s="14" t="s">
        <v>117</v>
      </c>
      <c r="I2076" s="15">
        <v>20</v>
      </c>
      <c r="J2076" s="15">
        <v>80</v>
      </c>
      <c r="K2076" s="15">
        <v>552.21</v>
      </c>
      <c r="L2076" s="15">
        <v>44176.799999999996</v>
      </c>
      <c r="M2076" s="15">
        <v>0</v>
      </c>
      <c r="N2076" s="15">
        <v>0</v>
      </c>
      <c r="O2076" s="15">
        <v>5742.9839179999999</v>
      </c>
      <c r="P2076" s="15">
        <v>49919.783918000001</v>
      </c>
    </row>
    <row r="2077" spans="1:16" ht="15" x14ac:dyDescent="0.2">
      <c r="A2077" s="4" t="s">
        <v>590</v>
      </c>
      <c r="B2077" s="21" t="str">
        <f t="shared" si="64"/>
        <v>Dec-2025</v>
      </c>
      <c r="C2077" s="2" t="str">
        <f t="shared" si="65"/>
        <v>Q3</v>
      </c>
      <c r="D2077" s="2" t="s">
        <v>31</v>
      </c>
      <c r="E2077" s="13">
        <v>46022</v>
      </c>
      <c r="F2077" s="14" t="s">
        <v>449</v>
      </c>
      <c r="G2077" s="14" t="s">
        <v>450</v>
      </c>
      <c r="H2077" s="14" t="s">
        <v>102</v>
      </c>
      <c r="I2077" s="15">
        <v>15</v>
      </c>
      <c r="J2077" s="15">
        <v>300</v>
      </c>
      <c r="K2077" s="15">
        <v>231.24</v>
      </c>
      <c r="L2077" s="15">
        <v>69372</v>
      </c>
      <c r="M2077" s="15">
        <v>0</v>
      </c>
      <c r="N2077" s="15">
        <v>0</v>
      </c>
      <c r="O2077" s="15">
        <v>9018.3598710000006</v>
      </c>
      <c r="P2077" s="15">
        <v>78390.359870999993</v>
      </c>
    </row>
    <row r="2078" spans="1:16" ht="15" x14ac:dyDescent="0.2">
      <c r="A2078" s="4" t="s">
        <v>587</v>
      </c>
      <c r="B2078" s="21" t="str">
        <f t="shared" si="64"/>
        <v>Dec-2025</v>
      </c>
      <c r="C2078" s="2" t="str">
        <f t="shared" si="65"/>
        <v>Q3</v>
      </c>
      <c r="D2078" s="2" t="s">
        <v>31</v>
      </c>
      <c r="E2078" s="13">
        <v>46022</v>
      </c>
      <c r="F2078" s="14" t="s">
        <v>449</v>
      </c>
      <c r="G2078" s="14" t="s">
        <v>450</v>
      </c>
      <c r="H2078" s="14" t="s">
        <v>94</v>
      </c>
      <c r="I2078" s="15">
        <v>10</v>
      </c>
      <c r="J2078" s="15">
        <v>600</v>
      </c>
      <c r="K2078" s="15">
        <v>103.54</v>
      </c>
      <c r="L2078" s="15">
        <v>62124</v>
      </c>
      <c r="M2078" s="15">
        <v>0</v>
      </c>
      <c r="N2078" s="15">
        <v>0</v>
      </c>
      <c r="O2078" s="15">
        <v>8076.1198850000001</v>
      </c>
      <c r="P2078" s="15">
        <v>70200.119884999993</v>
      </c>
    </row>
    <row r="2079" spans="1:16" ht="15" x14ac:dyDescent="0.2">
      <c r="A2079" s="4" t="s">
        <v>588</v>
      </c>
      <c r="B2079" s="21" t="str">
        <f t="shared" si="64"/>
        <v>Dec-2025</v>
      </c>
      <c r="C2079" s="2" t="str">
        <f t="shared" si="65"/>
        <v>Q3</v>
      </c>
      <c r="D2079" s="2" t="s">
        <v>31</v>
      </c>
      <c r="E2079" s="13">
        <v>46022</v>
      </c>
      <c r="F2079" s="14" t="s">
        <v>451</v>
      </c>
      <c r="G2079" s="14" t="s">
        <v>450</v>
      </c>
      <c r="H2079" s="14" t="s">
        <v>95</v>
      </c>
      <c r="I2079" s="15">
        <v>10</v>
      </c>
      <c r="J2079" s="15">
        <v>600</v>
      </c>
      <c r="K2079" s="15">
        <v>103.54</v>
      </c>
      <c r="L2079" s="15">
        <v>62124</v>
      </c>
      <c r="M2079" s="15">
        <v>0</v>
      </c>
      <c r="N2079" s="15">
        <v>0</v>
      </c>
      <c r="O2079" s="15">
        <v>8076.1199169999991</v>
      </c>
      <c r="P2079" s="15">
        <v>70200.119917000004</v>
      </c>
    </row>
    <row r="2080" spans="1:16" ht="15" x14ac:dyDescent="0.2">
      <c r="A2080" s="4" t="s">
        <v>589</v>
      </c>
      <c r="B2080" s="21" t="str">
        <f t="shared" si="64"/>
        <v>Dec-2025</v>
      </c>
      <c r="C2080" s="2" t="str">
        <f t="shared" si="65"/>
        <v>Q3</v>
      </c>
      <c r="D2080" s="2" t="s">
        <v>31</v>
      </c>
      <c r="E2080" s="13">
        <v>46022</v>
      </c>
      <c r="F2080" s="14" t="s">
        <v>451</v>
      </c>
      <c r="G2080" s="14" t="s">
        <v>450</v>
      </c>
      <c r="H2080" s="14" t="s">
        <v>105</v>
      </c>
      <c r="I2080" s="15">
        <v>10</v>
      </c>
      <c r="J2080" s="15">
        <v>300</v>
      </c>
      <c r="K2080" s="15">
        <v>293.36</v>
      </c>
      <c r="L2080" s="15">
        <v>88008</v>
      </c>
      <c r="M2080" s="15">
        <v>0</v>
      </c>
      <c r="N2080" s="15">
        <v>0</v>
      </c>
      <c r="O2080" s="15">
        <v>11441.039882000001</v>
      </c>
      <c r="P2080" s="15">
        <v>99449.039881999997</v>
      </c>
    </row>
    <row r="2081" spans="1:16" ht="15" x14ac:dyDescent="0.2">
      <c r="A2081" s="4" t="s">
        <v>591</v>
      </c>
      <c r="B2081" s="21" t="str">
        <f t="shared" si="64"/>
        <v>Dec-2025</v>
      </c>
      <c r="C2081" s="2" t="str">
        <f t="shared" si="65"/>
        <v>Q3</v>
      </c>
      <c r="D2081" s="2" t="s">
        <v>31</v>
      </c>
      <c r="E2081" s="13">
        <v>46022</v>
      </c>
      <c r="F2081" s="14" t="s">
        <v>451</v>
      </c>
      <c r="G2081" s="14" t="s">
        <v>450</v>
      </c>
      <c r="H2081" s="14" t="s">
        <v>106</v>
      </c>
      <c r="I2081" s="15">
        <v>10</v>
      </c>
      <c r="J2081" s="15">
        <v>600</v>
      </c>
      <c r="K2081" s="15">
        <v>103.54</v>
      </c>
      <c r="L2081" s="15">
        <v>62124</v>
      </c>
      <c r="M2081" s="15">
        <v>0</v>
      </c>
      <c r="N2081" s="15">
        <v>0</v>
      </c>
      <c r="O2081" s="15">
        <v>8076.1199169999991</v>
      </c>
      <c r="P2081" s="15">
        <v>70200.119917000004</v>
      </c>
    </row>
    <row r="2082" spans="1:16" ht="15" x14ac:dyDescent="0.2">
      <c r="A2082" s="4" t="s">
        <v>582</v>
      </c>
      <c r="B2082" s="21" t="str">
        <f t="shared" si="64"/>
        <v>Dec-2025</v>
      </c>
      <c r="C2082" s="2" t="str">
        <f t="shared" si="65"/>
        <v>Q3</v>
      </c>
      <c r="D2082" s="2" t="s">
        <v>31</v>
      </c>
      <c r="E2082" s="13">
        <v>46022</v>
      </c>
      <c r="F2082" s="14" t="s">
        <v>451</v>
      </c>
      <c r="G2082" s="14" t="s">
        <v>450</v>
      </c>
      <c r="H2082" s="14" t="s">
        <v>108</v>
      </c>
      <c r="I2082" s="15">
        <v>25</v>
      </c>
      <c r="J2082" s="15">
        <v>600</v>
      </c>
      <c r="K2082" s="15">
        <v>172.57</v>
      </c>
      <c r="L2082" s="15">
        <v>103542</v>
      </c>
      <c r="M2082" s="15">
        <v>0</v>
      </c>
      <c r="N2082" s="15">
        <v>0</v>
      </c>
      <c r="O2082" s="15">
        <v>13460.459860999999</v>
      </c>
      <c r="P2082" s="15">
        <v>117002.459861</v>
      </c>
    </row>
    <row r="2083" spans="1:16" ht="15" x14ac:dyDescent="0.2">
      <c r="A2083" s="4" t="s">
        <v>583</v>
      </c>
      <c r="B2083" s="21" t="str">
        <f t="shared" si="64"/>
        <v>Dec-2025</v>
      </c>
      <c r="C2083" s="2" t="str">
        <f t="shared" si="65"/>
        <v>Q3</v>
      </c>
      <c r="D2083" s="2" t="s">
        <v>31</v>
      </c>
      <c r="E2083" s="13">
        <v>46022</v>
      </c>
      <c r="F2083" s="14" t="s">
        <v>451</v>
      </c>
      <c r="G2083" s="14" t="s">
        <v>450</v>
      </c>
      <c r="H2083" s="14" t="s">
        <v>113</v>
      </c>
      <c r="I2083" s="15">
        <v>15</v>
      </c>
      <c r="J2083" s="15">
        <v>225</v>
      </c>
      <c r="K2083" s="15">
        <v>241.59</v>
      </c>
      <c r="L2083" s="15">
        <v>54357.749999999993</v>
      </c>
      <c r="M2083" s="15">
        <v>0</v>
      </c>
      <c r="N2083" s="15">
        <v>0</v>
      </c>
      <c r="O2083" s="15">
        <v>7066.5074270000005</v>
      </c>
      <c r="P2083" s="15">
        <v>61424.257426999997</v>
      </c>
    </row>
    <row r="2084" spans="1:16" ht="15" x14ac:dyDescent="0.2">
      <c r="A2084" s="4" t="s">
        <v>581</v>
      </c>
      <c r="B2084" s="21" t="str">
        <f t="shared" si="64"/>
        <v>Dec-2025</v>
      </c>
      <c r="C2084" s="2" t="str">
        <f t="shared" si="65"/>
        <v>Q3</v>
      </c>
      <c r="D2084" s="2" t="s">
        <v>31</v>
      </c>
      <c r="E2084" s="13">
        <v>46022</v>
      </c>
      <c r="F2084" s="14" t="s">
        <v>451</v>
      </c>
      <c r="G2084" s="14" t="s">
        <v>450</v>
      </c>
      <c r="H2084" s="14" t="s">
        <v>97</v>
      </c>
      <c r="I2084" s="15">
        <v>5</v>
      </c>
      <c r="J2084" s="15">
        <v>200</v>
      </c>
      <c r="K2084" s="15">
        <v>69.03</v>
      </c>
      <c r="L2084" s="15">
        <v>13806</v>
      </c>
      <c r="M2084" s="15">
        <v>0</v>
      </c>
      <c r="N2084" s="15">
        <v>0</v>
      </c>
      <c r="O2084" s="15">
        <v>1794.7799809999999</v>
      </c>
      <c r="P2084" s="15">
        <v>15600.779981</v>
      </c>
    </row>
    <row r="2085" spans="1:16" ht="15" x14ac:dyDescent="0.2">
      <c r="A2085" s="4" t="s">
        <v>573</v>
      </c>
      <c r="B2085" s="21" t="str">
        <f t="shared" si="64"/>
        <v>Dec-2025</v>
      </c>
      <c r="C2085" s="2" t="str">
        <f t="shared" si="65"/>
        <v>Q3</v>
      </c>
      <c r="D2085" s="2" t="s">
        <v>31</v>
      </c>
      <c r="E2085" s="13">
        <v>46022</v>
      </c>
      <c r="F2085" s="14" t="s">
        <v>451</v>
      </c>
      <c r="G2085" s="14" t="s">
        <v>450</v>
      </c>
      <c r="H2085" s="14" t="s">
        <v>138</v>
      </c>
      <c r="I2085" s="15">
        <v>5</v>
      </c>
      <c r="J2085" s="15">
        <v>200</v>
      </c>
      <c r="K2085" s="15">
        <v>103.54</v>
      </c>
      <c r="L2085" s="15">
        <v>20708</v>
      </c>
      <c r="M2085" s="15">
        <v>0</v>
      </c>
      <c r="N2085" s="15">
        <v>0</v>
      </c>
      <c r="O2085" s="15">
        <v>2692.039972</v>
      </c>
      <c r="P2085" s="15">
        <v>23400.039971999999</v>
      </c>
    </row>
    <row r="2086" spans="1:16" ht="15" x14ac:dyDescent="0.2">
      <c r="A2086" s="4" t="s">
        <v>589</v>
      </c>
      <c r="B2086" s="21" t="str">
        <f t="shared" si="64"/>
        <v>Dec-2025</v>
      </c>
      <c r="C2086" s="2" t="str">
        <f t="shared" si="65"/>
        <v>Q3</v>
      </c>
      <c r="D2086" s="2" t="s">
        <v>31</v>
      </c>
      <c r="E2086" s="13">
        <v>46022</v>
      </c>
      <c r="F2086" s="14" t="s">
        <v>451</v>
      </c>
      <c r="G2086" s="14" t="s">
        <v>450</v>
      </c>
      <c r="H2086" s="14" t="s">
        <v>98</v>
      </c>
      <c r="I2086" s="15">
        <v>10</v>
      </c>
      <c r="J2086" s="15">
        <v>600</v>
      </c>
      <c r="K2086" s="15">
        <v>134.6</v>
      </c>
      <c r="L2086" s="15">
        <v>80760</v>
      </c>
      <c r="M2086" s="15">
        <v>0</v>
      </c>
      <c r="N2086" s="15">
        <v>0</v>
      </c>
      <c r="O2086" s="15">
        <v>10498.799892000001</v>
      </c>
      <c r="P2086" s="15">
        <v>91258.799891999995</v>
      </c>
    </row>
    <row r="2087" spans="1:16" ht="15" x14ac:dyDescent="0.2">
      <c r="A2087" s="4" t="s">
        <v>573</v>
      </c>
      <c r="B2087" s="21" t="str">
        <f t="shared" si="64"/>
        <v>Dec-2025</v>
      </c>
      <c r="C2087" s="2" t="str">
        <f t="shared" si="65"/>
        <v>Q3</v>
      </c>
      <c r="D2087" s="2" t="s">
        <v>31</v>
      </c>
      <c r="E2087" s="13">
        <v>46022</v>
      </c>
      <c r="F2087" s="14" t="s">
        <v>451</v>
      </c>
      <c r="G2087" s="14" t="s">
        <v>450</v>
      </c>
      <c r="H2087" s="14" t="s">
        <v>111</v>
      </c>
      <c r="I2087" s="15">
        <v>10</v>
      </c>
      <c r="J2087" s="15">
        <v>400</v>
      </c>
      <c r="K2087" s="15">
        <v>103.54</v>
      </c>
      <c r="L2087" s="15">
        <v>41416</v>
      </c>
      <c r="M2087" s="15">
        <v>0</v>
      </c>
      <c r="N2087" s="15">
        <v>0</v>
      </c>
      <c r="O2087" s="15">
        <v>5384.0799440000001</v>
      </c>
      <c r="P2087" s="15">
        <v>46800.079943999997</v>
      </c>
    </row>
    <row r="2088" spans="1:16" ht="15" x14ac:dyDescent="0.2">
      <c r="A2088" s="4" t="s">
        <v>584</v>
      </c>
      <c r="B2088" s="21" t="str">
        <f t="shared" si="64"/>
        <v>Dec-2025</v>
      </c>
      <c r="C2088" s="2" t="str">
        <f t="shared" si="65"/>
        <v>Q3</v>
      </c>
      <c r="D2088" s="2" t="s">
        <v>31</v>
      </c>
      <c r="E2088" s="13">
        <v>46022</v>
      </c>
      <c r="F2088" s="14" t="s">
        <v>451</v>
      </c>
      <c r="G2088" s="14" t="s">
        <v>450</v>
      </c>
      <c r="H2088" s="14" t="s">
        <v>120</v>
      </c>
      <c r="I2088" s="15">
        <v>20</v>
      </c>
      <c r="J2088" s="15">
        <v>800</v>
      </c>
      <c r="K2088" s="15">
        <v>75.930000000000007</v>
      </c>
      <c r="L2088" s="15">
        <v>60744</v>
      </c>
      <c r="M2088" s="15">
        <v>0</v>
      </c>
      <c r="N2088" s="15">
        <v>0</v>
      </c>
      <c r="O2088" s="15">
        <v>7896.7199190000001</v>
      </c>
      <c r="P2088" s="15">
        <v>68640.719918999996</v>
      </c>
    </row>
    <row r="2089" spans="1:16" ht="15" x14ac:dyDescent="0.2">
      <c r="A2089" s="4" t="s">
        <v>581</v>
      </c>
      <c r="B2089" s="21" t="str">
        <f t="shared" si="64"/>
        <v>Dec-2025</v>
      </c>
      <c r="C2089" s="2" t="str">
        <f t="shared" si="65"/>
        <v>Q3</v>
      </c>
      <c r="D2089" s="2" t="s">
        <v>31</v>
      </c>
      <c r="E2089" s="13">
        <v>46022</v>
      </c>
      <c r="F2089" s="14" t="s">
        <v>451</v>
      </c>
      <c r="G2089" s="14" t="s">
        <v>450</v>
      </c>
      <c r="H2089" s="14" t="s">
        <v>96</v>
      </c>
      <c r="I2089" s="15">
        <v>15</v>
      </c>
      <c r="J2089" s="15">
        <v>600</v>
      </c>
      <c r="K2089" s="15">
        <v>69.03</v>
      </c>
      <c r="L2089" s="15">
        <v>41418</v>
      </c>
      <c r="M2089" s="15">
        <v>0</v>
      </c>
      <c r="N2089" s="15">
        <v>0</v>
      </c>
      <c r="O2089" s="15">
        <v>5384.3399439999994</v>
      </c>
      <c r="P2089" s="15">
        <v>46802.339943999999</v>
      </c>
    </row>
    <row r="2090" spans="1:16" ht="15" x14ac:dyDescent="0.2">
      <c r="A2090" s="4" t="s">
        <v>583</v>
      </c>
      <c r="B2090" s="21" t="str">
        <f t="shared" si="64"/>
        <v>Dec-2025</v>
      </c>
      <c r="C2090" s="2" t="str">
        <f t="shared" si="65"/>
        <v>Q3</v>
      </c>
      <c r="D2090" s="2" t="s">
        <v>31</v>
      </c>
      <c r="E2090" s="13">
        <v>46022</v>
      </c>
      <c r="F2090" s="14" t="s">
        <v>451</v>
      </c>
      <c r="G2090" s="14" t="s">
        <v>450</v>
      </c>
      <c r="H2090" s="14" t="s">
        <v>109</v>
      </c>
      <c r="I2090" s="15">
        <v>15</v>
      </c>
      <c r="J2090" s="15">
        <v>225</v>
      </c>
      <c r="K2090" s="15">
        <v>241.59</v>
      </c>
      <c r="L2090" s="15">
        <v>54357.749999999993</v>
      </c>
      <c r="M2090" s="15">
        <v>0</v>
      </c>
      <c r="N2090" s="15">
        <v>0</v>
      </c>
      <c r="O2090" s="15">
        <v>7066.5074270000005</v>
      </c>
      <c r="P2090" s="15">
        <v>61424.257426999997</v>
      </c>
    </row>
    <row r="2091" spans="1:16" ht="15" x14ac:dyDescent="0.2">
      <c r="A2091" s="4" t="s">
        <v>582</v>
      </c>
      <c r="B2091" s="21" t="str">
        <f t="shared" si="64"/>
        <v>Dec-2025</v>
      </c>
      <c r="C2091" s="2" t="str">
        <f t="shared" si="65"/>
        <v>Q3</v>
      </c>
      <c r="D2091" s="2" t="s">
        <v>31</v>
      </c>
      <c r="E2091" s="13">
        <v>46022</v>
      </c>
      <c r="F2091" s="14" t="s">
        <v>451</v>
      </c>
      <c r="G2091" s="14" t="s">
        <v>450</v>
      </c>
      <c r="H2091" s="14" t="s">
        <v>101</v>
      </c>
      <c r="I2091" s="15">
        <v>15</v>
      </c>
      <c r="J2091" s="15">
        <v>360</v>
      </c>
      <c r="K2091" s="15">
        <v>172.57</v>
      </c>
      <c r="L2091" s="15">
        <v>62125.2</v>
      </c>
      <c r="M2091" s="15">
        <v>0</v>
      </c>
      <c r="N2091" s="15">
        <v>0</v>
      </c>
      <c r="O2091" s="15">
        <v>8076.2759169999999</v>
      </c>
      <c r="P2091" s="15">
        <v>70201.475917000003</v>
      </c>
    </row>
    <row r="2092" spans="1:16" ht="15" x14ac:dyDescent="0.2">
      <c r="A2092" s="4" t="s">
        <v>584</v>
      </c>
      <c r="B2092" s="21" t="str">
        <f t="shared" si="64"/>
        <v>Dec-2025</v>
      </c>
      <c r="C2092" s="2" t="str">
        <f t="shared" si="65"/>
        <v>Q3</v>
      </c>
      <c r="D2092" s="2" t="s">
        <v>31</v>
      </c>
      <c r="E2092" s="13">
        <v>46022</v>
      </c>
      <c r="F2092" s="14" t="s">
        <v>452</v>
      </c>
      <c r="G2092" s="14" t="s">
        <v>380</v>
      </c>
      <c r="H2092" s="14" t="s">
        <v>99</v>
      </c>
      <c r="I2092" s="15">
        <v>1</v>
      </c>
      <c r="J2092" s="15">
        <v>40</v>
      </c>
      <c r="K2092" s="15">
        <v>81.94</v>
      </c>
      <c r="L2092" s="15">
        <v>3277.6</v>
      </c>
      <c r="M2092" s="15">
        <v>-252.05</v>
      </c>
      <c r="N2092" s="15">
        <v>0</v>
      </c>
      <c r="O2092" s="15">
        <v>393.32165399999997</v>
      </c>
      <c r="P2092" s="15">
        <v>3418.871654</v>
      </c>
    </row>
    <row r="2093" spans="1:16" ht="15" x14ac:dyDescent="0.2">
      <c r="A2093" s="4" t="s">
        <v>586</v>
      </c>
      <c r="B2093" s="21" t="str">
        <f t="shared" si="64"/>
        <v>Dec-2025</v>
      </c>
      <c r="C2093" s="2" t="str">
        <f t="shared" si="65"/>
        <v>Q3</v>
      </c>
      <c r="D2093" s="2" t="s">
        <v>31</v>
      </c>
      <c r="E2093" s="13">
        <v>46022</v>
      </c>
      <c r="F2093" s="14" t="s">
        <v>452</v>
      </c>
      <c r="G2093" s="14" t="s">
        <v>380</v>
      </c>
      <c r="H2093" s="14" t="s">
        <v>76</v>
      </c>
      <c r="I2093" s="15">
        <v>1</v>
      </c>
      <c r="J2093" s="15">
        <v>240</v>
      </c>
      <c r="K2093" s="15">
        <v>14.9</v>
      </c>
      <c r="L2093" s="15">
        <v>3576</v>
      </c>
      <c r="M2093" s="15">
        <v>-274.99</v>
      </c>
      <c r="N2093" s="15">
        <v>0</v>
      </c>
      <c r="O2093" s="15">
        <v>429.13146800000004</v>
      </c>
      <c r="P2093" s="15">
        <v>3730.1414679999998</v>
      </c>
    </row>
    <row r="2094" spans="1:16" ht="15" x14ac:dyDescent="0.2">
      <c r="A2094" s="4" t="s">
        <v>586</v>
      </c>
      <c r="B2094" s="21" t="str">
        <f t="shared" si="64"/>
        <v>Dec-2025</v>
      </c>
      <c r="C2094" s="2" t="str">
        <f t="shared" si="65"/>
        <v>Q3</v>
      </c>
      <c r="D2094" s="2" t="s">
        <v>31</v>
      </c>
      <c r="E2094" s="13">
        <v>46022</v>
      </c>
      <c r="F2094" s="14" t="s">
        <v>452</v>
      </c>
      <c r="G2094" s="14" t="s">
        <v>380</v>
      </c>
      <c r="H2094" s="14" t="s">
        <v>103</v>
      </c>
      <c r="I2094" s="15">
        <v>1</v>
      </c>
      <c r="J2094" s="15">
        <v>600</v>
      </c>
      <c r="K2094" s="15">
        <v>7.46</v>
      </c>
      <c r="L2094" s="15">
        <v>4476</v>
      </c>
      <c r="M2094" s="15">
        <v>-344.2</v>
      </c>
      <c r="N2094" s="15">
        <v>0</v>
      </c>
      <c r="O2094" s="15">
        <v>537.13420999999994</v>
      </c>
      <c r="P2094" s="15">
        <v>4668.9342100000003</v>
      </c>
    </row>
    <row r="2095" spans="1:16" ht="15" x14ac:dyDescent="0.2">
      <c r="A2095" s="4" t="s">
        <v>586</v>
      </c>
      <c r="B2095" s="21" t="str">
        <f t="shared" si="64"/>
        <v>Dec-2025</v>
      </c>
      <c r="C2095" s="2" t="str">
        <f t="shared" si="65"/>
        <v>Q3</v>
      </c>
      <c r="D2095" s="2" t="s">
        <v>31</v>
      </c>
      <c r="E2095" s="13">
        <v>46022</v>
      </c>
      <c r="F2095" s="14" t="s">
        <v>452</v>
      </c>
      <c r="G2095" s="14" t="s">
        <v>380</v>
      </c>
      <c r="H2095" s="14" t="s">
        <v>114</v>
      </c>
      <c r="I2095" s="15">
        <v>1</v>
      </c>
      <c r="J2095" s="15">
        <v>239</v>
      </c>
      <c r="K2095" s="15">
        <v>14.9</v>
      </c>
      <c r="L2095" s="15">
        <v>3561.1</v>
      </c>
      <c r="M2095" s="15">
        <v>-273.85000000000002</v>
      </c>
      <c r="N2095" s="15">
        <v>0</v>
      </c>
      <c r="O2095" s="15">
        <v>427.34266700000001</v>
      </c>
      <c r="P2095" s="15">
        <v>3714.5926669999999</v>
      </c>
    </row>
    <row r="2096" spans="1:16" ht="15" x14ac:dyDescent="0.2">
      <c r="A2096" s="4" t="s">
        <v>576</v>
      </c>
      <c r="B2096" s="21" t="str">
        <f t="shared" si="64"/>
        <v>Dec-2025</v>
      </c>
      <c r="C2096" s="2" t="str">
        <f t="shared" si="65"/>
        <v>Q3</v>
      </c>
      <c r="D2096" s="2" t="s">
        <v>31</v>
      </c>
      <c r="E2096" s="13">
        <v>46022</v>
      </c>
      <c r="F2096" s="14" t="s">
        <v>453</v>
      </c>
      <c r="G2096" s="14" t="s">
        <v>206</v>
      </c>
      <c r="H2096" s="14" t="s">
        <v>124</v>
      </c>
      <c r="I2096" s="15">
        <v>1</v>
      </c>
      <c r="J2096" s="15">
        <v>20</v>
      </c>
      <c r="K2096" s="15">
        <v>175.05</v>
      </c>
      <c r="L2096" s="15">
        <v>3500.9999999999995</v>
      </c>
      <c r="M2096" s="15">
        <v>-269.23</v>
      </c>
      <c r="N2096" s="15">
        <v>0</v>
      </c>
      <c r="O2096" s="15">
        <v>420.12975899999998</v>
      </c>
      <c r="P2096" s="15">
        <v>3651.8997589999999</v>
      </c>
    </row>
    <row r="2097" spans="1:16" ht="15" x14ac:dyDescent="0.2">
      <c r="A2097" s="4" t="s">
        <v>579</v>
      </c>
      <c r="B2097" s="21" t="str">
        <f t="shared" si="64"/>
        <v>Dec-2025</v>
      </c>
      <c r="C2097" s="2" t="str">
        <f t="shared" si="65"/>
        <v>Q3</v>
      </c>
      <c r="D2097" s="2" t="s">
        <v>31</v>
      </c>
      <c r="E2097" s="13">
        <v>46022</v>
      </c>
      <c r="F2097" s="14" t="s">
        <v>453</v>
      </c>
      <c r="G2097" s="14" t="s">
        <v>206</v>
      </c>
      <c r="H2097" s="14" t="s">
        <v>91</v>
      </c>
      <c r="I2097" s="15">
        <v>1</v>
      </c>
      <c r="J2097" s="15">
        <v>20</v>
      </c>
      <c r="K2097" s="15">
        <v>204.85</v>
      </c>
      <c r="L2097" s="15">
        <v>4097</v>
      </c>
      <c r="M2097" s="15">
        <v>-315.06</v>
      </c>
      <c r="N2097" s="15">
        <v>0</v>
      </c>
      <c r="O2097" s="15">
        <v>491.65180100000003</v>
      </c>
      <c r="P2097" s="15">
        <v>4273.5918009999996</v>
      </c>
    </row>
    <row r="2098" spans="1:16" ht="15" x14ac:dyDescent="0.2">
      <c r="A2098" s="4" t="s">
        <v>581</v>
      </c>
      <c r="B2098" s="21" t="str">
        <f t="shared" si="64"/>
        <v>Dec-2025</v>
      </c>
      <c r="C2098" s="2" t="str">
        <f t="shared" si="65"/>
        <v>Q3</v>
      </c>
      <c r="D2098" s="2" t="s">
        <v>31</v>
      </c>
      <c r="E2098" s="13">
        <v>46022</v>
      </c>
      <c r="F2098" s="14" t="s">
        <v>453</v>
      </c>
      <c r="G2098" s="14" t="s">
        <v>206</v>
      </c>
      <c r="H2098" s="14" t="s">
        <v>96</v>
      </c>
      <c r="I2098" s="15">
        <v>1</v>
      </c>
      <c r="J2098" s="15">
        <v>40</v>
      </c>
      <c r="K2098" s="15">
        <v>74.489999999999995</v>
      </c>
      <c r="L2098" s="15">
        <v>2979.6</v>
      </c>
      <c r="M2098" s="15">
        <v>-229.13</v>
      </c>
      <c r="N2098" s="15">
        <v>0</v>
      </c>
      <c r="O2098" s="15">
        <v>357.56081</v>
      </c>
      <c r="P2098" s="15">
        <v>3108.0308100000002</v>
      </c>
    </row>
    <row r="2099" spans="1:16" ht="15" x14ac:dyDescent="0.2">
      <c r="A2099" s="4" t="s">
        <v>579</v>
      </c>
      <c r="B2099" s="21" t="str">
        <f t="shared" si="64"/>
        <v>Dec-2025</v>
      </c>
      <c r="C2099" s="2" t="str">
        <f t="shared" si="65"/>
        <v>Q3</v>
      </c>
      <c r="D2099" s="2" t="s">
        <v>31</v>
      </c>
      <c r="E2099" s="13">
        <v>46022</v>
      </c>
      <c r="F2099" s="14" t="s">
        <v>453</v>
      </c>
      <c r="G2099" s="14" t="s">
        <v>206</v>
      </c>
      <c r="H2099" s="14" t="s">
        <v>90</v>
      </c>
      <c r="I2099" s="15">
        <v>1</v>
      </c>
      <c r="J2099" s="15">
        <v>20</v>
      </c>
      <c r="K2099" s="15">
        <v>204.85</v>
      </c>
      <c r="L2099" s="15">
        <v>4097</v>
      </c>
      <c r="M2099" s="15">
        <v>-315.06</v>
      </c>
      <c r="N2099" s="15">
        <v>0</v>
      </c>
      <c r="O2099" s="15">
        <v>491.65180100000003</v>
      </c>
      <c r="P2099" s="15">
        <v>4273.5918009999996</v>
      </c>
    </row>
    <row r="2100" spans="1:16" ht="15" x14ac:dyDescent="0.2">
      <c r="A2100" s="4" t="s">
        <v>573</v>
      </c>
      <c r="B2100" s="21" t="str">
        <f t="shared" si="64"/>
        <v>Dec-2025</v>
      </c>
      <c r="C2100" s="2" t="str">
        <f t="shared" si="65"/>
        <v>Q3</v>
      </c>
      <c r="D2100" s="2" t="s">
        <v>31</v>
      </c>
      <c r="E2100" s="13">
        <v>46022</v>
      </c>
      <c r="F2100" s="14" t="s">
        <v>453</v>
      </c>
      <c r="G2100" s="14" t="s">
        <v>206</v>
      </c>
      <c r="H2100" s="14" t="s">
        <v>111</v>
      </c>
      <c r="I2100" s="15">
        <v>3</v>
      </c>
      <c r="J2100" s="15">
        <v>120</v>
      </c>
      <c r="K2100" s="15">
        <v>111.74</v>
      </c>
      <c r="L2100" s="15">
        <v>13408.8</v>
      </c>
      <c r="M2100" s="15">
        <v>-1031.1400000000001</v>
      </c>
      <c r="N2100" s="15">
        <v>0</v>
      </c>
      <c r="O2100" s="15">
        <v>1609.0944930000001</v>
      </c>
      <c r="P2100" s="15">
        <v>13986.754493</v>
      </c>
    </row>
    <row r="2101" spans="1:16" ht="15" x14ac:dyDescent="0.2">
      <c r="A2101" s="4" t="s">
        <v>581</v>
      </c>
      <c r="B2101" s="21" t="str">
        <f t="shared" si="64"/>
        <v>Dec-2025</v>
      </c>
      <c r="C2101" s="2" t="str">
        <f t="shared" si="65"/>
        <v>Q3</v>
      </c>
      <c r="D2101" s="2" t="s">
        <v>31</v>
      </c>
      <c r="E2101" s="13">
        <v>46022</v>
      </c>
      <c r="F2101" s="14" t="s">
        <v>453</v>
      </c>
      <c r="G2101" s="14" t="s">
        <v>206</v>
      </c>
      <c r="H2101" s="14" t="s">
        <v>97</v>
      </c>
      <c r="I2101" s="15">
        <v>1</v>
      </c>
      <c r="J2101" s="15">
        <v>40</v>
      </c>
      <c r="K2101" s="15">
        <v>74.489999999999995</v>
      </c>
      <c r="L2101" s="15">
        <v>2979.6</v>
      </c>
      <c r="M2101" s="15">
        <v>-229.13</v>
      </c>
      <c r="N2101" s="15">
        <v>0</v>
      </c>
      <c r="O2101" s="15">
        <v>357.56081</v>
      </c>
      <c r="P2101" s="15">
        <v>3108.0308100000002</v>
      </c>
    </row>
    <row r="2102" spans="1:16" ht="15" x14ac:dyDescent="0.2">
      <c r="A2102" s="4" t="s">
        <v>573</v>
      </c>
      <c r="B2102" s="21" t="str">
        <f t="shared" si="64"/>
        <v>Dec-2025</v>
      </c>
      <c r="C2102" s="2" t="str">
        <f t="shared" si="65"/>
        <v>Q3</v>
      </c>
      <c r="D2102" s="2" t="s">
        <v>31</v>
      </c>
      <c r="E2102" s="13">
        <v>46022</v>
      </c>
      <c r="F2102" s="14" t="s">
        <v>453</v>
      </c>
      <c r="G2102" s="14" t="s">
        <v>206</v>
      </c>
      <c r="H2102" s="14" t="s">
        <v>138</v>
      </c>
      <c r="I2102" s="15">
        <v>2</v>
      </c>
      <c r="J2102" s="15">
        <v>80</v>
      </c>
      <c r="K2102" s="15">
        <v>111.74</v>
      </c>
      <c r="L2102" s="15">
        <v>8939.2000000000007</v>
      </c>
      <c r="M2102" s="15">
        <v>-687.42</v>
      </c>
      <c r="N2102" s="15">
        <v>0</v>
      </c>
      <c r="O2102" s="15">
        <v>1072.730528</v>
      </c>
      <c r="P2102" s="15">
        <v>9324.5105280000007</v>
      </c>
    </row>
    <row r="2103" spans="1:16" ht="15" x14ac:dyDescent="0.2">
      <c r="A2103" s="4" t="s">
        <v>593</v>
      </c>
      <c r="B2103" s="21" t="str">
        <f t="shared" si="64"/>
        <v>Dec-2025</v>
      </c>
      <c r="C2103" s="2" t="str">
        <f t="shared" si="65"/>
        <v>Q3</v>
      </c>
      <c r="D2103" s="2" t="s">
        <v>31</v>
      </c>
      <c r="E2103" s="13">
        <v>46022</v>
      </c>
      <c r="F2103" s="14" t="s">
        <v>454</v>
      </c>
      <c r="G2103" s="14" t="s">
        <v>380</v>
      </c>
      <c r="H2103" s="14" t="s">
        <v>117</v>
      </c>
      <c r="I2103" s="15">
        <v>5</v>
      </c>
      <c r="J2103" s="15">
        <v>20</v>
      </c>
      <c r="K2103" s="15">
        <v>595.92999999999995</v>
      </c>
      <c r="L2103" s="15">
        <v>11918.6</v>
      </c>
      <c r="M2103" s="15">
        <v>-916.54</v>
      </c>
      <c r="N2103" s="15">
        <v>0</v>
      </c>
      <c r="O2103" s="15">
        <v>1430.27</v>
      </c>
      <c r="P2103" s="15">
        <v>12432.33</v>
      </c>
    </row>
    <row r="2104" spans="1:16" ht="15" x14ac:dyDescent="0.2">
      <c r="A2104" s="4" t="s">
        <v>584</v>
      </c>
      <c r="B2104" s="21" t="str">
        <f t="shared" si="64"/>
        <v>Dec-2025</v>
      </c>
      <c r="C2104" s="2" t="str">
        <f t="shared" si="65"/>
        <v>Q3</v>
      </c>
      <c r="D2104" s="2" t="s">
        <v>31</v>
      </c>
      <c r="E2104" s="13">
        <v>46022</v>
      </c>
      <c r="F2104" s="14" t="s">
        <v>455</v>
      </c>
      <c r="G2104" s="14" t="s">
        <v>12</v>
      </c>
      <c r="H2104" s="14" t="s">
        <v>99</v>
      </c>
      <c r="I2104" s="15">
        <v>2</v>
      </c>
      <c r="J2104" s="15">
        <v>80</v>
      </c>
      <c r="K2104" s="15">
        <v>81.94</v>
      </c>
      <c r="L2104" s="15">
        <v>6555.2</v>
      </c>
      <c r="M2104" s="15">
        <v>-504.09</v>
      </c>
      <c r="N2104" s="15">
        <v>0</v>
      </c>
      <c r="O2104" s="15">
        <v>786.64487100000008</v>
      </c>
      <c r="P2104" s="15">
        <v>6837.7548710000001</v>
      </c>
    </row>
    <row r="2105" spans="1:16" ht="15" x14ac:dyDescent="0.2">
      <c r="A2105" s="4" t="s">
        <v>588</v>
      </c>
      <c r="B2105" s="21" t="str">
        <f t="shared" si="64"/>
        <v>Dec-2025</v>
      </c>
      <c r="C2105" s="2" t="str">
        <f t="shared" si="65"/>
        <v>Q3</v>
      </c>
      <c r="D2105" s="2" t="s">
        <v>31</v>
      </c>
      <c r="E2105" s="13">
        <v>46022</v>
      </c>
      <c r="F2105" s="14" t="s">
        <v>455</v>
      </c>
      <c r="G2105" s="14" t="s">
        <v>12</v>
      </c>
      <c r="H2105" s="14" t="s">
        <v>95</v>
      </c>
      <c r="I2105" s="15">
        <v>2</v>
      </c>
      <c r="J2105" s="15">
        <v>120</v>
      </c>
      <c r="K2105" s="15">
        <v>111.74</v>
      </c>
      <c r="L2105" s="15">
        <v>13408.8</v>
      </c>
      <c r="M2105" s="15">
        <v>-1031.1400000000001</v>
      </c>
      <c r="N2105" s="15">
        <v>0</v>
      </c>
      <c r="O2105" s="15">
        <v>1609.0969689999999</v>
      </c>
      <c r="P2105" s="15">
        <v>13986.756969</v>
      </c>
    </row>
    <row r="2106" spans="1:16" ht="15" x14ac:dyDescent="0.2">
      <c r="A2106" s="4" t="s">
        <v>592</v>
      </c>
      <c r="B2106" s="21" t="str">
        <f t="shared" si="64"/>
        <v>Dec-2025</v>
      </c>
      <c r="C2106" s="2" t="str">
        <f t="shared" si="65"/>
        <v>Q3</v>
      </c>
      <c r="D2106" s="2" t="s">
        <v>31</v>
      </c>
      <c r="E2106" s="13">
        <v>46022</v>
      </c>
      <c r="F2106" s="14" t="s">
        <v>455</v>
      </c>
      <c r="G2106" s="14" t="s">
        <v>12</v>
      </c>
      <c r="H2106" s="14" t="s">
        <v>115</v>
      </c>
      <c r="I2106" s="15">
        <v>5</v>
      </c>
      <c r="J2106" s="15">
        <v>250</v>
      </c>
      <c r="K2106" s="15">
        <v>89.39</v>
      </c>
      <c r="L2106" s="15">
        <v>22347.5</v>
      </c>
      <c r="M2106" s="15">
        <v>-1718.52</v>
      </c>
      <c r="N2106" s="15">
        <v>0</v>
      </c>
      <c r="O2106" s="15">
        <v>2681.7693480000003</v>
      </c>
      <c r="P2106" s="15">
        <v>23310.749348000001</v>
      </c>
    </row>
    <row r="2107" spans="1:16" ht="15" x14ac:dyDescent="0.2">
      <c r="A2107" s="4" t="s">
        <v>586</v>
      </c>
      <c r="B2107" s="21" t="str">
        <f t="shared" si="64"/>
        <v>Dec-2025</v>
      </c>
      <c r="C2107" s="2" t="str">
        <f t="shared" si="65"/>
        <v>Q3</v>
      </c>
      <c r="D2107" s="2" t="s">
        <v>31</v>
      </c>
      <c r="E2107" s="13">
        <v>46022</v>
      </c>
      <c r="F2107" s="14" t="s">
        <v>455</v>
      </c>
      <c r="G2107" s="14" t="s">
        <v>12</v>
      </c>
      <c r="H2107" s="14" t="s">
        <v>103</v>
      </c>
      <c r="I2107" s="15">
        <v>1</v>
      </c>
      <c r="J2107" s="15">
        <v>600</v>
      </c>
      <c r="K2107" s="15">
        <v>7.46</v>
      </c>
      <c r="L2107" s="15">
        <v>4476</v>
      </c>
      <c r="M2107" s="15">
        <v>-344.2</v>
      </c>
      <c r="N2107" s="15">
        <v>0</v>
      </c>
      <c r="O2107" s="15">
        <v>537.13438999999994</v>
      </c>
      <c r="P2107" s="15">
        <v>4668.9343900000003</v>
      </c>
    </row>
    <row r="2108" spans="1:16" ht="15" x14ac:dyDescent="0.2">
      <c r="A2108" s="4" t="s">
        <v>586</v>
      </c>
      <c r="B2108" s="21" t="str">
        <f t="shared" si="64"/>
        <v>Dec-2025</v>
      </c>
      <c r="C2108" s="2" t="str">
        <f t="shared" si="65"/>
        <v>Q3</v>
      </c>
      <c r="D2108" s="2" t="s">
        <v>31</v>
      </c>
      <c r="E2108" s="13">
        <v>46022</v>
      </c>
      <c r="F2108" s="14" t="s">
        <v>455</v>
      </c>
      <c r="G2108" s="14" t="s">
        <v>12</v>
      </c>
      <c r="H2108" s="14" t="s">
        <v>76</v>
      </c>
      <c r="I2108" s="15">
        <v>2</v>
      </c>
      <c r="J2108" s="15">
        <v>479</v>
      </c>
      <c r="K2108" s="15">
        <v>14.9</v>
      </c>
      <c r="L2108" s="15">
        <v>7137.1</v>
      </c>
      <c r="M2108" s="15">
        <v>-548.84</v>
      </c>
      <c r="N2108" s="15">
        <v>0</v>
      </c>
      <c r="O2108" s="15">
        <v>856.474422</v>
      </c>
      <c r="P2108" s="15">
        <v>7444.7344220000004</v>
      </c>
    </row>
    <row r="2109" spans="1:16" ht="15" x14ac:dyDescent="0.2">
      <c r="A2109" s="4" t="s">
        <v>574</v>
      </c>
      <c r="B2109" s="21" t="str">
        <f t="shared" si="64"/>
        <v>Dec-2025</v>
      </c>
      <c r="C2109" s="2" t="str">
        <f t="shared" si="65"/>
        <v>Q3</v>
      </c>
      <c r="D2109" s="2" t="s">
        <v>31</v>
      </c>
      <c r="E2109" s="13">
        <v>46022</v>
      </c>
      <c r="F2109" s="14" t="s">
        <v>456</v>
      </c>
      <c r="G2109" s="14" t="s">
        <v>17</v>
      </c>
      <c r="H2109" s="14" t="s">
        <v>84</v>
      </c>
      <c r="I2109" s="15">
        <v>1</v>
      </c>
      <c r="J2109" s="15">
        <v>18</v>
      </c>
      <c r="K2109" s="15">
        <v>178.78</v>
      </c>
      <c r="L2109" s="15">
        <v>3218.0400000000004</v>
      </c>
      <c r="M2109" s="15">
        <v>-247.47</v>
      </c>
      <c r="N2109" s="15">
        <v>0</v>
      </c>
      <c r="O2109" s="15">
        <v>386.17392799999999</v>
      </c>
      <c r="P2109" s="15">
        <v>3356.7439279999999</v>
      </c>
    </row>
    <row r="2110" spans="1:16" ht="15" x14ac:dyDescent="0.2">
      <c r="A2110" s="4" t="s">
        <v>584</v>
      </c>
      <c r="B2110" s="21" t="str">
        <f t="shared" si="64"/>
        <v>Dec-2025</v>
      </c>
      <c r="C2110" s="2" t="str">
        <f t="shared" si="65"/>
        <v>Q3</v>
      </c>
      <c r="D2110" s="2" t="s">
        <v>31</v>
      </c>
      <c r="E2110" s="13">
        <v>46022</v>
      </c>
      <c r="F2110" s="14" t="s">
        <v>456</v>
      </c>
      <c r="G2110" s="14" t="s">
        <v>17</v>
      </c>
      <c r="H2110" s="14" t="s">
        <v>99</v>
      </c>
      <c r="I2110" s="15">
        <v>2</v>
      </c>
      <c r="J2110" s="15">
        <v>80</v>
      </c>
      <c r="K2110" s="15">
        <v>81.94</v>
      </c>
      <c r="L2110" s="15">
        <v>6555.2</v>
      </c>
      <c r="M2110" s="15">
        <v>-504.09</v>
      </c>
      <c r="N2110" s="15">
        <v>0</v>
      </c>
      <c r="O2110" s="15">
        <v>786.64395100000002</v>
      </c>
      <c r="P2110" s="15">
        <v>6837.7539509999997</v>
      </c>
    </row>
    <row r="2111" spans="1:16" ht="15" x14ac:dyDescent="0.2">
      <c r="A2111" s="4" t="s">
        <v>581</v>
      </c>
      <c r="B2111" s="21" t="str">
        <f t="shared" si="64"/>
        <v>Dec-2025</v>
      </c>
      <c r="C2111" s="2" t="str">
        <f t="shared" si="65"/>
        <v>Q3</v>
      </c>
      <c r="D2111" s="2" t="s">
        <v>31</v>
      </c>
      <c r="E2111" s="13">
        <v>46022</v>
      </c>
      <c r="F2111" s="14" t="s">
        <v>456</v>
      </c>
      <c r="G2111" s="14" t="s">
        <v>17</v>
      </c>
      <c r="H2111" s="14" t="s">
        <v>125</v>
      </c>
      <c r="I2111" s="15">
        <v>2</v>
      </c>
      <c r="J2111" s="15">
        <v>1600</v>
      </c>
      <c r="K2111" s="15">
        <v>7.45</v>
      </c>
      <c r="L2111" s="15">
        <v>11927.98</v>
      </c>
      <c r="M2111" s="15">
        <v>-917.26</v>
      </c>
      <c r="N2111" s="15">
        <v>0</v>
      </c>
      <c r="O2111" s="15">
        <v>1431.3929639999999</v>
      </c>
      <c r="P2111" s="15">
        <v>12442.112964</v>
      </c>
    </row>
    <row r="2112" spans="1:16" ht="15" x14ac:dyDescent="0.2">
      <c r="A2112" s="4" t="s">
        <v>574</v>
      </c>
      <c r="B2112" s="21" t="str">
        <f t="shared" si="64"/>
        <v>Dec-2025</v>
      </c>
      <c r="C2112" s="2" t="str">
        <f t="shared" si="65"/>
        <v>Q3</v>
      </c>
      <c r="D2112" s="2" t="s">
        <v>31</v>
      </c>
      <c r="E2112" s="13">
        <v>46022</v>
      </c>
      <c r="F2112" s="14" t="s">
        <v>456</v>
      </c>
      <c r="G2112" s="14" t="s">
        <v>17</v>
      </c>
      <c r="H2112" s="14" t="s">
        <v>86</v>
      </c>
      <c r="I2112" s="15">
        <v>2</v>
      </c>
      <c r="J2112" s="15">
        <v>36</v>
      </c>
      <c r="K2112" s="15">
        <v>178.78</v>
      </c>
      <c r="L2112" s="15">
        <v>6436.0800000000008</v>
      </c>
      <c r="M2112" s="15">
        <v>-494.93</v>
      </c>
      <c r="N2112" s="15">
        <v>0</v>
      </c>
      <c r="O2112" s="15">
        <v>772.34915699999999</v>
      </c>
      <c r="P2112" s="15">
        <v>6713.4991570000002</v>
      </c>
    </row>
    <row r="2113" spans="1:16" ht="15" x14ac:dyDescent="0.2">
      <c r="A2113" s="4" t="s">
        <v>590</v>
      </c>
      <c r="B2113" s="21" t="str">
        <f t="shared" si="64"/>
        <v>Dec-2025</v>
      </c>
      <c r="C2113" s="2" t="str">
        <f t="shared" si="65"/>
        <v>Q3</v>
      </c>
      <c r="D2113" s="2" t="s">
        <v>31</v>
      </c>
      <c r="E2113" s="13">
        <v>46022</v>
      </c>
      <c r="F2113" s="14" t="s">
        <v>457</v>
      </c>
      <c r="G2113" s="14" t="s">
        <v>130</v>
      </c>
      <c r="H2113" s="14" t="s">
        <v>102</v>
      </c>
      <c r="I2113" s="15">
        <v>5</v>
      </c>
      <c r="J2113" s="15">
        <v>100</v>
      </c>
      <c r="K2113" s="15">
        <v>249.55</v>
      </c>
      <c r="L2113" s="15">
        <v>24955</v>
      </c>
      <c r="M2113" s="15">
        <v>-1919.04</v>
      </c>
      <c r="N2113" s="15">
        <v>0</v>
      </c>
      <c r="O2113" s="15">
        <v>2994.6745599999999</v>
      </c>
      <c r="P2113" s="15">
        <v>26030.634559999999</v>
      </c>
    </row>
    <row r="2114" spans="1:16" ht="15" x14ac:dyDescent="0.2">
      <c r="A2114" s="4" t="s">
        <v>580</v>
      </c>
      <c r="B2114" s="21" t="str">
        <f t="shared" si="64"/>
        <v>Dec-2025</v>
      </c>
      <c r="C2114" s="2" t="str">
        <f t="shared" si="65"/>
        <v>Q3</v>
      </c>
      <c r="D2114" s="2" t="s">
        <v>31</v>
      </c>
      <c r="E2114" s="13">
        <v>46022</v>
      </c>
      <c r="F2114" s="14" t="s">
        <v>457</v>
      </c>
      <c r="G2114" s="14" t="s">
        <v>130</v>
      </c>
      <c r="H2114" s="14" t="s">
        <v>89</v>
      </c>
      <c r="I2114" s="15">
        <v>50</v>
      </c>
      <c r="J2114" s="15">
        <v>3500</v>
      </c>
      <c r="K2114" s="15">
        <v>37.25</v>
      </c>
      <c r="L2114" s="15">
        <v>130375</v>
      </c>
      <c r="M2114" s="15">
        <v>-10025.84</v>
      </c>
      <c r="N2114" s="15">
        <v>0</v>
      </c>
      <c r="O2114" s="15">
        <v>15645.389546</v>
      </c>
      <c r="P2114" s="15">
        <v>135994.54954599999</v>
      </c>
    </row>
    <row r="2115" spans="1:16" ht="15" x14ac:dyDescent="0.2">
      <c r="A2115" s="4" t="s">
        <v>583</v>
      </c>
      <c r="B2115" s="21" t="str">
        <f t="shared" ref="B2115:B2178" si="66">+TEXT(E2115,"MMM-yyy")</f>
        <v>Dec-2025</v>
      </c>
      <c r="C2115" s="2" t="str">
        <f t="shared" ref="C2115:C2178" si="67">"Q" &amp; CHOOSE(MONTH(E2115),4,4,4,1,1,1,2,2,2,3,3,3)</f>
        <v>Q3</v>
      </c>
      <c r="D2115" s="2" t="s">
        <v>31</v>
      </c>
      <c r="E2115" s="13">
        <v>46022</v>
      </c>
      <c r="F2115" s="14" t="s">
        <v>457</v>
      </c>
      <c r="G2115" s="14" t="s">
        <v>130</v>
      </c>
      <c r="H2115" s="14" t="s">
        <v>109</v>
      </c>
      <c r="I2115" s="15">
        <v>5</v>
      </c>
      <c r="J2115" s="15">
        <v>75</v>
      </c>
      <c r="K2115" s="15">
        <v>260.72000000000003</v>
      </c>
      <c r="L2115" s="15">
        <v>19554</v>
      </c>
      <c r="M2115" s="15">
        <v>-1503.6999999999998</v>
      </c>
      <c r="N2115" s="15">
        <v>0</v>
      </c>
      <c r="O2115" s="15">
        <v>2346.5388120000002</v>
      </c>
      <c r="P2115" s="15">
        <v>20396.838812000002</v>
      </c>
    </row>
    <row r="2116" spans="1:16" ht="15" x14ac:dyDescent="0.2">
      <c r="A2116" s="4" t="s">
        <v>583</v>
      </c>
      <c r="B2116" s="21" t="str">
        <f t="shared" si="66"/>
        <v>Dec-2025</v>
      </c>
      <c r="C2116" s="2" t="str">
        <f t="shared" si="67"/>
        <v>Q3</v>
      </c>
      <c r="D2116" s="2" t="s">
        <v>31</v>
      </c>
      <c r="E2116" s="13">
        <v>46022</v>
      </c>
      <c r="F2116" s="14" t="s">
        <v>457</v>
      </c>
      <c r="G2116" s="14" t="s">
        <v>130</v>
      </c>
      <c r="H2116" s="14" t="s">
        <v>113</v>
      </c>
      <c r="I2116" s="15">
        <v>5</v>
      </c>
      <c r="J2116" s="15">
        <v>75</v>
      </c>
      <c r="K2116" s="15">
        <v>260.72000000000003</v>
      </c>
      <c r="L2116" s="15">
        <v>19554</v>
      </c>
      <c r="M2116" s="15">
        <v>-1503.6999999999998</v>
      </c>
      <c r="N2116" s="15">
        <v>0</v>
      </c>
      <c r="O2116" s="15">
        <v>2346.5388120000002</v>
      </c>
      <c r="P2116" s="15">
        <v>20396.838812000002</v>
      </c>
    </row>
    <row r="2117" spans="1:16" ht="15" x14ac:dyDescent="0.2">
      <c r="A2117" s="4" t="s">
        <v>576</v>
      </c>
      <c r="B2117" s="21" t="str">
        <f t="shared" si="66"/>
        <v>Dec-2025</v>
      </c>
      <c r="C2117" s="2" t="str">
        <f t="shared" si="67"/>
        <v>Q3</v>
      </c>
      <c r="D2117" s="2" t="s">
        <v>31</v>
      </c>
      <c r="E2117" s="13">
        <v>46022</v>
      </c>
      <c r="F2117" s="14" t="s">
        <v>457</v>
      </c>
      <c r="G2117" s="14" t="s">
        <v>130</v>
      </c>
      <c r="H2117" s="14" t="s">
        <v>110</v>
      </c>
      <c r="I2117" s="15">
        <v>3</v>
      </c>
      <c r="J2117" s="15">
        <v>60</v>
      </c>
      <c r="K2117" s="15">
        <v>175.05</v>
      </c>
      <c r="L2117" s="15">
        <v>10503</v>
      </c>
      <c r="M2117" s="15">
        <v>-807.68</v>
      </c>
      <c r="N2117" s="15">
        <v>0</v>
      </c>
      <c r="O2117" s="15">
        <v>1260.3914990000001</v>
      </c>
      <c r="P2117" s="15">
        <v>10955.711498999999</v>
      </c>
    </row>
    <row r="2118" spans="1:16" ht="15" x14ac:dyDescent="0.2">
      <c r="A2118" s="4" t="s">
        <v>573</v>
      </c>
      <c r="B2118" s="21" t="str">
        <f t="shared" si="66"/>
        <v>Dec-2025</v>
      </c>
      <c r="C2118" s="2" t="str">
        <f t="shared" si="67"/>
        <v>Q3</v>
      </c>
      <c r="D2118" s="2" t="s">
        <v>31</v>
      </c>
      <c r="E2118" s="13">
        <v>46022</v>
      </c>
      <c r="F2118" s="14" t="s">
        <v>457</v>
      </c>
      <c r="G2118" s="14" t="s">
        <v>130</v>
      </c>
      <c r="H2118" s="14" t="s">
        <v>111</v>
      </c>
      <c r="I2118" s="15">
        <v>5</v>
      </c>
      <c r="J2118" s="15">
        <v>200</v>
      </c>
      <c r="K2118" s="15">
        <v>111.74</v>
      </c>
      <c r="L2118" s="15">
        <v>22348</v>
      </c>
      <c r="M2118" s="15">
        <v>-1718.56</v>
      </c>
      <c r="N2118" s="15">
        <v>0</v>
      </c>
      <c r="O2118" s="15">
        <v>2681.8269850000001</v>
      </c>
      <c r="P2118" s="15">
        <v>23311.266984999998</v>
      </c>
    </row>
    <row r="2119" spans="1:16" ht="15" x14ac:dyDescent="0.2">
      <c r="A2119" s="4" t="s">
        <v>576</v>
      </c>
      <c r="B2119" s="21" t="str">
        <f t="shared" si="66"/>
        <v>Dec-2025</v>
      </c>
      <c r="C2119" s="2" t="str">
        <f t="shared" si="67"/>
        <v>Q3</v>
      </c>
      <c r="D2119" s="2" t="s">
        <v>31</v>
      </c>
      <c r="E2119" s="13">
        <v>46022</v>
      </c>
      <c r="F2119" s="14" t="s">
        <v>457</v>
      </c>
      <c r="G2119" s="14" t="s">
        <v>130</v>
      </c>
      <c r="H2119" s="14" t="s">
        <v>124</v>
      </c>
      <c r="I2119" s="15">
        <v>5</v>
      </c>
      <c r="J2119" s="15">
        <v>100</v>
      </c>
      <c r="K2119" s="15">
        <v>175.05</v>
      </c>
      <c r="L2119" s="15">
        <v>17505</v>
      </c>
      <c r="M2119" s="15">
        <v>-1346.1299999999999</v>
      </c>
      <c r="N2119" s="15">
        <v>0</v>
      </c>
      <c r="O2119" s="15">
        <v>2100.652932</v>
      </c>
      <c r="P2119" s="15">
        <v>18259.522932</v>
      </c>
    </row>
    <row r="2120" spans="1:16" ht="15" x14ac:dyDescent="0.2">
      <c r="A2120" s="4" t="s">
        <v>593</v>
      </c>
      <c r="B2120" s="21" t="str">
        <f t="shared" si="66"/>
        <v>Dec-2025</v>
      </c>
      <c r="C2120" s="2" t="str">
        <f t="shared" si="67"/>
        <v>Q3</v>
      </c>
      <c r="D2120" s="2" t="s">
        <v>31</v>
      </c>
      <c r="E2120" s="13">
        <v>46022</v>
      </c>
      <c r="F2120" s="14" t="s">
        <v>457</v>
      </c>
      <c r="G2120" s="14" t="s">
        <v>130</v>
      </c>
      <c r="H2120" s="14" t="s">
        <v>117</v>
      </c>
      <c r="I2120" s="15">
        <v>50</v>
      </c>
      <c r="J2120" s="15">
        <v>200</v>
      </c>
      <c r="K2120" s="15">
        <v>595.92999999999995</v>
      </c>
      <c r="L2120" s="15">
        <v>119186</v>
      </c>
      <c r="M2120" s="15">
        <v>-9165.4</v>
      </c>
      <c r="N2120" s="15">
        <v>0</v>
      </c>
      <c r="O2120" s="15">
        <v>14302.676853999999</v>
      </c>
      <c r="P2120" s="15">
        <v>124323.276854</v>
      </c>
    </row>
    <row r="2121" spans="1:16" ht="15" x14ac:dyDescent="0.2">
      <c r="A2121" s="4" t="s">
        <v>593</v>
      </c>
      <c r="B2121" s="21" t="str">
        <f t="shared" si="66"/>
        <v>Dec-2025</v>
      </c>
      <c r="C2121" s="2" t="str">
        <f t="shared" si="67"/>
        <v>Q3</v>
      </c>
      <c r="D2121" s="2" t="s">
        <v>31</v>
      </c>
      <c r="E2121" s="13">
        <v>46022</v>
      </c>
      <c r="F2121" s="14" t="s">
        <v>458</v>
      </c>
      <c r="G2121" s="14" t="s">
        <v>459</v>
      </c>
      <c r="H2121" s="14" t="s">
        <v>117</v>
      </c>
      <c r="I2121" s="15">
        <v>3</v>
      </c>
      <c r="J2121" s="15">
        <v>12</v>
      </c>
      <c r="K2121" s="15">
        <v>595.92999999999995</v>
      </c>
      <c r="L2121" s="15">
        <v>7151.16</v>
      </c>
      <c r="M2121" s="15">
        <v>-549.91999999999996</v>
      </c>
      <c r="N2121" s="15">
        <v>0</v>
      </c>
      <c r="O2121" s="15">
        <v>858.16147099999989</v>
      </c>
      <c r="P2121" s="15">
        <v>7459.4014710000001</v>
      </c>
    </row>
    <row r="2122" spans="1:16" ht="15" x14ac:dyDescent="0.2">
      <c r="A2122" s="4" t="s">
        <v>583</v>
      </c>
      <c r="B2122" s="21" t="str">
        <f t="shared" si="66"/>
        <v>Dec-2025</v>
      </c>
      <c r="C2122" s="2" t="str">
        <f t="shared" si="67"/>
        <v>Q3</v>
      </c>
      <c r="D2122" s="2" t="s">
        <v>31</v>
      </c>
      <c r="E2122" s="13">
        <v>46022</v>
      </c>
      <c r="F2122" s="14" t="s">
        <v>458</v>
      </c>
      <c r="G2122" s="14" t="s">
        <v>459</v>
      </c>
      <c r="H2122" s="14" t="s">
        <v>109</v>
      </c>
      <c r="I2122" s="15">
        <v>2</v>
      </c>
      <c r="J2122" s="15">
        <v>30</v>
      </c>
      <c r="K2122" s="15">
        <v>260.72000000000003</v>
      </c>
      <c r="L2122" s="15">
        <v>7821.6</v>
      </c>
      <c r="M2122" s="15">
        <v>-601.48</v>
      </c>
      <c r="N2122" s="15">
        <v>0</v>
      </c>
      <c r="O2122" s="15">
        <v>938.61589700000002</v>
      </c>
      <c r="P2122" s="15">
        <v>8158.7358969999996</v>
      </c>
    </row>
    <row r="2123" spans="1:16" ht="15" x14ac:dyDescent="0.2">
      <c r="A2123" s="4" t="s">
        <v>580</v>
      </c>
      <c r="B2123" s="21" t="str">
        <f t="shared" si="66"/>
        <v>Dec-2025</v>
      </c>
      <c r="C2123" s="2" t="str">
        <f t="shared" si="67"/>
        <v>Q3</v>
      </c>
      <c r="D2123" s="2" t="s">
        <v>31</v>
      </c>
      <c r="E2123" s="13">
        <v>46022</v>
      </c>
      <c r="F2123" s="14" t="s">
        <v>458</v>
      </c>
      <c r="G2123" s="14" t="s">
        <v>459</v>
      </c>
      <c r="H2123" s="14" t="s">
        <v>89</v>
      </c>
      <c r="I2123" s="15">
        <v>3</v>
      </c>
      <c r="J2123" s="15">
        <v>210</v>
      </c>
      <c r="K2123" s="15">
        <v>37.25</v>
      </c>
      <c r="L2123" s="15">
        <v>7822.5</v>
      </c>
      <c r="M2123" s="15">
        <v>-601.55000000000007</v>
      </c>
      <c r="N2123" s="15">
        <v>0</v>
      </c>
      <c r="O2123" s="15">
        <v>938.72379699999999</v>
      </c>
      <c r="P2123" s="15">
        <v>8159.6737970000004</v>
      </c>
    </row>
    <row r="2124" spans="1:16" ht="15" x14ac:dyDescent="0.2">
      <c r="A2124" s="4" t="s">
        <v>580</v>
      </c>
      <c r="B2124" s="21" t="str">
        <f t="shared" si="66"/>
        <v>Dec-2025</v>
      </c>
      <c r="C2124" s="2" t="str">
        <f t="shared" si="67"/>
        <v>Q3</v>
      </c>
      <c r="D2124" s="2" t="s">
        <v>31</v>
      </c>
      <c r="E2124" s="13">
        <v>46022</v>
      </c>
      <c r="F2124" s="14" t="s">
        <v>458</v>
      </c>
      <c r="G2124" s="14" t="s">
        <v>459</v>
      </c>
      <c r="H2124" s="14" t="s">
        <v>65</v>
      </c>
      <c r="I2124" s="15">
        <v>1</v>
      </c>
      <c r="J2124" s="15">
        <v>130</v>
      </c>
      <c r="K2124" s="15">
        <v>37.25</v>
      </c>
      <c r="L2124" s="15">
        <v>4842.5</v>
      </c>
      <c r="M2124" s="15">
        <v>-372.39</v>
      </c>
      <c r="N2124" s="15">
        <v>0</v>
      </c>
      <c r="O2124" s="15">
        <v>581.11448399999995</v>
      </c>
      <c r="P2124" s="15">
        <v>5051.2244840000003</v>
      </c>
    </row>
    <row r="2125" spans="1:16" ht="15" x14ac:dyDescent="0.2">
      <c r="A2125" s="4" t="s">
        <v>581</v>
      </c>
      <c r="B2125" s="21" t="str">
        <f t="shared" si="66"/>
        <v>Dec-2025</v>
      </c>
      <c r="C2125" s="2" t="str">
        <f t="shared" si="67"/>
        <v>Q3</v>
      </c>
      <c r="D2125" s="2" t="s">
        <v>31</v>
      </c>
      <c r="E2125" s="13">
        <v>46022</v>
      </c>
      <c r="F2125" s="14" t="s">
        <v>458</v>
      </c>
      <c r="G2125" s="14" t="s">
        <v>459</v>
      </c>
      <c r="H2125" s="14" t="s">
        <v>96</v>
      </c>
      <c r="I2125" s="15">
        <v>3</v>
      </c>
      <c r="J2125" s="15">
        <v>120</v>
      </c>
      <c r="K2125" s="15">
        <v>74.489999999999995</v>
      </c>
      <c r="L2125" s="15">
        <v>8938.8000000000011</v>
      </c>
      <c r="M2125" s="15">
        <v>-687.3900000000001</v>
      </c>
      <c r="N2125" s="15">
        <v>0</v>
      </c>
      <c r="O2125" s="15">
        <v>1072.6836390000001</v>
      </c>
      <c r="P2125" s="15">
        <v>9324.0936390000006</v>
      </c>
    </row>
    <row r="2126" spans="1:16" ht="15" x14ac:dyDescent="0.2">
      <c r="A2126" s="4" t="s">
        <v>584</v>
      </c>
      <c r="B2126" s="21" t="str">
        <f t="shared" si="66"/>
        <v>Dec-2025</v>
      </c>
      <c r="C2126" s="2" t="str">
        <f t="shared" si="67"/>
        <v>Q3</v>
      </c>
      <c r="D2126" s="2" t="s">
        <v>31</v>
      </c>
      <c r="E2126" s="13">
        <v>46022</v>
      </c>
      <c r="F2126" s="14" t="s">
        <v>458</v>
      </c>
      <c r="G2126" s="14" t="s">
        <v>459</v>
      </c>
      <c r="H2126" s="14" t="s">
        <v>99</v>
      </c>
      <c r="I2126" s="15">
        <v>2</v>
      </c>
      <c r="J2126" s="15">
        <v>80</v>
      </c>
      <c r="K2126" s="15">
        <v>81.94</v>
      </c>
      <c r="L2126" s="15">
        <v>6555.2</v>
      </c>
      <c r="M2126" s="15">
        <v>-504.09</v>
      </c>
      <c r="N2126" s="15">
        <v>0</v>
      </c>
      <c r="O2126" s="15">
        <v>786.6445490000001</v>
      </c>
      <c r="P2126" s="15">
        <v>6837.7545490000002</v>
      </c>
    </row>
    <row r="2127" spans="1:16" ht="15" x14ac:dyDescent="0.2">
      <c r="A2127" s="4" t="s">
        <v>582</v>
      </c>
      <c r="B2127" s="21" t="str">
        <f t="shared" si="66"/>
        <v>Dec-2025</v>
      </c>
      <c r="C2127" s="2" t="str">
        <f t="shared" si="67"/>
        <v>Q3</v>
      </c>
      <c r="D2127" s="2" t="s">
        <v>31</v>
      </c>
      <c r="E2127" s="13">
        <v>46022</v>
      </c>
      <c r="F2127" s="14" t="s">
        <v>458</v>
      </c>
      <c r="G2127" s="14" t="s">
        <v>459</v>
      </c>
      <c r="H2127" s="14" t="s">
        <v>108</v>
      </c>
      <c r="I2127" s="15">
        <v>2</v>
      </c>
      <c r="J2127" s="15">
        <v>48</v>
      </c>
      <c r="K2127" s="15">
        <v>186.23</v>
      </c>
      <c r="L2127" s="15">
        <v>8939.0400000000009</v>
      </c>
      <c r="M2127" s="15">
        <v>-687.41</v>
      </c>
      <c r="N2127" s="15">
        <v>0</v>
      </c>
      <c r="O2127" s="15">
        <v>1072.712239</v>
      </c>
      <c r="P2127" s="15">
        <v>9324.3422389999996</v>
      </c>
    </row>
    <row r="2128" spans="1:16" ht="15" x14ac:dyDescent="0.2">
      <c r="A2128" s="4" t="s">
        <v>581</v>
      </c>
      <c r="B2128" s="21" t="str">
        <f t="shared" si="66"/>
        <v>Dec-2025</v>
      </c>
      <c r="C2128" s="2" t="str">
        <f t="shared" si="67"/>
        <v>Q3</v>
      </c>
      <c r="D2128" s="2" t="s">
        <v>31</v>
      </c>
      <c r="E2128" s="13">
        <v>46022</v>
      </c>
      <c r="F2128" s="14" t="s">
        <v>458</v>
      </c>
      <c r="G2128" s="14" t="s">
        <v>459</v>
      </c>
      <c r="H2128" s="14" t="s">
        <v>125</v>
      </c>
      <c r="I2128" s="15">
        <v>1</v>
      </c>
      <c r="J2128" s="15">
        <v>800</v>
      </c>
      <c r="K2128" s="15">
        <v>7.46</v>
      </c>
      <c r="L2128" s="15">
        <v>5968</v>
      </c>
      <c r="M2128" s="15">
        <v>-458.94</v>
      </c>
      <c r="N2128" s="15">
        <v>0</v>
      </c>
      <c r="O2128" s="15">
        <v>716.17802700000004</v>
      </c>
      <c r="P2128" s="15">
        <v>6225.2380270000003</v>
      </c>
    </row>
    <row r="2129" spans="1:16" ht="15" x14ac:dyDescent="0.2">
      <c r="A2129" s="4" t="s">
        <v>583</v>
      </c>
      <c r="B2129" s="21" t="str">
        <f t="shared" si="66"/>
        <v>Dec-2025</v>
      </c>
      <c r="C2129" s="2" t="str">
        <f t="shared" si="67"/>
        <v>Q3</v>
      </c>
      <c r="D2129" s="2" t="s">
        <v>31</v>
      </c>
      <c r="E2129" s="13">
        <v>46022</v>
      </c>
      <c r="F2129" s="14" t="s">
        <v>458</v>
      </c>
      <c r="G2129" s="14" t="s">
        <v>459</v>
      </c>
      <c r="H2129" s="14" t="s">
        <v>113</v>
      </c>
      <c r="I2129" s="15">
        <v>2</v>
      </c>
      <c r="J2129" s="15">
        <v>30</v>
      </c>
      <c r="K2129" s="15">
        <v>260.72000000000003</v>
      </c>
      <c r="L2129" s="15">
        <v>7821.6</v>
      </c>
      <c r="M2129" s="15">
        <v>-601.48</v>
      </c>
      <c r="N2129" s="15">
        <v>0</v>
      </c>
      <c r="O2129" s="15">
        <v>938.61589700000002</v>
      </c>
      <c r="P2129" s="15">
        <v>8158.7358969999996</v>
      </c>
    </row>
    <row r="2130" spans="1:16" ht="15" x14ac:dyDescent="0.2">
      <c r="A2130" s="4" t="s">
        <v>591</v>
      </c>
      <c r="B2130" s="21" t="str">
        <f t="shared" si="66"/>
        <v>Jan-2026</v>
      </c>
      <c r="C2130" s="2" t="str">
        <f t="shared" si="67"/>
        <v>Q4</v>
      </c>
      <c r="D2130" s="18" t="s">
        <v>31</v>
      </c>
      <c r="E2130" s="17">
        <v>46024</v>
      </c>
      <c r="F2130" s="2" t="s">
        <v>460</v>
      </c>
      <c r="G2130" s="2" t="s">
        <v>46</v>
      </c>
      <c r="H2130" s="2" t="s">
        <v>106</v>
      </c>
      <c r="I2130" s="19">
        <v>1</v>
      </c>
      <c r="J2130" s="19">
        <v>60</v>
      </c>
      <c r="K2130" s="19">
        <v>111.74</v>
      </c>
      <c r="L2130" s="19">
        <v>6704.4</v>
      </c>
      <c r="M2130" s="19">
        <v>-515.57000000000005</v>
      </c>
      <c r="N2130" s="19">
        <v>0</v>
      </c>
      <c r="O2130" s="19">
        <v>804.55000000000007</v>
      </c>
      <c r="P2130" s="19">
        <v>6993.38</v>
      </c>
    </row>
    <row r="2131" spans="1:16" ht="15" x14ac:dyDescent="0.2">
      <c r="A2131" s="4" t="s">
        <v>588</v>
      </c>
      <c r="B2131" s="21" t="str">
        <f t="shared" si="66"/>
        <v>Jan-2026</v>
      </c>
      <c r="C2131" s="2" t="str">
        <f t="shared" si="67"/>
        <v>Q4</v>
      </c>
      <c r="D2131" s="2" t="s">
        <v>31</v>
      </c>
      <c r="E2131" s="16">
        <v>46024</v>
      </c>
      <c r="F2131" s="2" t="s">
        <v>460</v>
      </c>
      <c r="G2131" s="2" t="s">
        <v>46</v>
      </c>
      <c r="H2131" s="2" t="s">
        <v>95</v>
      </c>
      <c r="I2131" s="19">
        <v>1</v>
      </c>
      <c r="J2131" s="19">
        <v>60</v>
      </c>
      <c r="K2131" s="19">
        <v>111.74</v>
      </c>
      <c r="L2131" s="19">
        <v>6704.4</v>
      </c>
      <c r="M2131" s="19">
        <v>-515.57000000000005</v>
      </c>
      <c r="N2131" s="19">
        <v>0</v>
      </c>
      <c r="O2131" s="19">
        <v>804.55000000000007</v>
      </c>
      <c r="P2131" s="19">
        <v>6993.38</v>
      </c>
    </row>
    <row r="2132" spans="1:16" ht="15" x14ac:dyDescent="0.2">
      <c r="A2132" s="4" t="s">
        <v>579</v>
      </c>
      <c r="B2132" s="21" t="str">
        <f t="shared" si="66"/>
        <v>Jan-2026</v>
      </c>
      <c r="C2132" s="2" t="str">
        <f t="shared" si="67"/>
        <v>Q4</v>
      </c>
      <c r="D2132" s="2" t="s">
        <v>31</v>
      </c>
      <c r="E2132" s="16">
        <v>46027</v>
      </c>
      <c r="F2132" s="2" t="s">
        <v>461</v>
      </c>
      <c r="G2132" s="2" t="s">
        <v>306</v>
      </c>
      <c r="H2132" s="2" t="s">
        <v>90</v>
      </c>
      <c r="I2132" s="19">
        <v>0.25</v>
      </c>
      <c r="J2132" s="19">
        <v>5</v>
      </c>
      <c r="K2132" s="19">
        <v>194.69</v>
      </c>
      <c r="L2132" s="19">
        <v>973.44999999999993</v>
      </c>
      <c r="M2132" s="19">
        <v>0</v>
      </c>
      <c r="N2132" s="19">
        <v>0</v>
      </c>
      <c r="O2132" s="19">
        <v>126.54921400000001</v>
      </c>
      <c r="P2132" s="19">
        <v>1099.9992139999999</v>
      </c>
    </row>
    <row r="2133" spans="1:16" ht="15" x14ac:dyDescent="0.2">
      <c r="A2133" s="4" t="s">
        <v>589</v>
      </c>
      <c r="B2133" s="21" t="str">
        <f t="shared" si="66"/>
        <v>Jan-2026</v>
      </c>
      <c r="C2133" s="2" t="str">
        <f t="shared" si="67"/>
        <v>Q4</v>
      </c>
      <c r="D2133" s="2" t="s">
        <v>31</v>
      </c>
      <c r="E2133" s="16">
        <v>46027</v>
      </c>
      <c r="F2133" s="2" t="s">
        <v>461</v>
      </c>
      <c r="G2133" s="2" t="s">
        <v>306</v>
      </c>
      <c r="H2133" s="2" t="s">
        <v>98</v>
      </c>
      <c r="I2133" s="19">
        <v>0.08</v>
      </c>
      <c r="J2133" s="19">
        <v>5</v>
      </c>
      <c r="K2133" s="19">
        <v>138.05000000000001</v>
      </c>
      <c r="L2133" s="19">
        <v>690.24999999999989</v>
      </c>
      <c r="M2133" s="19">
        <v>0</v>
      </c>
      <c r="N2133" s="19">
        <v>0</v>
      </c>
      <c r="O2133" s="19">
        <v>89.733006000000003</v>
      </c>
      <c r="P2133" s="19">
        <v>779.98300600000005</v>
      </c>
    </row>
    <row r="2134" spans="1:16" ht="15" x14ac:dyDescent="0.2">
      <c r="A2134" s="4" t="s">
        <v>573</v>
      </c>
      <c r="B2134" s="21" t="str">
        <f t="shared" si="66"/>
        <v>Jan-2026</v>
      </c>
      <c r="C2134" s="2" t="str">
        <f t="shared" si="67"/>
        <v>Q4</v>
      </c>
      <c r="D2134" s="2" t="s">
        <v>31</v>
      </c>
      <c r="E2134" s="16">
        <v>46027</v>
      </c>
      <c r="F2134" s="2" t="s">
        <v>461</v>
      </c>
      <c r="G2134" s="2" t="s">
        <v>306</v>
      </c>
      <c r="H2134" s="2" t="s">
        <v>111</v>
      </c>
      <c r="I2134" s="19">
        <v>0.25</v>
      </c>
      <c r="J2134" s="19">
        <v>10</v>
      </c>
      <c r="K2134" s="19">
        <v>106.19</v>
      </c>
      <c r="L2134" s="19">
        <v>1061.9000000000001</v>
      </c>
      <c r="M2134" s="19">
        <v>0</v>
      </c>
      <c r="N2134" s="19">
        <v>0</v>
      </c>
      <c r="O2134" s="19">
        <v>138.04777899999999</v>
      </c>
      <c r="P2134" s="19">
        <v>1199.9477790000001</v>
      </c>
    </row>
    <row r="2135" spans="1:16" ht="15" x14ac:dyDescent="0.2">
      <c r="A2135" s="4" t="s">
        <v>573</v>
      </c>
      <c r="B2135" s="21" t="str">
        <f t="shared" si="66"/>
        <v>Jan-2026</v>
      </c>
      <c r="C2135" s="2" t="str">
        <f t="shared" si="67"/>
        <v>Q4</v>
      </c>
      <c r="D2135" s="2" t="s">
        <v>31</v>
      </c>
      <c r="E2135" s="16">
        <v>46027</v>
      </c>
      <c r="F2135" s="2" t="s">
        <v>462</v>
      </c>
      <c r="G2135" s="2" t="s">
        <v>459</v>
      </c>
      <c r="H2135" s="2" t="s">
        <v>136</v>
      </c>
      <c r="I2135" s="19">
        <v>1.83</v>
      </c>
      <c r="J2135" s="19">
        <v>73</v>
      </c>
      <c r="K2135" s="19">
        <v>103.15</v>
      </c>
      <c r="L2135" s="19">
        <v>7529.95</v>
      </c>
      <c r="M2135" s="19">
        <v>0</v>
      </c>
      <c r="N2135" s="19">
        <v>0</v>
      </c>
      <c r="O2135" s="19">
        <v>978.89401199999998</v>
      </c>
      <c r="P2135" s="19">
        <v>8508.8440119999996</v>
      </c>
    </row>
    <row r="2136" spans="1:16" ht="15" x14ac:dyDescent="0.2">
      <c r="A2136" s="4" t="s">
        <v>573</v>
      </c>
      <c r="B2136" s="21" t="str">
        <f t="shared" si="66"/>
        <v>Jan-2026</v>
      </c>
      <c r="C2136" s="2" t="str">
        <f t="shared" si="67"/>
        <v>Q4</v>
      </c>
      <c r="D2136" s="2" t="s">
        <v>31</v>
      </c>
      <c r="E2136" s="16">
        <v>46027</v>
      </c>
      <c r="F2136" s="2" t="s">
        <v>462</v>
      </c>
      <c r="G2136" s="2" t="s">
        <v>459</v>
      </c>
      <c r="H2136" s="2" t="s">
        <v>111</v>
      </c>
      <c r="I2136" s="19">
        <v>3.85</v>
      </c>
      <c r="J2136" s="19">
        <v>154</v>
      </c>
      <c r="K2136" s="19">
        <v>103.15</v>
      </c>
      <c r="L2136" s="19">
        <v>15885.1</v>
      </c>
      <c r="M2136" s="19">
        <v>0</v>
      </c>
      <c r="N2136" s="19">
        <v>0</v>
      </c>
      <c r="O2136" s="19">
        <v>2065.0640790000002</v>
      </c>
      <c r="P2136" s="19">
        <v>17950.164078999998</v>
      </c>
    </row>
    <row r="2137" spans="1:16" ht="15" x14ac:dyDescent="0.2">
      <c r="A2137" s="4" t="s">
        <v>583</v>
      </c>
      <c r="B2137" s="21" t="str">
        <f t="shared" si="66"/>
        <v>Jan-2026</v>
      </c>
      <c r="C2137" s="2" t="str">
        <f t="shared" si="67"/>
        <v>Q4</v>
      </c>
      <c r="D2137" s="2" t="s">
        <v>31</v>
      </c>
      <c r="E2137" s="16">
        <v>46027</v>
      </c>
      <c r="F2137" s="2" t="s">
        <v>462</v>
      </c>
      <c r="G2137" s="2" t="s">
        <v>459</v>
      </c>
      <c r="H2137" s="2" t="s">
        <v>113</v>
      </c>
      <c r="I2137" s="19">
        <v>0.73</v>
      </c>
      <c r="J2137" s="19">
        <v>11</v>
      </c>
      <c r="K2137" s="19">
        <v>240.67</v>
      </c>
      <c r="L2137" s="19">
        <v>2647.37</v>
      </c>
      <c r="M2137" s="19">
        <v>0</v>
      </c>
      <c r="N2137" s="19">
        <v>0</v>
      </c>
      <c r="O2137" s="19">
        <v>344.15827999999999</v>
      </c>
      <c r="P2137" s="19">
        <v>2991.52828</v>
      </c>
    </row>
    <row r="2138" spans="1:16" ht="15" x14ac:dyDescent="0.2">
      <c r="A2138" s="4" t="s">
        <v>589</v>
      </c>
      <c r="B2138" s="21" t="str">
        <f t="shared" si="66"/>
        <v>Jan-2026</v>
      </c>
      <c r="C2138" s="2" t="str">
        <f t="shared" si="67"/>
        <v>Q4</v>
      </c>
      <c r="D2138" s="2" t="s">
        <v>31</v>
      </c>
      <c r="E2138" s="16">
        <v>46027</v>
      </c>
      <c r="F2138" s="2" t="s">
        <v>462</v>
      </c>
      <c r="G2138" s="2" t="s">
        <v>459</v>
      </c>
      <c r="H2138" s="2" t="s">
        <v>98</v>
      </c>
      <c r="I2138" s="19">
        <v>0.55000000000000004</v>
      </c>
      <c r="J2138" s="19">
        <v>33</v>
      </c>
      <c r="K2138" s="19">
        <v>134.08000000000001</v>
      </c>
      <c r="L2138" s="19">
        <v>4424.6400000000003</v>
      </c>
      <c r="M2138" s="19">
        <v>0</v>
      </c>
      <c r="N2138" s="19">
        <v>0</v>
      </c>
      <c r="O2138" s="19">
        <v>575.20350099999996</v>
      </c>
      <c r="P2138" s="19">
        <v>4999.8435010000003</v>
      </c>
    </row>
    <row r="2139" spans="1:16" ht="15" x14ac:dyDescent="0.2">
      <c r="A2139" s="4" t="s">
        <v>583</v>
      </c>
      <c r="B2139" s="21" t="str">
        <f t="shared" si="66"/>
        <v>Jan-2026</v>
      </c>
      <c r="C2139" s="2" t="str">
        <f t="shared" si="67"/>
        <v>Q4</v>
      </c>
      <c r="D2139" s="2" t="s">
        <v>31</v>
      </c>
      <c r="E2139" s="16">
        <v>46027</v>
      </c>
      <c r="F2139" s="2" t="s">
        <v>462</v>
      </c>
      <c r="G2139" s="2" t="s">
        <v>459</v>
      </c>
      <c r="H2139" s="2" t="s">
        <v>109</v>
      </c>
      <c r="I2139" s="19">
        <v>0.87</v>
      </c>
      <c r="J2139" s="19">
        <v>13</v>
      </c>
      <c r="K2139" s="19">
        <v>240.67</v>
      </c>
      <c r="L2139" s="19">
        <v>3128.71</v>
      </c>
      <c r="M2139" s="19">
        <v>0</v>
      </c>
      <c r="N2139" s="19">
        <v>0</v>
      </c>
      <c r="O2139" s="19">
        <v>406.73251299999998</v>
      </c>
      <c r="P2139" s="19">
        <v>3535.442513</v>
      </c>
    </row>
    <row r="2140" spans="1:16" ht="15" x14ac:dyDescent="0.2">
      <c r="A2140" s="4" t="s">
        <v>584</v>
      </c>
      <c r="B2140" s="21" t="str">
        <f t="shared" si="66"/>
        <v>Jan-2026</v>
      </c>
      <c r="C2140" s="2" t="str">
        <f t="shared" si="67"/>
        <v>Q4</v>
      </c>
      <c r="D2140" s="2" t="s">
        <v>31</v>
      </c>
      <c r="E2140" s="16">
        <v>46027</v>
      </c>
      <c r="F2140" s="2" t="s">
        <v>462</v>
      </c>
      <c r="G2140" s="2" t="s">
        <v>459</v>
      </c>
      <c r="H2140" s="2" t="s">
        <v>120</v>
      </c>
      <c r="I2140" s="19">
        <v>0.68</v>
      </c>
      <c r="J2140" s="19">
        <v>27</v>
      </c>
      <c r="K2140" s="19">
        <v>75.64</v>
      </c>
      <c r="L2140" s="19">
        <v>2042.28</v>
      </c>
      <c r="M2140" s="19">
        <v>0</v>
      </c>
      <c r="N2140" s="19">
        <v>0</v>
      </c>
      <c r="O2140" s="19">
        <v>265.49653899999998</v>
      </c>
      <c r="P2140" s="19">
        <v>2307.776539</v>
      </c>
    </row>
    <row r="2141" spans="1:16" ht="15" x14ac:dyDescent="0.2">
      <c r="A2141" s="4" t="s">
        <v>573</v>
      </c>
      <c r="B2141" s="21" t="str">
        <f t="shared" si="66"/>
        <v>Jan-2026</v>
      </c>
      <c r="C2141" s="2" t="str">
        <f t="shared" si="67"/>
        <v>Q4</v>
      </c>
      <c r="D2141" s="2" t="s">
        <v>31</v>
      </c>
      <c r="E2141" s="16">
        <v>46027</v>
      </c>
      <c r="F2141" s="2" t="s">
        <v>462</v>
      </c>
      <c r="G2141" s="2" t="s">
        <v>459</v>
      </c>
      <c r="H2141" s="2" t="s">
        <v>138</v>
      </c>
      <c r="I2141" s="19">
        <v>1.93</v>
      </c>
      <c r="J2141" s="19">
        <v>77</v>
      </c>
      <c r="K2141" s="19">
        <v>103.15</v>
      </c>
      <c r="L2141" s="19">
        <v>7942.55</v>
      </c>
      <c r="M2141" s="19">
        <v>0</v>
      </c>
      <c r="N2141" s="19">
        <v>0</v>
      </c>
      <c r="O2141" s="19">
        <v>1032.5320400000001</v>
      </c>
      <c r="P2141" s="19">
        <v>8975.0820399999993</v>
      </c>
    </row>
    <row r="2142" spans="1:16" ht="15" x14ac:dyDescent="0.2">
      <c r="A2142" s="4" t="s">
        <v>580</v>
      </c>
      <c r="B2142" s="21" t="str">
        <f t="shared" si="66"/>
        <v>Jan-2026</v>
      </c>
      <c r="C2142" s="2" t="str">
        <f t="shared" si="67"/>
        <v>Q4</v>
      </c>
      <c r="D2142" s="2" t="s">
        <v>31</v>
      </c>
      <c r="E2142" s="16">
        <v>46027</v>
      </c>
      <c r="F2142" s="2" t="s">
        <v>462</v>
      </c>
      <c r="G2142" s="2" t="s">
        <v>459</v>
      </c>
      <c r="H2142" s="2" t="s">
        <v>65</v>
      </c>
      <c r="I2142" s="19">
        <v>0.78</v>
      </c>
      <c r="J2142" s="19">
        <v>102</v>
      </c>
      <c r="K2142" s="19">
        <v>34.380000000000003</v>
      </c>
      <c r="L2142" s="19">
        <v>3506.7599999999998</v>
      </c>
      <c r="M2142" s="19">
        <v>0</v>
      </c>
      <c r="N2142" s="19">
        <v>0</v>
      </c>
      <c r="O2142" s="19">
        <v>455.87903799999998</v>
      </c>
      <c r="P2142" s="19">
        <v>3962.6390379999998</v>
      </c>
    </row>
    <row r="2143" spans="1:16" ht="15" x14ac:dyDescent="0.2">
      <c r="A2143" s="4" t="s">
        <v>573</v>
      </c>
      <c r="B2143" s="21" t="str">
        <f t="shared" si="66"/>
        <v>Jan-2026</v>
      </c>
      <c r="C2143" s="2" t="str">
        <f t="shared" si="67"/>
        <v>Q4</v>
      </c>
      <c r="D2143" s="2" t="s">
        <v>31</v>
      </c>
      <c r="E2143" s="16">
        <v>46027</v>
      </c>
      <c r="F2143" s="2" t="s">
        <v>463</v>
      </c>
      <c r="G2143" s="2" t="s">
        <v>244</v>
      </c>
      <c r="H2143" s="2" t="s">
        <v>138</v>
      </c>
      <c r="I2143" s="19">
        <v>-1.93</v>
      </c>
      <c r="J2143" s="19">
        <v>-77</v>
      </c>
      <c r="K2143" s="19">
        <v>103.15</v>
      </c>
      <c r="L2143" s="19">
        <v>-7942.55</v>
      </c>
      <c r="M2143" s="19">
        <v>0</v>
      </c>
      <c r="N2143" s="19">
        <v>0</v>
      </c>
      <c r="O2143" s="19">
        <v>-1032.5320400000001</v>
      </c>
      <c r="P2143" s="19">
        <v>-8975.0820399999993</v>
      </c>
    </row>
    <row r="2144" spans="1:16" ht="15" x14ac:dyDescent="0.2">
      <c r="A2144" s="4" t="s">
        <v>584</v>
      </c>
      <c r="B2144" s="21" t="str">
        <f t="shared" si="66"/>
        <v>Jan-2026</v>
      </c>
      <c r="C2144" s="2" t="str">
        <f t="shared" si="67"/>
        <v>Q4</v>
      </c>
      <c r="D2144" s="2" t="s">
        <v>31</v>
      </c>
      <c r="E2144" s="16">
        <v>46027</v>
      </c>
      <c r="F2144" s="2" t="s">
        <v>463</v>
      </c>
      <c r="G2144" s="2" t="s">
        <v>244</v>
      </c>
      <c r="H2144" s="2" t="s">
        <v>120</v>
      </c>
      <c r="I2144" s="19">
        <v>-0.68</v>
      </c>
      <c r="J2144" s="19">
        <v>-27</v>
      </c>
      <c r="K2144" s="19">
        <v>75.64</v>
      </c>
      <c r="L2144" s="19">
        <v>-2042.28</v>
      </c>
      <c r="M2144" s="19">
        <v>0</v>
      </c>
      <c r="N2144" s="19">
        <v>0</v>
      </c>
      <c r="O2144" s="19">
        <v>-265.49653899999998</v>
      </c>
      <c r="P2144" s="19">
        <v>-2307.776539</v>
      </c>
    </row>
    <row r="2145" spans="1:16" ht="15" x14ac:dyDescent="0.2">
      <c r="A2145" s="4" t="s">
        <v>580</v>
      </c>
      <c r="B2145" s="21" t="str">
        <f t="shared" si="66"/>
        <v>Jan-2026</v>
      </c>
      <c r="C2145" s="2" t="str">
        <f t="shared" si="67"/>
        <v>Q4</v>
      </c>
      <c r="D2145" s="2" t="s">
        <v>31</v>
      </c>
      <c r="E2145" s="16">
        <v>46027</v>
      </c>
      <c r="F2145" s="2" t="s">
        <v>463</v>
      </c>
      <c r="G2145" s="2" t="s">
        <v>244</v>
      </c>
      <c r="H2145" s="2" t="s">
        <v>65</v>
      </c>
      <c r="I2145" s="19">
        <v>-0.78</v>
      </c>
      <c r="J2145" s="19">
        <v>-102</v>
      </c>
      <c r="K2145" s="19">
        <v>34.380000000000003</v>
      </c>
      <c r="L2145" s="19">
        <v>-3506.7599999999998</v>
      </c>
      <c r="M2145" s="19">
        <v>0</v>
      </c>
      <c r="N2145" s="19">
        <v>0</v>
      </c>
      <c r="O2145" s="19">
        <v>-455.87903799999998</v>
      </c>
      <c r="P2145" s="19">
        <v>-3962.6390379999998</v>
      </c>
    </row>
    <row r="2146" spans="1:16" ht="15" x14ac:dyDescent="0.2">
      <c r="A2146" s="4" t="s">
        <v>589</v>
      </c>
      <c r="B2146" s="21" t="str">
        <f t="shared" si="66"/>
        <v>Jan-2026</v>
      </c>
      <c r="C2146" s="2" t="str">
        <f t="shared" si="67"/>
        <v>Q4</v>
      </c>
      <c r="D2146" s="2" t="s">
        <v>31</v>
      </c>
      <c r="E2146" s="16">
        <v>46027</v>
      </c>
      <c r="F2146" s="2" t="s">
        <v>463</v>
      </c>
      <c r="G2146" s="2" t="s">
        <v>244</v>
      </c>
      <c r="H2146" s="2" t="s">
        <v>98</v>
      </c>
      <c r="I2146" s="19">
        <v>-0.55000000000000004</v>
      </c>
      <c r="J2146" s="19">
        <v>-33</v>
      </c>
      <c r="K2146" s="19">
        <v>134.08000000000001</v>
      </c>
      <c r="L2146" s="19">
        <v>-4424.6400000000003</v>
      </c>
      <c r="M2146" s="19">
        <v>0</v>
      </c>
      <c r="N2146" s="19">
        <v>0</v>
      </c>
      <c r="O2146" s="19">
        <v>-575.20350099999996</v>
      </c>
      <c r="P2146" s="19">
        <v>-4999.8435010000003</v>
      </c>
    </row>
    <row r="2147" spans="1:16" ht="15" x14ac:dyDescent="0.2">
      <c r="A2147" s="4" t="s">
        <v>573</v>
      </c>
      <c r="B2147" s="21" t="str">
        <f t="shared" si="66"/>
        <v>Jan-2026</v>
      </c>
      <c r="C2147" s="2" t="str">
        <f t="shared" si="67"/>
        <v>Q4</v>
      </c>
      <c r="D2147" s="2" t="s">
        <v>31</v>
      </c>
      <c r="E2147" s="16">
        <v>46027</v>
      </c>
      <c r="F2147" s="2" t="s">
        <v>463</v>
      </c>
      <c r="G2147" s="2" t="s">
        <v>244</v>
      </c>
      <c r="H2147" s="2" t="s">
        <v>136</v>
      </c>
      <c r="I2147" s="19">
        <v>-1.83</v>
      </c>
      <c r="J2147" s="19">
        <v>-73</v>
      </c>
      <c r="K2147" s="19">
        <v>103.15</v>
      </c>
      <c r="L2147" s="19">
        <v>-7529.95</v>
      </c>
      <c r="M2147" s="19">
        <v>0</v>
      </c>
      <c r="N2147" s="19">
        <v>0</v>
      </c>
      <c r="O2147" s="19">
        <v>-978.89401199999998</v>
      </c>
      <c r="P2147" s="19">
        <v>-8508.8440119999996</v>
      </c>
    </row>
    <row r="2148" spans="1:16" ht="15" x14ac:dyDescent="0.2">
      <c r="A2148" s="4" t="s">
        <v>583</v>
      </c>
      <c r="B2148" s="21" t="str">
        <f t="shared" si="66"/>
        <v>Jan-2026</v>
      </c>
      <c r="C2148" s="2" t="str">
        <f t="shared" si="67"/>
        <v>Q4</v>
      </c>
      <c r="D2148" s="2" t="s">
        <v>31</v>
      </c>
      <c r="E2148" s="16">
        <v>46027</v>
      </c>
      <c r="F2148" s="2" t="s">
        <v>463</v>
      </c>
      <c r="G2148" s="2" t="s">
        <v>244</v>
      </c>
      <c r="H2148" s="2" t="s">
        <v>109</v>
      </c>
      <c r="I2148" s="19">
        <v>-0.87</v>
      </c>
      <c r="J2148" s="19">
        <v>-13</v>
      </c>
      <c r="K2148" s="19">
        <v>240.67</v>
      </c>
      <c r="L2148" s="19">
        <v>-3128.71</v>
      </c>
      <c r="M2148" s="19">
        <v>0</v>
      </c>
      <c r="N2148" s="19">
        <v>0</v>
      </c>
      <c r="O2148" s="19">
        <v>-406.73251299999998</v>
      </c>
      <c r="P2148" s="19">
        <v>-3535.442513</v>
      </c>
    </row>
    <row r="2149" spans="1:16" ht="15" x14ac:dyDescent="0.2">
      <c r="A2149" s="4" t="s">
        <v>573</v>
      </c>
      <c r="B2149" s="21" t="str">
        <f t="shared" si="66"/>
        <v>Jan-2026</v>
      </c>
      <c r="C2149" s="2" t="str">
        <f t="shared" si="67"/>
        <v>Q4</v>
      </c>
      <c r="D2149" s="2" t="s">
        <v>31</v>
      </c>
      <c r="E2149" s="16">
        <v>46027</v>
      </c>
      <c r="F2149" s="2" t="s">
        <v>463</v>
      </c>
      <c r="G2149" s="2" t="s">
        <v>244</v>
      </c>
      <c r="H2149" s="2" t="s">
        <v>111</v>
      </c>
      <c r="I2149" s="19">
        <v>-3.85</v>
      </c>
      <c r="J2149" s="19">
        <v>-154</v>
      </c>
      <c r="K2149" s="19">
        <v>103.15</v>
      </c>
      <c r="L2149" s="19">
        <v>-15885.1</v>
      </c>
      <c r="M2149" s="19">
        <v>0</v>
      </c>
      <c r="N2149" s="19">
        <v>0</v>
      </c>
      <c r="O2149" s="19">
        <v>-2065.0640790000002</v>
      </c>
      <c r="P2149" s="19">
        <v>-17950.164078999998</v>
      </c>
    </row>
    <row r="2150" spans="1:16" ht="15" x14ac:dyDescent="0.2">
      <c r="A2150" s="4" t="s">
        <v>583</v>
      </c>
      <c r="B2150" s="21" t="str">
        <f t="shared" si="66"/>
        <v>Jan-2026</v>
      </c>
      <c r="C2150" s="2" t="str">
        <f t="shared" si="67"/>
        <v>Q4</v>
      </c>
      <c r="D2150" s="2" t="s">
        <v>31</v>
      </c>
      <c r="E2150" s="16">
        <v>46027</v>
      </c>
      <c r="F2150" s="2" t="s">
        <v>463</v>
      </c>
      <c r="G2150" s="2" t="s">
        <v>244</v>
      </c>
      <c r="H2150" s="2" t="s">
        <v>113</v>
      </c>
      <c r="I2150" s="19">
        <v>-0.73</v>
      </c>
      <c r="J2150" s="19">
        <v>-11</v>
      </c>
      <c r="K2150" s="19">
        <v>240.67</v>
      </c>
      <c r="L2150" s="19">
        <v>-2647.37</v>
      </c>
      <c r="M2150" s="19">
        <v>0</v>
      </c>
      <c r="N2150" s="19">
        <v>0</v>
      </c>
      <c r="O2150" s="19">
        <v>-344.15827999999999</v>
      </c>
      <c r="P2150" s="19">
        <v>-2991.52828</v>
      </c>
    </row>
    <row r="2151" spans="1:16" ht="15" x14ac:dyDescent="0.2">
      <c r="A2151" s="4" t="s">
        <v>579</v>
      </c>
      <c r="B2151" s="21" t="str">
        <f t="shared" si="66"/>
        <v>Jan-2026</v>
      </c>
      <c r="C2151" s="2" t="str">
        <f t="shared" si="67"/>
        <v>Q4</v>
      </c>
      <c r="D2151" s="2" t="s">
        <v>31</v>
      </c>
      <c r="E2151" s="16">
        <v>46028</v>
      </c>
      <c r="F2151" s="2" t="s">
        <v>464</v>
      </c>
      <c r="G2151" s="2" t="s">
        <v>465</v>
      </c>
      <c r="H2151" s="2" t="s">
        <v>90</v>
      </c>
      <c r="I2151" s="19">
        <v>2</v>
      </c>
      <c r="J2151" s="19">
        <v>40</v>
      </c>
      <c r="K2151" s="19">
        <v>204.85</v>
      </c>
      <c r="L2151" s="19">
        <v>8194</v>
      </c>
      <c r="M2151" s="19">
        <v>-630.12</v>
      </c>
      <c r="N2151" s="19">
        <v>0</v>
      </c>
      <c r="O2151" s="19">
        <v>983.30436399999996</v>
      </c>
      <c r="P2151" s="19">
        <v>8547.1843640000006</v>
      </c>
    </row>
    <row r="2152" spans="1:16" ht="15" x14ac:dyDescent="0.2">
      <c r="A2152" s="4" t="s">
        <v>584</v>
      </c>
      <c r="B2152" s="21" t="str">
        <f t="shared" si="66"/>
        <v>Jan-2026</v>
      </c>
      <c r="C2152" s="2" t="str">
        <f t="shared" si="67"/>
        <v>Q4</v>
      </c>
      <c r="D2152" s="2" t="s">
        <v>31</v>
      </c>
      <c r="E2152" s="16">
        <v>46028</v>
      </c>
      <c r="F2152" s="2" t="s">
        <v>464</v>
      </c>
      <c r="G2152" s="2" t="s">
        <v>465</v>
      </c>
      <c r="H2152" s="2" t="s">
        <v>99</v>
      </c>
      <c r="I2152" s="19">
        <v>1</v>
      </c>
      <c r="J2152" s="19">
        <v>40</v>
      </c>
      <c r="K2152" s="19">
        <v>81.94</v>
      </c>
      <c r="L2152" s="19">
        <v>3277.6</v>
      </c>
      <c r="M2152" s="19">
        <v>-252.05</v>
      </c>
      <c r="N2152" s="19">
        <v>0</v>
      </c>
      <c r="O2152" s="19">
        <v>393.32148599999999</v>
      </c>
      <c r="P2152" s="19">
        <v>3418.871486</v>
      </c>
    </row>
    <row r="2153" spans="1:16" ht="15" x14ac:dyDescent="0.2">
      <c r="A2153" s="4" t="s">
        <v>579</v>
      </c>
      <c r="B2153" s="21" t="str">
        <f t="shared" si="66"/>
        <v>Jan-2026</v>
      </c>
      <c r="C2153" s="2" t="str">
        <f t="shared" si="67"/>
        <v>Q4</v>
      </c>
      <c r="D2153" s="2" t="s">
        <v>31</v>
      </c>
      <c r="E2153" s="16">
        <v>46028</v>
      </c>
      <c r="F2153" s="2" t="s">
        <v>464</v>
      </c>
      <c r="G2153" s="2" t="s">
        <v>465</v>
      </c>
      <c r="H2153" s="2" t="s">
        <v>91</v>
      </c>
      <c r="I2153" s="19">
        <v>2</v>
      </c>
      <c r="J2153" s="19">
        <v>40</v>
      </c>
      <c r="K2153" s="19">
        <v>204.85</v>
      </c>
      <c r="L2153" s="19">
        <v>8194</v>
      </c>
      <c r="M2153" s="19">
        <v>-630.12</v>
      </c>
      <c r="N2153" s="19">
        <v>0</v>
      </c>
      <c r="O2153" s="19">
        <v>983.30436399999996</v>
      </c>
      <c r="P2153" s="19">
        <v>8547.1843640000006</v>
      </c>
    </row>
    <row r="2154" spans="1:16" ht="15" x14ac:dyDescent="0.2">
      <c r="A2154" s="4" t="s">
        <v>581</v>
      </c>
      <c r="B2154" s="21" t="str">
        <f t="shared" si="66"/>
        <v>Jan-2026</v>
      </c>
      <c r="C2154" s="2" t="str">
        <f t="shared" si="67"/>
        <v>Q4</v>
      </c>
      <c r="D2154" s="2" t="s">
        <v>31</v>
      </c>
      <c r="E2154" s="16">
        <v>46028</v>
      </c>
      <c r="F2154" s="2" t="s">
        <v>464</v>
      </c>
      <c r="G2154" s="2" t="s">
        <v>465</v>
      </c>
      <c r="H2154" s="2" t="s">
        <v>96</v>
      </c>
      <c r="I2154" s="19">
        <v>2</v>
      </c>
      <c r="J2154" s="19">
        <v>80</v>
      </c>
      <c r="K2154" s="19">
        <v>74.489999999999995</v>
      </c>
      <c r="L2154" s="19">
        <v>5959.2</v>
      </c>
      <c r="M2154" s="19">
        <v>-458.26</v>
      </c>
      <c r="N2154" s="19">
        <v>0</v>
      </c>
      <c r="O2154" s="19">
        <v>715.12217399999997</v>
      </c>
      <c r="P2154" s="19">
        <v>6216.0621739999997</v>
      </c>
    </row>
    <row r="2155" spans="1:16" ht="15" x14ac:dyDescent="0.2">
      <c r="A2155" s="4" t="s">
        <v>580</v>
      </c>
      <c r="B2155" s="21" t="str">
        <f t="shared" si="66"/>
        <v>Jan-2026</v>
      </c>
      <c r="C2155" s="2" t="str">
        <f t="shared" si="67"/>
        <v>Q4</v>
      </c>
      <c r="D2155" s="2" t="s">
        <v>31</v>
      </c>
      <c r="E2155" s="16">
        <v>46028</v>
      </c>
      <c r="F2155" s="2" t="s">
        <v>464</v>
      </c>
      <c r="G2155" s="2" t="s">
        <v>465</v>
      </c>
      <c r="H2155" s="2" t="s">
        <v>65</v>
      </c>
      <c r="I2155" s="19">
        <v>2</v>
      </c>
      <c r="J2155" s="19">
        <v>260</v>
      </c>
      <c r="K2155" s="19">
        <v>37.25</v>
      </c>
      <c r="L2155" s="19">
        <v>9685</v>
      </c>
      <c r="M2155" s="19">
        <v>-744.78</v>
      </c>
      <c r="N2155" s="19">
        <v>0</v>
      </c>
      <c r="O2155" s="19">
        <v>1162.2285569999999</v>
      </c>
      <c r="P2155" s="19">
        <v>10102.448557</v>
      </c>
    </row>
    <row r="2156" spans="1:16" ht="15" x14ac:dyDescent="0.2">
      <c r="A2156" s="4" t="s">
        <v>574</v>
      </c>
      <c r="B2156" s="21" t="str">
        <f t="shared" si="66"/>
        <v>Jan-2026</v>
      </c>
      <c r="C2156" s="2" t="str">
        <f t="shared" si="67"/>
        <v>Q4</v>
      </c>
      <c r="D2156" s="2" t="s">
        <v>31</v>
      </c>
      <c r="E2156" s="16">
        <v>46028</v>
      </c>
      <c r="F2156" s="2" t="s">
        <v>464</v>
      </c>
      <c r="G2156" s="2" t="s">
        <v>465</v>
      </c>
      <c r="H2156" s="2" t="s">
        <v>86</v>
      </c>
      <c r="I2156" s="19">
        <v>1</v>
      </c>
      <c r="J2156" s="19">
        <v>18</v>
      </c>
      <c r="K2156" s="19">
        <v>178.78</v>
      </c>
      <c r="L2156" s="19">
        <v>3218.0400000000004</v>
      </c>
      <c r="M2156" s="19">
        <v>-247.47</v>
      </c>
      <c r="N2156" s="19">
        <v>0</v>
      </c>
      <c r="O2156" s="19">
        <v>386.17408599999999</v>
      </c>
      <c r="P2156" s="19">
        <v>3356.7440860000002</v>
      </c>
    </row>
    <row r="2157" spans="1:16" ht="15" x14ac:dyDescent="0.2">
      <c r="A2157" s="4" t="s">
        <v>590</v>
      </c>
      <c r="B2157" s="21" t="str">
        <f t="shared" si="66"/>
        <v>Jan-2026</v>
      </c>
      <c r="C2157" s="2" t="str">
        <f t="shared" si="67"/>
        <v>Q4</v>
      </c>
      <c r="D2157" s="2" t="s">
        <v>31</v>
      </c>
      <c r="E2157" s="16">
        <v>46028</v>
      </c>
      <c r="F2157" s="2" t="s">
        <v>464</v>
      </c>
      <c r="G2157" s="2" t="s">
        <v>465</v>
      </c>
      <c r="H2157" s="2" t="s">
        <v>102</v>
      </c>
      <c r="I2157" s="19">
        <v>1</v>
      </c>
      <c r="J2157" s="19">
        <v>20</v>
      </c>
      <c r="K2157" s="19">
        <v>249.55</v>
      </c>
      <c r="L2157" s="19">
        <v>4991</v>
      </c>
      <c r="M2157" s="19">
        <v>-383.81</v>
      </c>
      <c r="N2157" s="19">
        <v>0</v>
      </c>
      <c r="O2157" s="19">
        <v>598.93467800000008</v>
      </c>
      <c r="P2157" s="19">
        <v>5206.1246780000001</v>
      </c>
    </row>
    <row r="2158" spans="1:16" ht="15" x14ac:dyDescent="0.2">
      <c r="A2158" s="4" t="s">
        <v>587</v>
      </c>
      <c r="B2158" s="21" t="str">
        <f t="shared" si="66"/>
        <v>Jan-2026</v>
      </c>
      <c r="C2158" s="2" t="str">
        <f t="shared" si="67"/>
        <v>Q4</v>
      </c>
      <c r="D2158" s="2" t="s">
        <v>31</v>
      </c>
      <c r="E2158" s="16">
        <v>46028</v>
      </c>
      <c r="F2158" s="2" t="s">
        <v>464</v>
      </c>
      <c r="G2158" s="2" t="s">
        <v>465</v>
      </c>
      <c r="H2158" s="2" t="s">
        <v>94</v>
      </c>
      <c r="I2158" s="19">
        <v>1</v>
      </c>
      <c r="J2158" s="19">
        <v>60</v>
      </c>
      <c r="K2158" s="19">
        <v>111.74</v>
      </c>
      <c r="L2158" s="19">
        <v>6704.4</v>
      </c>
      <c r="M2158" s="19">
        <v>-515.57000000000005</v>
      </c>
      <c r="N2158" s="19">
        <v>0</v>
      </c>
      <c r="O2158" s="19">
        <v>804.54786999999999</v>
      </c>
      <c r="P2158" s="19">
        <v>6993.3778700000003</v>
      </c>
    </row>
    <row r="2159" spans="1:16" ht="15" x14ac:dyDescent="0.2">
      <c r="A2159" s="4" t="s">
        <v>582</v>
      </c>
      <c r="B2159" s="21" t="str">
        <f t="shared" si="66"/>
        <v>Jan-2026</v>
      </c>
      <c r="C2159" s="2" t="str">
        <f t="shared" si="67"/>
        <v>Q4</v>
      </c>
      <c r="D2159" s="2" t="s">
        <v>31</v>
      </c>
      <c r="E2159" s="16">
        <v>46028</v>
      </c>
      <c r="F2159" s="2" t="s">
        <v>464</v>
      </c>
      <c r="G2159" s="2" t="s">
        <v>465</v>
      </c>
      <c r="H2159" s="2" t="s">
        <v>108</v>
      </c>
      <c r="I2159" s="19">
        <v>1</v>
      </c>
      <c r="J2159" s="19">
        <v>24</v>
      </c>
      <c r="K2159" s="19">
        <v>186.23</v>
      </c>
      <c r="L2159" s="19">
        <v>4469.5200000000004</v>
      </c>
      <c r="M2159" s="19">
        <v>-343.71</v>
      </c>
      <c r="N2159" s="19">
        <v>0</v>
      </c>
      <c r="O2159" s="19">
        <v>536.35527999999999</v>
      </c>
      <c r="P2159" s="19">
        <v>4662.1652800000002</v>
      </c>
    </row>
    <row r="2160" spans="1:16" ht="15" x14ac:dyDescent="0.2">
      <c r="A2160" s="4" t="s">
        <v>593</v>
      </c>
      <c r="B2160" s="21" t="str">
        <f t="shared" si="66"/>
        <v>Jan-2026</v>
      </c>
      <c r="C2160" s="2" t="str">
        <f t="shared" si="67"/>
        <v>Q4</v>
      </c>
      <c r="D2160" s="2" t="s">
        <v>31</v>
      </c>
      <c r="E2160" s="16">
        <v>46028</v>
      </c>
      <c r="F2160" s="2" t="s">
        <v>464</v>
      </c>
      <c r="G2160" s="2" t="s">
        <v>465</v>
      </c>
      <c r="H2160" s="2" t="s">
        <v>117</v>
      </c>
      <c r="I2160" s="19">
        <v>2</v>
      </c>
      <c r="J2160" s="19">
        <v>8</v>
      </c>
      <c r="K2160" s="19">
        <v>595.94000000000005</v>
      </c>
      <c r="L2160" s="19">
        <v>4767.5200000000004</v>
      </c>
      <c r="M2160" s="19">
        <v>-366.62</v>
      </c>
      <c r="N2160" s="19">
        <v>0</v>
      </c>
      <c r="O2160" s="19">
        <v>572.11697900000001</v>
      </c>
      <c r="P2160" s="19">
        <v>4973.016979</v>
      </c>
    </row>
    <row r="2161" spans="1:16" ht="15" x14ac:dyDescent="0.2">
      <c r="A2161" s="4" t="s">
        <v>574</v>
      </c>
      <c r="B2161" s="21" t="str">
        <f t="shared" si="66"/>
        <v>Jan-2026</v>
      </c>
      <c r="C2161" s="2" t="str">
        <f t="shared" si="67"/>
        <v>Q4</v>
      </c>
      <c r="D2161" s="2" t="s">
        <v>31</v>
      </c>
      <c r="E2161" s="16">
        <v>46028</v>
      </c>
      <c r="F2161" s="2" t="s">
        <v>464</v>
      </c>
      <c r="G2161" s="2" t="s">
        <v>465</v>
      </c>
      <c r="H2161" s="2" t="s">
        <v>84</v>
      </c>
      <c r="I2161" s="19">
        <v>1</v>
      </c>
      <c r="J2161" s="19">
        <v>18</v>
      </c>
      <c r="K2161" s="19">
        <v>178.78</v>
      </c>
      <c r="L2161" s="19">
        <v>3218.0400000000004</v>
      </c>
      <c r="M2161" s="19">
        <v>-247.47</v>
      </c>
      <c r="N2161" s="19">
        <v>0</v>
      </c>
      <c r="O2161" s="19">
        <v>386.17408599999999</v>
      </c>
      <c r="P2161" s="19">
        <v>3356.7440860000002</v>
      </c>
    </row>
    <row r="2162" spans="1:16" ht="15" x14ac:dyDescent="0.2">
      <c r="A2162" s="4" t="s">
        <v>580</v>
      </c>
      <c r="B2162" s="21" t="str">
        <f t="shared" si="66"/>
        <v>Jan-2026</v>
      </c>
      <c r="C2162" s="2" t="str">
        <f t="shared" si="67"/>
        <v>Q4</v>
      </c>
      <c r="D2162" s="2" t="s">
        <v>31</v>
      </c>
      <c r="E2162" s="16">
        <v>46028</v>
      </c>
      <c r="F2162" s="2" t="s">
        <v>464</v>
      </c>
      <c r="G2162" s="2" t="s">
        <v>465</v>
      </c>
      <c r="H2162" s="2" t="s">
        <v>89</v>
      </c>
      <c r="I2162" s="19">
        <v>2</v>
      </c>
      <c r="J2162" s="19">
        <v>140</v>
      </c>
      <c r="K2162" s="19">
        <v>37.25</v>
      </c>
      <c r="L2162" s="19">
        <v>5215</v>
      </c>
      <c r="M2162" s="19">
        <v>-401.03</v>
      </c>
      <c r="N2162" s="19">
        <v>0</v>
      </c>
      <c r="O2162" s="19">
        <v>625.81607700000006</v>
      </c>
      <c r="P2162" s="19">
        <v>5439.7860769999998</v>
      </c>
    </row>
    <row r="2163" spans="1:16" ht="15" x14ac:dyDescent="0.2">
      <c r="A2163" s="4" t="s">
        <v>581</v>
      </c>
      <c r="B2163" s="21" t="str">
        <f t="shared" si="66"/>
        <v>Jan-2026</v>
      </c>
      <c r="C2163" s="2" t="str">
        <f t="shared" si="67"/>
        <v>Q4</v>
      </c>
      <c r="D2163" s="2" t="s">
        <v>31</v>
      </c>
      <c r="E2163" s="16">
        <v>46028</v>
      </c>
      <c r="F2163" s="2" t="s">
        <v>466</v>
      </c>
      <c r="G2163" s="2" t="s">
        <v>465</v>
      </c>
      <c r="H2163" s="2" t="s">
        <v>125</v>
      </c>
      <c r="I2163" s="19">
        <v>1</v>
      </c>
      <c r="J2163" s="19">
        <v>800</v>
      </c>
      <c r="K2163" s="19">
        <v>7.45</v>
      </c>
      <c r="L2163" s="19">
        <v>5962.34</v>
      </c>
      <c r="M2163" s="19">
        <v>-458.5</v>
      </c>
      <c r="N2163" s="19">
        <v>0</v>
      </c>
      <c r="O2163" s="19">
        <v>715.49905000000001</v>
      </c>
      <c r="P2163" s="19">
        <v>6219.3390499999996</v>
      </c>
    </row>
    <row r="2164" spans="1:16" ht="15" x14ac:dyDescent="0.2">
      <c r="A2164" s="4" t="s">
        <v>573</v>
      </c>
      <c r="B2164" s="21" t="str">
        <f t="shared" si="66"/>
        <v>Jan-2026</v>
      </c>
      <c r="C2164" s="2" t="str">
        <f t="shared" si="67"/>
        <v>Q4</v>
      </c>
      <c r="D2164" s="2" t="s">
        <v>31</v>
      </c>
      <c r="E2164" s="16">
        <v>46028</v>
      </c>
      <c r="F2164" s="2" t="s">
        <v>466</v>
      </c>
      <c r="G2164" s="2" t="s">
        <v>465</v>
      </c>
      <c r="H2164" s="2" t="s">
        <v>111</v>
      </c>
      <c r="I2164" s="19">
        <v>2</v>
      </c>
      <c r="J2164" s="19">
        <v>80</v>
      </c>
      <c r="K2164" s="19">
        <v>111.74</v>
      </c>
      <c r="L2164" s="19">
        <v>8939.2000000000007</v>
      </c>
      <c r="M2164" s="19">
        <v>-687.42</v>
      </c>
      <c r="N2164" s="19">
        <v>0</v>
      </c>
      <c r="O2164" s="19">
        <v>1072.731174</v>
      </c>
      <c r="P2164" s="19">
        <v>9324.5111739999993</v>
      </c>
    </row>
    <row r="2165" spans="1:16" ht="15" x14ac:dyDescent="0.2">
      <c r="A2165" s="4" t="s">
        <v>583</v>
      </c>
      <c r="B2165" s="21" t="str">
        <f t="shared" si="66"/>
        <v>Jan-2026</v>
      </c>
      <c r="C2165" s="2" t="str">
        <f t="shared" si="67"/>
        <v>Q4</v>
      </c>
      <c r="D2165" s="2" t="s">
        <v>31</v>
      </c>
      <c r="E2165" s="16">
        <v>46028</v>
      </c>
      <c r="F2165" s="2" t="s">
        <v>466</v>
      </c>
      <c r="G2165" s="2" t="s">
        <v>465</v>
      </c>
      <c r="H2165" s="2" t="s">
        <v>113</v>
      </c>
      <c r="I2165" s="19">
        <v>1</v>
      </c>
      <c r="J2165" s="19">
        <v>15</v>
      </c>
      <c r="K2165" s="19">
        <v>260.72000000000003</v>
      </c>
      <c r="L2165" s="19">
        <v>3910.8</v>
      </c>
      <c r="M2165" s="19">
        <v>-300.74</v>
      </c>
      <c r="N2165" s="19">
        <v>0</v>
      </c>
      <c r="O2165" s="19">
        <v>469.30770099999995</v>
      </c>
      <c r="P2165" s="19">
        <v>4079.3677010000001</v>
      </c>
    </row>
    <row r="2166" spans="1:16" ht="15" x14ac:dyDescent="0.2">
      <c r="A2166" s="4" t="s">
        <v>588</v>
      </c>
      <c r="B2166" s="21" t="str">
        <f t="shared" si="66"/>
        <v>Jan-2026</v>
      </c>
      <c r="C2166" s="2" t="str">
        <f t="shared" si="67"/>
        <v>Q4</v>
      </c>
      <c r="D2166" s="2" t="s">
        <v>31</v>
      </c>
      <c r="E2166" s="16">
        <v>46028</v>
      </c>
      <c r="F2166" s="2" t="s">
        <v>466</v>
      </c>
      <c r="G2166" s="2" t="s">
        <v>465</v>
      </c>
      <c r="H2166" s="2" t="s">
        <v>95</v>
      </c>
      <c r="I2166" s="19">
        <v>1</v>
      </c>
      <c r="J2166" s="19">
        <v>60</v>
      </c>
      <c r="K2166" s="19">
        <v>111.74</v>
      </c>
      <c r="L2166" s="19">
        <v>6704.4</v>
      </c>
      <c r="M2166" s="19">
        <v>-515.57000000000005</v>
      </c>
      <c r="N2166" s="19">
        <v>0</v>
      </c>
      <c r="O2166" s="19">
        <v>804.547731</v>
      </c>
      <c r="P2166" s="19">
        <v>6993.3777309999996</v>
      </c>
    </row>
    <row r="2167" spans="1:16" ht="15" x14ac:dyDescent="0.2">
      <c r="A2167" s="4" t="s">
        <v>583</v>
      </c>
      <c r="B2167" s="21" t="str">
        <f t="shared" si="66"/>
        <v>Jan-2026</v>
      </c>
      <c r="C2167" s="2" t="str">
        <f t="shared" si="67"/>
        <v>Q4</v>
      </c>
      <c r="D2167" s="2" t="s">
        <v>31</v>
      </c>
      <c r="E2167" s="16">
        <v>46028</v>
      </c>
      <c r="F2167" s="2" t="s">
        <v>466</v>
      </c>
      <c r="G2167" s="2" t="s">
        <v>465</v>
      </c>
      <c r="H2167" s="2" t="s">
        <v>109</v>
      </c>
      <c r="I2167" s="19">
        <v>1</v>
      </c>
      <c r="J2167" s="19">
        <v>15</v>
      </c>
      <c r="K2167" s="19">
        <v>260.72000000000003</v>
      </c>
      <c r="L2167" s="19">
        <v>3910.8</v>
      </c>
      <c r="M2167" s="19">
        <v>-300.74</v>
      </c>
      <c r="N2167" s="19">
        <v>0</v>
      </c>
      <c r="O2167" s="19">
        <v>469.30770099999995</v>
      </c>
      <c r="P2167" s="19">
        <v>4079.3677010000001</v>
      </c>
    </row>
    <row r="2168" spans="1:16" ht="15" x14ac:dyDescent="0.2">
      <c r="A2168" s="4" t="s">
        <v>582</v>
      </c>
      <c r="B2168" s="21" t="str">
        <f t="shared" si="66"/>
        <v>Jan-2026</v>
      </c>
      <c r="C2168" s="2" t="str">
        <f t="shared" si="67"/>
        <v>Q4</v>
      </c>
      <c r="D2168" s="2" t="s">
        <v>31</v>
      </c>
      <c r="E2168" s="16">
        <v>46028</v>
      </c>
      <c r="F2168" s="2" t="s">
        <v>466</v>
      </c>
      <c r="G2168" s="2" t="s">
        <v>465</v>
      </c>
      <c r="H2168" s="2" t="s">
        <v>101</v>
      </c>
      <c r="I2168" s="19">
        <v>1</v>
      </c>
      <c r="J2168" s="19">
        <v>24</v>
      </c>
      <c r="K2168" s="19">
        <v>186.23</v>
      </c>
      <c r="L2168" s="19">
        <v>4469.5200000000004</v>
      </c>
      <c r="M2168" s="19">
        <v>-343.71</v>
      </c>
      <c r="N2168" s="19">
        <v>0</v>
      </c>
      <c r="O2168" s="19">
        <v>536.355187</v>
      </c>
      <c r="P2168" s="19">
        <v>4662.1651869999996</v>
      </c>
    </row>
    <row r="2169" spans="1:16" ht="15" x14ac:dyDescent="0.2">
      <c r="A2169" s="4" t="s">
        <v>589</v>
      </c>
      <c r="B2169" s="21" t="str">
        <f t="shared" si="66"/>
        <v>Jan-2026</v>
      </c>
      <c r="C2169" s="2" t="str">
        <f t="shared" si="67"/>
        <v>Q4</v>
      </c>
      <c r="D2169" s="2" t="s">
        <v>31</v>
      </c>
      <c r="E2169" s="16">
        <v>46028</v>
      </c>
      <c r="F2169" s="2" t="s">
        <v>466</v>
      </c>
      <c r="G2169" s="2" t="s">
        <v>465</v>
      </c>
      <c r="H2169" s="2" t="s">
        <v>98</v>
      </c>
      <c r="I2169" s="19">
        <v>1</v>
      </c>
      <c r="J2169" s="19">
        <v>60</v>
      </c>
      <c r="K2169" s="19">
        <v>145.26</v>
      </c>
      <c r="L2169" s="19">
        <v>8715.6</v>
      </c>
      <c r="M2169" s="19">
        <v>-670.23</v>
      </c>
      <c r="N2169" s="19">
        <v>0</v>
      </c>
      <c r="O2169" s="19">
        <v>1045.89788</v>
      </c>
      <c r="P2169" s="19">
        <v>9091.2678799999994</v>
      </c>
    </row>
    <row r="2170" spans="1:16" ht="15" x14ac:dyDescent="0.2">
      <c r="A2170" s="4" t="s">
        <v>576</v>
      </c>
      <c r="B2170" s="21" t="str">
        <f t="shared" si="66"/>
        <v>Jan-2026</v>
      </c>
      <c r="C2170" s="2" t="str">
        <f t="shared" si="67"/>
        <v>Q4</v>
      </c>
      <c r="D2170" s="2" t="s">
        <v>31</v>
      </c>
      <c r="E2170" s="16">
        <v>46028</v>
      </c>
      <c r="F2170" s="2" t="s">
        <v>466</v>
      </c>
      <c r="G2170" s="2" t="s">
        <v>465</v>
      </c>
      <c r="H2170" s="2" t="s">
        <v>110</v>
      </c>
      <c r="I2170" s="19">
        <v>1</v>
      </c>
      <c r="J2170" s="19">
        <v>20</v>
      </c>
      <c r="K2170" s="19">
        <v>175.05</v>
      </c>
      <c r="L2170" s="19">
        <v>3500.9999999999995</v>
      </c>
      <c r="M2170" s="19">
        <v>-269.23</v>
      </c>
      <c r="N2170" s="19">
        <v>0</v>
      </c>
      <c r="O2170" s="19">
        <v>420.13001200000002</v>
      </c>
      <c r="P2170" s="19">
        <v>3651.9000120000001</v>
      </c>
    </row>
    <row r="2171" spans="1:16" ht="15" x14ac:dyDescent="0.2">
      <c r="A2171" s="4" t="s">
        <v>573</v>
      </c>
      <c r="B2171" s="21" t="str">
        <f t="shared" si="66"/>
        <v>Jan-2026</v>
      </c>
      <c r="C2171" s="2" t="str">
        <f t="shared" si="67"/>
        <v>Q4</v>
      </c>
      <c r="D2171" s="2" t="s">
        <v>31</v>
      </c>
      <c r="E2171" s="16">
        <v>46028</v>
      </c>
      <c r="F2171" s="2" t="s">
        <v>466</v>
      </c>
      <c r="G2171" s="2" t="s">
        <v>465</v>
      </c>
      <c r="H2171" s="2" t="s">
        <v>138</v>
      </c>
      <c r="I2171" s="19">
        <v>1</v>
      </c>
      <c r="J2171" s="19">
        <v>40</v>
      </c>
      <c r="K2171" s="19">
        <v>111.74</v>
      </c>
      <c r="L2171" s="19">
        <v>4469.6000000000004</v>
      </c>
      <c r="M2171" s="19">
        <v>-343.71</v>
      </c>
      <c r="N2171" s="19">
        <v>0</v>
      </c>
      <c r="O2171" s="19">
        <v>536.365587</v>
      </c>
      <c r="P2171" s="19">
        <v>4662.2555869999997</v>
      </c>
    </row>
    <row r="2172" spans="1:16" ht="15" x14ac:dyDescent="0.2">
      <c r="A2172" s="4" t="s">
        <v>586</v>
      </c>
      <c r="B2172" s="21" t="str">
        <f t="shared" si="66"/>
        <v>Jan-2026</v>
      </c>
      <c r="C2172" s="2" t="str">
        <f t="shared" si="67"/>
        <v>Q4</v>
      </c>
      <c r="D2172" s="2" t="s">
        <v>31</v>
      </c>
      <c r="E2172" s="16">
        <v>46028</v>
      </c>
      <c r="F2172" s="2" t="s">
        <v>466</v>
      </c>
      <c r="G2172" s="2" t="s">
        <v>465</v>
      </c>
      <c r="H2172" s="2" t="s">
        <v>103</v>
      </c>
      <c r="I2172" s="19">
        <v>1</v>
      </c>
      <c r="J2172" s="19">
        <v>600</v>
      </c>
      <c r="K2172" s="19">
        <v>7.46</v>
      </c>
      <c r="L2172" s="19">
        <v>4476</v>
      </c>
      <c r="M2172" s="19">
        <v>-344.2</v>
      </c>
      <c r="N2172" s="19">
        <v>0</v>
      </c>
      <c r="O2172" s="19">
        <v>537.13388699999996</v>
      </c>
      <c r="P2172" s="19">
        <v>4668.9338870000001</v>
      </c>
    </row>
    <row r="2173" spans="1:16" ht="15" x14ac:dyDescent="0.2">
      <c r="A2173" s="4" t="s">
        <v>576</v>
      </c>
      <c r="B2173" s="21" t="str">
        <f t="shared" si="66"/>
        <v>Jan-2026</v>
      </c>
      <c r="C2173" s="2" t="str">
        <f t="shared" si="67"/>
        <v>Q4</v>
      </c>
      <c r="D2173" s="2" t="s">
        <v>31</v>
      </c>
      <c r="E2173" s="16">
        <v>46028</v>
      </c>
      <c r="F2173" s="2" t="s">
        <v>466</v>
      </c>
      <c r="G2173" s="2" t="s">
        <v>465</v>
      </c>
      <c r="H2173" s="2" t="s">
        <v>124</v>
      </c>
      <c r="I2173" s="19">
        <v>1</v>
      </c>
      <c r="J2173" s="19">
        <v>20</v>
      </c>
      <c r="K2173" s="19">
        <v>175.05</v>
      </c>
      <c r="L2173" s="19">
        <v>3500.9999999999995</v>
      </c>
      <c r="M2173" s="19">
        <v>-269.23</v>
      </c>
      <c r="N2173" s="19">
        <v>0</v>
      </c>
      <c r="O2173" s="19">
        <v>420.13001200000002</v>
      </c>
      <c r="P2173" s="19">
        <v>3651.9000120000001</v>
      </c>
    </row>
    <row r="2174" spans="1:16" ht="15" x14ac:dyDescent="0.2">
      <c r="A2174" s="4" t="s">
        <v>589</v>
      </c>
      <c r="B2174" s="21" t="str">
        <f t="shared" si="66"/>
        <v>Jan-2026</v>
      </c>
      <c r="C2174" s="2" t="str">
        <f t="shared" si="67"/>
        <v>Q4</v>
      </c>
      <c r="D2174" s="2" t="s">
        <v>31</v>
      </c>
      <c r="E2174" s="16">
        <v>46028</v>
      </c>
      <c r="F2174" s="2" t="s">
        <v>466</v>
      </c>
      <c r="G2174" s="2" t="s">
        <v>465</v>
      </c>
      <c r="H2174" s="2" t="s">
        <v>105</v>
      </c>
      <c r="I2174" s="19">
        <v>1</v>
      </c>
      <c r="J2174" s="19">
        <v>30</v>
      </c>
      <c r="K2174" s="19">
        <v>316.58999999999997</v>
      </c>
      <c r="L2174" s="19">
        <v>9497.6999999999989</v>
      </c>
      <c r="M2174" s="19">
        <v>-730.36999999999989</v>
      </c>
      <c r="N2174" s="19">
        <v>0</v>
      </c>
      <c r="O2174" s="19">
        <v>1139.7526600000001</v>
      </c>
      <c r="P2174" s="19">
        <v>9907.08266</v>
      </c>
    </row>
    <row r="2175" spans="1:16" ht="15" x14ac:dyDescent="0.2">
      <c r="A2175" s="4" t="s">
        <v>584</v>
      </c>
      <c r="B2175" s="21" t="str">
        <f t="shared" si="66"/>
        <v>Jan-2026</v>
      </c>
      <c r="C2175" s="2" t="str">
        <f t="shared" si="67"/>
        <v>Q4</v>
      </c>
      <c r="D2175" s="2" t="s">
        <v>31</v>
      </c>
      <c r="E2175" s="16">
        <v>46028</v>
      </c>
      <c r="F2175" s="2" t="s">
        <v>466</v>
      </c>
      <c r="G2175" s="2" t="s">
        <v>465</v>
      </c>
      <c r="H2175" s="2" t="s">
        <v>120</v>
      </c>
      <c r="I2175" s="19">
        <v>1</v>
      </c>
      <c r="J2175" s="19">
        <v>40</v>
      </c>
      <c r="K2175" s="19">
        <v>81.94</v>
      </c>
      <c r="L2175" s="19">
        <v>3277.6</v>
      </c>
      <c r="M2175" s="19">
        <v>-252.05</v>
      </c>
      <c r="N2175" s="19">
        <v>0</v>
      </c>
      <c r="O2175" s="19">
        <v>393.32141700000005</v>
      </c>
      <c r="P2175" s="19">
        <v>3418.8714169999998</v>
      </c>
    </row>
    <row r="2176" spans="1:16" ht="15" x14ac:dyDescent="0.2">
      <c r="A2176" s="4" t="s">
        <v>581</v>
      </c>
      <c r="B2176" s="21" t="str">
        <f t="shared" si="66"/>
        <v>Jan-2026</v>
      </c>
      <c r="C2176" s="2" t="str">
        <f t="shared" si="67"/>
        <v>Q4</v>
      </c>
      <c r="D2176" s="2" t="s">
        <v>31</v>
      </c>
      <c r="E2176" s="16">
        <v>46028</v>
      </c>
      <c r="F2176" s="2" t="s">
        <v>467</v>
      </c>
      <c r="G2176" s="2" t="s">
        <v>25</v>
      </c>
      <c r="H2176" s="2" t="s">
        <v>96</v>
      </c>
      <c r="I2176" s="19">
        <v>5</v>
      </c>
      <c r="J2176" s="19">
        <v>200</v>
      </c>
      <c r="K2176" s="19">
        <v>66.37</v>
      </c>
      <c r="L2176" s="19">
        <v>13274</v>
      </c>
      <c r="M2176" s="19">
        <v>0</v>
      </c>
      <c r="N2176" s="19">
        <v>0</v>
      </c>
      <c r="O2176" s="19">
        <v>1725.62</v>
      </c>
      <c r="P2176" s="19">
        <v>14999.62</v>
      </c>
    </row>
    <row r="2177" spans="1:16" ht="15" x14ac:dyDescent="0.2">
      <c r="A2177" s="4" t="s">
        <v>589</v>
      </c>
      <c r="B2177" s="21" t="str">
        <f t="shared" si="66"/>
        <v>Jan-2026</v>
      </c>
      <c r="C2177" s="2" t="str">
        <f t="shared" si="67"/>
        <v>Q4</v>
      </c>
      <c r="D2177" s="2" t="s">
        <v>31</v>
      </c>
      <c r="E2177" s="16">
        <v>46033</v>
      </c>
      <c r="F2177" s="2" t="s">
        <v>468</v>
      </c>
      <c r="G2177" s="2" t="s">
        <v>25</v>
      </c>
      <c r="H2177" s="2" t="s">
        <v>98</v>
      </c>
      <c r="I2177" s="19">
        <v>1</v>
      </c>
      <c r="J2177" s="19">
        <v>60</v>
      </c>
      <c r="K2177" s="19">
        <v>129.41999999999999</v>
      </c>
      <c r="L2177" s="19">
        <v>7765.2</v>
      </c>
      <c r="M2177" s="19">
        <v>0</v>
      </c>
      <c r="N2177" s="19">
        <v>0</v>
      </c>
      <c r="O2177" s="19">
        <v>1009.48</v>
      </c>
      <c r="P2177" s="19">
        <v>8774.68</v>
      </c>
    </row>
    <row r="2178" spans="1:16" ht="15" x14ac:dyDescent="0.2">
      <c r="A2178" s="4" t="s">
        <v>587</v>
      </c>
      <c r="B2178" s="21" t="str">
        <f t="shared" si="66"/>
        <v>Jan-2026</v>
      </c>
      <c r="C2178" s="2" t="str">
        <f t="shared" si="67"/>
        <v>Q4</v>
      </c>
      <c r="D2178" s="2" t="s">
        <v>31</v>
      </c>
      <c r="E2178" s="16">
        <v>46033</v>
      </c>
      <c r="F2178" s="2" t="s">
        <v>469</v>
      </c>
      <c r="G2178" s="2" t="s">
        <v>12</v>
      </c>
      <c r="H2178" s="2" t="s">
        <v>94</v>
      </c>
      <c r="I2178" s="19">
        <v>3</v>
      </c>
      <c r="J2178" s="19">
        <v>180</v>
      </c>
      <c r="K2178" s="19">
        <v>111.74</v>
      </c>
      <c r="L2178" s="19">
        <v>20113.2</v>
      </c>
      <c r="M2178" s="19">
        <v>-1546.71</v>
      </c>
      <c r="N2178" s="19">
        <v>0</v>
      </c>
      <c r="O2178" s="19">
        <v>2413.6450000000004</v>
      </c>
      <c r="P2178" s="19">
        <v>20980.134999999998</v>
      </c>
    </row>
    <row r="2179" spans="1:16" ht="15" x14ac:dyDescent="0.2">
      <c r="A2179" s="4" t="s">
        <v>588</v>
      </c>
      <c r="B2179" s="21" t="str">
        <f t="shared" ref="B2179:B2242" si="68">+TEXT(E2179,"MMM-yyy")</f>
        <v>Jan-2026</v>
      </c>
      <c r="C2179" s="2" t="str">
        <f t="shared" ref="C2179:C2242" si="69">"Q" &amp; CHOOSE(MONTH(E2179),4,4,4,1,1,1,2,2,2,3,3,3)</f>
        <v>Q4</v>
      </c>
      <c r="D2179" s="2" t="s">
        <v>31</v>
      </c>
      <c r="E2179" s="16">
        <v>46033</v>
      </c>
      <c r="F2179" s="2" t="s">
        <v>469</v>
      </c>
      <c r="G2179" s="2" t="s">
        <v>12</v>
      </c>
      <c r="H2179" s="2" t="s">
        <v>95</v>
      </c>
      <c r="I2179" s="19">
        <v>3</v>
      </c>
      <c r="J2179" s="19">
        <v>180</v>
      </c>
      <c r="K2179" s="19">
        <v>111.74</v>
      </c>
      <c r="L2179" s="19">
        <v>20113.2</v>
      </c>
      <c r="M2179" s="19">
        <v>-1546.71</v>
      </c>
      <c r="N2179" s="19">
        <v>0</v>
      </c>
      <c r="O2179" s="19">
        <v>2413.6450000000004</v>
      </c>
      <c r="P2179" s="19">
        <v>20980.134999999998</v>
      </c>
    </row>
    <row r="2180" spans="1:16" ht="15" x14ac:dyDescent="0.2">
      <c r="A2180" s="4" t="s">
        <v>581</v>
      </c>
      <c r="B2180" s="21" t="str">
        <f t="shared" si="68"/>
        <v>Jan-2026</v>
      </c>
      <c r="C2180" s="2" t="str">
        <f t="shared" si="69"/>
        <v>Q4</v>
      </c>
      <c r="D2180" s="2" t="s">
        <v>31</v>
      </c>
      <c r="E2180" s="16">
        <v>46033</v>
      </c>
      <c r="F2180" s="2" t="s">
        <v>470</v>
      </c>
      <c r="G2180" s="2" t="s">
        <v>380</v>
      </c>
      <c r="H2180" s="2" t="s">
        <v>96</v>
      </c>
      <c r="I2180" s="19">
        <v>3</v>
      </c>
      <c r="J2180" s="19">
        <v>120</v>
      </c>
      <c r="K2180" s="19">
        <v>74.489999999999995</v>
      </c>
      <c r="L2180" s="19">
        <v>8938.8000000000011</v>
      </c>
      <c r="M2180" s="19">
        <v>-687.3900000000001</v>
      </c>
      <c r="N2180" s="19">
        <v>0</v>
      </c>
      <c r="O2180" s="19">
        <v>1072.68</v>
      </c>
      <c r="P2180" s="19">
        <v>9324.09</v>
      </c>
    </row>
    <row r="2181" spans="1:16" ht="15" x14ac:dyDescent="0.2">
      <c r="A2181" s="4" t="s">
        <v>593</v>
      </c>
      <c r="B2181" s="21" t="str">
        <f t="shared" si="68"/>
        <v>Jan-2026</v>
      </c>
      <c r="C2181" s="2" t="str">
        <f t="shared" si="69"/>
        <v>Q4</v>
      </c>
      <c r="D2181" s="2" t="s">
        <v>31</v>
      </c>
      <c r="E2181" s="16">
        <v>46033</v>
      </c>
      <c r="F2181" s="2" t="s">
        <v>471</v>
      </c>
      <c r="G2181" s="2" t="s">
        <v>22</v>
      </c>
      <c r="H2181" s="2" t="s">
        <v>117</v>
      </c>
      <c r="I2181" s="19">
        <v>20</v>
      </c>
      <c r="J2181" s="19">
        <v>80</v>
      </c>
      <c r="K2181" s="19">
        <v>595.94000000000005</v>
      </c>
      <c r="L2181" s="19">
        <v>47675.199999999997</v>
      </c>
      <c r="M2181" s="19">
        <v>-3666.2200000000003</v>
      </c>
      <c r="N2181" s="19">
        <v>0</v>
      </c>
      <c r="O2181" s="19">
        <v>5721.17</v>
      </c>
      <c r="P2181" s="19">
        <v>49730.15</v>
      </c>
    </row>
    <row r="2182" spans="1:16" ht="15" x14ac:dyDescent="0.2">
      <c r="A2182" s="4" t="s">
        <v>580</v>
      </c>
      <c r="B2182" s="21" t="str">
        <f t="shared" si="68"/>
        <v>Jan-2026</v>
      </c>
      <c r="C2182" s="2" t="str">
        <f t="shared" si="69"/>
        <v>Q4</v>
      </c>
      <c r="D2182" s="2" t="s">
        <v>31</v>
      </c>
      <c r="E2182" s="16">
        <v>46033</v>
      </c>
      <c r="F2182" s="2" t="s">
        <v>472</v>
      </c>
      <c r="G2182" s="2" t="s">
        <v>15</v>
      </c>
      <c r="H2182" s="2" t="s">
        <v>89</v>
      </c>
      <c r="I2182" s="19">
        <v>2</v>
      </c>
      <c r="J2182" s="19">
        <v>140</v>
      </c>
      <c r="K2182" s="19">
        <v>37.25</v>
      </c>
      <c r="L2182" s="19">
        <v>5215</v>
      </c>
      <c r="M2182" s="19">
        <v>-401.03</v>
      </c>
      <c r="N2182" s="19">
        <v>0</v>
      </c>
      <c r="O2182" s="19">
        <v>625.81644699999993</v>
      </c>
      <c r="P2182" s="19">
        <v>5439.7864470000004</v>
      </c>
    </row>
    <row r="2183" spans="1:16" ht="15" x14ac:dyDescent="0.2">
      <c r="A2183" s="4" t="s">
        <v>584</v>
      </c>
      <c r="B2183" s="21" t="str">
        <f t="shared" si="68"/>
        <v>Jan-2026</v>
      </c>
      <c r="C2183" s="2" t="str">
        <f t="shared" si="69"/>
        <v>Q4</v>
      </c>
      <c r="D2183" s="2" t="s">
        <v>31</v>
      </c>
      <c r="E2183" s="16">
        <v>46033</v>
      </c>
      <c r="F2183" s="2" t="s">
        <v>472</v>
      </c>
      <c r="G2183" s="2" t="s">
        <v>15</v>
      </c>
      <c r="H2183" s="2" t="s">
        <v>99</v>
      </c>
      <c r="I2183" s="19">
        <v>1</v>
      </c>
      <c r="J2183" s="19">
        <v>40</v>
      </c>
      <c r="K2183" s="19">
        <v>81.94</v>
      </c>
      <c r="L2183" s="19">
        <v>3277.6</v>
      </c>
      <c r="M2183" s="19">
        <v>-252.05</v>
      </c>
      <c r="N2183" s="19">
        <v>0</v>
      </c>
      <c r="O2183" s="19">
        <v>393.32171799999998</v>
      </c>
      <c r="P2183" s="19">
        <v>3418.8717179999999</v>
      </c>
    </row>
    <row r="2184" spans="1:16" ht="15" x14ac:dyDescent="0.2">
      <c r="A2184" s="4" t="s">
        <v>580</v>
      </c>
      <c r="B2184" s="21" t="str">
        <f t="shared" si="68"/>
        <v>Jan-2026</v>
      </c>
      <c r="C2184" s="2" t="str">
        <f t="shared" si="69"/>
        <v>Q4</v>
      </c>
      <c r="D2184" s="2" t="s">
        <v>31</v>
      </c>
      <c r="E2184" s="16">
        <v>46033</v>
      </c>
      <c r="F2184" s="2" t="s">
        <v>472</v>
      </c>
      <c r="G2184" s="2" t="s">
        <v>15</v>
      </c>
      <c r="H2184" s="2" t="s">
        <v>65</v>
      </c>
      <c r="I2184" s="19">
        <v>1</v>
      </c>
      <c r="J2184" s="19">
        <v>130</v>
      </c>
      <c r="K2184" s="19">
        <v>37.25</v>
      </c>
      <c r="L2184" s="19">
        <v>4842.5</v>
      </c>
      <c r="M2184" s="19">
        <v>-372.39</v>
      </c>
      <c r="N2184" s="19">
        <v>0</v>
      </c>
      <c r="O2184" s="19">
        <v>581.11462300000005</v>
      </c>
      <c r="P2184" s="19">
        <v>5051.2246230000001</v>
      </c>
    </row>
    <row r="2185" spans="1:16" ht="15" x14ac:dyDescent="0.2">
      <c r="A2185" s="4" t="s">
        <v>589</v>
      </c>
      <c r="B2185" s="21" t="str">
        <f t="shared" si="68"/>
        <v>Jan-2026</v>
      </c>
      <c r="C2185" s="2" t="str">
        <f t="shared" si="69"/>
        <v>Q4</v>
      </c>
      <c r="D2185" s="2" t="s">
        <v>31</v>
      </c>
      <c r="E2185" s="16">
        <v>46033</v>
      </c>
      <c r="F2185" s="2" t="s">
        <v>472</v>
      </c>
      <c r="G2185" s="2" t="s">
        <v>15</v>
      </c>
      <c r="H2185" s="2" t="s">
        <v>98</v>
      </c>
      <c r="I2185" s="19">
        <v>1</v>
      </c>
      <c r="J2185" s="19">
        <v>60</v>
      </c>
      <c r="K2185" s="19">
        <v>145.26</v>
      </c>
      <c r="L2185" s="19">
        <v>8715.6</v>
      </c>
      <c r="M2185" s="19">
        <v>-670.23</v>
      </c>
      <c r="N2185" s="19">
        <v>0</v>
      </c>
      <c r="O2185" s="19">
        <v>1045.8986809999999</v>
      </c>
      <c r="P2185" s="19">
        <v>9091.2686809999996</v>
      </c>
    </row>
    <row r="2186" spans="1:16" ht="15" x14ac:dyDescent="0.2">
      <c r="A2186" s="4" t="s">
        <v>576</v>
      </c>
      <c r="B2186" s="21" t="str">
        <f t="shared" si="68"/>
        <v>Jan-2026</v>
      </c>
      <c r="C2186" s="2" t="str">
        <f t="shared" si="69"/>
        <v>Q4</v>
      </c>
      <c r="D2186" s="2" t="s">
        <v>31</v>
      </c>
      <c r="E2186" s="16">
        <v>46033</v>
      </c>
      <c r="F2186" s="2" t="s">
        <v>472</v>
      </c>
      <c r="G2186" s="2" t="s">
        <v>15</v>
      </c>
      <c r="H2186" s="2" t="s">
        <v>124</v>
      </c>
      <c r="I2186" s="19">
        <v>1</v>
      </c>
      <c r="J2186" s="19">
        <v>20</v>
      </c>
      <c r="K2186" s="19">
        <v>175.05</v>
      </c>
      <c r="L2186" s="19">
        <v>3500.9999999999995</v>
      </c>
      <c r="M2186" s="19">
        <v>-269.23</v>
      </c>
      <c r="N2186" s="19">
        <v>0</v>
      </c>
      <c r="O2186" s="19">
        <v>420.13033300000001</v>
      </c>
      <c r="P2186" s="19">
        <v>3651.900333</v>
      </c>
    </row>
    <row r="2187" spans="1:16" ht="15" x14ac:dyDescent="0.2">
      <c r="A2187" s="4" t="s">
        <v>581</v>
      </c>
      <c r="B2187" s="21" t="str">
        <f t="shared" si="68"/>
        <v>Jan-2026</v>
      </c>
      <c r="C2187" s="2" t="str">
        <f t="shared" si="69"/>
        <v>Q4</v>
      </c>
      <c r="D2187" s="2" t="s">
        <v>31</v>
      </c>
      <c r="E2187" s="16">
        <v>46033</v>
      </c>
      <c r="F2187" s="2" t="s">
        <v>472</v>
      </c>
      <c r="G2187" s="2" t="s">
        <v>15</v>
      </c>
      <c r="H2187" s="2" t="s">
        <v>125</v>
      </c>
      <c r="I2187" s="19">
        <v>1</v>
      </c>
      <c r="J2187" s="19">
        <v>800</v>
      </c>
      <c r="K2187" s="19">
        <v>7.46</v>
      </c>
      <c r="L2187" s="19">
        <v>5968</v>
      </c>
      <c r="M2187" s="19">
        <v>-458.94</v>
      </c>
      <c r="N2187" s="19">
        <v>0</v>
      </c>
      <c r="O2187" s="19">
        <v>716.17819800000007</v>
      </c>
      <c r="P2187" s="19">
        <v>6225.238198</v>
      </c>
    </row>
    <row r="2188" spans="1:16" ht="15" x14ac:dyDescent="0.2">
      <c r="A2188" s="4" t="s">
        <v>589</v>
      </c>
      <c r="B2188" s="21" t="str">
        <f t="shared" si="68"/>
        <v>Jan-2026</v>
      </c>
      <c r="C2188" s="2" t="str">
        <f t="shared" si="69"/>
        <v>Q4</v>
      </c>
      <c r="D2188" s="2" t="s">
        <v>31</v>
      </c>
      <c r="E2188" s="16">
        <v>46035</v>
      </c>
      <c r="F2188" s="2" t="s">
        <v>473</v>
      </c>
      <c r="G2188" s="2" t="s">
        <v>25</v>
      </c>
      <c r="H2188" s="2" t="s">
        <v>98</v>
      </c>
      <c r="I2188" s="19">
        <v>1</v>
      </c>
      <c r="J2188" s="19">
        <v>60</v>
      </c>
      <c r="K2188" s="19">
        <v>129.41999999999999</v>
      </c>
      <c r="L2188" s="19">
        <v>7765.2</v>
      </c>
      <c r="M2188" s="19">
        <v>0</v>
      </c>
      <c r="N2188" s="19">
        <v>0</v>
      </c>
      <c r="O2188" s="19">
        <v>1009.475155</v>
      </c>
      <c r="P2188" s="19">
        <v>8774.6751550000008</v>
      </c>
    </row>
    <row r="2189" spans="1:16" ht="15" x14ac:dyDescent="0.2">
      <c r="A2189" s="4" t="s">
        <v>581</v>
      </c>
      <c r="B2189" s="21" t="str">
        <f t="shared" si="68"/>
        <v>Jan-2026</v>
      </c>
      <c r="C2189" s="2" t="str">
        <f t="shared" si="69"/>
        <v>Q4</v>
      </c>
      <c r="D2189" s="2" t="s">
        <v>31</v>
      </c>
      <c r="E2189" s="16">
        <v>46035</v>
      </c>
      <c r="F2189" s="2" t="s">
        <v>473</v>
      </c>
      <c r="G2189" s="2" t="s">
        <v>25</v>
      </c>
      <c r="H2189" s="2" t="s">
        <v>96</v>
      </c>
      <c r="I2189" s="19">
        <v>4</v>
      </c>
      <c r="J2189" s="19">
        <v>160</v>
      </c>
      <c r="K2189" s="19">
        <v>66.37</v>
      </c>
      <c r="L2189" s="19">
        <v>10619.2</v>
      </c>
      <c r="M2189" s="19">
        <v>0</v>
      </c>
      <c r="N2189" s="19">
        <v>0</v>
      </c>
      <c r="O2189" s="19">
        <v>1380.4948449999999</v>
      </c>
      <c r="P2189" s="19">
        <v>11999.694845</v>
      </c>
    </row>
    <row r="2190" spans="1:16" ht="15" x14ac:dyDescent="0.2">
      <c r="A2190" s="4" t="s">
        <v>576</v>
      </c>
      <c r="B2190" s="21" t="str">
        <f t="shared" si="68"/>
        <v>Jan-2026</v>
      </c>
      <c r="C2190" s="2" t="str">
        <f t="shared" si="69"/>
        <v>Q4</v>
      </c>
      <c r="D2190" s="2" t="s">
        <v>31</v>
      </c>
      <c r="E2190" s="16">
        <v>46035</v>
      </c>
      <c r="F2190" s="2" t="s">
        <v>474</v>
      </c>
      <c r="G2190" s="2" t="s">
        <v>51</v>
      </c>
      <c r="H2190" s="2" t="s">
        <v>123</v>
      </c>
      <c r="I2190" s="19">
        <v>-0.1</v>
      </c>
      <c r="J2190" s="19">
        <v>-2</v>
      </c>
      <c r="K2190" s="19">
        <v>175.05</v>
      </c>
      <c r="L2190" s="19">
        <v>-350.1</v>
      </c>
      <c r="M2190" s="19">
        <v>26.92</v>
      </c>
      <c r="N2190" s="19">
        <v>0</v>
      </c>
      <c r="O2190" s="19">
        <v>-42.016155000000005</v>
      </c>
      <c r="P2190" s="19">
        <v>-365.19615499999998</v>
      </c>
    </row>
    <row r="2191" spans="1:16" ht="15" x14ac:dyDescent="0.2">
      <c r="A2191" s="4" t="s">
        <v>584</v>
      </c>
      <c r="B2191" s="21" t="str">
        <f t="shared" si="68"/>
        <v>Jan-2026</v>
      </c>
      <c r="C2191" s="2" t="str">
        <f t="shared" si="69"/>
        <v>Q4</v>
      </c>
      <c r="D2191" s="2" t="s">
        <v>31</v>
      </c>
      <c r="E2191" s="16">
        <v>46035</v>
      </c>
      <c r="F2191" s="2" t="s">
        <v>474</v>
      </c>
      <c r="G2191" s="2" t="s">
        <v>51</v>
      </c>
      <c r="H2191" s="2" t="s">
        <v>99</v>
      </c>
      <c r="I2191" s="19">
        <v>-0.03</v>
      </c>
      <c r="J2191" s="19">
        <v>-1</v>
      </c>
      <c r="K2191" s="19">
        <v>81.94</v>
      </c>
      <c r="L2191" s="19">
        <v>-81.94</v>
      </c>
      <c r="M2191" s="19">
        <v>6.3</v>
      </c>
      <c r="N2191" s="19">
        <v>0</v>
      </c>
      <c r="O2191" s="19">
        <v>-9.8338450000000002</v>
      </c>
      <c r="P2191" s="19">
        <v>-85.473844999999997</v>
      </c>
    </row>
    <row r="2192" spans="1:16" ht="15" x14ac:dyDescent="0.2">
      <c r="A2192" s="4" t="s">
        <v>576</v>
      </c>
      <c r="B2192" s="21" t="str">
        <f t="shared" si="68"/>
        <v>Jan-2026</v>
      </c>
      <c r="C2192" s="2" t="str">
        <f t="shared" si="69"/>
        <v>Q4</v>
      </c>
      <c r="D2192" s="2" t="s">
        <v>31</v>
      </c>
      <c r="E2192" s="16">
        <v>46035</v>
      </c>
      <c r="F2192" s="2" t="s">
        <v>475</v>
      </c>
      <c r="G2192" s="2" t="s">
        <v>51</v>
      </c>
      <c r="H2192" s="2" t="s">
        <v>124</v>
      </c>
      <c r="I2192" s="19">
        <v>-1</v>
      </c>
      <c r="J2192" s="19">
        <v>-20</v>
      </c>
      <c r="K2192" s="19">
        <v>175.05</v>
      </c>
      <c r="L2192" s="19">
        <v>-3500.9999999999995</v>
      </c>
      <c r="M2192" s="19">
        <v>269.23</v>
      </c>
      <c r="N2192" s="19">
        <v>0</v>
      </c>
      <c r="O2192" s="19">
        <v>-420.13014799999996</v>
      </c>
      <c r="P2192" s="19">
        <v>-3651.9001480000002</v>
      </c>
    </row>
    <row r="2193" spans="1:16" ht="15" x14ac:dyDescent="0.2">
      <c r="A2193" s="4" t="s">
        <v>579</v>
      </c>
      <c r="B2193" s="21" t="str">
        <f t="shared" si="68"/>
        <v>Jan-2026</v>
      </c>
      <c r="C2193" s="2" t="str">
        <f t="shared" si="69"/>
        <v>Q4</v>
      </c>
      <c r="D2193" s="2" t="s">
        <v>31</v>
      </c>
      <c r="E2193" s="16">
        <v>46035</v>
      </c>
      <c r="F2193" s="2" t="s">
        <v>475</v>
      </c>
      <c r="G2193" s="2" t="s">
        <v>51</v>
      </c>
      <c r="H2193" s="2" t="s">
        <v>90</v>
      </c>
      <c r="I2193" s="19">
        <v>-6.85</v>
      </c>
      <c r="J2193" s="19">
        <v>-137</v>
      </c>
      <c r="K2193" s="19">
        <v>204.85</v>
      </c>
      <c r="L2193" s="19">
        <v>-28064.45</v>
      </c>
      <c r="M2193" s="19">
        <v>2158.16</v>
      </c>
      <c r="N2193" s="19">
        <v>0</v>
      </c>
      <c r="O2193" s="19">
        <v>-3367.818084</v>
      </c>
      <c r="P2193" s="19">
        <v>-29274.108084</v>
      </c>
    </row>
    <row r="2194" spans="1:16" ht="15" x14ac:dyDescent="0.2">
      <c r="A2194" s="4" t="s">
        <v>580</v>
      </c>
      <c r="B2194" s="21" t="str">
        <f t="shared" si="68"/>
        <v>Jan-2026</v>
      </c>
      <c r="C2194" s="2" t="str">
        <f t="shared" si="69"/>
        <v>Q4</v>
      </c>
      <c r="D2194" s="2" t="s">
        <v>31</v>
      </c>
      <c r="E2194" s="16">
        <v>46035</v>
      </c>
      <c r="F2194" s="2" t="s">
        <v>475</v>
      </c>
      <c r="G2194" s="2" t="s">
        <v>51</v>
      </c>
      <c r="H2194" s="2" t="s">
        <v>89</v>
      </c>
      <c r="I2194" s="19">
        <v>-9.44</v>
      </c>
      <c r="J2194" s="19">
        <v>-661</v>
      </c>
      <c r="K2194" s="19">
        <v>32.78</v>
      </c>
      <c r="L2194" s="19">
        <v>-21667.58</v>
      </c>
      <c r="M2194" s="19">
        <v>1666.24</v>
      </c>
      <c r="N2194" s="19">
        <v>0</v>
      </c>
      <c r="O2194" s="19">
        <v>-2600.1744960000001</v>
      </c>
      <c r="P2194" s="19">
        <v>-22601.514496</v>
      </c>
    </row>
    <row r="2195" spans="1:16" ht="15" x14ac:dyDescent="0.2">
      <c r="A2195" s="4" t="s">
        <v>580</v>
      </c>
      <c r="B2195" s="21" t="str">
        <f t="shared" si="68"/>
        <v>Jan-2026</v>
      </c>
      <c r="C2195" s="2" t="str">
        <f t="shared" si="69"/>
        <v>Q4</v>
      </c>
      <c r="D2195" s="2" t="s">
        <v>31</v>
      </c>
      <c r="E2195" s="16">
        <v>46035</v>
      </c>
      <c r="F2195" s="2" t="s">
        <v>475</v>
      </c>
      <c r="G2195" s="2" t="s">
        <v>51</v>
      </c>
      <c r="H2195" s="2" t="s">
        <v>89</v>
      </c>
      <c r="I2195" s="19">
        <v>-1.54</v>
      </c>
      <c r="J2195" s="19">
        <v>-108</v>
      </c>
      <c r="K2195" s="19">
        <v>32.78</v>
      </c>
      <c r="L2195" s="19">
        <v>-3540.24</v>
      </c>
      <c r="M2195" s="19">
        <v>272.24</v>
      </c>
      <c r="N2195" s="19">
        <v>0</v>
      </c>
      <c r="O2195" s="19">
        <v>-424.84004800000002</v>
      </c>
      <c r="P2195" s="19">
        <v>-3692.840048</v>
      </c>
    </row>
    <row r="2196" spans="1:16" ht="15" x14ac:dyDescent="0.2">
      <c r="A2196" s="4" t="s">
        <v>590</v>
      </c>
      <c r="B2196" s="21" t="str">
        <f t="shared" si="68"/>
        <v>Jan-2026</v>
      </c>
      <c r="C2196" s="2" t="str">
        <f t="shared" si="69"/>
        <v>Q4</v>
      </c>
      <c r="D2196" s="2" t="s">
        <v>31</v>
      </c>
      <c r="E2196" s="16">
        <v>46035</v>
      </c>
      <c r="F2196" s="2" t="s">
        <v>475</v>
      </c>
      <c r="G2196" s="2" t="s">
        <v>51</v>
      </c>
      <c r="H2196" s="2" t="s">
        <v>102</v>
      </c>
      <c r="I2196" s="19">
        <v>-1</v>
      </c>
      <c r="J2196" s="19">
        <v>-20</v>
      </c>
      <c r="K2196" s="19">
        <v>249.55</v>
      </c>
      <c r="L2196" s="19">
        <v>-4991</v>
      </c>
      <c r="M2196" s="19">
        <v>383.81</v>
      </c>
      <c r="N2196" s="19">
        <v>0</v>
      </c>
      <c r="O2196" s="19">
        <v>-598.93476800000008</v>
      </c>
      <c r="P2196" s="19">
        <v>-5206.1247679999997</v>
      </c>
    </row>
    <row r="2197" spans="1:16" ht="15" x14ac:dyDescent="0.2">
      <c r="A2197" s="4" t="s">
        <v>579</v>
      </c>
      <c r="B2197" s="21" t="str">
        <f t="shared" si="68"/>
        <v>Jan-2026</v>
      </c>
      <c r="C2197" s="2" t="str">
        <f t="shared" si="69"/>
        <v>Q4</v>
      </c>
      <c r="D2197" s="2" t="s">
        <v>31</v>
      </c>
      <c r="E2197" s="16">
        <v>46035</v>
      </c>
      <c r="F2197" s="2" t="s">
        <v>475</v>
      </c>
      <c r="G2197" s="2" t="s">
        <v>51</v>
      </c>
      <c r="H2197" s="2" t="s">
        <v>91</v>
      </c>
      <c r="I2197" s="19">
        <v>-1</v>
      </c>
      <c r="J2197" s="19">
        <v>-20</v>
      </c>
      <c r="K2197" s="19">
        <v>204.85</v>
      </c>
      <c r="L2197" s="19">
        <v>-4097</v>
      </c>
      <c r="M2197" s="19">
        <v>315.06</v>
      </c>
      <c r="N2197" s="19">
        <v>0</v>
      </c>
      <c r="O2197" s="19">
        <v>-491.65225600000002</v>
      </c>
      <c r="P2197" s="19">
        <v>-4273.5922559999999</v>
      </c>
    </row>
    <row r="2198" spans="1:16" ht="15" x14ac:dyDescent="0.2">
      <c r="A2198" s="4" t="s">
        <v>573</v>
      </c>
      <c r="B2198" s="21" t="str">
        <f t="shared" si="68"/>
        <v>Jan-2026</v>
      </c>
      <c r="C2198" s="2" t="str">
        <f t="shared" si="69"/>
        <v>Q4</v>
      </c>
      <c r="D2198" s="2" t="s">
        <v>31</v>
      </c>
      <c r="E2198" s="16">
        <v>46035</v>
      </c>
      <c r="F2198" s="2" t="s">
        <v>475</v>
      </c>
      <c r="G2198" s="2" t="s">
        <v>51</v>
      </c>
      <c r="H2198" s="2" t="s">
        <v>111</v>
      </c>
      <c r="I2198" s="19">
        <v>-0.28000000000000003</v>
      </c>
      <c r="J2198" s="19">
        <v>-11</v>
      </c>
      <c r="K2198" s="19">
        <v>111.74</v>
      </c>
      <c r="L2198" s="19">
        <v>-1229.1399999999999</v>
      </c>
      <c r="M2198" s="19">
        <v>94.52</v>
      </c>
      <c r="N2198" s="19">
        <v>0</v>
      </c>
      <c r="O2198" s="19">
        <v>-147.50061700000001</v>
      </c>
      <c r="P2198" s="19">
        <v>-1282.120617</v>
      </c>
    </row>
    <row r="2199" spans="1:16" ht="15" x14ac:dyDescent="0.2">
      <c r="A2199" s="4" t="s">
        <v>586</v>
      </c>
      <c r="B2199" s="21" t="str">
        <f t="shared" si="68"/>
        <v>Jan-2026</v>
      </c>
      <c r="C2199" s="2" t="str">
        <f t="shared" si="69"/>
        <v>Q4</v>
      </c>
      <c r="D2199" s="2" t="s">
        <v>31</v>
      </c>
      <c r="E2199" s="16">
        <v>46035</v>
      </c>
      <c r="F2199" s="2" t="s">
        <v>475</v>
      </c>
      <c r="G2199" s="2" t="s">
        <v>51</v>
      </c>
      <c r="H2199" s="2" t="s">
        <v>103</v>
      </c>
      <c r="I2199" s="19">
        <v>-1</v>
      </c>
      <c r="J2199" s="19">
        <v>-600</v>
      </c>
      <c r="K2199" s="19">
        <v>7.45</v>
      </c>
      <c r="L2199" s="19">
        <v>-4470</v>
      </c>
      <c r="M2199" s="19">
        <v>343.74</v>
      </c>
      <c r="N2199" s="19">
        <v>0</v>
      </c>
      <c r="O2199" s="19">
        <v>-536.413861</v>
      </c>
      <c r="P2199" s="19">
        <v>-4662.6738610000002</v>
      </c>
    </row>
    <row r="2200" spans="1:16" ht="15" x14ac:dyDescent="0.2">
      <c r="A2200" s="4" t="s">
        <v>573</v>
      </c>
      <c r="B2200" s="21" t="str">
        <f t="shared" si="68"/>
        <v>Jan-2026</v>
      </c>
      <c r="C2200" s="2" t="str">
        <f t="shared" si="69"/>
        <v>Q4</v>
      </c>
      <c r="D2200" s="2" t="s">
        <v>31</v>
      </c>
      <c r="E2200" s="16">
        <v>46035</v>
      </c>
      <c r="F2200" s="2" t="s">
        <v>475</v>
      </c>
      <c r="G2200" s="2" t="s">
        <v>51</v>
      </c>
      <c r="H2200" s="2" t="s">
        <v>138</v>
      </c>
      <c r="I2200" s="19">
        <v>-0.35</v>
      </c>
      <c r="J2200" s="19">
        <v>-14</v>
      </c>
      <c r="K2200" s="19">
        <v>111.51</v>
      </c>
      <c r="L2200" s="19">
        <v>-1561.19</v>
      </c>
      <c r="M2200" s="19">
        <v>120.3</v>
      </c>
      <c r="N2200" s="19">
        <v>0</v>
      </c>
      <c r="O2200" s="19">
        <v>-187.315721</v>
      </c>
      <c r="P2200" s="19">
        <v>-1628.205721</v>
      </c>
    </row>
    <row r="2201" spans="1:16" ht="15" x14ac:dyDescent="0.2">
      <c r="A2201" s="4" t="s">
        <v>586</v>
      </c>
      <c r="B2201" s="21" t="str">
        <f t="shared" si="68"/>
        <v>Jan-2026</v>
      </c>
      <c r="C2201" s="2" t="str">
        <f t="shared" si="69"/>
        <v>Q4</v>
      </c>
      <c r="D2201" s="2" t="s">
        <v>31</v>
      </c>
      <c r="E2201" s="16">
        <v>46035</v>
      </c>
      <c r="F2201" s="2" t="s">
        <v>476</v>
      </c>
      <c r="G2201" s="2" t="s">
        <v>51</v>
      </c>
      <c r="H2201" s="2" t="s">
        <v>78</v>
      </c>
      <c r="I2201" s="19">
        <v>-0.8</v>
      </c>
      <c r="J2201" s="19">
        <v>-480</v>
      </c>
      <c r="K2201" s="19">
        <v>7.45</v>
      </c>
      <c r="L2201" s="19">
        <v>-3576.0299999999997</v>
      </c>
      <c r="M2201" s="19">
        <v>274.95999999999998</v>
      </c>
      <c r="N2201" s="19">
        <v>0</v>
      </c>
      <c r="O2201" s="19">
        <v>-429.13962099999998</v>
      </c>
      <c r="P2201" s="19">
        <v>-3730.209621</v>
      </c>
    </row>
    <row r="2202" spans="1:16" ht="15" x14ac:dyDescent="0.2">
      <c r="A2202" s="4" t="s">
        <v>579</v>
      </c>
      <c r="B2202" s="21" t="str">
        <f t="shared" si="68"/>
        <v>Jan-2026</v>
      </c>
      <c r="C2202" s="2" t="str">
        <f t="shared" si="69"/>
        <v>Q4</v>
      </c>
      <c r="D2202" s="2" t="s">
        <v>31</v>
      </c>
      <c r="E2202" s="16">
        <v>46035</v>
      </c>
      <c r="F2202" s="2" t="s">
        <v>476</v>
      </c>
      <c r="G2202" s="2" t="s">
        <v>51</v>
      </c>
      <c r="H2202" s="2" t="s">
        <v>140</v>
      </c>
      <c r="I2202" s="19">
        <v>-0.7</v>
      </c>
      <c r="J2202" s="19">
        <v>-14</v>
      </c>
      <c r="K2202" s="19">
        <v>204.85</v>
      </c>
      <c r="L2202" s="19">
        <v>-2867.9</v>
      </c>
      <c r="M2202" s="19">
        <v>220.54</v>
      </c>
      <c r="N2202" s="19">
        <v>0</v>
      </c>
      <c r="O2202" s="19">
        <v>-344.157218</v>
      </c>
      <c r="P2202" s="19">
        <v>-2991.517218</v>
      </c>
    </row>
    <row r="2203" spans="1:16" ht="15" x14ac:dyDescent="0.2">
      <c r="A2203" s="4" t="s">
        <v>583</v>
      </c>
      <c r="B2203" s="21" t="str">
        <f t="shared" si="68"/>
        <v>Jan-2026</v>
      </c>
      <c r="C2203" s="2" t="str">
        <f t="shared" si="69"/>
        <v>Q4</v>
      </c>
      <c r="D2203" s="2" t="s">
        <v>31</v>
      </c>
      <c r="E2203" s="16">
        <v>46035</v>
      </c>
      <c r="F2203" s="2" t="s">
        <v>476</v>
      </c>
      <c r="G2203" s="2" t="s">
        <v>51</v>
      </c>
      <c r="H2203" s="2" t="s">
        <v>109</v>
      </c>
      <c r="I2203" s="19">
        <v>-3.2</v>
      </c>
      <c r="J2203" s="19">
        <v>-48</v>
      </c>
      <c r="K2203" s="19">
        <v>260.72000000000003</v>
      </c>
      <c r="L2203" s="19">
        <v>-12514.56</v>
      </c>
      <c r="M2203" s="19">
        <v>962.36999999999989</v>
      </c>
      <c r="N2203" s="19">
        <v>0</v>
      </c>
      <c r="O2203" s="19">
        <v>-1501.7865220000001</v>
      </c>
      <c r="P2203" s="19">
        <v>-13053.976522000001</v>
      </c>
    </row>
    <row r="2204" spans="1:16" ht="15" x14ac:dyDescent="0.2">
      <c r="A2204" s="4" t="s">
        <v>583</v>
      </c>
      <c r="B2204" s="21" t="str">
        <f t="shared" si="68"/>
        <v>Jan-2026</v>
      </c>
      <c r="C2204" s="2" t="str">
        <f t="shared" si="69"/>
        <v>Q4</v>
      </c>
      <c r="D2204" s="2" t="s">
        <v>31</v>
      </c>
      <c r="E2204" s="16">
        <v>46035</v>
      </c>
      <c r="F2204" s="2" t="s">
        <v>476</v>
      </c>
      <c r="G2204" s="2" t="s">
        <v>51</v>
      </c>
      <c r="H2204" s="2" t="s">
        <v>113</v>
      </c>
      <c r="I2204" s="19">
        <v>-3.07</v>
      </c>
      <c r="J2204" s="19">
        <v>-46</v>
      </c>
      <c r="K2204" s="19">
        <v>260.72000000000003</v>
      </c>
      <c r="L2204" s="19">
        <v>-11993.119999999999</v>
      </c>
      <c r="M2204" s="19">
        <v>922.2700000000001</v>
      </c>
      <c r="N2204" s="19">
        <v>0</v>
      </c>
      <c r="O2204" s="19">
        <v>-1439.2122460000001</v>
      </c>
      <c r="P2204" s="19">
        <v>-12510.062246</v>
      </c>
    </row>
    <row r="2205" spans="1:16" ht="15" x14ac:dyDescent="0.2">
      <c r="A2205" s="4" t="s">
        <v>576</v>
      </c>
      <c r="B2205" s="21" t="str">
        <f t="shared" si="68"/>
        <v>Jan-2026</v>
      </c>
      <c r="C2205" s="2" t="str">
        <f t="shared" si="69"/>
        <v>Q4</v>
      </c>
      <c r="D2205" s="2" t="s">
        <v>31</v>
      </c>
      <c r="E2205" s="16">
        <v>46035</v>
      </c>
      <c r="F2205" s="2" t="s">
        <v>476</v>
      </c>
      <c r="G2205" s="2" t="s">
        <v>51</v>
      </c>
      <c r="H2205" s="2" t="s">
        <v>110</v>
      </c>
      <c r="I2205" s="19">
        <v>-3.85</v>
      </c>
      <c r="J2205" s="19">
        <v>-77</v>
      </c>
      <c r="K2205" s="19">
        <v>175.05</v>
      </c>
      <c r="L2205" s="19">
        <v>-13478.849999999999</v>
      </c>
      <c r="M2205" s="19">
        <v>1036.55</v>
      </c>
      <c r="N2205" s="19">
        <v>0</v>
      </c>
      <c r="O2205" s="19">
        <v>-1617.5009620000001</v>
      </c>
      <c r="P2205" s="19">
        <v>-14059.800961999999</v>
      </c>
    </row>
    <row r="2206" spans="1:16" ht="15" x14ac:dyDescent="0.2">
      <c r="A2206" s="4" t="s">
        <v>584</v>
      </c>
      <c r="B2206" s="21" t="str">
        <f t="shared" si="68"/>
        <v>Jan-2026</v>
      </c>
      <c r="C2206" s="2" t="str">
        <f t="shared" si="69"/>
        <v>Q4</v>
      </c>
      <c r="D2206" s="2" t="s">
        <v>31</v>
      </c>
      <c r="E2206" s="16">
        <v>46035</v>
      </c>
      <c r="F2206" s="2" t="s">
        <v>476</v>
      </c>
      <c r="G2206" s="2" t="s">
        <v>51</v>
      </c>
      <c r="H2206" s="2" t="s">
        <v>100</v>
      </c>
      <c r="I2206" s="19">
        <v>-1</v>
      </c>
      <c r="J2206" s="19">
        <v>-40</v>
      </c>
      <c r="K2206" s="19">
        <v>81.94</v>
      </c>
      <c r="L2206" s="19">
        <v>-3277.6</v>
      </c>
      <c r="M2206" s="19">
        <v>252.05</v>
      </c>
      <c r="N2206" s="19">
        <v>0</v>
      </c>
      <c r="O2206" s="19">
        <v>-393.321977</v>
      </c>
      <c r="P2206" s="19">
        <v>-3418.8719769999998</v>
      </c>
    </row>
    <row r="2207" spans="1:16" ht="15" x14ac:dyDescent="0.2">
      <c r="A2207" s="4" t="s">
        <v>589</v>
      </c>
      <c r="B2207" s="21" t="str">
        <f t="shared" si="68"/>
        <v>Jan-2026</v>
      </c>
      <c r="C2207" s="2" t="str">
        <f t="shared" si="69"/>
        <v>Q4</v>
      </c>
      <c r="D2207" s="2" t="s">
        <v>31</v>
      </c>
      <c r="E2207" s="16">
        <v>46035</v>
      </c>
      <c r="F2207" s="2" t="s">
        <v>476</v>
      </c>
      <c r="G2207" s="2" t="s">
        <v>51</v>
      </c>
      <c r="H2207" s="2" t="s">
        <v>98</v>
      </c>
      <c r="I2207" s="19">
        <v>-1</v>
      </c>
      <c r="J2207" s="19">
        <v>-60</v>
      </c>
      <c r="K2207" s="19">
        <v>145.26</v>
      </c>
      <c r="L2207" s="19">
        <v>-8715.6</v>
      </c>
      <c r="M2207" s="19">
        <v>670.22</v>
      </c>
      <c r="N2207" s="19">
        <v>0</v>
      </c>
      <c r="O2207" s="19">
        <v>-1045.9006689999999</v>
      </c>
      <c r="P2207" s="19">
        <v>-9091.2806689999998</v>
      </c>
    </row>
    <row r="2208" spans="1:16" ht="15" x14ac:dyDescent="0.2">
      <c r="A2208" s="4" t="s">
        <v>581</v>
      </c>
      <c r="B2208" s="21" t="str">
        <f t="shared" si="68"/>
        <v>Jan-2026</v>
      </c>
      <c r="C2208" s="2" t="str">
        <f t="shared" si="69"/>
        <v>Q4</v>
      </c>
      <c r="D2208" s="2" t="s">
        <v>31</v>
      </c>
      <c r="E2208" s="16">
        <v>46035</v>
      </c>
      <c r="F2208" s="2" t="s">
        <v>476</v>
      </c>
      <c r="G2208" s="2" t="s">
        <v>51</v>
      </c>
      <c r="H2208" s="2" t="s">
        <v>97</v>
      </c>
      <c r="I2208" s="19">
        <v>-2</v>
      </c>
      <c r="J2208" s="19">
        <v>-80</v>
      </c>
      <c r="K2208" s="19">
        <v>67.040000000000006</v>
      </c>
      <c r="L2208" s="19">
        <v>-5363.2</v>
      </c>
      <c r="M2208" s="19">
        <v>412.44</v>
      </c>
      <c r="N2208" s="19">
        <v>0</v>
      </c>
      <c r="O2208" s="19">
        <v>-643.59958099999994</v>
      </c>
      <c r="P2208" s="19">
        <v>-5594.3595809999997</v>
      </c>
    </row>
    <row r="2209" spans="1:16" ht="15" x14ac:dyDescent="0.2">
      <c r="A2209" s="4" t="s">
        <v>581</v>
      </c>
      <c r="B2209" s="21" t="str">
        <f t="shared" si="68"/>
        <v>Jan-2026</v>
      </c>
      <c r="C2209" s="2" t="str">
        <f t="shared" si="69"/>
        <v>Q4</v>
      </c>
      <c r="D2209" s="2" t="s">
        <v>31</v>
      </c>
      <c r="E2209" s="16">
        <v>46035</v>
      </c>
      <c r="F2209" s="2" t="s">
        <v>476</v>
      </c>
      <c r="G2209" s="2" t="s">
        <v>51</v>
      </c>
      <c r="H2209" s="2" t="s">
        <v>96</v>
      </c>
      <c r="I2209" s="19">
        <v>-1</v>
      </c>
      <c r="J2209" s="19">
        <v>-40</v>
      </c>
      <c r="K2209" s="19">
        <v>67.040000000000006</v>
      </c>
      <c r="L2209" s="19">
        <v>-2681.6</v>
      </c>
      <c r="M2209" s="19">
        <v>206.22</v>
      </c>
      <c r="N2209" s="19">
        <v>0</v>
      </c>
      <c r="O2209" s="19">
        <v>-321.79979000000003</v>
      </c>
      <c r="P2209" s="19">
        <v>-2797.1797900000001</v>
      </c>
    </row>
    <row r="2210" spans="1:16" ht="15" x14ac:dyDescent="0.2">
      <c r="A2210" s="4" t="s">
        <v>588</v>
      </c>
      <c r="B2210" s="21" t="str">
        <f t="shared" si="68"/>
        <v>Jan-2026</v>
      </c>
      <c r="C2210" s="2" t="str">
        <f t="shared" si="69"/>
        <v>Q4</v>
      </c>
      <c r="D2210" s="2" t="s">
        <v>31</v>
      </c>
      <c r="E2210" s="16">
        <v>46035</v>
      </c>
      <c r="F2210" s="2" t="s">
        <v>476</v>
      </c>
      <c r="G2210" s="2" t="s">
        <v>51</v>
      </c>
      <c r="H2210" s="2" t="s">
        <v>95</v>
      </c>
      <c r="I2210" s="19">
        <v>-1</v>
      </c>
      <c r="J2210" s="19">
        <v>-60</v>
      </c>
      <c r="K2210" s="19">
        <v>111.74</v>
      </c>
      <c r="L2210" s="19">
        <v>-6704.4</v>
      </c>
      <c r="M2210" s="19">
        <v>515.54999999999995</v>
      </c>
      <c r="N2210" s="19">
        <v>0</v>
      </c>
      <c r="O2210" s="19">
        <v>-804.55147600000009</v>
      </c>
      <c r="P2210" s="19">
        <v>-6993.401476</v>
      </c>
    </row>
    <row r="2211" spans="1:16" ht="15" x14ac:dyDescent="0.2">
      <c r="A2211" s="4" t="s">
        <v>581</v>
      </c>
      <c r="B2211" s="21" t="str">
        <f t="shared" si="68"/>
        <v>Jan-2026</v>
      </c>
      <c r="C2211" s="2" t="str">
        <f t="shared" si="69"/>
        <v>Q4</v>
      </c>
      <c r="D2211" s="2" t="s">
        <v>31</v>
      </c>
      <c r="E2211" s="16">
        <v>46035</v>
      </c>
      <c r="F2211" s="2" t="s">
        <v>476</v>
      </c>
      <c r="G2211" s="2" t="s">
        <v>51</v>
      </c>
      <c r="H2211" s="2" t="s">
        <v>104</v>
      </c>
      <c r="I2211" s="19">
        <v>-1</v>
      </c>
      <c r="J2211" s="19">
        <v>-40</v>
      </c>
      <c r="K2211" s="19">
        <v>67.040000000000006</v>
      </c>
      <c r="L2211" s="19">
        <v>-2681.6</v>
      </c>
      <c r="M2211" s="19">
        <v>206.22</v>
      </c>
      <c r="N2211" s="19">
        <v>0</v>
      </c>
      <c r="O2211" s="19">
        <v>-321.79979000000003</v>
      </c>
      <c r="P2211" s="19">
        <v>-2797.1797900000001</v>
      </c>
    </row>
    <row r="2212" spans="1:16" ht="15" x14ac:dyDescent="0.2">
      <c r="A2212" s="4" t="s">
        <v>585</v>
      </c>
      <c r="B2212" s="21" t="str">
        <f t="shared" si="68"/>
        <v>Jan-2026</v>
      </c>
      <c r="C2212" s="2" t="str">
        <f t="shared" si="69"/>
        <v>Q4</v>
      </c>
      <c r="D2212" s="2" t="s">
        <v>31</v>
      </c>
      <c r="E2212" s="16">
        <v>46035</v>
      </c>
      <c r="F2212" s="2" t="s">
        <v>476</v>
      </c>
      <c r="G2212" s="2" t="s">
        <v>51</v>
      </c>
      <c r="H2212" s="2" t="s">
        <v>180</v>
      </c>
      <c r="I2212" s="19">
        <v>-1</v>
      </c>
      <c r="J2212" s="19">
        <v>-1000</v>
      </c>
      <c r="K2212" s="19">
        <v>1.86</v>
      </c>
      <c r="L2212" s="19">
        <v>-1860.2</v>
      </c>
      <c r="M2212" s="19">
        <v>143.21</v>
      </c>
      <c r="N2212" s="19">
        <v>0</v>
      </c>
      <c r="O2212" s="19">
        <v>-223.20897099999999</v>
      </c>
      <c r="P2212" s="19">
        <v>-1940.198971</v>
      </c>
    </row>
    <row r="2213" spans="1:16" ht="15" x14ac:dyDescent="0.2">
      <c r="A2213" s="4" t="s">
        <v>591</v>
      </c>
      <c r="B2213" s="21" t="str">
        <f t="shared" si="68"/>
        <v>Jan-2026</v>
      </c>
      <c r="C2213" s="2" t="str">
        <f t="shared" si="69"/>
        <v>Q4</v>
      </c>
      <c r="D2213" s="2" t="s">
        <v>31</v>
      </c>
      <c r="E2213" s="16">
        <v>46035</v>
      </c>
      <c r="F2213" s="2" t="s">
        <v>476</v>
      </c>
      <c r="G2213" s="2" t="s">
        <v>51</v>
      </c>
      <c r="H2213" s="2" t="s">
        <v>106</v>
      </c>
      <c r="I2213" s="19">
        <v>-1</v>
      </c>
      <c r="J2213" s="19">
        <v>-60</v>
      </c>
      <c r="K2213" s="19">
        <v>111.77</v>
      </c>
      <c r="L2213" s="19">
        <v>-6706.3600000000006</v>
      </c>
      <c r="M2213" s="19">
        <v>515.82000000000005</v>
      </c>
      <c r="N2213" s="19">
        <v>0</v>
      </c>
      <c r="O2213" s="19">
        <v>-804.77117599999997</v>
      </c>
      <c r="P2213" s="19">
        <v>-6995.3111760000002</v>
      </c>
    </row>
    <row r="2214" spans="1:16" ht="15" x14ac:dyDescent="0.2">
      <c r="A2214" s="4" t="s">
        <v>574</v>
      </c>
      <c r="B2214" s="21" t="str">
        <f t="shared" si="68"/>
        <v>Jan-2026</v>
      </c>
      <c r="C2214" s="2" t="str">
        <f t="shared" si="69"/>
        <v>Q4</v>
      </c>
      <c r="D2214" s="2" t="s">
        <v>31</v>
      </c>
      <c r="E2214" s="16">
        <v>46036</v>
      </c>
      <c r="F2214" s="2" t="s">
        <v>477</v>
      </c>
      <c r="G2214" s="2" t="s">
        <v>187</v>
      </c>
      <c r="H2214" s="2" t="s">
        <v>85</v>
      </c>
      <c r="I2214" s="19">
        <v>1</v>
      </c>
      <c r="J2214" s="19">
        <v>18</v>
      </c>
      <c r="K2214" s="19">
        <v>178.78</v>
      </c>
      <c r="L2214" s="19">
        <v>3218.0400000000004</v>
      </c>
      <c r="M2214" s="19">
        <v>-247.47</v>
      </c>
      <c r="N2214" s="19">
        <v>0</v>
      </c>
      <c r="O2214" s="19">
        <v>386.17410000000001</v>
      </c>
      <c r="P2214" s="19">
        <v>3356.7440999999999</v>
      </c>
    </row>
    <row r="2215" spans="1:16" ht="15" x14ac:dyDescent="0.2">
      <c r="A2215" s="4" t="s">
        <v>573</v>
      </c>
      <c r="B2215" s="21" t="str">
        <f t="shared" si="68"/>
        <v>Jan-2026</v>
      </c>
      <c r="C2215" s="2" t="str">
        <f t="shared" si="69"/>
        <v>Q4</v>
      </c>
      <c r="D2215" s="2" t="s">
        <v>31</v>
      </c>
      <c r="E2215" s="16">
        <v>46036</v>
      </c>
      <c r="F2215" s="2" t="s">
        <v>477</v>
      </c>
      <c r="G2215" s="2" t="s">
        <v>187</v>
      </c>
      <c r="H2215" s="2" t="s">
        <v>111</v>
      </c>
      <c r="I2215" s="19">
        <v>1</v>
      </c>
      <c r="J2215" s="19">
        <v>40</v>
      </c>
      <c r="K2215" s="19">
        <v>111.74</v>
      </c>
      <c r="L2215" s="19">
        <v>4469.6000000000004</v>
      </c>
      <c r="M2215" s="19">
        <v>-343.71</v>
      </c>
      <c r="N2215" s="19">
        <v>0</v>
      </c>
      <c r="O2215" s="19">
        <v>536.36569999999995</v>
      </c>
      <c r="P2215" s="19">
        <v>4662.2556999999997</v>
      </c>
    </row>
    <row r="2216" spans="1:16" ht="15" x14ac:dyDescent="0.2">
      <c r="A2216" s="4" t="s">
        <v>574</v>
      </c>
      <c r="B2216" s="21" t="str">
        <f t="shared" si="68"/>
        <v>Jan-2026</v>
      </c>
      <c r="C2216" s="2" t="str">
        <f t="shared" si="69"/>
        <v>Q4</v>
      </c>
      <c r="D2216" s="2" t="s">
        <v>31</v>
      </c>
      <c r="E2216" s="16">
        <v>46036</v>
      </c>
      <c r="F2216" s="2" t="s">
        <v>477</v>
      </c>
      <c r="G2216" s="2" t="s">
        <v>187</v>
      </c>
      <c r="H2216" s="2" t="s">
        <v>86</v>
      </c>
      <c r="I2216" s="19">
        <v>1</v>
      </c>
      <c r="J2216" s="19">
        <v>18</v>
      </c>
      <c r="K2216" s="19">
        <v>178.78</v>
      </c>
      <c r="L2216" s="19">
        <v>3218.0400000000004</v>
      </c>
      <c r="M2216" s="19">
        <v>-247.47</v>
      </c>
      <c r="N2216" s="19">
        <v>0</v>
      </c>
      <c r="O2216" s="19">
        <v>386.17410000000001</v>
      </c>
      <c r="P2216" s="19">
        <v>3356.7440999999999</v>
      </c>
    </row>
    <row r="2217" spans="1:16" ht="15" x14ac:dyDescent="0.2">
      <c r="A2217" s="4" t="s">
        <v>584</v>
      </c>
      <c r="B2217" s="21" t="str">
        <f t="shared" si="68"/>
        <v>Jan-2026</v>
      </c>
      <c r="C2217" s="2" t="str">
        <f t="shared" si="69"/>
        <v>Q4</v>
      </c>
      <c r="D2217" s="2" t="s">
        <v>31</v>
      </c>
      <c r="E2217" s="16">
        <v>46036</v>
      </c>
      <c r="F2217" s="2" t="s">
        <v>477</v>
      </c>
      <c r="G2217" s="2" t="s">
        <v>187</v>
      </c>
      <c r="H2217" s="2" t="s">
        <v>99</v>
      </c>
      <c r="I2217" s="19">
        <v>2</v>
      </c>
      <c r="J2217" s="19">
        <v>80</v>
      </c>
      <c r="K2217" s="19">
        <v>81.94</v>
      </c>
      <c r="L2217" s="19">
        <v>6555.2</v>
      </c>
      <c r="M2217" s="19">
        <v>-504.09</v>
      </c>
      <c r="N2217" s="19">
        <v>0</v>
      </c>
      <c r="O2217" s="19">
        <v>786.64429999999993</v>
      </c>
      <c r="P2217" s="19">
        <v>6837.7542999999996</v>
      </c>
    </row>
    <row r="2218" spans="1:16" ht="15" x14ac:dyDescent="0.2">
      <c r="A2218" s="4" t="s">
        <v>591</v>
      </c>
      <c r="B2218" s="21" t="str">
        <f t="shared" si="68"/>
        <v>Jan-2026</v>
      </c>
      <c r="C2218" s="2" t="str">
        <f t="shared" si="69"/>
        <v>Q4</v>
      </c>
      <c r="D2218" s="2" t="s">
        <v>31</v>
      </c>
      <c r="E2218" s="16">
        <v>46036</v>
      </c>
      <c r="F2218" s="2" t="s">
        <v>477</v>
      </c>
      <c r="G2218" s="2" t="s">
        <v>187</v>
      </c>
      <c r="H2218" s="2" t="s">
        <v>106</v>
      </c>
      <c r="I2218" s="19">
        <v>1</v>
      </c>
      <c r="J2218" s="19">
        <v>60</v>
      </c>
      <c r="K2218" s="19">
        <v>111.74</v>
      </c>
      <c r="L2218" s="19">
        <v>6704.4</v>
      </c>
      <c r="M2218" s="19">
        <v>-515.57000000000005</v>
      </c>
      <c r="N2218" s="19">
        <v>0</v>
      </c>
      <c r="O2218" s="19">
        <v>804.54790000000003</v>
      </c>
      <c r="P2218" s="19">
        <v>6993.3779000000004</v>
      </c>
    </row>
    <row r="2219" spans="1:16" ht="15" x14ac:dyDescent="0.2">
      <c r="A2219" s="4" t="s">
        <v>574</v>
      </c>
      <c r="B2219" s="21" t="str">
        <f t="shared" si="68"/>
        <v>Jan-2026</v>
      </c>
      <c r="C2219" s="2" t="str">
        <f t="shared" si="69"/>
        <v>Q4</v>
      </c>
      <c r="D2219" s="2" t="s">
        <v>31</v>
      </c>
      <c r="E2219" s="16">
        <v>46036</v>
      </c>
      <c r="F2219" s="2" t="s">
        <v>477</v>
      </c>
      <c r="G2219" s="2" t="s">
        <v>187</v>
      </c>
      <c r="H2219" s="2" t="s">
        <v>84</v>
      </c>
      <c r="I2219" s="19">
        <v>1</v>
      </c>
      <c r="J2219" s="19">
        <v>18</v>
      </c>
      <c r="K2219" s="19">
        <v>178.78</v>
      </c>
      <c r="L2219" s="19">
        <v>3218.0400000000004</v>
      </c>
      <c r="M2219" s="19">
        <v>-247.47</v>
      </c>
      <c r="N2219" s="19">
        <v>0</v>
      </c>
      <c r="O2219" s="19">
        <v>386.17410000000001</v>
      </c>
      <c r="P2219" s="19">
        <v>3356.7440999999999</v>
      </c>
    </row>
    <row r="2220" spans="1:16" ht="15" x14ac:dyDescent="0.2">
      <c r="A2220" s="4" t="s">
        <v>573</v>
      </c>
      <c r="B2220" s="21" t="str">
        <f t="shared" si="68"/>
        <v>Jan-2026</v>
      </c>
      <c r="C2220" s="2" t="str">
        <f t="shared" si="69"/>
        <v>Q4</v>
      </c>
      <c r="D2220" s="2" t="s">
        <v>31</v>
      </c>
      <c r="E2220" s="16">
        <v>46036</v>
      </c>
      <c r="F2220" s="2" t="s">
        <v>477</v>
      </c>
      <c r="G2220" s="2" t="s">
        <v>187</v>
      </c>
      <c r="H2220" s="2" t="s">
        <v>138</v>
      </c>
      <c r="I2220" s="19">
        <v>1</v>
      </c>
      <c r="J2220" s="19">
        <v>40</v>
      </c>
      <c r="K2220" s="19">
        <v>111.74</v>
      </c>
      <c r="L2220" s="19">
        <v>4469.6000000000004</v>
      </c>
      <c r="M2220" s="19">
        <v>-343.71</v>
      </c>
      <c r="N2220" s="19">
        <v>0</v>
      </c>
      <c r="O2220" s="19">
        <v>536.36569999999995</v>
      </c>
      <c r="P2220" s="19">
        <v>4662.2556999999997</v>
      </c>
    </row>
    <row r="2221" spans="1:16" ht="15" x14ac:dyDescent="0.2">
      <c r="A2221" s="4" t="s">
        <v>574</v>
      </c>
      <c r="B2221" s="21" t="str">
        <f t="shared" si="68"/>
        <v>Jan-2026</v>
      </c>
      <c r="C2221" s="2" t="str">
        <f t="shared" si="69"/>
        <v>Q4</v>
      </c>
      <c r="D2221" s="2" t="s">
        <v>31</v>
      </c>
      <c r="E2221" s="16">
        <v>46036</v>
      </c>
      <c r="F2221" s="2" t="s">
        <v>477</v>
      </c>
      <c r="G2221" s="2" t="s">
        <v>187</v>
      </c>
      <c r="H2221" s="2" t="s">
        <v>52</v>
      </c>
      <c r="I2221" s="19">
        <v>1</v>
      </c>
      <c r="J2221" s="19">
        <v>18</v>
      </c>
      <c r="K2221" s="19">
        <v>178.78</v>
      </c>
      <c r="L2221" s="19">
        <v>3218.0400000000004</v>
      </c>
      <c r="M2221" s="19">
        <v>-247.47</v>
      </c>
      <c r="N2221" s="19">
        <v>0</v>
      </c>
      <c r="O2221" s="19">
        <v>386.17410000000001</v>
      </c>
      <c r="P2221" s="19">
        <v>3356.7440999999999</v>
      </c>
    </row>
    <row r="2222" spans="1:16" ht="15" x14ac:dyDescent="0.2">
      <c r="A2222" s="4" t="s">
        <v>580</v>
      </c>
      <c r="B2222" s="21" t="str">
        <f t="shared" si="68"/>
        <v>Jan-2026</v>
      </c>
      <c r="C2222" s="2" t="str">
        <f t="shared" si="69"/>
        <v>Q4</v>
      </c>
      <c r="D2222" s="2" t="s">
        <v>31</v>
      </c>
      <c r="E2222" s="16">
        <v>46037</v>
      </c>
      <c r="F2222" s="2" t="s">
        <v>478</v>
      </c>
      <c r="G2222" s="2" t="s">
        <v>386</v>
      </c>
      <c r="H2222" s="2" t="s">
        <v>89</v>
      </c>
      <c r="I2222" s="19">
        <v>2</v>
      </c>
      <c r="J2222" s="19">
        <v>140</v>
      </c>
      <c r="K2222" s="19">
        <v>32.74</v>
      </c>
      <c r="L2222" s="19">
        <v>4583.6000000000004</v>
      </c>
      <c r="M2222" s="19">
        <v>0</v>
      </c>
      <c r="N2222" s="19">
        <v>-458.35986700000001</v>
      </c>
      <c r="O2222" s="19">
        <v>536.28107799999998</v>
      </c>
      <c r="P2222" s="19">
        <v>4661.5212110000002</v>
      </c>
    </row>
    <row r="2223" spans="1:16" ht="15" x14ac:dyDescent="0.2">
      <c r="A2223" s="4" t="s">
        <v>580</v>
      </c>
      <c r="B2223" s="21" t="str">
        <f t="shared" si="68"/>
        <v>Jan-2026</v>
      </c>
      <c r="C2223" s="2" t="str">
        <f t="shared" si="69"/>
        <v>Q4</v>
      </c>
      <c r="D2223" s="2" t="s">
        <v>31</v>
      </c>
      <c r="E2223" s="16">
        <v>46037</v>
      </c>
      <c r="F2223" s="2" t="s">
        <v>478</v>
      </c>
      <c r="G2223" s="2" t="s">
        <v>386</v>
      </c>
      <c r="H2223" s="2" t="s">
        <v>65</v>
      </c>
      <c r="I2223" s="19">
        <v>1</v>
      </c>
      <c r="J2223" s="19">
        <v>130</v>
      </c>
      <c r="K2223" s="19">
        <v>32.74</v>
      </c>
      <c r="L2223" s="19">
        <v>4256.2</v>
      </c>
      <c r="M2223" s="19">
        <v>0</v>
      </c>
      <c r="N2223" s="19">
        <v>-425.61987599999998</v>
      </c>
      <c r="O2223" s="19">
        <v>497.97528599999998</v>
      </c>
      <c r="P2223" s="19">
        <v>4328.5554099999999</v>
      </c>
    </row>
    <row r="2224" spans="1:16" ht="15" x14ac:dyDescent="0.2">
      <c r="A2224" s="4" t="s">
        <v>589</v>
      </c>
      <c r="B2224" s="21" t="str">
        <f t="shared" si="68"/>
        <v>Jan-2026</v>
      </c>
      <c r="C2224" s="2" t="str">
        <f t="shared" si="69"/>
        <v>Q4</v>
      </c>
      <c r="D2224" s="2" t="s">
        <v>31</v>
      </c>
      <c r="E2224" s="16">
        <v>46037</v>
      </c>
      <c r="F2224" s="2" t="s">
        <v>478</v>
      </c>
      <c r="G2224" s="2" t="s">
        <v>386</v>
      </c>
      <c r="H2224" s="2" t="s">
        <v>98</v>
      </c>
      <c r="I2224" s="19">
        <v>1</v>
      </c>
      <c r="J2224" s="19">
        <v>60</v>
      </c>
      <c r="K2224" s="19">
        <v>127.7</v>
      </c>
      <c r="L2224" s="19">
        <v>7662.0000000000009</v>
      </c>
      <c r="M2224" s="19">
        <v>0</v>
      </c>
      <c r="N2224" s="19">
        <v>-766.19977800000004</v>
      </c>
      <c r="O2224" s="19">
        <v>896.45379500000001</v>
      </c>
      <c r="P2224" s="19">
        <v>7792.2540170000002</v>
      </c>
    </row>
    <row r="2225" spans="1:16" ht="15" x14ac:dyDescent="0.2">
      <c r="A2225" s="4" t="s">
        <v>583</v>
      </c>
      <c r="B2225" s="21" t="str">
        <f t="shared" si="68"/>
        <v>Jan-2026</v>
      </c>
      <c r="C2225" s="2" t="str">
        <f t="shared" si="69"/>
        <v>Q4</v>
      </c>
      <c r="D2225" s="2" t="s">
        <v>31</v>
      </c>
      <c r="E2225" s="16">
        <v>46037</v>
      </c>
      <c r="F2225" s="2" t="s">
        <v>478</v>
      </c>
      <c r="G2225" s="2" t="s">
        <v>386</v>
      </c>
      <c r="H2225" s="2" t="s">
        <v>113</v>
      </c>
      <c r="I2225" s="19">
        <v>2</v>
      </c>
      <c r="J2225" s="19">
        <v>30</v>
      </c>
      <c r="K2225" s="19">
        <v>229.2</v>
      </c>
      <c r="L2225" s="19">
        <v>6876</v>
      </c>
      <c r="M2225" s="19">
        <v>0</v>
      </c>
      <c r="N2225" s="19">
        <v>-687.59980000000007</v>
      </c>
      <c r="O2225" s="19">
        <v>804.49181599999997</v>
      </c>
      <c r="P2225" s="19">
        <v>6992.8920159999998</v>
      </c>
    </row>
    <row r="2226" spans="1:16" ht="15" x14ac:dyDescent="0.2">
      <c r="A2226" s="4" t="s">
        <v>579</v>
      </c>
      <c r="B2226" s="21" t="str">
        <f t="shared" si="68"/>
        <v>Jan-2026</v>
      </c>
      <c r="C2226" s="2" t="str">
        <f t="shared" si="69"/>
        <v>Q4</v>
      </c>
      <c r="D2226" s="2" t="s">
        <v>31</v>
      </c>
      <c r="E2226" s="16">
        <v>46037</v>
      </c>
      <c r="F2226" s="2" t="s">
        <v>478</v>
      </c>
      <c r="G2226" s="2" t="s">
        <v>386</v>
      </c>
      <c r="H2226" s="2" t="s">
        <v>91</v>
      </c>
      <c r="I2226" s="19">
        <v>2</v>
      </c>
      <c r="J2226" s="19">
        <v>40</v>
      </c>
      <c r="K2226" s="19">
        <v>180.09</v>
      </c>
      <c r="L2226" s="19">
        <v>7203.5999999999995</v>
      </c>
      <c r="M2226" s="19">
        <v>0</v>
      </c>
      <c r="N2226" s="19">
        <v>-720.35979099999997</v>
      </c>
      <c r="O2226" s="19">
        <v>842.82100799999989</v>
      </c>
      <c r="P2226" s="19">
        <v>7326.0612170000004</v>
      </c>
    </row>
    <row r="2227" spans="1:16" ht="15" x14ac:dyDescent="0.2">
      <c r="A2227" s="4" t="s">
        <v>583</v>
      </c>
      <c r="B2227" s="21" t="str">
        <f t="shared" si="68"/>
        <v>Jan-2026</v>
      </c>
      <c r="C2227" s="2" t="str">
        <f t="shared" si="69"/>
        <v>Q4</v>
      </c>
      <c r="D2227" s="2" t="s">
        <v>31</v>
      </c>
      <c r="E2227" s="16">
        <v>46037</v>
      </c>
      <c r="F2227" s="2" t="s">
        <v>478</v>
      </c>
      <c r="G2227" s="2" t="s">
        <v>386</v>
      </c>
      <c r="H2227" s="2" t="s">
        <v>109</v>
      </c>
      <c r="I2227" s="19">
        <v>2</v>
      </c>
      <c r="J2227" s="19">
        <v>30</v>
      </c>
      <c r="K2227" s="19">
        <v>229.2</v>
      </c>
      <c r="L2227" s="19">
        <v>6876</v>
      </c>
      <c r="M2227" s="19">
        <v>0</v>
      </c>
      <c r="N2227" s="19">
        <v>-687.59980000000007</v>
      </c>
      <c r="O2227" s="19">
        <v>804.49181599999997</v>
      </c>
      <c r="P2227" s="19">
        <v>6992.8920159999998</v>
      </c>
    </row>
    <row r="2228" spans="1:16" ht="15" x14ac:dyDescent="0.2">
      <c r="A2228" s="4" t="s">
        <v>576</v>
      </c>
      <c r="B2228" s="21" t="str">
        <f t="shared" si="68"/>
        <v>Jan-2026</v>
      </c>
      <c r="C2228" s="2" t="str">
        <f t="shared" si="69"/>
        <v>Q4</v>
      </c>
      <c r="D2228" s="2" t="s">
        <v>31</v>
      </c>
      <c r="E2228" s="16">
        <v>46037</v>
      </c>
      <c r="F2228" s="2" t="s">
        <v>478</v>
      </c>
      <c r="G2228" s="2" t="s">
        <v>386</v>
      </c>
      <c r="H2228" s="2" t="s">
        <v>124</v>
      </c>
      <c r="I2228" s="19">
        <v>2</v>
      </c>
      <c r="J2228" s="19">
        <v>40</v>
      </c>
      <c r="K2228" s="19">
        <v>153.88999999999999</v>
      </c>
      <c r="L2228" s="19">
        <v>6155.5999999999995</v>
      </c>
      <c r="M2228" s="19">
        <v>0</v>
      </c>
      <c r="N2228" s="19">
        <v>-615.55982100000006</v>
      </c>
      <c r="O2228" s="19">
        <v>720.20503599999995</v>
      </c>
      <c r="P2228" s="19">
        <v>6260.2452149999999</v>
      </c>
    </row>
    <row r="2229" spans="1:16" ht="15" x14ac:dyDescent="0.2">
      <c r="A2229" s="4" t="s">
        <v>584</v>
      </c>
      <c r="B2229" s="21" t="str">
        <f t="shared" si="68"/>
        <v>Jan-2026</v>
      </c>
      <c r="C2229" s="2" t="str">
        <f t="shared" si="69"/>
        <v>Q4</v>
      </c>
      <c r="D2229" s="2" t="s">
        <v>31</v>
      </c>
      <c r="E2229" s="16">
        <v>46037</v>
      </c>
      <c r="F2229" s="2" t="s">
        <v>478</v>
      </c>
      <c r="G2229" s="2" t="s">
        <v>386</v>
      </c>
      <c r="H2229" s="2" t="s">
        <v>99</v>
      </c>
      <c r="I2229" s="19">
        <v>3</v>
      </c>
      <c r="J2229" s="19">
        <v>120</v>
      </c>
      <c r="K2229" s="19">
        <v>72.040000000000006</v>
      </c>
      <c r="L2229" s="19">
        <v>8644.7999999999993</v>
      </c>
      <c r="M2229" s="19">
        <v>0</v>
      </c>
      <c r="N2229" s="19">
        <v>-864.47974900000008</v>
      </c>
      <c r="O2229" s="19">
        <v>1011.441369</v>
      </c>
      <c r="P2229" s="19">
        <v>8791.7616199999993</v>
      </c>
    </row>
    <row r="2230" spans="1:16" ht="15" x14ac:dyDescent="0.2">
      <c r="A2230" s="4" t="s">
        <v>589</v>
      </c>
      <c r="B2230" s="21" t="str">
        <f t="shared" si="68"/>
        <v>Jan-2026</v>
      </c>
      <c r="C2230" s="2" t="str">
        <f t="shared" si="69"/>
        <v>Q4</v>
      </c>
      <c r="D2230" s="2" t="s">
        <v>31</v>
      </c>
      <c r="E2230" s="16">
        <v>46037</v>
      </c>
      <c r="F2230" s="2" t="s">
        <v>478</v>
      </c>
      <c r="G2230" s="2" t="s">
        <v>386</v>
      </c>
      <c r="H2230" s="2" t="s">
        <v>105</v>
      </c>
      <c r="I2230" s="19">
        <v>1</v>
      </c>
      <c r="J2230" s="19">
        <v>30</v>
      </c>
      <c r="K2230" s="19">
        <v>278.32</v>
      </c>
      <c r="L2230" s="19">
        <v>8349.6</v>
      </c>
      <c r="M2230" s="19">
        <v>0</v>
      </c>
      <c r="N2230" s="19">
        <v>-834.95975799999997</v>
      </c>
      <c r="O2230" s="19">
        <v>976.90297700000008</v>
      </c>
      <c r="P2230" s="19">
        <v>8491.5432189999992</v>
      </c>
    </row>
    <row r="2231" spans="1:16" ht="15" x14ac:dyDescent="0.2">
      <c r="A2231" s="4" t="s">
        <v>587</v>
      </c>
      <c r="B2231" s="21" t="str">
        <f t="shared" si="68"/>
        <v>Jan-2026</v>
      </c>
      <c r="C2231" s="2" t="str">
        <f t="shared" si="69"/>
        <v>Q4</v>
      </c>
      <c r="D2231" s="2" t="s">
        <v>31</v>
      </c>
      <c r="E2231" s="16">
        <v>46037</v>
      </c>
      <c r="F2231" s="2" t="s">
        <v>478</v>
      </c>
      <c r="G2231" s="2" t="s">
        <v>386</v>
      </c>
      <c r="H2231" s="2" t="s">
        <v>94</v>
      </c>
      <c r="I2231" s="19">
        <v>2</v>
      </c>
      <c r="J2231" s="19">
        <v>120</v>
      </c>
      <c r="K2231" s="19">
        <v>98.23</v>
      </c>
      <c r="L2231" s="19">
        <v>11787.6</v>
      </c>
      <c r="M2231" s="19">
        <v>0</v>
      </c>
      <c r="N2231" s="19">
        <v>-1178.7596579999999</v>
      </c>
      <c r="O2231" s="19">
        <v>1379.1488850000001</v>
      </c>
      <c r="P2231" s="19">
        <v>11987.989227</v>
      </c>
    </row>
    <row r="2232" spans="1:16" ht="15" x14ac:dyDescent="0.2">
      <c r="A2232" s="4" t="s">
        <v>579</v>
      </c>
      <c r="B2232" s="21" t="str">
        <f t="shared" si="68"/>
        <v>Jan-2026</v>
      </c>
      <c r="C2232" s="2" t="str">
        <f t="shared" si="69"/>
        <v>Q4</v>
      </c>
      <c r="D2232" s="2" t="s">
        <v>31</v>
      </c>
      <c r="E2232" s="16">
        <v>46037</v>
      </c>
      <c r="F2232" s="2" t="s">
        <v>478</v>
      </c>
      <c r="G2232" s="2" t="s">
        <v>386</v>
      </c>
      <c r="H2232" s="2" t="s">
        <v>90</v>
      </c>
      <c r="I2232" s="19">
        <v>3</v>
      </c>
      <c r="J2232" s="19">
        <v>60</v>
      </c>
      <c r="K2232" s="19">
        <v>180.09</v>
      </c>
      <c r="L2232" s="19">
        <v>10805.4</v>
      </c>
      <c r="M2232" s="19">
        <v>0</v>
      </c>
      <c r="N2232" s="19">
        <v>-1080.5396860000001</v>
      </c>
      <c r="O2232" s="19">
        <v>1264.231511</v>
      </c>
      <c r="P2232" s="19">
        <v>10989.091825</v>
      </c>
    </row>
    <row r="2233" spans="1:16" ht="15" x14ac:dyDescent="0.2">
      <c r="A2233" s="4" t="s">
        <v>588</v>
      </c>
      <c r="B2233" s="21" t="str">
        <f t="shared" si="68"/>
        <v>Jan-2026</v>
      </c>
      <c r="C2233" s="2" t="str">
        <f t="shared" si="69"/>
        <v>Q4</v>
      </c>
      <c r="D2233" s="2" t="s">
        <v>31</v>
      </c>
      <c r="E2233" s="16">
        <v>46037</v>
      </c>
      <c r="F2233" s="2" t="s">
        <v>478</v>
      </c>
      <c r="G2233" s="2" t="s">
        <v>386</v>
      </c>
      <c r="H2233" s="2" t="s">
        <v>95</v>
      </c>
      <c r="I2233" s="19">
        <v>2</v>
      </c>
      <c r="J2233" s="19">
        <v>120</v>
      </c>
      <c r="K2233" s="19">
        <v>98.23</v>
      </c>
      <c r="L2233" s="19">
        <v>11787.6</v>
      </c>
      <c r="M2233" s="19">
        <v>0</v>
      </c>
      <c r="N2233" s="19">
        <v>-1178.7596579999999</v>
      </c>
      <c r="O2233" s="19">
        <v>1379.1488850000001</v>
      </c>
      <c r="P2233" s="19">
        <v>11987.989227</v>
      </c>
    </row>
    <row r="2234" spans="1:16" ht="15" x14ac:dyDescent="0.2">
      <c r="A2234" s="4" t="s">
        <v>591</v>
      </c>
      <c r="B2234" s="21" t="str">
        <f t="shared" si="68"/>
        <v>Jan-2026</v>
      </c>
      <c r="C2234" s="2" t="str">
        <f t="shared" si="69"/>
        <v>Q4</v>
      </c>
      <c r="D2234" s="2" t="s">
        <v>31</v>
      </c>
      <c r="E2234" s="16">
        <v>46037</v>
      </c>
      <c r="F2234" s="2" t="s">
        <v>478</v>
      </c>
      <c r="G2234" s="2" t="s">
        <v>386</v>
      </c>
      <c r="H2234" s="2" t="s">
        <v>106</v>
      </c>
      <c r="I2234" s="19">
        <v>2</v>
      </c>
      <c r="J2234" s="19">
        <v>120</v>
      </c>
      <c r="K2234" s="19">
        <v>98.23</v>
      </c>
      <c r="L2234" s="19">
        <v>11787.6</v>
      </c>
      <c r="M2234" s="19">
        <v>0</v>
      </c>
      <c r="N2234" s="19">
        <v>-1178.7596579999999</v>
      </c>
      <c r="O2234" s="19">
        <v>1379.1488850000001</v>
      </c>
      <c r="P2234" s="19">
        <v>11987.989227</v>
      </c>
    </row>
    <row r="2235" spans="1:16" ht="15" x14ac:dyDescent="0.2">
      <c r="A2235" s="4" t="s">
        <v>581</v>
      </c>
      <c r="B2235" s="21" t="str">
        <f t="shared" si="68"/>
        <v>Jan-2026</v>
      </c>
      <c r="C2235" s="2" t="str">
        <f t="shared" si="69"/>
        <v>Q4</v>
      </c>
      <c r="D2235" s="2" t="s">
        <v>31</v>
      </c>
      <c r="E2235" s="16">
        <v>46037</v>
      </c>
      <c r="F2235" s="2" t="s">
        <v>478</v>
      </c>
      <c r="G2235" s="2" t="s">
        <v>386</v>
      </c>
      <c r="H2235" s="2" t="s">
        <v>96</v>
      </c>
      <c r="I2235" s="19">
        <v>4</v>
      </c>
      <c r="J2235" s="19">
        <v>160</v>
      </c>
      <c r="K2235" s="19">
        <v>65.489999999999995</v>
      </c>
      <c r="L2235" s="19">
        <v>10478.4</v>
      </c>
      <c r="M2235" s="19">
        <v>0</v>
      </c>
      <c r="N2235" s="19">
        <v>-1047.839696</v>
      </c>
      <c r="O2235" s="19">
        <v>1225.97252</v>
      </c>
      <c r="P2235" s="19">
        <v>10656.532824</v>
      </c>
    </row>
    <row r="2236" spans="1:16" ht="15" x14ac:dyDescent="0.2">
      <c r="A2236" s="4" t="s">
        <v>582</v>
      </c>
      <c r="B2236" s="21" t="str">
        <f t="shared" si="68"/>
        <v>Jan-2026</v>
      </c>
      <c r="C2236" s="2" t="str">
        <f t="shared" si="69"/>
        <v>Q4</v>
      </c>
      <c r="D2236" s="2" t="s">
        <v>31</v>
      </c>
      <c r="E2236" s="16">
        <v>46037</v>
      </c>
      <c r="F2236" s="2" t="s">
        <v>478</v>
      </c>
      <c r="G2236" s="2" t="s">
        <v>386</v>
      </c>
      <c r="H2236" s="2" t="s">
        <v>108</v>
      </c>
      <c r="I2236" s="19">
        <v>3</v>
      </c>
      <c r="J2236" s="19">
        <v>72</v>
      </c>
      <c r="K2236" s="19">
        <v>163.72</v>
      </c>
      <c r="L2236" s="19">
        <v>11787.84</v>
      </c>
      <c r="M2236" s="19">
        <v>0</v>
      </c>
      <c r="N2236" s="19">
        <v>-1178.7836580000001</v>
      </c>
      <c r="O2236" s="19">
        <v>1379.1769649999999</v>
      </c>
      <c r="P2236" s="19">
        <v>11988.233307</v>
      </c>
    </row>
    <row r="2237" spans="1:16" ht="15" x14ac:dyDescent="0.2">
      <c r="A2237" s="4" t="s">
        <v>590</v>
      </c>
      <c r="B2237" s="21" t="str">
        <f t="shared" si="68"/>
        <v>Jan-2026</v>
      </c>
      <c r="C2237" s="2" t="str">
        <f t="shared" si="69"/>
        <v>Q4</v>
      </c>
      <c r="D2237" s="2" t="s">
        <v>31</v>
      </c>
      <c r="E2237" s="16">
        <v>46037</v>
      </c>
      <c r="F2237" s="2" t="s">
        <v>478</v>
      </c>
      <c r="G2237" s="2" t="s">
        <v>386</v>
      </c>
      <c r="H2237" s="2" t="s">
        <v>102</v>
      </c>
      <c r="I2237" s="19">
        <v>2</v>
      </c>
      <c r="J2237" s="19">
        <v>40</v>
      </c>
      <c r="K2237" s="19">
        <v>219.38</v>
      </c>
      <c r="L2237" s="19">
        <v>8775.2000000000007</v>
      </c>
      <c r="M2237" s="19">
        <v>0</v>
      </c>
      <c r="N2237" s="19">
        <v>-877.51974500000006</v>
      </c>
      <c r="O2237" s="19">
        <v>1026.6981660000001</v>
      </c>
      <c r="P2237" s="19">
        <v>8924.3784209999994</v>
      </c>
    </row>
    <row r="2238" spans="1:16" ht="15" x14ac:dyDescent="0.2">
      <c r="A2238" s="4" t="s">
        <v>589</v>
      </c>
      <c r="B2238" s="21" t="str">
        <f t="shared" si="68"/>
        <v>Jan-2026</v>
      </c>
      <c r="C2238" s="2" t="str">
        <f t="shared" si="69"/>
        <v>Q4</v>
      </c>
      <c r="D2238" s="2" t="s">
        <v>31</v>
      </c>
      <c r="E2238" s="16">
        <v>46037</v>
      </c>
      <c r="F2238" s="2" t="s">
        <v>479</v>
      </c>
      <c r="G2238" s="2" t="s">
        <v>386</v>
      </c>
      <c r="H2238" s="2" t="s">
        <v>98</v>
      </c>
      <c r="I2238" s="19">
        <v>1</v>
      </c>
      <c r="J2238" s="19">
        <v>60</v>
      </c>
      <c r="K2238" s="19">
        <v>127.7</v>
      </c>
      <c r="L2238" s="19">
        <v>7662.0000000000009</v>
      </c>
      <c r="M2238" s="19">
        <v>0</v>
      </c>
      <c r="N2238" s="19">
        <v>-766.2002930000001</v>
      </c>
      <c r="O2238" s="19">
        <v>896.45400600000005</v>
      </c>
      <c r="P2238" s="19">
        <v>7792.2537130000001</v>
      </c>
    </row>
    <row r="2239" spans="1:16" ht="15" x14ac:dyDescent="0.2">
      <c r="A2239" s="4" t="s">
        <v>583</v>
      </c>
      <c r="B2239" s="21" t="str">
        <f t="shared" si="68"/>
        <v>Jan-2026</v>
      </c>
      <c r="C2239" s="2" t="str">
        <f t="shared" si="69"/>
        <v>Q4</v>
      </c>
      <c r="D2239" s="2" t="s">
        <v>31</v>
      </c>
      <c r="E2239" s="16">
        <v>46037</v>
      </c>
      <c r="F2239" s="2" t="s">
        <v>479</v>
      </c>
      <c r="G2239" s="2" t="s">
        <v>386</v>
      </c>
      <c r="H2239" s="2" t="s">
        <v>113</v>
      </c>
      <c r="I2239" s="19">
        <v>2</v>
      </c>
      <c r="J2239" s="19">
        <v>30</v>
      </c>
      <c r="K2239" s="19">
        <v>229.2</v>
      </c>
      <c r="L2239" s="19">
        <v>6876</v>
      </c>
      <c r="M2239" s="19">
        <v>0</v>
      </c>
      <c r="N2239" s="19">
        <v>-687.60026300000004</v>
      </c>
      <c r="O2239" s="19">
        <v>804.49200500000006</v>
      </c>
      <c r="P2239" s="19">
        <v>6992.8917419999998</v>
      </c>
    </row>
    <row r="2240" spans="1:16" ht="15" x14ac:dyDescent="0.2">
      <c r="A2240" s="4" t="s">
        <v>579</v>
      </c>
      <c r="B2240" s="21" t="str">
        <f t="shared" si="68"/>
        <v>Jan-2026</v>
      </c>
      <c r="C2240" s="2" t="str">
        <f t="shared" si="69"/>
        <v>Q4</v>
      </c>
      <c r="D2240" s="2" t="s">
        <v>31</v>
      </c>
      <c r="E2240" s="16">
        <v>46037</v>
      </c>
      <c r="F2240" s="2" t="s">
        <v>479</v>
      </c>
      <c r="G2240" s="2" t="s">
        <v>386</v>
      </c>
      <c r="H2240" s="2" t="s">
        <v>90</v>
      </c>
      <c r="I2240" s="19">
        <v>2</v>
      </c>
      <c r="J2240" s="19">
        <v>40</v>
      </c>
      <c r="K2240" s="19">
        <v>180.09</v>
      </c>
      <c r="L2240" s="19">
        <v>7203.5999999999995</v>
      </c>
      <c r="M2240" s="19">
        <v>0</v>
      </c>
      <c r="N2240" s="19">
        <v>-720.360276</v>
      </c>
      <c r="O2240" s="19">
        <v>842.82120600000007</v>
      </c>
      <c r="P2240" s="19">
        <v>7326.0609299999996</v>
      </c>
    </row>
    <row r="2241" spans="1:16" ht="15" x14ac:dyDescent="0.2">
      <c r="A2241" s="4" t="s">
        <v>581</v>
      </c>
      <c r="B2241" s="21" t="str">
        <f t="shared" si="68"/>
        <v>Jan-2026</v>
      </c>
      <c r="C2241" s="2" t="str">
        <f t="shared" si="69"/>
        <v>Q4</v>
      </c>
      <c r="D2241" s="2" t="s">
        <v>31</v>
      </c>
      <c r="E2241" s="16">
        <v>46037</v>
      </c>
      <c r="F2241" s="2" t="s">
        <v>479</v>
      </c>
      <c r="G2241" s="2" t="s">
        <v>386</v>
      </c>
      <c r="H2241" s="2" t="s">
        <v>96</v>
      </c>
      <c r="I2241" s="19">
        <v>2</v>
      </c>
      <c r="J2241" s="19">
        <v>80</v>
      </c>
      <c r="K2241" s="19">
        <v>65.489999999999995</v>
      </c>
      <c r="L2241" s="19">
        <v>5239.2</v>
      </c>
      <c r="M2241" s="19">
        <v>0</v>
      </c>
      <c r="N2241" s="19">
        <v>-523.92020100000002</v>
      </c>
      <c r="O2241" s="19">
        <v>612.98640399999999</v>
      </c>
      <c r="P2241" s="19">
        <v>5328.2662030000001</v>
      </c>
    </row>
    <row r="2242" spans="1:16" ht="15" x14ac:dyDescent="0.2">
      <c r="A2242" s="4" t="s">
        <v>588</v>
      </c>
      <c r="B2242" s="21" t="str">
        <f t="shared" si="68"/>
        <v>Jan-2026</v>
      </c>
      <c r="C2242" s="2" t="str">
        <f t="shared" si="69"/>
        <v>Q4</v>
      </c>
      <c r="D2242" s="2" t="s">
        <v>31</v>
      </c>
      <c r="E2242" s="16">
        <v>46037</v>
      </c>
      <c r="F2242" s="2" t="s">
        <v>479</v>
      </c>
      <c r="G2242" s="2" t="s">
        <v>386</v>
      </c>
      <c r="H2242" s="2" t="s">
        <v>95</v>
      </c>
      <c r="I2242" s="19">
        <v>1</v>
      </c>
      <c r="J2242" s="19">
        <v>60</v>
      </c>
      <c r="K2242" s="19">
        <v>98.23</v>
      </c>
      <c r="L2242" s="19">
        <v>5893.8</v>
      </c>
      <c r="M2242" s="19">
        <v>0</v>
      </c>
      <c r="N2242" s="19">
        <v>-589.38022599999999</v>
      </c>
      <c r="O2242" s="19">
        <v>689.57460500000002</v>
      </c>
      <c r="P2242" s="19">
        <v>5993.9943789999998</v>
      </c>
    </row>
    <row r="2243" spans="1:16" ht="15" x14ac:dyDescent="0.2">
      <c r="A2243" s="4" t="s">
        <v>591</v>
      </c>
      <c r="B2243" s="21" t="str">
        <f t="shared" ref="B2243:B2306" si="70">+TEXT(E2243,"MMM-yyy")</f>
        <v>Jan-2026</v>
      </c>
      <c r="C2243" s="2" t="str">
        <f t="shared" ref="C2243:C2306" si="71">"Q" &amp; CHOOSE(MONTH(E2243),4,4,4,1,1,1,2,2,2,3,3,3)</f>
        <v>Q4</v>
      </c>
      <c r="D2243" s="2" t="s">
        <v>31</v>
      </c>
      <c r="E2243" s="16">
        <v>46037</v>
      </c>
      <c r="F2243" s="2" t="s">
        <v>479</v>
      </c>
      <c r="G2243" s="2" t="s">
        <v>386</v>
      </c>
      <c r="H2243" s="2" t="s">
        <v>106</v>
      </c>
      <c r="I2243" s="19">
        <v>1</v>
      </c>
      <c r="J2243" s="19">
        <v>60</v>
      </c>
      <c r="K2243" s="19">
        <v>98.23</v>
      </c>
      <c r="L2243" s="19">
        <v>5893.8</v>
      </c>
      <c r="M2243" s="19">
        <v>0</v>
      </c>
      <c r="N2243" s="19">
        <v>-589.38022599999999</v>
      </c>
      <c r="O2243" s="19">
        <v>689.57460500000002</v>
      </c>
      <c r="P2243" s="19">
        <v>5993.9943789999998</v>
      </c>
    </row>
    <row r="2244" spans="1:16" ht="15" x14ac:dyDescent="0.2">
      <c r="A2244" s="4" t="s">
        <v>582</v>
      </c>
      <c r="B2244" s="21" t="str">
        <f t="shared" si="70"/>
        <v>Jan-2026</v>
      </c>
      <c r="C2244" s="2" t="str">
        <f t="shared" si="71"/>
        <v>Q4</v>
      </c>
      <c r="D2244" s="2" t="s">
        <v>31</v>
      </c>
      <c r="E2244" s="16">
        <v>46037</v>
      </c>
      <c r="F2244" s="2" t="s">
        <v>479</v>
      </c>
      <c r="G2244" s="2" t="s">
        <v>386</v>
      </c>
      <c r="H2244" s="2" t="s">
        <v>108</v>
      </c>
      <c r="I2244" s="19">
        <v>2</v>
      </c>
      <c r="J2244" s="19">
        <v>48</v>
      </c>
      <c r="K2244" s="19">
        <v>163.72</v>
      </c>
      <c r="L2244" s="19">
        <v>7858.56</v>
      </c>
      <c r="M2244" s="19">
        <v>0</v>
      </c>
      <c r="N2244" s="19">
        <v>-785.85630100000003</v>
      </c>
      <c r="O2244" s="19">
        <v>919.45152599999994</v>
      </c>
      <c r="P2244" s="19">
        <v>7992.1552250000004</v>
      </c>
    </row>
    <row r="2245" spans="1:16" ht="15" x14ac:dyDescent="0.2">
      <c r="A2245" s="4" t="s">
        <v>583</v>
      </c>
      <c r="B2245" s="21" t="str">
        <f t="shared" si="70"/>
        <v>Jan-2026</v>
      </c>
      <c r="C2245" s="2" t="str">
        <f t="shared" si="71"/>
        <v>Q4</v>
      </c>
      <c r="D2245" s="2" t="s">
        <v>31</v>
      </c>
      <c r="E2245" s="16">
        <v>46037</v>
      </c>
      <c r="F2245" s="2" t="s">
        <v>479</v>
      </c>
      <c r="G2245" s="2" t="s">
        <v>386</v>
      </c>
      <c r="H2245" s="2" t="s">
        <v>109</v>
      </c>
      <c r="I2245" s="19">
        <v>2</v>
      </c>
      <c r="J2245" s="19">
        <v>30</v>
      </c>
      <c r="K2245" s="19">
        <v>229.2</v>
      </c>
      <c r="L2245" s="19">
        <v>6876</v>
      </c>
      <c r="M2245" s="19">
        <v>0</v>
      </c>
      <c r="N2245" s="19">
        <v>-687.60026300000004</v>
      </c>
      <c r="O2245" s="19">
        <v>804.49200500000006</v>
      </c>
      <c r="P2245" s="19">
        <v>6992.8917419999998</v>
      </c>
    </row>
    <row r="2246" spans="1:16" ht="15" x14ac:dyDescent="0.2">
      <c r="A2246" s="4" t="s">
        <v>579</v>
      </c>
      <c r="B2246" s="21" t="str">
        <f t="shared" si="70"/>
        <v>Jan-2026</v>
      </c>
      <c r="C2246" s="2" t="str">
        <f t="shared" si="71"/>
        <v>Q4</v>
      </c>
      <c r="D2246" s="2" t="s">
        <v>31</v>
      </c>
      <c r="E2246" s="16">
        <v>46037</v>
      </c>
      <c r="F2246" s="2" t="s">
        <v>479</v>
      </c>
      <c r="G2246" s="2" t="s">
        <v>386</v>
      </c>
      <c r="H2246" s="2" t="s">
        <v>91</v>
      </c>
      <c r="I2246" s="19">
        <v>2</v>
      </c>
      <c r="J2246" s="19">
        <v>40</v>
      </c>
      <c r="K2246" s="19">
        <v>180.09</v>
      </c>
      <c r="L2246" s="19">
        <v>7203.5999999999995</v>
      </c>
      <c r="M2246" s="19">
        <v>0</v>
      </c>
      <c r="N2246" s="19">
        <v>-720.360276</v>
      </c>
      <c r="O2246" s="19">
        <v>842.82120600000007</v>
      </c>
      <c r="P2246" s="19">
        <v>7326.0609299999996</v>
      </c>
    </row>
    <row r="2247" spans="1:16" ht="15" x14ac:dyDescent="0.2">
      <c r="A2247" s="4" t="s">
        <v>576</v>
      </c>
      <c r="B2247" s="21" t="str">
        <f t="shared" si="70"/>
        <v>Jan-2026</v>
      </c>
      <c r="C2247" s="2" t="str">
        <f t="shared" si="71"/>
        <v>Q4</v>
      </c>
      <c r="D2247" s="2" t="s">
        <v>31</v>
      </c>
      <c r="E2247" s="16">
        <v>46037</v>
      </c>
      <c r="F2247" s="2" t="s">
        <v>479</v>
      </c>
      <c r="G2247" s="2" t="s">
        <v>386</v>
      </c>
      <c r="H2247" s="2" t="s">
        <v>124</v>
      </c>
      <c r="I2247" s="19">
        <v>2</v>
      </c>
      <c r="J2247" s="19">
        <v>40</v>
      </c>
      <c r="K2247" s="19">
        <v>153.88999999999999</v>
      </c>
      <c r="L2247" s="19">
        <v>6155.5999999999995</v>
      </c>
      <c r="M2247" s="19">
        <v>0</v>
      </c>
      <c r="N2247" s="19">
        <v>-615.56023599999992</v>
      </c>
      <c r="O2247" s="19">
        <v>720.20520499999998</v>
      </c>
      <c r="P2247" s="19">
        <v>6260.2449690000003</v>
      </c>
    </row>
    <row r="2248" spans="1:16" ht="15" x14ac:dyDescent="0.2">
      <c r="A2248" s="4" t="s">
        <v>584</v>
      </c>
      <c r="B2248" s="21" t="str">
        <f t="shared" si="70"/>
        <v>Jan-2026</v>
      </c>
      <c r="C2248" s="2" t="str">
        <f t="shared" si="71"/>
        <v>Q4</v>
      </c>
      <c r="D2248" s="2" t="s">
        <v>31</v>
      </c>
      <c r="E2248" s="16">
        <v>46037</v>
      </c>
      <c r="F2248" s="2" t="s">
        <v>479</v>
      </c>
      <c r="G2248" s="2" t="s">
        <v>386</v>
      </c>
      <c r="H2248" s="2" t="s">
        <v>99</v>
      </c>
      <c r="I2248" s="19">
        <v>2</v>
      </c>
      <c r="J2248" s="19">
        <v>80</v>
      </c>
      <c r="K2248" s="19">
        <v>72.040000000000006</v>
      </c>
      <c r="L2248" s="19">
        <v>5763.2</v>
      </c>
      <c r="M2248" s="19">
        <v>0</v>
      </c>
      <c r="N2248" s="19">
        <v>-576.32022100000006</v>
      </c>
      <c r="O2248" s="19">
        <v>674.29440399999999</v>
      </c>
      <c r="P2248" s="19">
        <v>5861.1741830000001</v>
      </c>
    </row>
    <row r="2249" spans="1:16" ht="15" x14ac:dyDescent="0.2">
      <c r="A2249" s="4" t="s">
        <v>589</v>
      </c>
      <c r="B2249" s="21" t="str">
        <f t="shared" si="70"/>
        <v>Jan-2026</v>
      </c>
      <c r="C2249" s="2" t="str">
        <f t="shared" si="71"/>
        <v>Q4</v>
      </c>
      <c r="D2249" s="2" t="s">
        <v>31</v>
      </c>
      <c r="E2249" s="16">
        <v>46037</v>
      </c>
      <c r="F2249" s="2" t="s">
        <v>479</v>
      </c>
      <c r="G2249" s="2" t="s">
        <v>386</v>
      </c>
      <c r="H2249" s="2" t="s">
        <v>105</v>
      </c>
      <c r="I2249" s="19">
        <v>1</v>
      </c>
      <c r="J2249" s="19">
        <v>30</v>
      </c>
      <c r="K2249" s="19">
        <v>278.32</v>
      </c>
      <c r="L2249" s="19">
        <v>8349.6</v>
      </c>
      <c r="M2249" s="19">
        <v>0</v>
      </c>
      <c r="N2249" s="19">
        <v>-834.96032000000002</v>
      </c>
      <c r="O2249" s="19">
        <v>976.90320599999995</v>
      </c>
      <c r="P2249" s="19">
        <v>8491.5428859999993</v>
      </c>
    </row>
    <row r="2250" spans="1:16" ht="15" x14ac:dyDescent="0.2">
      <c r="A2250" s="4" t="s">
        <v>590</v>
      </c>
      <c r="B2250" s="21" t="str">
        <f t="shared" si="70"/>
        <v>Jan-2026</v>
      </c>
      <c r="C2250" s="2" t="str">
        <f t="shared" si="71"/>
        <v>Q4</v>
      </c>
      <c r="D2250" s="2" t="s">
        <v>31</v>
      </c>
      <c r="E2250" s="16">
        <v>46037</v>
      </c>
      <c r="F2250" s="2" t="s">
        <v>479</v>
      </c>
      <c r="G2250" s="2" t="s">
        <v>386</v>
      </c>
      <c r="H2250" s="2" t="s">
        <v>102</v>
      </c>
      <c r="I2250" s="19">
        <v>2</v>
      </c>
      <c r="J2250" s="19">
        <v>40</v>
      </c>
      <c r="K2250" s="19">
        <v>219.38</v>
      </c>
      <c r="L2250" s="19">
        <v>8775.2000000000007</v>
      </c>
      <c r="M2250" s="19">
        <v>0</v>
      </c>
      <c r="N2250" s="19">
        <v>-877.52033599999993</v>
      </c>
      <c r="O2250" s="19">
        <v>1026.6984070000001</v>
      </c>
      <c r="P2250" s="19">
        <v>8924.3780709999992</v>
      </c>
    </row>
    <row r="2251" spans="1:16" ht="15" x14ac:dyDescent="0.2">
      <c r="A2251" s="4" t="s">
        <v>587</v>
      </c>
      <c r="B2251" s="21" t="str">
        <f t="shared" si="70"/>
        <v>Jan-2026</v>
      </c>
      <c r="C2251" s="2" t="str">
        <f t="shared" si="71"/>
        <v>Q4</v>
      </c>
      <c r="D2251" s="2" t="s">
        <v>31</v>
      </c>
      <c r="E2251" s="16">
        <v>46037</v>
      </c>
      <c r="F2251" s="2" t="s">
        <v>479</v>
      </c>
      <c r="G2251" s="2" t="s">
        <v>386</v>
      </c>
      <c r="H2251" s="2" t="s">
        <v>94</v>
      </c>
      <c r="I2251" s="19">
        <v>1</v>
      </c>
      <c r="J2251" s="19">
        <v>60</v>
      </c>
      <c r="K2251" s="19">
        <v>98.23</v>
      </c>
      <c r="L2251" s="19">
        <v>5893.8</v>
      </c>
      <c r="M2251" s="19">
        <v>0</v>
      </c>
      <c r="N2251" s="19">
        <v>-589.38022599999999</v>
      </c>
      <c r="O2251" s="19">
        <v>689.57460500000002</v>
      </c>
      <c r="P2251" s="19">
        <v>5993.9943789999998</v>
      </c>
    </row>
    <row r="2252" spans="1:16" ht="15" x14ac:dyDescent="0.2">
      <c r="A2252" s="4" t="s">
        <v>580</v>
      </c>
      <c r="B2252" s="21" t="str">
        <f t="shared" si="70"/>
        <v>Jan-2026</v>
      </c>
      <c r="C2252" s="2" t="str">
        <f t="shared" si="71"/>
        <v>Q4</v>
      </c>
      <c r="D2252" s="2" t="s">
        <v>31</v>
      </c>
      <c r="E2252" s="16">
        <v>46037</v>
      </c>
      <c r="F2252" s="2" t="s">
        <v>479</v>
      </c>
      <c r="G2252" s="2" t="s">
        <v>386</v>
      </c>
      <c r="H2252" s="2" t="s">
        <v>89</v>
      </c>
      <c r="I2252" s="19">
        <v>2</v>
      </c>
      <c r="J2252" s="19">
        <v>140</v>
      </c>
      <c r="K2252" s="19">
        <v>32.74</v>
      </c>
      <c r="L2252" s="19">
        <v>4583.6000000000004</v>
      </c>
      <c r="M2252" s="19">
        <v>0</v>
      </c>
      <c r="N2252" s="19">
        <v>-458.36017500000003</v>
      </c>
      <c r="O2252" s="19">
        <v>536.281204</v>
      </c>
      <c r="P2252" s="19">
        <v>4661.5210290000005</v>
      </c>
    </row>
    <row r="2253" spans="1:16" ht="15" x14ac:dyDescent="0.2">
      <c r="A2253" s="4" t="s">
        <v>580</v>
      </c>
      <c r="B2253" s="21" t="str">
        <f t="shared" si="70"/>
        <v>Jan-2026</v>
      </c>
      <c r="C2253" s="2" t="str">
        <f t="shared" si="71"/>
        <v>Q4</v>
      </c>
      <c r="D2253" s="2" t="s">
        <v>31</v>
      </c>
      <c r="E2253" s="16">
        <v>46037</v>
      </c>
      <c r="F2253" s="2" t="s">
        <v>479</v>
      </c>
      <c r="G2253" s="2" t="s">
        <v>386</v>
      </c>
      <c r="H2253" s="2" t="s">
        <v>65</v>
      </c>
      <c r="I2253" s="19">
        <v>1</v>
      </c>
      <c r="J2253" s="19">
        <v>130</v>
      </c>
      <c r="K2253" s="19">
        <v>32.74</v>
      </c>
      <c r="L2253" s="19">
        <v>4256.2</v>
      </c>
      <c r="M2253" s="19">
        <v>0</v>
      </c>
      <c r="N2253" s="19">
        <v>-425.62016299999999</v>
      </c>
      <c r="O2253" s="19">
        <v>497.97540300000003</v>
      </c>
      <c r="P2253" s="19">
        <v>4328.5552399999997</v>
      </c>
    </row>
    <row r="2254" spans="1:16" ht="15" x14ac:dyDescent="0.2">
      <c r="A2254" s="4" t="s">
        <v>593</v>
      </c>
      <c r="B2254" s="21" t="str">
        <f t="shared" si="70"/>
        <v>Jan-2026</v>
      </c>
      <c r="C2254" s="2" t="str">
        <f t="shared" si="71"/>
        <v>Q4</v>
      </c>
      <c r="D2254" s="2" t="s">
        <v>31</v>
      </c>
      <c r="E2254" s="16">
        <v>46038</v>
      </c>
      <c r="F2254" s="2" t="s">
        <v>480</v>
      </c>
      <c r="G2254" s="2" t="s">
        <v>12</v>
      </c>
      <c r="H2254" s="2" t="s">
        <v>117</v>
      </c>
      <c r="I2254" s="19">
        <v>15</v>
      </c>
      <c r="J2254" s="19">
        <v>60</v>
      </c>
      <c r="K2254" s="19">
        <v>595.92999999999995</v>
      </c>
      <c r="L2254" s="19">
        <v>35755.799999999996</v>
      </c>
      <c r="M2254" s="19">
        <v>-2749.62</v>
      </c>
      <c r="N2254" s="19">
        <v>0</v>
      </c>
      <c r="O2254" s="19">
        <v>4290.8051649999998</v>
      </c>
      <c r="P2254" s="19">
        <v>37296.985164999998</v>
      </c>
    </row>
    <row r="2255" spans="1:16" ht="15" x14ac:dyDescent="0.2">
      <c r="A2255" s="4" t="s">
        <v>579</v>
      </c>
      <c r="B2255" s="21" t="str">
        <f t="shared" si="70"/>
        <v>Jan-2026</v>
      </c>
      <c r="C2255" s="2" t="str">
        <f t="shared" si="71"/>
        <v>Q4</v>
      </c>
      <c r="D2255" s="2" t="s">
        <v>31</v>
      </c>
      <c r="E2255" s="16">
        <v>46038</v>
      </c>
      <c r="F2255" s="2" t="s">
        <v>480</v>
      </c>
      <c r="G2255" s="2" t="s">
        <v>12</v>
      </c>
      <c r="H2255" s="2" t="s">
        <v>90</v>
      </c>
      <c r="I2255" s="19">
        <v>2</v>
      </c>
      <c r="J2255" s="19">
        <v>40</v>
      </c>
      <c r="K2255" s="19">
        <v>204.85</v>
      </c>
      <c r="L2255" s="19">
        <v>8194</v>
      </c>
      <c r="M2255" s="19">
        <v>-630.12</v>
      </c>
      <c r="N2255" s="19">
        <v>0</v>
      </c>
      <c r="O2255" s="19">
        <v>983.30480399999999</v>
      </c>
      <c r="P2255" s="19">
        <v>8547.1848040000004</v>
      </c>
    </row>
    <row r="2256" spans="1:16" ht="15" x14ac:dyDescent="0.2">
      <c r="A2256" s="4" t="s">
        <v>581</v>
      </c>
      <c r="B2256" s="21" t="str">
        <f t="shared" si="70"/>
        <v>Jan-2026</v>
      </c>
      <c r="C2256" s="2" t="str">
        <f t="shared" si="71"/>
        <v>Q4</v>
      </c>
      <c r="D2256" s="2" t="s">
        <v>31</v>
      </c>
      <c r="E2256" s="16">
        <v>46038</v>
      </c>
      <c r="F2256" s="2" t="s">
        <v>480</v>
      </c>
      <c r="G2256" s="2" t="s">
        <v>12</v>
      </c>
      <c r="H2256" s="2" t="s">
        <v>97</v>
      </c>
      <c r="I2256" s="19">
        <v>2</v>
      </c>
      <c r="J2256" s="19">
        <v>80</v>
      </c>
      <c r="K2256" s="19">
        <v>67.040000000000006</v>
      </c>
      <c r="L2256" s="19">
        <v>5363.2</v>
      </c>
      <c r="M2256" s="19">
        <v>-412.43</v>
      </c>
      <c r="N2256" s="19">
        <v>0</v>
      </c>
      <c r="O2256" s="19">
        <v>643.60036500000001</v>
      </c>
      <c r="P2256" s="19">
        <v>5594.3703649999998</v>
      </c>
    </row>
    <row r="2257" spans="1:16" ht="15" x14ac:dyDescent="0.2">
      <c r="A2257" s="4" t="s">
        <v>583</v>
      </c>
      <c r="B2257" s="21" t="str">
        <f t="shared" si="70"/>
        <v>Jan-2026</v>
      </c>
      <c r="C2257" s="2" t="str">
        <f t="shared" si="71"/>
        <v>Q4</v>
      </c>
      <c r="D2257" s="2" t="s">
        <v>31</v>
      </c>
      <c r="E2257" s="16">
        <v>46038</v>
      </c>
      <c r="F2257" s="2" t="s">
        <v>480</v>
      </c>
      <c r="G2257" s="2" t="s">
        <v>12</v>
      </c>
      <c r="H2257" s="2" t="s">
        <v>113</v>
      </c>
      <c r="I2257" s="19">
        <v>6</v>
      </c>
      <c r="J2257" s="19">
        <v>90</v>
      </c>
      <c r="K2257" s="19">
        <v>260.72000000000003</v>
      </c>
      <c r="L2257" s="19">
        <v>23464.799999999999</v>
      </c>
      <c r="M2257" s="19">
        <v>-1804.44</v>
      </c>
      <c r="N2257" s="19">
        <v>0</v>
      </c>
      <c r="O2257" s="19">
        <v>2815.8479579999998</v>
      </c>
      <c r="P2257" s="19">
        <v>24476.207957999999</v>
      </c>
    </row>
    <row r="2258" spans="1:16" ht="15" x14ac:dyDescent="0.2">
      <c r="A2258" s="4" t="s">
        <v>581</v>
      </c>
      <c r="B2258" s="21" t="str">
        <f t="shared" si="70"/>
        <v>Jan-2026</v>
      </c>
      <c r="C2258" s="2" t="str">
        <f t="shared" si="71"/>
        <v>Q4</v>
      </c>
      <c r="D2258" s="2" t="s">
        <v>31</v>
      </c>
      <c r="E2258" s="16">
        <v>46038</v>
      </c>
      <c r="F2258" s="2" t="s">
        <v>480</v>
      </c>
      <c r="G2258" s="2" t="s">
        <v>12</v>
      </c>
      <c r="H2258" s="2" t="s">
        <v>125</v>
      </c>
      <c r="I2258" s="19">
        <v>2</v>
      </c>
      <c r="J2258" s="19">
        <v>1600</v>
      </c>
      <c r="K2258" s="19">
        <v>7.46</v>
      </c>
      <c r="L2258" s="19">
        <v>11936</v>
      </c>
      <c r="M2258" s="19">
        <v>-917.88</v>
      </c>
      <c r="N2258" s="19">
        <v>0</v>
      </c>
      <c r="O2258" s="19">
        <v>1432.3561890000001</v>
      </c>
      <c r="P2258" s="19">
        <v>12450.476189000001</v>
      </c>
    </row>
    <row r="2259" spans="1:16" ht="15" x14ac:dyDescent="0.2">
      <c r="A2259" s="4" t="s">
        <v>583</v>
      </c>
      <c r="B2259" s="21" t="str">
        <f t="shared" si="70"/>
        <v>Jan-2026</v>
      </c>
      <c r="C2259" s="2" t="str">
        <f t="shared" si="71"/>
        <v>Q4</v>
      </c>
      <c r="D2259" s="2" t="s">
        <v>31</v>
      </c>
      <c r="E2259" s="16">
        <v>46038</v>
      </c>
      <c r="F2259" s="2" t="s">
        <v>480</v>
      </c>
      <c r="G2259" s="2" t="s">
        <v>12</v>
      </c>
      <c r="H2259" s="2" t="s">
        <v>109</v>
      </c>
      <c r="I2259" s="19">
        <v>2</v>
      </c>
      <c r="J2259" s="19">
        <v>30</v>
      </c>
      <c r="K2259" s="19">
        <v>260.72000000000003</v>
      </c>
      <c r="L2259" s="19">
        <v>7821.6</v>
      </c>
      <c r="M2259" s="19">
        <v>-601.48</v>
      </c>
      <c r="N2259" s="19">
        <v>0</v>
      </c>
      <c r="O2259" s="19">
        <v>938.61598600000002</v>
      </c>
      <c r="P2259" s="19">
        <v>8158.7359859999997</v>
      </c>
    </row>
    <row r="2260" spans="1:16" ht="15" x14ac:dyDescent="0.2">
      <c r="A2260" s="4" t="s">
        <v>581</v>
      </c>
      <c r="B2260" s="21" t="str">
        <f t="shared" si="70"/>
        <v>Jan-2026</v>
      </c>
      <c r="C2260" s="2" t="str">
        <f t="shared" si="71"/>
        <v>Q4</v>
      </c>
      <c r="D2260" s="2" t="s">
        <v>31</v>
      </c>
      <c r="E2260" s="16">
        <v>46038</v>
      </c>
      <c r="F2260" s="2" t="s">
        <v>480</v>
      </c>
      <c r="G2260" s="2" t="s">
        <v>12</v>
      </c>
      <c r="H2260" s="2" t="s">
        <v>104</v>
      </c>
      <c r="I2260" s="19">
        <v>1</v>
      </c>
      <c r="J2260" s="19">
        <v>40</v>
      </c>
      <c r="K2260" s="19">
        <v>67.040000000000006</v>
      </c>
      <c r="L2260" s="19">
        <v>2681.6</v>
      </c>
      <c r="M2260" s="19">
        <v>-206.22</v>
      </c>
      <c r="N2260" s="19">
        <v>0</v>
      </c>
      <c r="O2260" s="19">
        <v>321.799532</v>
      </c>
      <c r="P2260" s="19">
        <v>2797.1795320000001</v>
      </c>
    </row>
    <row r="2261" spans="1:16" ht="15" x14ac:dyDescent="0.2">
      <c r="A2261" s="4" t="s">
        <v>589</v>
      </c>
      <c r="B2261" s="21" t="str">
        <f t="shared" si="70"/>
        <v>Jan-2026</v>
      </c>
      <c r="C2261" s="2" t="str">
        <f t="shared" si="71"/>
        <v>Q4</v>
      </c>
      <c r="D2261" s="2" t="s">
        <v>31</v>
      </c>
      <c r="E2261" s="16">
        <v>46038</v>
      </c>
      <c r="F2261" s="2" t="s">
        <v>481</v>
      </c>
      <c r="G2261" s="2" t="s">
        <v>25</v>
      </c>
      <c r="H2261" s="2" t="s">
        <v>98</v>
      </c>
      <c r="I2261" s="19">
        <v>1</v>
      </c>
      <c r="J2261" s="19">
        <v>60</v>
      </c>
      <c r="K2261" s="19">
        <v>129.41999999999999</v>
      </c>
      <c r="L2261" s="19">
        <v>7765.2</v>
      </c>
      <c r="M2261" s="19">
        <v>0</v>
      </c>
      <c r="N2261" s="19">
        <v>0</v>
      </c>
      <c r="O2261" s="19">
        <v>1009.48</v>
      </c>
      <c r="P2261" s="19">
        <v>8774.68</v>
      </c>
    </row>
    <row r="2262" spans="1:16" ht="15" x14ac:dyDescent="0.2">
      <c r="A2262" s="4" t="s">
        <v>578</v>
      </c>
      <c r="B2262" s="21" t="str">
        <f t="shared" si="70"/>
        <v>Jan-2026</v>
      </c>
      <c r="C2262" s="2" t="str">
        <f t="shared" si="71"/>
        <v>Q4</v>
      </c>
      <c r="D2262" s="2" t="s">
        <v>31</v>
      </c>
      <c r="E2262" s="16">
        <v>46038</v>
      </c>
      <c r="F2262" s="2" t="s">
        <v>482</v>
      </c>
      <c r="G2262" s="2" t="s">
        <v>19</v>
      </c>
      <c r="H2262" s="2" t="s">
        <v>60</v>
      </c>
      <c r="I2262" s="19">
        <v>-4</v>
      </c>
      <c r="J2262" s="19">
        <v>-168</v>
      </c>
      <c r="K2262" s="19">
        <v>74.489999999999995</v>
      </c>
      <c r="L2262" s="19">
        <v>-12514.32</v>
      </c>
      <c r="M2262" s="19">
        <v>962.35</v>
      </c>
      <c r="N2262" s="19">
        <v>0</v>
      </c>
      <c r="O2262" s="19">
        <v>-1501.7559140000001</v>
      </c>
      <c r="P2262" s="19">
        <v>-13053.725914000001</v>
      </c>
    </row>
    <row r="2263" spans="1:16" ht="15" x14ac:dyDescent="0.2">
      <c r="A2263" s="4" t="s">
        <v>578</v>
      </c>
      <c r="B2263" s="21" t="str">
        <f t="shared" si="70"/>
        <v>Jan-2026</v>
      </c>
      <c r="C2263" s="2" t="str">
        <f t="shared" si="71"/>
        <v>Q4</v>
      </c>
      <c r="D2263" s="2" t="s">
        <v>31</v>
      </c>
      <c r="E2263" s="16">
        <v>46038</v>
      </c>
      <c r="F2263" s="2" t="s">
        <v>482</v>
      </c>
      <c r="G2263" s="2" t="s">
        <v>19</v>
      </c>
      <c r="H2263" s="2" t="s">
        <v>59</v>
      </c>
      <c r="I2263" s="19">
        <v>-9</v>
      </c>
      <c r="J2263" s="19">
        <v>-378</v>
      </c>
      <c r="K2263" s="19">
        <v>74.489999999999995</v>
      </c>
      <c r="L2263" s="19">
        <v>-28157.22</v>
      </c>
      <c r="M2263" s="19">
        <v>2165.29</v>
      </c>
      <c r="N2263" s="19">
        <v>0</v>
      </c>
      <c r="O2263" s="19">
        <v>-3378.9504820000002</v>
      </c>
      <c r="P2263" s="19">
        <v>-29370.880482</v>
      </c>
    </row>
    <row r="2264" spans="1:16" ht="15" x14ac:dyDescent="0.2">
      <c r="A2264" s="4" t="s">
        <v>578</v>
      </c>
      <c r="B2264" s="21" t="str">
        <f t="shared" si="70"/>
        <v>Jan-2026</v>
      </c>
      <c r="C2264" s="2" t="str">
        <f t="shared" si="71"/>
        <v>Q4</v>
      </c>
      <c r="D2264" s="2" t="s">
        <v>31</v>
      </c>
      <c r="E2264" s="16">
        <v>46038</v>
      </c>
      <c r="F2264" s="2" t="s">
        <v>482</v>
      </c>
      <c r="G2264" s="2" t="s">
        <v>19</v>
      </c>
      <c r="H2264" s="2" t="s">
        <v>62</v>
      </c>
      <c r="I2264" s="19">
        <v>-4</v>
      </c>
      <c r="J2264" s="19">
        <v>-168</v>
      </c>
      <c r="K2264" s="19">
        <v>74.489999999999995</v>
      </c>
      <c r="L2264" s="19">
        <v>-12514.32</v>
      </c>
      <c r="M2264" s="19">
        <v>962.35</v>
      </c>
      <c r="N2264" s="19">
        <v>0</v>
      </c>
      <c r="O2264" s="19">
        <v>-1501.7559140000001</v>
      </c>
      <c r="P2264" s="19">
        <v>-13053.725914000001</v>
      </c>
    </row>
    <row r="2265" spans="1:16" ht="15" x14ac:dyDescent="0.2">
      <c r="A2265" s="4" t="s">
        <v>580</v>
      </c>
      <c r="B2265" s="21" t="str">
        <f t="shared" si="70"/>
        <v>Jan-2026</v>
      </c>
      <c r="C2265" s="2" t="str">
        <f t="shared" si="71"/>
        <v>Q4</v>
      </c>
      <c r="D2265" s="2" t="s">
        <v>31</v>
      </c>
      <c r="E2265" s="16">
        <v>46038</v>
      </c>
      <c r="F2265" s="2" t="s">
        <v>482</v>
      </c>
      <c r="G2265" s="2" t="s">
        <v>19</v>
      </c>
      <c r="H2265" s="2" t="s">
        <v>65</v>
      </c>
      <c r="I2265" s="19">
        <v>-3</v>
      </c>
      <c r="J2265" s="19">
        <v>-390</v>
      </c>
      <c r="K2265" s="19">
        <v>37.25</v>
      </c>
      <c r="L2265" s="19">
        <v>-14527.499999999998</v>
      </c>
      <c r="M2265" s="19">
        <v>1117.1600000000001</v>
      </c>
      <c r="N2265" s="19">
        <v>0</v>
      </c>
      <c r="O2265" s="19">
        <v>-1743.3439840000001</v>
      </c>
      <c r="P2265" s="19">
        <v>-15153.683983999999</v>
      </c>
    </row>
    <row r="2266" spans="1:16" ht="15" x14ac:dyDescent="0.2">
      <c r="A2266" s="4" t="s">
        <v>591</v>
      </c>
      <c r="B2266" s="21" t="str">
        <f t="shared" si="70"/>
        <v>Jan-2026</v>
      </c>
      <c r="C2266" s="2" t="str">
        <f t="shared" si="71"/>
        <v>Q4</v>
      </c>
      <c r="D2266" s="2" t="s">
        <v>31</v>
      </c>
      <c r="E2266" s="16">
        <v>46038</v>
      </c>
      <c r="F2266" s="2" t="s">
        <v>482</v>
      </c>
      <c r="G2266" s="2" t="s">
        <v>19</v>
      </c>
      <c r="H2266" s="2" t="s">
        <v>106</v>
      </c>
      <c r="I2266" s="19">
        <v>-1</v>
      </c>
      <c r="J2266" s="19">
        <v>-60</v>
      </c>
      <c r="K2266" s="19">
        <v>111.74</v>
      </c>
      <c r="L2266" s="19">
        <v>-6704.4</v>
      </c>
      <c r="M2266" s="19">
        <v>515.57000000000005</v>
      </c>
      <c r="N2266" s="19">
        <v>0</v>
      </c>
      <c r="O2266" s="19">
        <v>-804.54780000000005</v>
      </c>
      <c r="P2266" s="19">
        <v>-6993.3778000000002</v>
      </c>
    </row>
    <row r="2267" spans="1:16" ht="15" x14ac:dyDescent="0.2">
      <c r="A2267" s="4" t="s">
        <v>588</v>
      </c>
      <c r="B2267" s="21" t="str">
        <f t="shared" si="70"/>
        <v>Jan-2026</v>
      </c>
      <c r="C2267" s="2" t="str">
        <f t="shared" si="71"/>
        <v>Q4</v>
      </c>
      <c r="D2267" s="2" t="s">
        <v>31</v>
      </c>
      <c r="E2267" s="16">
        <v>46038</v>
      </c>
      <c r="F2267" s="2" t="s">
        <v>482</v>
      </c>
      <c r="G2267" s="2" t="s">
        <v>19</v>
      </c>
      <c r="H2267" s="2" t="s">
        <v>95</v>
      </c>
      <c r="I2267" s="19">
        <v>-1</v>
      </c>
      <c r="J2267" s="19">
        <v>-60</v>
      </c>
      <c r="K2267" s="19">
        <v>111.74</v>
      </c>
      <c r="L2267" s="19">
        <v>-6704.4</v>
      </c>
      <c r="M2267" s="19">
        <v>515.57000000000005</v>
      </c>
      <c r="N2267" s="19">
        <v>0</v>
      </c>
      <c r="O2267" s="19">
        <v>-804.54780000000005</v>
      </c>
      <c r="P2267" s="19">
        <v>-6993.3778000000002</v>
      </c>
    </row>
    <row r="2268" spans="1:16" ht="15" x14ac:dyDescent="0.2">
      <c r="A2268" s="4" t="s">
        <v>574</v>
      </c>
      <c r="B2268" s="21" t="str">
        <f t="shared" si="70"/>
        <v>Jan-2026</v>
      </c>
      <c r="C2268" s="2" t="str">
        <f t="shared" si="71"/>
        <v>Q4</v>
      </c>
      <c r="D2268" s="2" t="s">
        <v>31</v>
      </c>
      <c r="E2268" s="16">
        <v>46038</v>
      </c>
      <c r="F2268" s="2" t="s">
        <v>482</v>
      </c>
      <c r="G2268" s="2" t="s">
        <v>19</v>
      </c>
      <c r="H2268" s="2" t="s">
        <v>86</v>
      </c>
      <c r="I2268" s="19">
        <v>-1</v>
      </c>
      <c r="J2268" s="19">
        <v>-18</v>
      </c>
      <c r="K2268" s="19">
        <v>178.78</v>
      </c>
      <c r="L2268" s="19">
        <v>-3218.0400000000004</v>
      </c>
      <c r="M2268" s="19">
        <v>247.47</v>
      </c>
      <c r="N2268" s="19">
        <v>0</v>
      </c>
      <c r="O2268" s="19">
        <v>-386.17405199999996</v>
      </c>
      <c r="P2268" s="19">
        <v>-3356.744052</v>
      </c>
    </row>
    <row r="2269" spans="1:16" ht="15" x14ac:dyDescent="0.2">
      <c r="A2269" s="4" t="s">
        <v>574</v>
      </c>
      <c r="B2269" s="21" t="str">
        <f t="shared" si="70"/>
        <v>Jan-2026</v>
      </c>
      <c r="C2269" s="2" t="str">
        <f t="shared" si="71"/>
        <v>Q4</v>
      </c>
      <c r="D2269" s="2" t="s">
        <v>31</v>
      </c>
      <c r="E2269" s="16">
        <v>46038</v>
      </c>
      <c r="F2269" s="2" t="s">
        <v>482</v>
      </c>
      <c r="G2269" s="2" t="s">
        <v>19</v>
      </c>
      <c r="H2269" s="2" t="s">
        <v>84</v>
      </c>
      <c r="I2269" s="19">
        <v>-1</v>
      </c>
      <c r="J2269" s="19">
        <v>-18</v>
      </c>
      <c r="K2269" s="19">
        <v>178.78</v>
      </c>
      <c r="L2269" s="19">
        <v>-3218.0400000000004</v>
      </c>
      <c r="M2269" s="19">
        <v>247.47</v>
      </c>
      <c r="N2269" s="19">
        <v>0</v>
      </c>
      <c r="O2269" s="19">
        <v>-386.17405199999996</v>
      </c>
      <c r="P2269" s="19">
        <v>-3356.744052</v>
      </c>
    </row>
    <row r="2270" spans="1:16" ht="15" x14ac:dyDescent="0.2">
      <c r="A2270" s="4" t="s">
        <v>574</v>
      </c>
      <c r="B2270" s="21" t="str">
        <f t="shared" si="70"/>
        <v>Jan-2026</v>
      </c>
      <c r="C2270" s="2" t="str">
        <f t="shared" si="71"/>
        <v>Q4</v>
      </c>
      <c r="D2270" s="2" t="s">
        <v>31</v>
      </c>
      <c r="E2270" s="16">
        <v>46041</v>
      </c>
      <c r="F2270" s="2" t="s">
        <v>483</v>
      </c>
      <c r="G2270" s="2" t="s">
        <v>306</v>
      </c>
      <c r="H2270" s="2" t="s">
        <v>86</v>
      </c>
      <c r="I2270" s="19">
        <v>0.28000000000000003</v>
      </c>
      <c r="J2270" s="19">
        <v>5</v>
      </c>
      <c r="K2270" s="19">
        <v>169.91</v>
      </c>
      <c r="L2270" s="19">
        <v>849.55000000000007</v>
      </c>
      <c r="M2270" s="19">
        <v>0</v>
      </c>
      <c r="N2270" s="19">
        <v>0</v>
      </c>
      <c r="O2270" s="19">
        <v>110.44116999999999</v>
      </c>
      <c r="P2270" s="19">
        <v>959.99117000000001</v>
      </c>
    </row>
    <row r="2271" spans="1:16" ht="15" x14ac:dyDescent="0.2">
      <c r="A2271" s="4" t="s">
        <v>573</v>
      </c>
      <c r="B2271" s="21" t="str">
        <f t="shared" si="70"/>
        <v>Jan-2026</v>
      </c>
      <c r="C2271" s="2" t="str">
        <f t="shared" si="71"/>
        <v>Q4</v>
      </c>
      <c r="D2271" s="2" t="s">
        <v>31</v>
      </c>
      <c r="E2271" s="16">
        <v>46041</v>
      </c>
      <c r="F2271" s="2" t="s">
        <v>483</v>
      </c>
      <c r="G2271" s="2" t="s">
        <v>306</v>
      </c>
      <c r="H2271" s="2" t="s">
        <v>111</v>
      </c>
      <c r="I2271" s="19">
        <v>0.13</v>
      </c>
      <c r="J2271" s="19">
        <v>5</v>
      </c>
      <c r="K2271" s="19">
        <v>106.19</v>
      </c>
      <c r="L2271" s="19">
        <v>530.95000000000005</v>
      </c>
      <c r="M2271" s="19">
        <v>0</v>
      </c>
      <c r="N2271" s="19">
        <v>0</v>
      </c>
      <c r="O2271" s="19">
        <v>69.023294000000007</v>
      </c>
      <c r="P2271" s="19">
        <v>599.97329400000001</v>
      </c>
    </row>
    <row r="2272" spans="1:16" ht="15" x14ac:dyDescent="0.2">
      <c r="A2272" s="4" t="s">
        <v>590</v>
      </c>
      <c r="B2272" s="21" t="str">
        <f t="shared" si="70"/>
        <v>Jan-2026</v>
      </c>
      <c r="C2272" s="2" t="str">
        <f t="shared" si="71"/>
        <v>Q4</v>
      </c>
      <c r="D2272" s="2" t="s">
        <v>31</v>
      </c>
      <c r="E2272" s="16">
        <v>46041</v>
      </c>
      <c r="F2272" s="2" t="s">
        <v>483</v>
      </c>
      <c r="G2272" s="2" t="s">
        <v>306</v>
      </c>
      <c r="H2272" s="2" t="s">
        <v>102</v>
      </c>
      <c r="I2272" s="19">
        <v>0.25</v>
      </c>
      <c r="J2272" s="19">
        <v>5</v>
      </c>
      <c r="K2272" s="19">
        <v>237.17</v>
      </c>
      <c r="L2272" s="19">
        <v>1185.8499999999999</v>
      </c>
      <c r="M2272" s="19">
        <v>0</v>
      </c>
      <c r="N2272" s="19">
        <v>0</v>
      </c>
      <c r="O2272" s="19">
        <v>154.16004000000001</v>
      </c>
      <c r="P2272" s="19">
        <v>1340.0100399999999</v>
      </c>
    </row>
    <row r="2273" spans="1:16" ht="15" x14ac:dyDescent="0.2">
      <c r="A2273" s="4" t="s">
        <v>581</v>
      </c>
      <c r="B2273" s="21" t="str">
        <f t="shared" si="70"/>
        <v>Jan-2026</v>
      </c>
      <c r="C2273" s="2" t="str">
        <f t="shared" si="71"/>
        <v>Q4</v>
      </c>
      <c r="D2273" s="2" t="s">
        <v>31</v>
      </c>
      <c r="E2273" s="16">
        <v>46041</v>
      </c>
      <c r="F2273" s="2" t="s">
        <v>483</v>
      </c>
      <c r="G2273" s="2" t="s">
        <v>306</v>
      </c>
      <c r="H2273" s="2" t="s">
        <v>66</v>
      </c>
      <c r="I2273" s="19">
        <v>0.42</v>
      </c>
      <c r="J2273" s="19">
        <v>10</v>
      </c>
      <c r="K2273" s="19">
        <v>134.51</v>
      </c>
      <c r="L2273" s="19">
        <v>1345.1000000000001</v>
      </c>
      <c r="M2273" s="19">
        <v>0</v>
      </c>
      <c r="N2273" s="19">
        <v>0</v>
      </c>
      <c r="O2273" s="19">
        <v>174.86247800000001</v>
      </c>
      <c r="P2273" s="19">
        <v>1519.9624779999999</v>
      </c>
    </row>
    <row r="2274" spans="1:16" ht="15" x14ac:dyDescent="0.2">
      <c r="A2274" s="4" t="s">
        <v>584</v>
      </c>
      <c r="B2274" s="21" t="str">
        <f t="shared" si="70"/>
        <v>Jan-2026</v>
      </c>
      <c r="C2274" s="2" t="str">
        <f t="shared" si="71"/>
        <v>Q4</v>
      </c>
      <c r="D2274" s="2" t="s">
        <v>31</v>
      </c>
      <c r="E2274" s="16">
        <v>46041</v>
      </c>
      <c r="F2274" s="2" t="s">
        <v>483</v>
      </c>
      <c r="G2274" s="2" t="s">
        <v>306</v>
      </c>
      <c r="H2274" s="2" t="s">
        <v>100</v>
      </c>
      <c r="I2274" s="19">
        <v>0.13</v>
      </c>
      <c r="J2274" s="19">
        <v>5</v>
      </c>
      <c r="K2274" s="19">
        <v>77.88</v>
      </c>
      <c r="L2274" s="19">
        <v>389.4</v>
      </c>
      <c r="M2274" s="19">
        <v>0</v>
      </c>
      <c r="N2274" s="19">
        <v>0</v>
      </c>
      <c r="O2274" s="19">
        <v>50.621848999999997</v>
      </c>
      <c r="P2274" s="19">
        <v>440.02184899999997</v>
      </c>
    </row>
    <row r="2275" spans="1:16" ht="15" x14ac:dyDescent="0.2">
      <c r="A2275" s="4" t="s">
        <v>574</v>
      </c>
      <c r="B2275" s="21" t="str">
        <f t="shared" si="70"/>
        <v>Jan-2026</v>
      </c>
      <c r="C2275" s="2" t="str">
        <f t="shared" si="71"/>
        <v>Q4</v>
      </c>
      <c r="D2275" s="2" t="s">
        <v>31</v>
      </c>
      <c r="E2275" s="16">
        <v>46041</v>
      </c>
      <c r="F2275" s="2" t="s">
        <v>483</v>
      </c>
      <c r="G2275" s="2" t="s">
        <v>306</v>
      </c>
      <c r="H2275" s="2" t="s">
        <v>84</v>
      </c>
      <c r="I2275" s="19">
        <v>0.28000000000000003</v>
      </c>
      <c r="J2275" s="19">
        <v>5</v>
      </c>
      <c r="K2275" s="19">
        <v>169.91</v>
      </c>
      <c r="L2275" s="19">
        <v>849.55000000000007</v>
      </c>
      <c r="M2275" s="19">
        <v>0</v>
      </c>
      <c r="N2275" s="19">
        <v>0</v>
      </c>
      <c r="O2275" s="19">
        <v>110.44116999999999</v>
      </c>
      <c r="P2275" s="19">
        <v>959.99117000000001</v>
      </c>
    </row>
    <row r="2276" spans="1:16" ht="15" x14ac:dyDescent="0.2">
      <c r="A2276" s="4" t="s">
        <v>584</v>
      </c>
      <c r="B2276" s="21" t="str">
        <f t="shared" si="70"/>
        <v>Jan-2026</v>
      </c>
      <c r="C2276" s="2" t="str">
        <f t="shared" si="71"/>
        <v>Q4</v>
      </c>
      <c r="D2276" s="2" t="s">
        <v>31</v>
      </c>
      <c r="E2276" s="16">
        <v>46041</v>
      </c>
      <c r="F2276" s="2" t="s">
        <v>484</v>
      </c>
      <c r="G2276" s="2" t="s">
        <v>22</v>
      </c>
      <c r="H2276" s="2" t="s">
        <v>120</v>
      </c>
      <c r="I2276" s="19">
        <v>-0.15</v>
      </c>
      <c r="J2276" s="19">
        <v>-6</v>
      </c>
      <c r="K2276" s="19">
        <v>81.94</v>
      </c>
      <c r="L2276" s="19">
        <v>-491.65</v>
      </c>
      <c r="M2276" s="19">
        <v>37.81</v>
      </c>
      <c r="N2276" s="19">
        <v>0</v>
      </c>
      <c r="O2276" s="19">
        <v>-58.998779999999996</v>
      </c>
      <c r="P2276" s="19">
        <v>-512.83878000000004</v>
      </c>
    </row>
    <row r="2277" spans="1:16" ht="15" x14ac:dyDescent="0.2">
      <c r="A2277" s="4" t="s">
        <v>584</v>
      </c>
      <c r="B2277" s="21" t="str">
        <f t="shared" si="70"/>
        <v>Jan-2026</v>
      </c>
      <c r="C2277" s="2" t="str">
        <f t="shared" si="71"/>
        <v>Q4</v>
      </c>
      <c r="D2277" s="2" t="s">
        <v>31</v>
      </c>
      <c r="E2277" s="16">
        <v>46041</v>
      </c>
      <c r="F2277" s="2" t="s">
        <v>484</v>
      </c>
      <c r="G2277" s="2" t="s">
        <v>22</v>
      </c>
      <c r="H2277" s="2" t="s">
        <v>100</v>
      </c>
      <c r="I2277" s="19">
        <v>-0.85</v>
      </c>
      <c r="J2277" s="19">
        <v>-34</v>
      </c>
      <c r="K2277" s="19">
        <v>81.94</v>
      </c>
      <c r="L2277" s="19">
        <v>-2785.9599999999996</v>
      </c>
      <c r="M2277" s="19">
        <v>214.24</v>
      </c>
      <c r="N2277" s="19">
        <v>0</v>
      </c>
      <c r="O2277" s="19">
        <v>-334.32121999999998</v>
      </c>
      <c r="P2277" s="19">
        <v>-2906.0412200000001</v>
      </c>
    </row>
    <row r="2278" spans="1:16" ht="15" x14ac:dyDescent="0.2">
      <c r="A2278" s="4" t="s">
        <v>593</v>
      </c>
      <c r="B2278" s="21" t="str">
        <f t="shared" si="70"/>
        <v>Jan-2026</v>
      </c>
      <c r="C2278" s="2" t="str">
        <f t="shared" si="71"/>
        <v>Q4</v>
      </c>
      <c r="D2278" s="2" t="s">
        <v>31</v>
      </c>
      <c r="E2278" s="16">
        <v>46042</v>
      </c>
      <c r="F2278" s="2" t="s">
        <v>485</v>
      </c>
      <c r="G2278" s="2" t="s">
        <v>119</v>
      </c>
      <c r="H2278" s="2" t="s">
        <v>117</v>
      </c>
      <c r="I2278" s="19">
        <v>50</v>
      </c>
      <c r="J2278" s="19">
        <v>200</v>
      </c>
      <c r="K2278" s="19">
        <v>595.92999999999995</v>
      </c>
      <c r="L2278" s="19">
        <v>119186</v>
      </c>
      <c r="M2278" s="19">
        <v>-9165.4</v>
      </c>
      <c r="N2278" s="19">
        <v>0</v>
      </c>
      <c r="O2278" s="19">
        <v>14302.68</v>
      </c>
      <c r="P2278" s="19">
        <v>124323.28</v>
      </c>
    </row>
    <row r="2279" spans="1:16" ht="15" x14ac:dyDescent="0.2">
      <c r="A2279" s="4" t="s">
        <v>578</v>
      </c>
      <c r="B2279" s="21" t="str">
        <f t="shared" si="70"/>
        <v>Jan-2026</v>
      </c>
      <c r="C2279" s="2" t="str">
        <f t="shared" si="71"/>
        <v>Q4</v>
      </c>
      <c r="D2279" s="2" t="s">
        <v>31</v>
      </c>
      <c r="E2279" s="16">
        <v>46045</v>
      </c>
      <c r="F2279" s="2" t="s">
        <v>486</v>
      </c>
      <c r="G2279" s="2" t="s">
        <v>187</v>
      </c>
      <c r="H2279" s="2" t="s">
        <v>59</v>
      </c>
      <c r="I2279" s="19">
        <v>9</v>
      </c>
      <c r="J2279" s="19">
        <v>378</v>
      </c>
      <c r="K2279" s="19">
        <v>74.489999999999995</v>
      </c>
      <c r="L2279" s="19">
        <v>28157.22</v>
      </c>
      <c r="M2279" s="19">
        <v>-2165.29</v>
      </c>
      <c r="N2279" s="19">
        <v>0</v>
      </c>
      <c r="O2279" s="19">
        <v>3378.949259</v>
      </c>
      <c r="P2279" s="19">
        <v>29370.879259000001</v>
      </c>
    </row>
    <row r="2280" spans="1:16" ht="15" x14ac:dyDescent="0.2">
      <c r="A2280" s="4" t="s">
        <v>578</v>
      </c>
      <c r="B2280" s="21" t="str">
        <f t="shared" si="70"/>
        <v>Jan-2026</v>
      </c>
      <c r="C2280" s="2" t="str">
        <f t="shared" si="71"/>
        <v>Q4</v>
      </c>
      <c r="D2280" s="2" t="s">
        <v>31</v>
      </c>
      <c r="E2280" s="16">
        <v>46045</v>
      </c>
      <c r="F2280" s="2" t="s">
        <v>486</v>
      </c>
      <c r="G2280" s="2" t="s">
        <v>187</v>
      </c>
      <c r="H2280" s="2" t="s">
        <v>60</v>
      </c>
      <c r="I2280" s="19">
        <v>4</v>
      </c>
      <c r="J2280" s="19">
        <v>168</v>
      </c>
      <c r="K2280" s="19">
        <v>74.489999999999995</v>
      </c>
      <c r="L2280" s="19">
        <v>12514.32</v>
      </c>
      <c r="M2280" s="19">
        <v>-962.35</v>
      </c>
      <c r="N2280" s="19">
        <v>0</v>
      </c>
      <c r="O2280" s="19">
        <v>1501.755371</v>
      </c>
      <c r="P2280" s="19">
        <v>13053.725371</v>
      </c>
    </row>
    <row r="2281" spans="1:16" ht="15" x14ac:dyDescent="0.2">
      <c r="A2281" s="4" t="s">
        <v>578</v>
      </c>
      <c r="B2281" s="21" t="str">
        <f t="shared" si="70"/>
        <v>Jan-2026</v>
      </c>
      <c r="C2281" s="2" t="str">
        <f t="shared" si="71"/>
        <v>Q4</v>
      </c>
      <c r="D2281" s="2" t="s">
        <v>31</v>
      </c>
      <c r="E2281" s="16">
        <v>46045</v>
      </c>
      <c r="F2281" s="2" t="s">
        <v>486</v>
      </c>
      <c r="G2281" s="2" t="s">
        <v>187</v>
      </c>
      <c r="H2281" s="2" t="s">
        <v>62</v>
      </c>
      <c r="I2281" s="19">
        <v>4</v>
      </c>
      <c r="J2281" s="19">
        <v>168</v>
      </c>
      <c r="K2281" s="19">
        <v>74.489999999999995</v>
      </c>
      <c r="L2281" s="19">
        <v>12514.32</v>
      </c>
      <c r="M2281" s="19">
        <v>-962.35</v>
      </c>
      <c r="N2281" s="19">
        <v>0</v>
      </c>
      <c r="O2281" s="19">
        <v>1501.755371</v>
      </c>
      <c r="P2281" s="19">
        <v>13053.725371</v>
      </c>
    </row>
    <row r="2282" spans="1:16" ht="15" x14ac:dyDescent="0.2">
      <c r="A2282" s="4" t="s">
        <v>576</v>
      </c>
      <c r="B2282" s="21" t="str">
        <f t="shared" si="70"/>
        <v>Jan-2026</v>
      </c>
      <c r="C2282" s="2" t="str">
        <f t="shared" si="71"/>
        <v>Q4</v>
      </c>
      <c r="D2282" s="2" t="s">
        <v>31</v>
      </c>
      <c r="E2282" s="16">
        <v>46047</v>
      </c>
      <c r="F2282" s="2" t="s">
        <v>487</v>
      </c>
      <c r="G2282" s="2" t="s">
        <v>25</v>
      </c>
      <c r="H2282" s="2" t="s">
        <v>124</v>
      </c>
      <c r="I2282" s="19">
        <v>9</v>
      </c>
      <c r="J2282" s="19">
        <v>180</v>
      </c>
      <c r="K2282" s="19">
        <v>155.97</v>
      </c>
      <c r="L2282" s="19">
        <v>28074.600000000002</v>
      </c>
      <c r="M2282" s="19">
        <v>0</v>
      </c>
      <c r="N2282" s="19">
        <v>0</v>
      </c>
      <c r="O2282" s="19">
        <v>3649.699721</v>
      </c>
      <c r="P2282" s="19">
        <v>31724.299720999999</v>
      </c>
    </row>
    <row r="2283" spans="1:16" ht="15" x14ac:dyDescent="0.2">
      <c r="A2283" s="4" t="s">
        <v>589</v>
      </c>
      <c r="B2283" s="21" t="str">
        <f t="shared" si="70"/>
        <v>Jan-2026</v>
      </c>
      <c r="C2283" s="2" t="str">
        <f t="shared" si="71"/>
        <v>Q4</v>
      </c>
      <c r="D2283" s="2" t="s">
        <v>31</v>
      </c>
      <c r="E2283" s="16">
        <v>46047</v>
      </c>
      <c r="F2283" s="2" t="s">
        <v>487</v>
      </c>
      <c r="G2283" s="2" t="s">
        <v>25</v>
      </c>
      <c r="H2283" s="2" t="s">
        <v>98</v>
      </c>
      <c r="I2283" s="19">
        <v>1</v>
      </c>
      <c r="J2283" s="19">
        <v>60</v>
      </c>
      <c r="K2283" s="19">
        <v>129.41999999999999</v>
      </c>
      <c r="L2283" s="19">
        <v>7765.2</v>
      </c>
      <c r="M2283" s="19">
        <v>0</v>
      </c>
      <c r="N2283" s="19">
        <v>0</v>
      </c>
      <c r="O2283" s="19">
        <v>1009.476476</v>
      </c>
      <c r="P2283" s="19">
        <v>8774.6764760000005</v>
      </c>
    </row>
    <row r="2284" spans="1:16" ht="15" x14ac:dyDescent="0.2">
      <c r="A2284" s="4" t="s">
        <v>589</v>
      </c>
      <c r="B2284" s="21" t="str">
        <f t="shared" si="70"/>
        <v>Jan-2026</v>
      </c>
      <c r="C2284" s="2" t="str">
        <f t="shared" si="71"/>
        <v>Q4</v>
      </c>
      <c r="D2284" s="2" t="s">
        <v>31</v>
      </c>
      <c r="E2284" s="16">
        <v>46047</v>
      </c>
      <c r="F2284" s="2" t="s">
        <v>487</v>
      </c>
      <c r="G2284" s="2" t="s">
        <v>25</v>
      </c>
      <c r="H2284" s="2" t="s">
        <v>105</v>
      </c>
      <c r="I2284" s="19">
        <v>2</v>
      </c>
      <c r="J2284" s="19">
        <v>60</v>
      </c>
      <c r="K2284" s="19">
        <v>282.08</v>
      </c>
      <c r="L2284" s="19">
        <v>16924.8</v>
      </c>
      <c r="M2284" s="19">
        <v>0</v>
      </c>
      <c r="N2284" s="19">
        <v>0</v>
      </c>
      <c r="O2284" s="19">
        <v>2200.225038</v>
      </c>
      <c r="P2284" s="19">
        <v>19125.025038</v>
      </c>
    </row>
    <row r="2285" spans="1:16" ht="15" x14ac:dyDescent="0.2">
      <c r="A2285" s="4" t="s">
        <v>576</v>
      </c>
      <c r="B2285" s="21" t="str">
        <f t="shared" si="70"/>
        <v>Jan-2026</v>
      </c>
      <c r="C2285" s="2" t="str">
        <f t="shared" si="71"/>
        <v>Q4</v>
      </c>
      <c r="D2285" s="2" t="s">
        <v>31</v>
      </c>
      <c r="E2285" s="16">
        <v>46047</v>
      </c>
      <c r="F2285" s="2" t="s">
        <v>487</v>
      </c>
      <c r="G2285" s="2" t="s">
        <v>25</v>
      </c>
      <c r="H2285" s="2" t="s">
        <v>110</v>
      </c>
      <c r="I2285" s="19">
        <v>4</v>
      </c>
      <c r="J2285" s="19">
        <v>80</v>
      </c>
      <c r="K2285" s="19">
        <v>155.97</v>
      </c>
      <c r="L2285" s="19">
        <v>12477.599999999999</v>
      </c>
      <c r="M2285" s="19">
        <v>0</v>
      </c>
      <c r="N2285" s="19">
        <v>0</v>
      </c>
      <c r="O2285" s="19">
        <v>1622.088765</v>
      </c>
      <c r="P2285" s="19">
        <v>14099.688765000001</v>
      </c>
    </row>
    <row r="2286" spans="1:16" ht="15" x14ac:dyDescent="0.2">
      <c r="A2286" s="4" t="s">
        <v>590</v>
      </c>
      <c r="B2286" s="21" t="str">
        <f t="shared" si="70"/>
        <v>Jan-2026</v>
      </c>
      <c r="C2286" s="2" t="str">
        <f t="shared" si="71"/>
        <v>Q4</v>
      </c>
      <c r="D2286" s="2" t="s">
        <v>31</v>
      </c>
      <c r="E2286" s="16">
        <v>46047</v>
      </c>
      <c r="F2286" s="2" t="s">
        <v>488</v>
      </c>
      <c r="G2286" s="2" t="s">
        <v>12</v>
      </c>
      <c r="H2286" s="2" t="s">
        <v>102</v>
      </c>
      <c r="I2286" s="19">
        <v>15</v>
      </c>
      <c r="J2286" s="19">
        <v>300</v>
      </c>
      <c r="K2286" s="19">
        <v>249.55</v>
      </c>
      <c r="L2286" s="19">
        <v>74865</v>
      </c>
      <c r="M2286" s="19">
        <v>-5757.12</v>
      </c>
      <c r="N2286" s="19">
        <v>0</v>
      </c>
      <c r="O2286" s="19">
        <v>8984.0226940000011</v>
      </c>
      <c r="P2286" s="19">
        <v>78091.902694000004</v>
      </c>
    </row>
    <row r="2287" spans="1:16" ht="15" x14ac:dyDescent="0.2">
      <c r="A2287" s="4" t="s">
        <v>580</v>
      </c>
      <c r="B2287" s="21" t="str">
        <f t="shared" si="70"/>
        <v>Jan-2026</v>
      </c>
      <c r="C2287" s="2" t="str">
        <f t="shared" si="71"/>
        <v>Q4</v>
      </c>
      <c r="D2287" s="2" t="s">
        <v>31</v>
      </c>
      <c r="E2287" s="16">
        <v>46047</v>
      </c>
      <c r="F2287" s="2" t="s">
        <v>488</v>
      </c>
      <c r="G2287" s="2" t="s">
        <v>12</v>
      </c>
      <c r="H2287" s="2" t="s">
        <v>89</v>
      </c>
      <c r="I2287" s="19">
        <v>10</v>
      </c>
      <c r="J2287" s="19">
        <v>700</v>
      </c>
      <c r="K2287" s="19">
        <v>37.25</v>
      </c>
      <c r="L2287" s="19">
        <v>26075</v>
      </c>
      <c r="M2287" s="19">
        <v>-2005.1699999999998</v>
      </c>
      <c r="N2287" s="19">
        <v>0</v>
      </c>
      <c r="O2287" s="19">
        <v>3129.0773060000001</v>
      </c>
      <c r="P2287" s="19">
        <v>27198.907306000001</v>
      </c>
    </row>
    <row r="2288" spans="1:16" ht="15" x14ac:dyDescent="0.2">
      <c r="A2288" s="4" t="s">
        <v>589</v>
      </c>
      <c r="B2288" s="21" t="str">
        <f t="shared" si="70"/>
        <v>Jan-2026</v>
      </c>
      <c r="C2288" s="2" t="str">
        <f t="shared" si="71"/>
        <v>Q4</v>
      </c>
      <c r="D2288" s="2" t="s">
        <v>31</v>
      </c>
      <c r="E2288" s="16">
        <v>46047</v>
      </c>
      <c r="F2288" s="2" t="s">
        <v>489</v>
      </c>
      <c r="G2288" s="2" t="s">
        <v>347</v>
      </c>
      <c r="H2288" s="2" t="s">
        <v>105</v>
      </c>
      <c r="I2288" s="19">
        <v>3</v>
      </c>
      <c r="J2288" s="19">
        <v>90</v>
      </c>
      <c r="K2288" s="19">
        <v>316.58999999999997</v>
      </c>
      <c r="L2288" s="19">
        <v>28493.1</v>
      </c>
      <c r="M2288" s="19">
        <v>-2191.12</v>
      </c>
      <c r="N2288" s="19">
        <v>0</v>
      </c>
      <c r="O2288" s="19">
        <v>3419.2569940000003</v>
      </c>
      <c r="P2288" s="19">
        <v>29721.236993999999</v>
      </c>
    </row>
    <row r="2289" spans="1:16" ht="15" x14ac:dyDescent="0.2">
      <c r="A2289" s="4" t="s">
        <v>593</v>
      </c>
      <c r="B2289" s="21" t="str">
        <f t="shared" si="70"/>
        <v>Jan-2026</v>
      </c>
      <c r="C2289" s="2" t="str">
        <f t="shared" si="71"/>
        <v>Q4</v>
      </c>
      <c r="D2289" s="2" t="s">
        <v>31</v>
      </c>
      <c r="E2289" s="16">
        <v>46047</v>
      </c>
      <c r="F2289" s="2" t="s">
        <v>489</v>
      </c>
      <c r="G2289" s="2" t="s">
        <v>347</v>
      </c>
      <c r="H2289" s="2" t="s">
        <v>117</v>
      </c>
      <c r="I2289" s="19">
        <v>15</v>
      </c>
      <c r="J2289" s="19">
        <v>60</v>
      </c>
      <c r="K2289" s="19">
        <v>595.92999999999995</v>
      </c>
      <c r="L2289" s="19">
        <v>35755.799999999996</v>
      </c>
      <c r="M2289" s="19">
        <v>-2749.62</v>
      </c>
      <c r="N2289" s="19">
        <v>0</v>
      </c>
      <c r="O2289" s="19">
        <v>4290.8028899999999</v>
      </c>
      <c r="P2289" s="19">
        <v>37296.982889999999</v>
      </c>
    </row>
    <row r="2290" spans="1:16" ht="15" x14ac:dyDescent="0.2">
      <c r="A2290" s="4" t="s">
        <v>576</v>
      </c>
      <c r="B2290" s="21" t="str">
        <f t="shared" si="70"/>
        <v>Jan-2026</v>
      </c>
      <c r="C2290" s="2" t="str">
        <f t="shared" si="71"/>
        <v>Q4</v>
      </c>
      <c r="D2290" s="2" t="s">
        <v>31</v>
      </c>
      <c r="E2290" s="16">
        <v>46047</v>
      </c>
      <c r="F2290" s="2" t="s">
        <v>489</v>
      </c>
      <c r="G2290" s="2" t="s">
        <v>347</v>
      </c>
      <c r="H2290" s="2" t="s">
        <v>110</v>
      </c>
      <c r="I2290" s="19">
        <v>1</v>
      </c>
      <c r="J2290" s="19">
        <v>20</v>
      </c>
      <c r="K2290" s="19">
        <v>175.05</v>
      </c>
      <c r="L2290" s="19">
        <v>3500.9999999999995</v>
      </c>
      <c r="M2290" s="19">
        <v>-269.23</v>
      </c>
      <c r="N2290" s="19">
        <v>0</v>
      </c>
      <c r="O2290" s="19">
        <v>420.13004999999998</v>
      </c>
      <c r="P2290" s="19">
        <v>3651.9000500000002</v>
      </c>
    </row>
    <row r="2291" spans="1:16" ht="15" x14ac:dyDescent="0.2">
      <c r="A2291" s="4" t="s">
        <v>573</v>
      </c>
      <c r="B2291" s="21" t="str">
        <f t="shared" si="70"/>
        <v>Jan-2026</v>
      </c>
      <c r="C2291" s="2" t="str">
        <f t="shared" si="71"/>
        <v>Q4</v>
      </c>
      <c r="D2291" s="2" t="s">
        <v>31</v>
      </c>
      <c r="E2291" s="16">
        <v>46047</v>
      </c>
      <c r="F2291" s="2" t="s">
        <v>489</v>
      </c>
      <c r="G2291" s="2" t="s">
        <v>347</v>
      </c>
      <c r="H2291" s="2" t="s">
        <v>111</v>
      </c>
      <c r="I2291" s="19">
        <v>3</v>
      </c>
      <c r="J2291" s="19">
        <v>120</v>
      </c>
      <c r="K2291" s="19">
        <v>111.74</v>
      </c>
      <c r="L2291" s="19">
        <v>13408.8</v>
      </c>
      <c r="M2291" s="19">
        <v>-1031.1400000000001</v>
      </c>
      <c r="N2291" s="19">
        <v>0</v>
      </c>
      <c r="O2291" s="19">
        <v>1609.095609</v>
      </c>
      <c r="P2291" s="19">
        <v>13986.755609</v>
      </c>
    </row>
    <row r="2292" spans="1:16" ht="15" x14ac:dyDescent="0.2">
      <c r="A2292" s="4" t="s">
        <v>580</v>
      </c>
      <c r="B2292" s="21" t="str">
        <f t="shared" si="70"/>
        <v>Jan-2026</v>
      </c>
      <c r="C2292" s="2" t="str">
        <f t="shared" si="71"/>
        <v>Q4</v>
      </c>
      <c r="D2292" s="2" t="s">
        <v>31</v>
      </c>
      <c r="E2292" s="16">
        <v>46047</v>
      </c>
      <c r="F2292" s="2" t="s">
        <v>489</v>
      </c>
      <c r="G2292" s="2" t="s">
        <v>347</v>
      </c>
      <c r="H2292" s="2" t="s">
        <v>89</v>
      </c>
      <c r="I2292" s="19">
        <v>12</v>
      </c>
      <c r="J2292" s="19">
        <v>840</v>
      </c>
      <c r="K2292" s="19">
        <v>37.25</v>
      </c>
      <c r="L2292" s="19">
        <v>31290</v>
      </c>
      <c r="M2292" s="19">
        <v>-2406.2000000000003</v>
      </c>
      <c r="N2292" s="19">
        <v>0</v>
      </c>
      <c r="O2292" s="19">
        <v>3754.8935539999998</v>
      </c>
      <c r="P2292" s="19">
        <v>32638.693554000001</v>
      </c>
    </row>
    <row r="2293" spans="1:16" ht="15" x14ac:dyDescent="0.2">
      <c r="A2293" s="4" t="s">
        <v>589</v>
      </c>
      <c r="B2293" s="21" t="str">
        <f t="shared" si="70"/>
        <v>Jan-2026</v>
      </c>
      <c r="C2293" s="2" t="str">
        <f t="shared" si="71"/>
        <v>Q4</v>
      </c>
      <c r="D2293" s="2" t="s">
        <v>31</v>
      </c>
      <c r="E2293" s="16">
        <v>46047</v>
      </c>
      <c r="F2293" s="2" t="s">
        <v>489</v>
      </c>
      <c r="G2293" s="2" t="s">
        <v>347</v>
      </c>
      <c r="H2293" s="2" t="s">
        <v>98</v>
      </c>
      <c r="I2293" s="19">
        <v>2</v>
      </c>
      <c r="J2293" s="19">
        <v>120</v>
      </c>
      <c r="K2293" s="19">
        <v>145.26</v>
      </c>
      <c r="L2293" s="19">
        <v>17431.2</v>
      </c>
      <c r="M2293" s="19">
        <v>-1340.46</v>
      </c>
      <c r="N2293" s="19">
        <v>0</v>
      </c>
      <c r="O2293" s="19">
        <v>2091.7959519999999</v>
      </c>
      <c r="P2293" s="19">
        <v>18182.535951999998</v>
      </c>
    </row>
    <row r="2294" spans="1:16" ht="15" x14ac:dyDescent="0.2">
      <c r="A2294" s="4" t="s">
        <v>581</v>
      </c>
      <c r="B2294" s="21" t="str">
        <f t="shared" si="70"/>
        <v>Jan-2026</v>
      </c>
      <c r="C2294" s="2" t="str">
        <f t="shared" si="71"/>
        <v>Q4</v>
      </c>
      <c r="D2294" s="2" t="s">
        <v>31</v>
      </c>
      <c r="E2294" s="16">
        <v>46047</v>
      </c>
      <c r="F2294" s="2" t="s">
        <v>489</v>
      </c>
      <c r="G2294" s="2" t="s">
        <v>347</v>
      </c>
      <c r="H2294" s="2" t="s">
        <v>125</v>
      </c>
      <c r="I2294" s="19">
        <v>6</v>
      </c>
      <c r="J2294" s="19">
        <v>4800</v>
      </c>
      <c r="K2294" s="19">
        <v>7.46</v>
      </c>
      <c r="L2294" s="19">
        <v>35808</v>
      </c>
      <c r="M2294" s="19">
        <v>-2753.64</v>
      </c>
      <c r="N2294" s="19">
        <v>0</v>
      </c>
      <c r="O2294" s="19">
        <v>4297.0662899999998</v>
      </c>
      <c r="P2294" s="19">
        <v>37351.426290000003</v>
      </c>
    </row>
    <row r="2295" spans="1:16" ht="15" x14ac:dyDescent="0.2">
      <c r="A2295" s="4" t="s">
        <v>581</v>
      </c>
      <c r="B2295" s="21" t="str">
        <f t="shared" si="70"/>
        <v>Jan-2026</v>
      </c>
      <c r="C2295" s="2" t="str">
        <f t="shared" si="71"/>
        <v>Q4</v>
      </c>
      <c r="D2295" s="2" t="s">
        <v>31</v>
      </c>
      <c r="E2295" s="16">
        <v>46047</v>
      </c>
      <c r="F2295" s="2" t="s">
        <v>489</v>
      </c>
      <c r="G2295" s="2" t="s">
        <v>347</v>
      </c>
      <c r="H2295" s="2" t="s">
        <v>96</v>
      </c>
      <c r="I2295" s="19">
        <v>3</v>
      </c>
      <c r="J2295" s="19">
        <v>120</v>
      </c>
      <c r="K2295" s="19">
        <v>74.489999999999995</v>
      </c>
      <c r="L2295" s="19">
        <v>8938.8000000000011</v>
      </c>
      <c r="M2295" s="19">
        <v>-687.3900000000001</v>
      </c>
      <c r="N2295" s="19">
        <v>0</v>
      </c>
      <c r="O2295" s="19">
        <v>1072.6831730000001</v>
      </c>
      <c r="P2295" s="19">
        <v>9324.0931729999993</v>
      </c>
    </row>
    <row r="2296" spans="1:16" ht="15" x14ac:dyDescent="0.2">
      <c r="A2296" s="4" t="s">
        <v>583</v>
      </c>
      <c r="B2296" s="21" t="str">
        <f t="shared" si="70"/>
        <v>Jan-2026</v>
      </c>
      <c r="C2296" s="2" t="str">
        <f t="shared" si="71"/>
        <v>Q4</v>
      </c>
      <c r="D2296" s="2" t="s">
        <v>31</v>
      </c>
      <c r="E2296" s="16">
        <v>46047</v>
      </c>
      <c r="F2296" s="2" t="s">
        <v>489</v>
      </c>
      <c r="G2296" s="2" t="s">
        <v>347</v>
      </c>
      <c r="H2296" s="2" t="s">
        <v>113</v>
      </c>
      <c r="I2296" s="19">
        <v>2</v>
      </c>
      <c r="J2296" s="19">
        <v>30</v>
      </c>
      <c r="K2296" s="19">
        <v>260.72000000000003</v>
      </c>
      <c r="L2296" s="19">
        <v>7821.6</v>
      </c>
      <c r="M2296" s="19">
        <v>-601.48</v>
      </c>
      <c r="N2296" s="19">
        <v>0</v>
      </c>
      <c r="O2296" s="19">
        <v>938.61548900000003</v>
      </c>
      <c r="P2296" s="19">
        <v>8158.7354889999997</v>
      </c>
    </row>
    <row r="2297" spans="1:16" ht="15" x14ac:dyDescent="0.2">
      <c r="A2297" s="4" t="s">
        <v>581</v>
      </c>
      <c r="B2297" s="21" t="str">
        <f t="shared" si="70"/>
        <v>Jan-2026</v>
      </c>
      <c r="C2297" s="2" t="str">
        <f t="shared" si="71"/>
        <v>Q4</v>
      </c>
      <c r="D2297" s="2" t="s">
        <v>31</v>
      </c>
      <c r="E2297" s="16">
        <v>46049</v>
      </c>
      <c r="F2297" s="2" t="s">
        <v>490</v>
      </c>
      <c r="G2297" s="2" t="s">
        <v>25</v>
      </c>
      <c r="H2297" s="2" t="s">
        <v>96</v>
      </c>
      <c r="I2297" s="19">
        <v>7</v>
      </c>
      <c r="J2297" s="19">
        <v>280</v>
      </c>
      <c r="K2297" s="19">
        <v>66.37</v>
      </c>
      <c r="L2297" s="19">
        <v>18583.600000000002</v>
      </c>
      <c r="M2297" s="19">
        <v>0</v>
      </c>
      <c r="N2297" s="19">
        <v>0</v>
      </c>
      <c r="O2297" s="19">
        <v>2415.87</v>
      </c>
      <c r="P2297" s="19">
        <v>20999.47</v>
      </c>
    </row>
    <row r="2298" spans="1:16" ht="15" x14ac:dyDescent="0.2">
      <c r="A2298" s="4" t="s">
        <v>580</v>
      </c>
      <c r="B2298" s="21" t="str">
        <f t="shared" si="70"/>
        <v>Jan-2026</v>
      </c>
      <c r="C2298" s="2" t="str">
        <f t="shared" si="71"/>
        <v>Q4</v>
      </c>
      <c r="D2298" s="2" t="s">
        <v>31</v>
      </c>
      <c r="E2298" s="16">
        <v>46049</v>
      </c>
      <c r="F2298" s="2" t="s">
        <v>491</v>
      </c>
      <c r="G2298" s="2" t="s">
        <v>187</v>
      </c>
      <c r="H2298" s="2" t="s">
        <v>89</v>
      </c>
      <c r="I2298" s="19">
        <v>2</v>
      </c>
      <c r="J2298" s="19">
        <v>140</v>
      </c>
      <c r="K2298" s="19">
        <v>37.25</v>
      </c>
      <c r="L2298" s="19">
        <v>5215</v>
      </c>
      <c r="M2298" s="19">
        <v>-401.03</v>
      </c>
      <c r="N2298" s="19">
        <v>0</v>
      </c>
      <c r="O2298" s="19">
        <v>625.82000000000005</v>
      </c>
      <c r="P2298" s="19">
        <v>5439.79</v>
      </c>
    </row>
    <row r="2299" spans="1:16" ht="15" x14ac:dyDescent="0.2">
      <c r="A2299" s="4" t="s">
        <v>589</v>
      </c>
      <c r="B2299" s="21" t="str">
        <f t="shared" si="70"/>
        <v>Jan-2026</v>
      </c>
      <c r="C2299" s="2" t="str">
        <f t="shared" si="71"/>
        <v>Q4</v>
      </c>
      <c r="D2299" s="2" t="s">
        <v>31</v>
      </c>
      <c r="E2299" s="16">
        <v>46050</v>
      </c>
      <c r="F2299" s="2" t="s">
        <v>492</v>
      </c>
      <c r="G2299" s="2" t="s">
        <v>46</v>
      </c>
      <c r="H2299" s="2" t="s">
        <v>105</v>
      </c>
      <c r="I2299" s="19">
        <v>3</v>
      </c>
      <c r="J2299" s="19">
        <v>90</v>
      </c>
      <c r="K2299" s="19">
        <v>316.58999999999997</v>
      </c>
      <c r="L2299" s="19">
        <v>28493.1</v>
      </c>
      <c r="M2299" s="19">
        <v>-2191.12</v>
      </c>
      <c r="N2299" s="19">
        <v>0</v>
      </c>
      <c r="O2299" s="19">
        <v>3419.26</v>
      </c>
      <c r="P2299" s="19">
        <v>29721.24</v>
      </c>
    </row>
    <row r="2300" spans="1:16" ht="15" x14ac:dyDescent="0.2">
      <c r="A2300" s="4" t="s">
        <v>574</v>
      </c>
      <c r="B2300" s="21" t="str">
        <f t="shared" si="70"/>
        <v>Jan-2026</v>
      </c>
      <c r="C2300" s="2" t="str">
        <f t="shared" si="71"/>
        <v>Q4</v>
      </c>
      <c r="D2300" s="2" t="s">
        <v>31</v>
      </c>
      <c r="E2300" s="16">
        <v>46052</v>
      </c>
      <c r="F2300" s="2" t="s">
        <v>493</v>
      </c>
      <c r="G2300" s="2" t="s">
        <v>494</v>
      </c>
      <c r="H2300" s="2" t="s">
        <v>84</v>
      </c>
      <c r="I2300" s="19">
        <v>35</v>
      </c>
      <c r="J2300" s="19">
        <v>630</v>
      </c>
      <c r="K2300" s="19">
        <v>178.78</v>
      </c>
      <c r="L2300" s="19">
        <v>112631.40000000001</v>
      </c>
      <c r="M2300" s="19">
        <v>-8661.35</v>
      </c>
      <c r="N2300" s="19">
        <v>0</v>
      </c>
      <c r="O2300" s="19">
        <v>13516.11</v>
      </c>
      <c r="P2300" s="19">
        <v>117486.16</v>
      </c>
    </row>
    <row r="2301" spans="1:16" ht="15" x14ac:dyDescent="0.2">
      <c r="A2301" s="4" t="s">
        <v>580</v>
      </c>
      <c r="B2301" s="21" t="str">
        <f t="shared" si="70"/>
        <v>Jan-2026</v>
      </c>
      <c r="C2301" s="2" t="str">
        <f t="shared" si="71"/>
        <v>Q4</v>
      </c>
      <c r="D2301" s="2" t="s">
        <v>31</v>
      </c>
      <c r="E2301" s="16">
        <v>46052</v>
      </c>
      <c r="F2301" s="2" t="s">
        <v>495</v>
      </c>
      <c r="G2301" s="2" t="s">
        <v>386</v>
      </c>
      <c r="H2301" s="2" t="s">
        <v>65</v>
      </c>
      <c r="I2301" s="19">
        <v>15</v>
      </c>
      <c r="J2301" s="19">
        <v>1950</v>
      </c>
      <c r="K2301" s="19">
        <v>32.74</v>
      </c>
      <c r="L2301" s="19">
        <v>63843</v>
      </c>
      <c r="M2301" s="19">
        <v>0</v>
      </c>
      <c r="N2301" s="19">
        <v>0</v>
      </c>
      <c r="O2301" s="19">
        <v>8299.59</v>
      </c>
      <c r="P2301" s="19">
        <v>72142.59</v>
      </c>
    </row>
    <row r="2302" spans="1:16" ht="15" x14ac:dyDescent="0.2">
      <c r="A2302" s="4" t="s">
        <v>581</v>
      </c>
      <c r="B2302" s="21" t="str">
        <f t="shared" si="70"/>
        <v>Jan-2026</v>
      </c>
      <c r="C2302" s="2" t="str">
        <f t="shared" si="71"/>
        <v>Q4</v>
      </c>
      <c r="D2302" s="2" t="s">
        <v>31</v>
      </c>
      <c r="E2302" s="16">
        <v>46052</v>
      </c>
      <c r="F2302" s="2" t="s">
        <v>495</v>
      </c>
      <c r="G2302" s="2" t="s">
        <v>386</v>
      </c>
      <c r="H2302" s="2" t="s">
        <v>96</v>
      </c>
      <c r="I2302" s="19">
        <v>10</v>
      </c>
      <c r="J2302" s="19">
        <v>400</v>
      </c>
      <c r="K2302" s="19">
        <v>65.489999999999995</v>
      </c>
      <c r="L2302" s="19">
        <v>26196</v>
      </c>
      <c r="M2302" s="19">
        <v>0</v>
      </c>
      <c r="N2302" s="19">
        <v>0</v>
      </c>
      <c r="O2302" s="19">
        <v>3405.4799999999996</v>
      </c>
      <c r="P2302" s="19">
        <v>29601.48</v>
      </c>
    </row>
    <row r="2303" spans="1:16" ht="15" x14ac:dyDescent="0.2">
      <c r="A2303" s="4" t="s">
        <v>590</v>
      </c>
      <c r="B2303" s="21" t="str">
        <f t="shared" si="70"/>
        <v>Jan-2026</v>
      </c>
      <c r="C2303" s="2" t="str">
        <f t="shared" si="71"/>
        <v>Q4</v>
      </c>
      <c r="D2303" s="2" t="s">
        <v>31</v>
      </c>
      <c r="E2303" s="16">
        <v>46052</v>
      </c>
      <c r="F2303" s="2" t="s">
        <v>495</v>
      </c>
      <c r="G2303" s="2" t="s">
        <v>386</v>
      </c>
      <c r="H2303" s="2" t="s">
        <v>102</v>
      </c>
      <c r="I2303" s="19">
        <v>10</v>
      </c>
      <c r="J2303" s="19">
        <v>200</v>
      </c>
      <c r="K2303" s="19">
        <v>219.38</v>
      </c>
      <c r="L2303" s="19">
        <v>43876</v>
      </c>
      <c r="M2303" s="19">
        <v>0</v>
      </c>
      <c r="N2303" s="19">
        <v>0</v>
      </c>
      <c r="O2303" s="19">
        <v>5703.88</v>
      </c>
      <c r="P2303" s="19">
        <v>49579.88</v>
      </c>
    </row>
    <row r="2304" spans="1:16" ht="15" x14ac:dyDescent="0.2">
      <c r="A2304" s="4" t="s">
        <v>581</v>
      </c>
      <c r="B2304" s="21" t="str">
        <f t="shared" si="70"/>
        <v>Jan-2026</v>
      </c>
      <c r="C2304" s="2" t="str">
        <f t="shared" si="71"/>
        <v>Q4</v>
      </c>
      <c r="D2304" s="2" t="s">
        <v>31</v>
      </c>
      <c r="E2304" s="16">
        <v>46052</v>
      </c>
      <c r="F2304" s="2" t="s">
        <v>495</v>
      </c>
      <c r="G2304" s="2" t="s">
        <v>386</v>
      </c>
      <c r="H2304" s="2" t="s">
        <v>104</v>
      </c>
      <c r="I2304" s="19">
        <v>10</v>
      </c>
      <c r="J2304" s="19">
        <v>400</v>
      </c>
      <c r="K2304" s="19">
        <v>65.489999999999995</v>
      </c>
      <c r="L2304" s="19">
        <v>26196</v>
      </c>
      <c r="M2304" s="19">
        <v>0</v>
      </c>
      <c r="N2304" s="19">
        <v>0</v>
      </c>
      <c r="O2304" s="19">
        <v>3405.4799999999996</v>
      </c>
      <c r="P2304" s="19">
        <v>29601.48</v>
      </c>
    </row>
    <row r="2305" spans="1:16" ht="15" x14ac:dyDescent="0.2">
      <c r="A2305" s="4" t="s">
        <v>573</v>
      </c>
      <c r="B2305" s="21" t="str">
        <f t="shared" si="70"/>
        <v>Jan-2026</v>
      </c>
      <c r="C2305" s="2" t="str">
        <f t="shared" si="71"/>
        <v>Q4</v>
      </c>
      <c r="D2305" s="2" t="s">
        <v>31</v>
      </c>
      <c r="E2305" s="16">
        <v>46052</v>
      </c>
      <c r="F2305" s="2" t="s">
        <v>495</v>
      </c>
      <c r="G2305" s="2" t="s">
        <v>386</v>
      </c>
      <c r="H2305" s="2" t="s">
        <v>136</v>
      </c>
      <c r="I2305" s="19">
        <v>10</v>
      </c>
      <c r="J2305" s="19">
        <v>400</v>
      </c>
      <c r="K2305" s="19">
        <v>98.23</v>
      </c>
      <c r="L2305" s="19">
        <v>39292</v>
      </c>
      <c r="M2305" s="19">
        <v>0</v>
      </c>
      <c r="N2305" s="19">
        <v>0</v>
      </c>
      <c r="O2305" s="19">
        <v>5107.96</v>
      </c>
      <c r="P2305" s="19">
        <v>44399.96</v>
      </c>
    </row>
    <row r="2306" spans="1:16" ht="15" x14ac:dyDescent="0.2">
      <c r="A2306" s="4" t="s">
        <v>575</v>
      </c>
      <c r="B2306" s="21" t="str">
        <f t="shared" si="70"/>
        <v>Jan-2026</v>
      </c>
      <c r="C2306" s="2" t="str">
        <f t="shared" si="71"/>
        <v>Q4</v>
      </c>
      <c r="D2306" s="2" t="s">
        <v>31</v>
      </c>
      <c r="E2306" s="16">
        <v>46052</v>
      </c>
      <c r="F2306" s="2" t="s">
        <v>495</v>
      </c>
      <c r="G2306" s="2" t="s">
        <v>386</v>
      </c>
      <c r="H2306" s="2" t="s">
        <v>55</v>
      </c>
      <c r="I2306" s="19">
        <v>15</v>
      </c>
      <c r="J2306" s="19">
        <v>300</v>
      </c>
      <c r="K2306" s="19">
        <v>163.72</v>
      </c>
      <c r="L2306" s="19">
        <v>49116</v>
      </c>
      <c r="M2306" s="19">
        <v>0</v>
      </c>
      <c r="N2306" s="19">
        <v>0</v>
      </c>
      <c r="O2306" s="19">
        <v>6385.08</v>
      </c>
      <c r="P2306" s="19">
        <v>55501.08</v>
      </c>
    </row>
    <row r="2307" spans="1:16" ht="15" x14ac:dyDescent="0.2">
      <c r="A2307" s="4" t="s">
        <v>592</v>
      </c>
      <c r="B2307" s="21" t="str">
        <f t="shared" ref="B2307:B2370" si="72">+TEXT(E2307,"MMM-yyy")</f>
        <v>Jan-2026</v>
      </c>
      <c r="C2307" s="2" t="str">
        <f t="shared" ref="C2307:C2370" si="73">"Q" &amp; CHOOSE(MONTH(E2307),4,4,4,1,1,1,2,2,2,3,3,3)</f>
        <v>Q4</v>
      </c>
      <c r="D2307" s="2" t="s">
        <v>31</v>
      </c>
      <c r="E2307" s="16">
        <v>46052</v>
      </c>
      <c r="F2307" s="2" t="s">
        <v>495</v>
      </c>
      <c r="G2307" s="2" t="s">
        <v>386</v>
      </c>
      <c r="H2307" s="2" t="s">
        <v>115</v>
      </c>
      <c r="I2307" s="19">
        <v>10</v>
      </c>
      <c r="J2307" s="19">
        <v>500</v>
      </c>
      <c r="K2307" s="19">
        <v>78.58</v>
      </c>
      <c r="L2307" s="19">
        <v>39290</v>
      </c>
      <c r="M2307" s="19">
        <v>0</v>
      </c>
      <c r="N2307" s="19">
        <v>0</v>
      </c>
      <c r="O2307" s="19">
        <v>5107.7</v>
      </c>
      <c r="P2307" s="19">
        <v>44397.7</v>
      </c>
    </row>
    <row r="2308" spans="1:16" ht="15" x14ac:dyDescent="0.2">
      <c r="A2308" s="4" t="s">
        <v>579</v>
      </c>
      <c r="B2308" s="21" t="str">
        <f t="shared" si="72"/>
        <v>Jan-2026</v>
      </c>
      <c r="C2308" s="2" t="str">
        <f t="shared" si="73"/>
        <v>Q4</v>
      </c>
      <c r="D2308" s="2" t="s">
        <v>31</v>
      </c>
      <c r="E2308" s="16">
        <v>46052</v>
      </c>
      <c r="F2308" s="2" t="s">
        <v>495</v>
      </c>
      <c r="G2308" s="2" t="s">
        <v>386</v>
      </c>
      <c r="H2308" s="2" t="s">
        <v>91</v>
      </c>
      <c r="I2308" s="19">
        <v>10</v>
      </c>
      <c r="J2308" s="19">
        <v>200</v>
      </c>
      <c r="K2308" s="19">
        <v>180.09</v>
      </c>
      <c r="L2308" s="19">
        <v>36018</v>
      </c>
      <c r="M2308" s="19">
        <v>0</v>
      </c>
      <c r="N2308" s="19">
        <v>0</v>
      </c>
      <c r="O2308" s="19">
        <v>4682.34</v>
      </c>
      <c r="P2308" s="19">
        <v>40700.339999999997</v>
      </c>
    </row>
    <row r="2309" spans="1:16" ht="15" x14ac:dyDescent="0.2">
      <c r="A2309" s="4" t="s">
        <v>579</v>
      </c>
      <c r="B2309" s="21" t="str">
        <f t="shared" si="72"/>
        <v>Jan-2026</v>
      </c>
      <c r="C2309" s="2" t="str">
        <f t="shared" si="73"/>
        <v>Q4</v>
      </c>
      <c r="D2309" s="2" t="s">
        <v>31</v>
      </c>
      <c r="E2309" s="16">
        <v>46052</v>
      </c>
      <c r="F2309" s="2" t="s">
        <v>495</v>
      </c>
      <c r="G2309" s="2" t="s">
        <v>386</v>
      </c>
      <c r="H2309" s="2" t="s">
        <v>90</v>
      </c>
      <c r="I2309" s="19">
        <v>10</v>
      </c>
      <c r="J2309" s="19">
        <v>200</v>
      </c>
      <c r="K2309" s="19">
        <v>180.09</v>
      </c>
      <c r="L2309" s="19">
        <v>36018</v>
      </c>
      <c r="M2309" s="19">
        <v>0</v>
      </c>
      <c r="N2309" s="19">
        <v>0</v>
      </c>
      <c r="O2309" s="19">
        <v>4682.34</v>
      </c>
      <c r="P2309" s="19">
        <v>40700.339999999997</v>
      </c>
    </row>
    <row r="2310" spans="1:16" ht="15" x14ac:dyDescent="0.2">
      <c r="A2310" s="4" t="s">
        <v>581</v>
      </c>
      <c r="B2310" s="21" t="str">
        <f t="shared" si="72"/>
        <v>Jan-2026</v>
      </c>
      <c r="C2310" s="2" t="str">
        <f t="shared" si="73"/>
        <v>Q4</v>
      </c>
      <c r="D2310" s="2" t="s">
        <v>31</v>
      </c>
      <c r="E2310" s="16">
        <v>46052</v>
      </c>
      <c r="F2310" s="2" t="s">
        <v>495</v>
      </c>
      <c r="G2310" s="2" t="s">
        <v>386</v>
      </c>
      <c r="H2310" s="2" t="s">
        <v>97</v>
      </c>
      <c r="I2310" s="19">
        <v>10</v>
      </c>
      <c r="J2310" s="19">
        <v>400</v>
      </c>
      <c r="K2310" s="19">
        <v>65.489999999999995</v>
      </c>
      <c r="L2310" s="19">
        <v>26196</v>
      </c>
      <c r="M2310" s="19">
        <v>0</v>
      </c>
      <c r="N2310" s="19">
        <v>0</v>
      </c>
      <c r="O2310" s="19">
        <v>3405.4799999999996</v>
      </c>
      <c r="P2310" s="19">
        <v>29601.48</v>
      </c>
    </row>
    <row r="2311" spans="1:16" ht="15" x14ac:dyDescent="0.2">
      <c r="A2311" s="4" t="s">
        <v>580</v>
      </c>
      <c r="B2311" s="21" t="str">
        <f t="shared" si="72"/>
        <v>Jan-2026</v>
      </c>
      <c r="C2311" s="2" t="str">
        <f t="shared" si="73"/>
        <v>Q4</v>
      </c>
      <c r="D2311" s="2" t="s">
        <v>31</v>
      </c>
      <c r="E2311" s="16">
        <v>46052</v>
      </c>
      <c r="F2311" s="2" t="s">
        <v>495</v>
      </c>
      <c r="G2311" s="2" t="s">
        <v>386</v>
      </c>
      <c r="H2311" s="2" t="s">
        <v>89</v>
      </c>
      <c r="I2311" s="19">
        <v>10</v>
      </c>
      <c r="J2311" s="19">
        <v>700</v>
      </c>
      <c r="K2311" s="19">
        <v>32.74</v>
      </c>
      <c r="L2311" s="19">
        <v>22918</v>
      </c>
      <c r="M2311" s="19">
        <v>0</v>
      </c>
      <c r="N2311" s="19">
        <v>0</v>
      </c>
      <c r="O2311" s="19">
        <v>2979.34</v>
      </c>
      <c r="P2311" s="19">
        <v>25897.34</v>
      </c>
    </row>
    <row r="2312" spans="1:16" ht="15" x14ac:dyDescent="0.2">
      <c r="A2312" s="4" t="s">
        <v>579</v>
      </c>
      <c r="B2312" s="21" t="str">
        <f t="shared" si="72"/>
        <v>Jan-2026</v>
      </c>
      <c r="C2312" s="2" t="str">
        <f t="shared" si="73"/>
        <v>Q4</v>
      </c>
      <c r="D2312" s="2" t="s">
        <v>31</v>
      </c>
      <c r="E2312" s="16">
        <v>46052</v>
      </c>
      <c r="F2312" s="2" t="s">
        <v>495</v>
      </c>
      <c r="G2312" s="2" t="s">
        <v>386</v>
      </c>
      <c r="H2312" s="2" t="s">
        <v>140</v>
      </c>
      <c r="I2312" s="19">
        <v>10</v>
      </c>
      <c r="J2312" s="19">
        <v>200</v>
      </c>
      <c r="K2312" s="19">
        <v>180.09</v>
      </c>
      <c r="L2312" s="19">
        <v>36018</v>
      </c>
      <c r="M2312" s="19">
        <v>0</v>
      </c>
      <c r="N2312" s="19">
        <v>0</v>
      </c>
      <c r="O2312" s="19">
        <v>4682.34</v>
      </c>
      <c r="P2312" s="19">
        <v>40700.339999999997</v>
      </c>
    </row>
    <row r="2313" spans="1:16" ht="15" x14ac:dyDescent="0.2">
      <c r="A2313" s="4" t="s">
        <v>579</v>
      </c>
      <c r="B2313" s="21" t="str">
        <f t="shared" si="72"/>
        <v>Jan-2026</v>
      </c>
      <c r="C2313" s="2" t="str">
        <f t="shared" si="73"/>
        <v>Q4</v>
      </c>
      <c r="D2313" s="2" t="s">
        <v>31</v>
      </c>
      <c r="E2313" s="16">
        <v>46052</v>
      </c>
      <c r="F2313" s="2" t="s">
        <v>495</v>
      </c>
      <c r="G2313" s="2" t="s">
        <v>386</v>
      </c>
      <c r="H2313" s="2" t="s">
        <v>92</v>
      </c>
      <c r="I2313" s="19">
        <v>10</v>
      </c>
      <c r="J2313" s="19">
        <v>200</v>
      </c>
      <c r="K2313" s="19">
        <v>212.83</v>
      </c>
      <c r="L2313" s="19">
        <v>42566</v>
      </c>
      <c r="M2313" s="19">
        <v>0</v>
      </c>
      <c r="N2313" s="19">
        <v>0</v>
      </c>
      <c r="O2313" s="19">
        <v>5533.58</v>
      </c>
      <c r="P2313" s="19">
        <v>48099.58</v>
      </c>
    </row>
    <row r="2314" spans="1:16" ht="15" x14ac:dyDescent="0.2">
      <c r="A2314" s="4" t="s">
        <v>579</v>
      </c>
      <c r="B2314" s="21" t="str">
        <f t="shared" si="72"/>
        <v>Jan-2026</v>
      </c>
      <c r="C2314" s="2" t="str">
        <f t="shared" si="73"/>
        <v>Q4</v>
      </c>
      <c r="D2314" s="2" t="s">
        <v>31</v>
      </c>
      <c r="E2314" s="16">
        <v>46052</v>
      </c>
      <c r="F2314" s="2" t="s">
        <v>495</v>
      </c>
      <c r="G2314" s="2" t="s">
        <v>386</v>
      </c>
      <c r="H2314" s="2" t="s">
        <v>112</v>
      </c>
      <c r="I2314" s="19">
        <v>10</v>
      </c>
      <c r="J2314" s="19">
        <v>200</v>
      </c>
      <c r="K2314" s="19">
        <v>180.09</v>
      </c>
      <c r="L2314" s="19">
        <v>36018</v>
      </c>
      <c r="M2314" s="19">
        <v>0</v>
      </c>
      <c r="N2314" s="19">
        <v>0</v>
      </c>
      <c r="O2314" s="19">
        <v>4682.34</v>
      </c>
      <c r="P2314" s="19">
        <v>40700.339999999997</v>
      </c>
    </row>
    <row r="2315" spans="1:16" ht="15" x14ac:dyDescent="0.2">
      <c r="A2315" s="4" t="s">
        <v>586</v>
      </c>
      <c r="B2315" s="21" t="str">
        <f t="shared" si="72"/>
        <v>Jan-2026</v>
      </c>
      <c r="C2315" s="2" t="str">
        <f t="shared" si="73"/>
        <v>Q4</v>
      </c>
      <c r="D2315" s="2" t="s">
        <v>31</v>
      </c>
      <c r="E2315" s="16">
        <v>46052</v>
      </c>
      <c r="F2315" s="2" t="s">
        <v>496</v>
      </c>
      <c r="G2315" s="2" t="s">
        <v>235</v>
      </c>
      <c r="H2315" s="2" t="s">
        <v>103</v>
      </c>
      <c r="I2315" s="19">
        <v>1</v>
      </c>
      <c r="J2315" s="19">
        <v>600</v>
      </c>
      <c r="K2315" s="19">
        <v>7.46</v>
      </c>
      <c r="L2315" s="19">
        <v>4476</v>
      </c>
      <c r="M2315" s="19">
        <v>-344.2</v>
      </c>
      <c r="N2315" s="19">
        <v>0</v>
      </c>
      <c r="O2315" s="19">
        <v>537.13403000000005</v>
      </c>
      <c r="P2315" s="19">
        <v>4668.9340300000003</v>
      </c>
    </row>
    <row r="2316" spans="1:16" ht="15" x14ac:dyDescent="0.2">
      <c r="A2316" s="4" t="s">
        <v>573</v>
      </c>
      <c r="B2316" s="21" t="str">
        <f t="shared" si="72"/>
        <v>Jan-2026</v>
      </c>
      <c r="C2316" s="2" t="str">
        <f t="shared" si="73"/>
        <v>Q4</v>
      </c>
      <c r="D2316" s="2" t="s">
        <v>31</v>
      </c>
      <c r="E2316" s="16">
        <v>46052</v>
      </c>
      <c r="F2316" s="2" t="s">
        <v>496</v>
      </c>
      <c r="G2316" s="2" t="s">
        <v>235</v>
      </c>
      <c r="H2316" s="2" t="s">
        <v>136</v>
      </c>
      <c r="I2316" s="19">
        <v>3</v>
      </c>
      <c r="J2316" s="19">
        <v>120</v>
      </c>
      <c r="K2316" s="19">
        <v>111.74</v>
      </c>
      <c r="L2316" s="19">
        <v>13408.8</v>
      </c>
      <c r="M2316" s="19">
        <v>-1031.1400000000001</v>
      </c>
      <c r="N2316" s="19">
        <v>0</v>
      </c>
      <c r="O2316" s="19">
        <v>1609.0958909999999</v>
      </c>
      <c r="P2316" s="19">
        <v>13986.755891000001</v>
      </c>
    </row>
    <row r="2317" spans="1:16" ht="15" x14ac:dyDescent="0.2">
      <c r="A2317" s="4" t="s">
        <v>580</v>
      </c>
      <c r="B2317" s="21" t="str">
        <f t="shared" si="72"/>
        <v>Jan-2026</v>
      </c>
      <c r="C2317" s="2" t="str">
        <f t="shared" si="73"/>
        <v>Q4</v>
      </c>
      <c r="D2317" s="2" t="s">
        <v>31</v>
      </c>
      <c r="E2317" s="16">
        <v>46052</v>
      </c>
      <c r="F2317" s="2" t="s">
        <v>496</v>
      </c>
      <c r="G2317" s="2" t="s">
        <v>235</v>
      </c>
      <c r="H2317" s="2" t="s">
        <v>89</v>
      </c>
      <c r="I2317" s="19">
        <v>10</v>
      </c>
      <c r="J2317" s="19">
        <v>700</v>
      </c>
      <c r="K2317" s="19">
        <v>37.25</v>
      </c>
      <c r="L2317" s="19">
        <v>26075</v>
      </c>
      <c r="M2317" s="19">
        <v>-2005.1699999999998</v>
      </c>
      <c r="N2317" s="19">
        <v>0</v>
      </c>
      <c r="O2317" s="19">
        <v>3129.0780760000002</v>
      </c>
      <c r="P2317" s="19">
        <v>27198.908076</v>
      </c>
    </row>
    <row r="2318" spans="1:16" ht="15" x14ac:dyDescent="0.2">
      <c r="A2318" s="4" t="s">
        <v>579</v>
      </c>
      <c r="B2318" s="21" t="str">
        <f t="shared" si="72"/>
        <v>Jan-2026</v>
      </c>
      <c r="C2318" s="2" t="str">
        <f t="shared" si="73"/>
        <v>Q4</v>
      </c>
      <c r="D2318" s="2" t="s">
        <v>31</v>
      </c>
      <c r="E2318" s="16">
        <v>46052</v>
      </c>
      <c r="F2318" s="2" t="s">
        <v>496</v>
      </c>
      <c r="G2318" s="2" t="s">
        <v>235</v>
      </c>
      <c r="H2318" s="2" t="s">
        <v>92</v>
      </c>
      <c r="I2318" s="19">
        <v>2</v>
      </c>
      <c r="J2318" s="19">
        <v>40</v>
      </c>
      <c r="K2318" s="19">
        <v>242.1</v>
      </c>
      <c r="L2318" s="19">
        <v>9683.9999999999982</v>
      </c>
      <c r="M2318" s="19">
        <v>-744.7</v>
      </c>
      <c r="N2318" s="19">
        <v>0</v>
      </c>
      <c r="O2318" s="19">
        <v>1162.1090650000001</v>
      </c>
      <c r="P2318" s="19">
        <v>10101.409065</v>
      </c>
    </row>
    <row r="2319" spans="1:16" ht="15" x14ac:dyDescent="0.2">
      <c r="A2319" s="4" t="s">
        <v>581</v>
      </c>
      <c r="B2319" s="21" t="str">
        <f t="shared" si="72"/>
        <v>Jan-2026</v>
      </c>
      <c r="C2319" s="2" t="str">
        <f t="shared" si="73"/>
        <v>Q4</v>
      </c>
      <c r="D2319" s="2" t="s">
        <v>31</v>
      </c>
      <c r="E2319" s="16">
        <v>46052</v>
      </c>
      <c r="F2319" s="2" t="s">
        <v>496</v>
      </c>
      <c r="G2319" s="2" t="s">
        <v>235</v>
      </c>
      <c r="H2319" s="2" t="s">
        <v>104</v>
      </c>
      <c r="I2319" s="19">
        <v>2</v>
      </c>
      <c r="J2319" s="19">
        <v>80</v>
      </c>
      <c r="K2319" s="19">
        <v>74.5</v>
      </c>
      <c r="L2319" s="19">
        <v>5960</v>
      </c>
      <c r="M2319" s="19">
        <v>-458.32</v>
      </c>
      <c r="N2319" s="19">
        <v>0</v>
      </c>
      <c r="O2319" s="19">
        <v>715.21843999999999</v>
      </c>
      <c r="P2319" s="19">
        <v>6216.8984399999999</v>
      </c>
    </row>
    <row r="2320" spans="1:16" ht="15" x14ac:dyDescent="0.2">
      <c r="A2320" s="4" t="s">
        <v>581</v>
      </c>
      <c r="B2320" s="21" t="str">
        <f t="shared" si="72"/>
        <v>Jan-2026</v>
      </c>
      <c r="C2320" s="2" t="str">
        <f t="shared" si="73"/>
        <v>Q4</v>
      </c>
      <c r="D2320" s="2" t="s">
        <v>31</v>
      </c>
      <c r="E2320" s="16">
        <v>46052</v>
      </c>
      <c r="F2320" s="2" t="s">
        <v>496</v>
      </c>
      <c r="G2320" s="2" t="s">
        <v>235</v>
      </c>
      <c r="H2320" s="2" t="s">
        <v>125</v>
      </c>
      <c r="I2320" s="19">
        <v>1</v>
      </c>
      <c r="J2320" s="19">
        <v>800</v>
      </c>
      <c r="K2320" s="19">
        <v>7.46</v>
      </c>
      <c r="L2320" s="19">
        <v>5968</v>
      </c>
      <c r="M2320" s="19">
        <v>-458.94</v>
      </c>
      <c r="N2320" s="19">
        <v>0</v>
      </c>
      <c r="O2320" s="19">
        <v>716.17784000000006</v>
      </c>
      <c r="P2320" s="19">
        <v>6225.2378399999998</v>
      </c>
    </row>
    <row r="2321" spans="1:16" ht="15" x14ac:dyDescent="0.2">
      <c r="A2321" s="4" t="s">
        <v>581</v>
      </c>
      <c r="B2321" s="21" t="str">
        <f t="shared" si="72"/>
        <v>Jan-2026</v>
      </c>
      <c r="C2321" s="2" t="str">
        <f t="shared" si="73"/>
        <v>Q4</v>
      </c>
      <c r="D2321" s="2" t="s">
        <v>31</v>
      </c>
      <c r="E2321" s="16">
        <v>46052</v>
      </c>
      <c r="F2321" s="2" t="s">
        <v>496</v>
      </c>
      <c r="G2321" s="2" t="s">
        <v>235</v>
      </c>
      <c r="H2321" s="2" t="s">
        <v>97</v>
      </c>
      <c r="I2321" s="19">
        <v>2</v>
      </c>
      <c r="J2321" s="19">
        <v>80</v>
      </c>
      <c r="K2321" s="19">
        <v>74.5</v>
      </c>
      <c r="L2321" s="19">
        <v>5959.7</v>
      </c>
      <c r="M2321" s="19">
        <v>-458.3</v>
      </c>
      <c r="N2321" s="19">
        <v>0</v>
      </c>
      <c r="O2321" s="19">
        <v>715.18204000000003</v>
      </c>
      <c r="P2321" s="19">
        <v>6216.5820400000002</v>
      </c>
    </row>
    <row r="2322" spans="1:16" ht="15" x14ac:dyDescent="0.2">
      <c r="A2322" s="4" t="s">
        <v>581</v>
      </c>
      <c r="B2322" s="21" t="str">
        <f t="shared" si="72"/>
        <v>Jan-2026</v>
      </c>
      <c r="C2322" s="2" t="str">
        <f t="shared" si="73"/>
        <v>Q4</v>
      </c>
      <c r="D2322" s="2" t="s">
        <v>31</v>
      </c>
      <c r="E2322" s="16">
        <v>46052</v>
      </c>
      <c r="F2322" s="2" t="s">
        <v>496</v>
      </c>
      <c r="G2322" s="2" t="s">
        <v>235</v>
      </c>
      <c r="H2322" s="2" t="s">
        <v>96</v>
      </c>
      <c r="I2322" s="19">
        <v>2</v>
      </c>
      <c r="J2322" s="19">
        <v>80</v>
      </c>
      <c r="K2322" s="19">
        <v>74.489999999999995</v>
      </c>
      <c r="L2322" s="19">
        <v>5959.2</v>
      </c>
      <c r="M2322" s="19">
        <v>-458.26</v>
      </c>
      <c r="N2322" s="19">
        <v>0</v>
      </c>
      <c r="O2322" s="19">
        <v>715.12224000000003</v>
      </c>
      <c r="P2322" s="19">
        <v>6216.0622400000002</v>
      </c>
    </row>
    <row r="2323" spans="1:16" ht="15" x14ac:dyDescent="0.2">
      <c r="A2323" s="4" t="s">
        <v>579</v>
      </c>
      <c r="B2323" s="21" t="str">
        <f t="shared" si="72"/>
        <v>Jan-2026</v>
      </c>
      <c r="C2323" s="2" t="str">
        <f t="shared" si="73"/>
        <v>Q4</v>
      </c>
      <c r="D2323" s="2" t="s">
        <v>31</v>
      </c>
      <c r="E2323" s="16">
        <v>46052</v>
      </c>
      <c r="F2323" s="2" t="s">
        <v>496</v>
      </c>
      <c r="G2323" s="2" t="s">
        <v>235</v>
      </c>
      <c r="H2323" s="2" t="s">
        <v>112</v>
      </c>
      <c r="I2323" s="19">
        <v>5</v>
      </c>
      <c r="J2323" s="19">
        <v>100</v>
      </c>
      <c r="K2323" s="19">
        <v>204.85</v>
      </c>
      <c r="L2323" s="19">
        <v>20485</v>
      </c>
      <c r="M2323" s="19">
        <v>-1575.3</v>
      </c>
      <c r="N2323" s="19">
        <v>0</v>
      </c>
      <c r="O2323" s="19">
        <v>2458.2611379999998</v>
      </c>
      <c r="P2323" s="19">
        <v>21367.961137999999</v>
      </c>
    </row>
    <row r="2324" spans="1:16" ht="15" x14ac:dyDescent="0.2">
      <c r="A2324" s="4" t="s">
        <v>580</v>
      </c>
      <c r="B2324" s="21" t="str">
        <f t="shared" si="72"/>
        <v>Jan-2026</v>
      </c>
      <c r="C2324" s="2" t="str">
        <f t="shared" si="73"/>
        <v>Q4</v>
      </c>
      <c r="D2324" s="2" t="s">
        <v>31</v>
      </c>
      <c r="E2324" s="16">
        <v>46052</v>
      </c>
      <c r="F2324" s="2" t="s">
        <v>496</v>
      </c>
      <c r="G2324" s="2" t="s">
        <v>235</v>
      </c>
      <c r="H2324" s="2" t="s">
        <v>65</v>
      </c>
      <c r="I2324" s="19">
        <v>5</v>
      </c>
      <c r="J2324" s="19">
        <v>650</v>
      </c>
      <c r="K2324" s="19">
        <v>37.25</v>
      </c>
      <c r="L2324" s="19">
        <v>24212.5</v>
      </c>
      <c r="M2324" s="19">
        <v>-1861.9399999999998</v>
      </c>
      <c r="N2324" s="19">
        <v>0</v>
      </c>
      <c r="O2324" s="19">
        <v>2905.572964</v>
      </c>
      <c r="P2324" s="19">
        <v>25256.132964</v>
      </c>
    </row>
    <row r="2325" spans="1:16" ht="15" x14ac:dyDescent="0.2">
      <c r="A2325" s="4" t="s">
        <v>589</v>
      </c>
      <c r="B2325" s="21" t="str">
        <f t="shared" si="72"/>
        <v>Jan-2026</v>
      </c>
      <c r="C2325" s="2" t="str">
        <f t="shared" si="73"/>
        <v>Q4</v>
      </c>
      <c r="D2325" s="2" t="s">
        <v>31</v>
      </c>
      <c r="E2325" s="16">
        <v>46052</v>
      </c>
      <c r="F2325" s="2" t="s">
        <v>496</v>
      </c>
      <c r="G2325" s="2" t="s">
        <v>235</v>
      </c>
      <c r="H2325" s="2" t="s">
        <v>98</v>
      </c>
      <c r="I2325" s="19">
        <v>2</v>
      </c>
      <c r="J2325" s="19">
        <v>120</v>
      </c>
      <c r="K2325" s="19">
        <v>145.26</v>
      </c>
      <c r="L2325" s="19">
        <v>17431.2</v>
      </c>
      <c r="M2325" s="19">
        <v>-1340.46</v>
      </c>
      <c r="N2325" s="19">
        <v>0</v>
      </c>
      <c r="O2325" s="19">
        <v>2091.7963180000002</v>
      </c>
      <c r="P2325" s="19">
        <v>18182.536317999999</v>
      </c>
    </row>
    <row r="2326" spans="1:16" ht="15" x14ac:dyDescent="0.2">
      <c r="A2326" s="4" t="s">
        <v>573</v>
      </c>
      <c r="B2326" s="21" t="str">
        <f t="shared" si="72"/>
        <v>Jan-2026</v>
      </c>
      <c r="C2326" s="2" t="str">
        <f t="shared" si="73"/>
        <v>Q4</v>
      </c>
      <c r="D2326" s="2" t="s">
        <v>31</v>
      </c>
      <c r="E2326" s="16">
        <v>46052</v>
      </c>
      <c r="F2326" s="2" t="s">
        <v>496</v>
      </c>
      <c r="G2326" s="2" t="s">
        <v>235</v>
      </c>
      <c r="H2326" s="2" t="s">
        <v>111</v>
      </c>
      <c r="I2326" s="19">
        <v>1</v>
      </c>
      <c r="J2326" s="19">
        <v>40</v>
      </c>
      <c r="K2326" s="19">
        <v>111.74</v>
      </c>
      <c r="L2326" s="19">
        <v>4469.6000000000004</v>
      </c>
      <c r="M2326" s="19">
        <v>-343.71</v>
      </c>
      <c r="N2326" s="19">
        <v>0</v>
      </c>
      <c r="O2326" s="19">
        <v>536.36572999999999</v>
      </c>
      <c r="P2326" s="19">
        <v>4662.2557299999999</v>
      </c>
    </row>
    <row r="2327" spans="1:16" ht="15" x14ac:dyDescent="0.2">
      <c r="A2327" s="4" t="s">
        <v>575</v>
      </c>
      <c r="B2327" s="21" t="str">
        <f t="shared" si="72"/>
        <v>Jan-2026</v>
      </c>
      <c r="C2327" s="2" t="str">
        <f t="shared" si="73"/>
        <v>Q4</v>
      </c>
      <c r="D2327" s="2" t="s">
        <v>31</v>
      </c>
      <c r="E2327" s="16">
        <v>46052</v>
      </c>
      <c r="F2327" s="2" t="s">
        <v>496</v>
      </c>
      <c r="G2327" s="2" t="s">
        <v>235</v>
      </c>
      <c r="H2327" s="2" t="s">
        <v>55</v>
      </c>
      <c r="I2327" s="19">
        <v>5</v>
      </c>
      <c r="J2327" s="19">
        <v>100</v>
      </c>
      <c r="K2327" s="19">
        <v>186.22</v>
      </c>
      <c r="L2327" s="19">
        <v>18622</v>
      </c>
      <c r="M2327" s="19">
        <v>-1432.03</v>
      </c>
      <c r="N2327" s="19">
        <v>0</v>
      </c>
      <c r="O2327" s="19">
        <v>2234.696226</v>
      </c>
      <c r="P2327" s="19">
        <v>19424.666226000001</v>
      </c>
    </row>
    <row r="2328" spans="1:16" ht="15" x14ac:dyDescent="0.2">
      <c r="A2328" s="4" t="s">
        <v>581</v>
      </c>
      <c r="B2328" s="21" t="str">
        <f t="shared" si="72"/>
        <v>Jan-2026</v>
      </c>
      <c r="C2328" s="2" t="str">
        <f t="shared" si="73"/>
        <v>Q4</v>
      </c>
      <c r="D2328" s="2" t="s">
        <v>31</v>
      </c>
      <c r="E2328" s="16">
        <v>46052</v>
      </c>
      <c r="F2328" s="2" t="s">
        <v>497</v>
      </c>
      <c r="G2328" s="2" t="s">
        <v>465</v>
      </c>
      <c r="H2328" s="2" t="s">
        <v>125</v>
      </c>
      <c r="I2328" s="19">
        <v>1</v>
      </c>
      <c r="J2328" s="19">
        <v>800</v>
      </c>
      <c r="K2328" s="19">
        <v>7.46</v>
      </c>
      <c r="L2328" s="19">
        <v>5968</v>
      </c>
      <c r="M2328" s="19">
        <v>-458.94</v>
      </c>
      <c r="N2328" s="19">
        <v>0</v>
      </c>
      <c r="O2328" s="19">
        <v>716.17707800000005</v>
      </c>
      <c r="P2328" s="19">
        <v>6225.2370780000001</v>
      </c>
    </row>
    <row r="2329" spans="1:16" ht="15" x14ac:dyDescent="0.2">
      <c r="A2329" s="4" t="s">
        <v>592</v>
      </c>
      <c r="B2329" s="21" t="str">
        <f t="shared" si="72"/>
        <v>Jan-2026</v>
      </c>
      <c r="C2329" s="2" t="str">
        <f t="shared" si="73"/>
        <v>Q4</v>
      </c>
      <c r="D2329" s="2" t="s">
        <v>31</v>
      </c>
      <c r="E2329" s="16">
        <v>46052</v>
      </c>
      <c r="F2329" s="2" t="s">
        <v>497</v>
      </c>
      <c r="G2329" s="2" t="s">
        <v>465</v>
      </c>
      <c r="H2329" s="2" t="s">
        <v>115</v>
      </c>
      <c r="I2329" s="19">
        <v>3</v>
      </c>
      <c r="J2329" s="19">
        <v>150</v>
      </c>
      <c r="K2329" s="19">
        <v>89.39</v>
      </c>
      <c r="L2329" s="19">
        <v>13408.500000000002</v>
      </c>
      <c r="M2329" s="19">
        <v>-1031.1100000000001</v>
      </c>
      <c r="N2329" s="19">
        <v>0</v>
      </c>
      <c r="O2329" s="19">
        <v>1609.0590769999999</v>
      </c>
      <c r="P2329" s="19">
        <v>13986.449076999999</v>
      </c>
    </row>
    <row r="2330" spans="1:16" ht="15" x14ac:dyDescent="0.2">
      <c r="A2330" s="4" t="s">
        <v>575</v>
      </c>
      <c r="B2330" s="21" t="str">
        <f t="shared" si="72"/>
        <v>Jan-2026</v>
      </c>
      <c r="C2330" s="2" t="str">
        <f t="shared" si="73"/>
        <v>Q4</v>
      </c>
      <c r="D2330" s="2" t="s">
        <v>31</v>
      </c>
      <c r="E2330" s="16">
        <v>46052</v>
      </c>
      <c r="F2330" s="2" t="s">
        <v>497</v>
      </c>
      <c r="G2330" s="2" t="s">
        <v>465</v>
      </c>
      <c r="H2330" s="2" t="s">
        <v>55</v>
      </c>
      <c r="I2330" s="19">
        <v>5</v>
      </c>
      <c r="J2330" s="19">
        <v>100</v>
      </c>
      <c r="K2330" s="19">
        <v>186.22</v>
      </c>
      <c r="L2330" s="19">
        <v>18622</v>
      </c>
      <c r="M2330" s="19">
        <v>-1432.03</v>
      </c>
      <c r="N2330" s="19">
        <v>0</v>
      </c>
      <c r="O2330" s="19">
        <v>2234.6938460000001</v>
      </c>
      <c r="P2330" s="19">
        <v>19424.663845999999</v>
      </c>
    </row>
    <row r="2331" spans="1:16" ht="15" x14ac:dyDescent="0.2">
      <c r="A2331" s="4" t="s">
        <v>575</v>
      </c>
      <c r="B2331" s="21" t="str">
        <f t="shared" si="72"/>
        <v>Jan-2026</v>
      </c>
      <c r="C2331" s="2" t="str">
        <f t="shared" si="73"/>
        <v>Q4</v>
      </c>
      <c r="D2331" s="2" t="s">
        <v>31</v>
      </c>
      <c r="E2331" s="16">
        <v>46052</v>
      </c>
      <c r="F2331" s="2" t="s">
        <v>498</v>
      </c>
      <c r="G2331" s="2" t="s">
        <v>23</v>
      </c>
      <c r="H2331" s="2" t="s">
        <v>55</v>
      </c>
      <c r="I2331" s="19">
        <v>25</v>
      </c>
      <c r="J2331" s="19">
        <v>500</v>
      </c>
      <c r="K2331" s="19">
        <v>186.22</v>
      </c>
      <c r="L2331" s="19">
        <v>93110</v>
      </c>
      <c r="M2331" s="19">
        <v>-7160.16</v>
      </c>
      <c r="N2331" s="19">
        <v>0</v>
      </c>
      <c r="O2331" s="19">
        <v>11173.476736000001</v>
      </c>
      <c r="P2331" s="19">
        <v>97123.316735999993</v>
      </c>
    </row>
    <row r="2332" spans="1:16" ht="15" x14ac:dyDescent="0.2">
      <c r="A2332" s="4" t="s">
        <v>579</v>
      </c>
      <c r="B2332" s="21" t="str">
        <f t="shared" si="72"/>
        <v>Jan-2026</v>
      </c>
      <c r="C2332" s="2" t="str">
        <f t="shared" si="73"/>
        <v>Q4</v>
      </c>
      <c r="D2332" s="2" t="s">
        <v>31</v>
      </c>
      <c r="E2332" s="16">
        <v>46052</v>
      </c>
      <c r="F2332" s="2" t="s">
        <v>498</v>
      </c>
      <c r="G2332" s="2" t="s">
        <v>23</v>
      </c>
      <c r="H2332" s="2" t="s">
        <v>140</v>
      </c>
      <c r="I2332" s="19">
        <v>2</v>
      </c>
      <c r="J2332" s="19">
        <v>40</v>
      </c>
      <c r="K2332" s="19">
        <v>204.85</v>
      </c>
      <c r="L2332" s="19">
        <v>8194</v>
      </c>
      <c r="M2332" s="19">
        <v>-630.12</v>
      </c>
      <c r="N2332" s="19">
        <v>0</v>
      </c>
      <c r="O2332" s="19">
        <v>983.30418299999997</v>
      </c>
      <c r="P2332" s="19">
        <v>8547.1841829999994</v>
      </c>
    </row>
    <row r="2333" spans="1:16" ht="15" x14ac:dyDescent="0.2">
      <c r="A2333" s="4" t="s">
        <v>581</v>
      </c>
      <c r="B2333" s="21" t="str">
        <f t="shared" si="72"/>
        <v>Jan-2026</v>
      </c>
      <c r="C2333" s="2" t="str">
        <f t="shared" si="73"/>
        <v>Q4</v>
      </c>
      <c r="D2333" s="2" t="s">
        <v>31</v>
      </c>
      <c r="E2333" s="16">
        <v>46052</v>
      </c>
      <c r="F2333" s="2" t="s">
        <v>498</v>
      </c>
      <c r="G2333" s="2" t="s">
        <v>23</v>
      </c>
      <c r="H2333" s="2" t="s">
        <v>97</v>
      </c>
      <c r="I2333" s="19">
        <v>3</v>
      </c>
      <c r="J2333" s="19">
        <v>120</v>
      </c>
      <c r="K2333" s="19">
        <v>74.5</v>
      </c>
      <c r="L2333" s="19">
        <v>8940</v>
      </c>
      <c r="M2333" s="19">
        <v>-687.4899999999999</v>
      </c>
      <c r="N2333" s="19">
        <v>0</v>
      </c>
      <c r="O2333" s="19">
        <v>1072.826063</v>
      </c>
      <c r="P2333" s="19">
        <v>9325.3360630000006</v>
      </c>
    </row>
    <row r="2334" spans="1:16" ht="15" x14ac:dyDescent="0.2">
      <c r="A2334" s="4" t="s">
        <v>592</v>
      </c>
      <c r="B2334" s="21" t="str">
        <f t="shared" si="72"/>
        <v>Jan-2026</v>
      </c>
      <c r="C2334" s="2" t="str">
        <f t="shared" si="73"/>
        <v>Q4</v>
      </c>
      <c r="D2334" s="2" t="s">
        <v>31</v>
      </c>
      <c r="E2334" s="16">
        <v>46052</v>
      </c>
      <c r="F2334" s="2" t="s">
        <v>498</v>
      </c>
      <c r="G2334" s="2" t="s">
        <v>23</v>
      </c>
      <c r="H2334" s="2" t="s">
        <v>115</v>
      </c>
      <c r="I2334" s="19">
        <v>3</v>
      </c>
      <c r="J2334" s="19">
        <v>150</v>
      </c>
      <c r="K2334" s="19">
        <v>89.39</v>
      </c>
      <c r="L2334" s="19">
        <v>13408.500000000002</v>
      </c>
      <c r="M2334" s="19">
        <v>-1031.1100000000001</v>
      </c>
      <c r="N2334" s="19">
        <v>0</v>
      </c>
      <c r="O2334" s="19">
        <v>1609.0603449999999</v>
      </c>
      <c r="P2334" s="19">
        <v>13986.450344999999</v>
      </c>
    </row>
    <row r="2335" spans="1:16" ht="15" x14ac:dyDescent="0.2">
      <c r="A2335" s="4" t="s">
        <v>573</v>
      </c>
      <c r="B2335" s="21" t="str">
        <f t="shared" si="72"/>
        <v>Jan-2026</v>
      </c>
      <c r="C2335" s="2" t="str">
        <f t="shared" si="73"/>
        <v>Q4</v>
      </c>
      <c r="D2335" s="2" t="s">
        <v>31</v>
      </c>
      <c r="E2335" s="16">
        <v>46052</v>
      </c>
      <c r="F2335" s="2" t="s">
        <v>498</v>
      </c>
      <c r="G2335" s="2" t="s">
        <v>23</v>
      </c>
      <c r="H2335" s="2" t="s">
        <v>111</v>
      </c>
      <c r="I2335" s="19">
        <v>3</v>
      </c>
      <c r="J2335" s="19">
        <v>120</v>
      </c>
      <c r="K2335" s="19">
        <v>111.74</v>
      </c>
      <c r="L2335" s="19">
        <v>13408.8</v>
      </c>
      <c r="M2335" s="19">
        <v>-1031.1400000000001</v>
      </c>
      <c r="N2335" s="19">
        <v>0</v>
      </c>
      <c r="O2335" s="19">
        <v>1609.0954450000002</v>
      </c>
      <c r="P2335" s="19">
        <v>13986.755445000001</v>
      </c>
    </row>
    <row r="2336" spans="1:16" ht="15" x14ac:dyDescent="0.2">
      <c r="A2336" s="4" t="s">
        <v>579</v>
      </c>
      <c r="B2336" s="21" t="str">
        <f t="shared" si="72"/>
        <v>Jan-2026</v>
      </c>
      <c r="C2336" s="2" t="str">
        <f t="shared" si="73"/>
        <v>Q4</v>
      </c>
      <c r="D2336" s="2" t="s">
        <v>31</v>
      </c>
      <c r="E2336" s="16">
        <v>46052</v>
      </c>
      <c r="F2336" s="2" t="s">
        <v>498</v>
      </c>
      <c r="G2336" s="2" t="s">
        <v>23</v>
      </c>
      <c r="H2336" s="2" t="s">
        <v>112</v>
      </c>
      <c r="I2336" s="19">
        <v>2</v>
      </c>
      <c r="J2336" s="19">
        <v>40</v>
      </c>
      <c r="K2336" s="19">
        <v>204.85</v>
      </c>
      <c r="L2336" s="19">
        <v>8194</v>
      </c>
      <c r="M2336" s="19">
        <v>-630.12</v>
      </c>
      <c r="N2336" s="19">
        <v>0</v>
      </c>
      <c r="O2336" s="19">
        <v>983.30418299999997</v>
      </c>
      <c r="P2336" s="19">
        <v>8547.1841829999994</v>
      </c>
    </row>
    <row r="2337" spans="1:16" ht="15" x14ac:dyDescent="0.2">
      <c r="A2337" s="4" t="s">
        <v>579</v>
      </c>
      <c r="B2337" s="21" t="str">
        <f t="shared" si="72"/>
        <v>Jan-2026</v>
      </c>
      <c r="C2337" s="2" t="str">
        <f t="shared" si="73"/>
        <v>Q4</v>
      </c>
      <c r="D2337" s="2" t="s">
        <v>31</v>
      </c>
      <c r="E2337" s="16">
        <v>46052</v>
      </c>
      <c r="F2337" s="2" t="s">
        <v>498</v>
      </c>
      <c r="G2337" s="2" t="s">
        <v>23</v>
      </c>
      <c r="H2337" s="2" t="s">
        <v>91</v>
      </c>
      <c r="I2337" s="19">
        <v>3</v>
      </c>
      <c r="J2337" s="19">
        <v>60</v>
      </c>
      <c r="K2337" s="19">
        <v>204.85</v>
      </c>
      <c r="L2337" s="19">
        <v>12291</v>
      </c>
      <c r="M2337" s="19">
        <v>-945.18</v>
      </c>
      <c r="N2337" s="19">
        <v>0</v>
      </c>
      <c r="O2337" s="19">
        <v>1474.9562750000002</v>
      </c>
      <c r="P2337" s="19">
        <v>12820.776275</v>
      </c>
    </row>
    <row r="2338" spans="1:16" ht="15" x14ac:dyDescent="0.2">
      <c r="A2338" s="4" t="s">
        <v>581</v>
      </c>
      <c r="B2338" s="21" t="str">
        <f t="shared" si="72"/>
        <v>Jan-2026</v>
      </c>
      <c r="C2338" s="2" t="str">
        <f t="shared" si="73"/>
        <v>Q4</v>
      </c>
      <c r="D2338" s="2" t="s">
        <v>31</v>
      </c>
      <c r="E2338" s="16">
        <v>46052</v>
      </c>
      <c r="F2338" s="2" t="s">
        <v>498</v>
      </c>
      <c r="G2338" s="2" t="s">
        <v>23</v>
      </c>
      <c r="H2338" s="2" t="s">
        <v>96</v>
      </c>
      <c r="I2338" s="19">
        <v>3</v>
      </c>
      <c r="J2338" s="19">
        <v>120</v>
      </c>
      <c r="K2338" s="19">
        <v>74.489999999999995</v>
      </c>
      <c r="L2338" s="19">
        <v>8938.8000000000011</v>
      </c>
      <c r="M2338" s="19">
        <v>-687.3900000000001</v>
      </c>
      <c r="N2338" s="19">
        <v>0</v>
      </c>
      <c r="O2338" s="19">
        <v>1072.6830629999999</v>
      </c>
      <c r="P2338" s="19">
        <v>9324.0930630000003</v>
      </c>
    </row>
    <row r="2339" spans="1:16" ht="15" x14ac:dyDescent="0.2">
      <c r="A2339" s="4" t="s">
        <v>581</v>
      </c>
      <c r="B2339" s="21" t="str">
        <f t="shared" si="72"/>
        <v>Jan-2026</v>
      </c>
      <c r="C2339" s="2" t="str">
        <f t="shared" si="73"/>
        <v>Q4</v>
      </c>
      <c r="D2339" s="2" t="s">
        <v>31</v>
      </c>
      <c r="E2339" s="16">
        <v>46052</v>
      </c>
      <c r="F2339" s="2" t="s">
        <v>498</v>
      </c>
      <c r="G2339" s="2" t="s">
        <v>23</v>
      </c>
      <c r="H2339" s="2" t="s">
        <v>125</v>
      </c>
      <c r="I2339" s="19">
        <v>1</v>
      </c>
      <c r="J2339" s="19">
        <v>800</v>
      </c>
      <c r="K2339" s="19">
        <v>7.46</v>
      </c>
      <c r="L2339" s="19">
        <v>5968</v>
      </c>
      <c r="M2339" s="19">
        <v>-458.94</v>
      </c>
      <c r="N2339" s="19">
        <v>0</v>
      </c>
      <c r="O2339" s="19">
        <v>716.17764199999999</v>
      </c>
      <c r="P2339" s="19">
        <v>6225.2376420000001</v>
      </c>
    </row>
    <row r="2340" spans="1:16" ht="15" x14ac:dyDescent="0.2">
      <c r="A2340" s="4" t="s">
        <v>581</v>
      </c>
      <c r="B2340" s="21" t="str">
        <f t="shared" si="72"/>
        <v>Jan-2026</v>
      </c>
      <c r="C2340" s="2" t="str">
        <f t="shared" si="73"/>
        <v>Q4</v>
      </c>
      <c r="D2340" s="2" t="s">
        <v>31</v>
      </c>
      <c r="E2340" s="16">
        <v>46052</v>
      </c>
      <c r="F2340" s="2" t="s">
        <v>498</v>
      </c>
      <c r="G2340" s="2" t="s">
        <v>23</v>
      </c>
      <c r="H2340" s="2" t="s">
        <v>104</v>
      </c>
      <c r="I2340" s="19">
        <v>3</v>
      </c>
      <c r="J2340" s="19">
        <v>120</v>
      </c>
      <c r="K2340" s="19">
        <v>74.5</v>
      </c>
      <c r="L2340" s="19">
        <v>8940</v>
      </c>
      <c r="M2340" s="19">
        <v>-687.4899999999999</v>
      </c>
      <c r="N2340" s="19">
        <v>0</v>
      </c>
      <c r="O2340" s="19">
        <v>1072.826063</v>
      </c>
      <c r="P2340" s="19">
        <v>9325.3360630000006</v>
      </c>
    </row>
    <row r="2341" spans="1:16" ht="15" x14ac:dyDescent="0.2">
      <c r="A2341" s="4" t="s">
        <v>588</v>
      </c>
      <c r="B2341" s="21" t="str">
        <f t="shared" si="72"/>
        <v>Jan-2026</v>
      </c>
      <c r="C2341" s="2" t="str">
        <f t="shared" si="73"/>
        <v>Q4</v>
      </c>
      <c r="D2341" s="2" t="s">
        <v>31</v>
      </c>
      <c r="E2341" s="16">
        <v>46052</v>
      </c>
      <c r="F2341" s="2" t="s">
        <v>499</v>
      </c>
      <c r="G2341" s="2" t="s">
        <v>386</v>
      </c>
      <c r="H2341" s="2" t="s">
        <v>95</v>
      </c>
      <c r="I2341" s="19">
        <v>5</v>
      </c>
      <c r="J2341" s="19">
        <v>300</v>
      </c>
      <c r="K2341" s="19">
        <v>98.23</v>
      </c>
      <c r="L2341" s="19">
        <v>29469</v>
      </c>
      <c r="M2341" s="19">
        <v>0</v>
      </c>
      <c r="N2341" s="19">
        <v>0</v>
      </c>
      <c r="O2341" s="19">
        <v>3830.9696440000002</v>
      </c>
      <c r="P2341" s="19">
        <v>33299.969643999997</v>
      </c>
    </row>
    <row r="2342" spans="1:16" ht="15" x14ac:dyDescent="0.2">
      <c r="A2342" s="4" t="s">
        <v>591</v>
      </c>
      <c r="B2342" s="21" t="str">
        <f t="shared" si="72"/>
        <v>Jan-2026</v>
      </c>
      <c r="C2342" s="2" t="str">
        <f t="shared" si="73"/>
        <v>Q4</v>
      </c>
      <c r="D2342" s="2" t="s">
        <v>31</v>
      </c>
      <c r="E2342" s="16">
        <v>46052</v>
      </c>
      <c r="F2342" s="2" t="s">
        <v>499</v>
      </c>
      <c r="G2342" s="2" t="s">
        <v>386</v>
      </c>
      <c r="H2342" s="2" t="s">
        <v>106</v>
      </c>
      <c r="I2342" s="19">
        <v>5</v>
      </c>
      <c r="J2342" s="19">
        <v>300</v>
      </c>
      <c r="K2342" s="19">
        <v>98.23</v>
      </c>
      <c r="L2342" s="19">
        <v>29469</v>
      </c>
      <c r="M2342" s="19">
        <v>0</v>
      </c>
      <c r="N2342" s="19">
        <v>0</v>
      </c>
      <c r="O2342" s="19">
        <v>3830.9696440000002</v>
      </c>
      <c r="P2342" s="19">
        <v>33299.969643999997</v>
      </c>
    </row>
    <row r="2343" spans="1:16" ht="15" x14ac:dyDescent="0.2">
      <c r="A2343" s="4" t="s">
        <v>589</v>
      </c>
      <c r="B2343" s="21" t="str">
        <f t="shared" si="72"/>
        <v>Jan-2026</v>
      </c>
      <c r="C2343" s="2" t="str">
        <f t="shared" si="73"/>
        <v>Q4</v>
      </c>
      <c r="D2343" s="2" t="s">
        <v>31</v>
      </c>
      <c r="E2343" s="16">
        <v>46052</v>
      </c>
      <c r="F2343" s="2" t="s">
        <v>499</v>
      </c>
      <c r="G2343" s="2" t="s">
        <v>386</v>
      </c>
      <c r="H2343" s="2" t="s">
        <v>98</v>
      </c>
      <c r="I2343" s="19">
        <v>10</v>
      </c>
      <c r="J2343" s="19">
        <v>600</v>
      </c>
      <c r="K2343" s="19">
        <v>127.7</v>
      </c>
      <c r="L2343" s="19">
        <v>76620</v>
      </c>
      <c r="M2343" s="19">
        <v>0</v>
      </c>
      <c r="N2343" s="19">
        <v>0</v>
      </c>
      <c r="O2343" s="19">
        <v>9960.5990729999994</v>
      </c>
      <c r="P2343" s="19">
        <v>86580.599073000005</v>
      </c>
    </row>
    <row r="2344" spans="1:16" ht="15" x14ac:dyDescent="0.2">
      <c r="A2344" s="4" t="s">
        <v>583</v>
      </c>
      <c r="B2344" s="21" t="str">
        <f t="shared" si="72"/>
        <v>Jan-2026</v>
      </c>
      <c r="C2344" s="2" t="str">
        <f t="shared" si="73"/>
        <v>Q4</v>
      </c>
      <c r="D2344" s="2" t="s">
        <v>31</v>
      </c>
      <c r="E2344" s="16">
        <v>46052</v>
      </c>
      <c r="F2344" s="2" t="s">
        <v>499</v>
      </c>
      <c r="G2344" s="2" t="s">
        <v>386</v>
      </c>
      <c r="H2344" s="2" t="s">
        <v>109</v>
      </c>
      <c r="I2344" s="19">
        <v>10</v>
      </c>
      <c r="J2344" s="19">
        <v>150</v>
      </c>
      <c r="K2344" s="19">
        <v>229.2</v>
      </c>
      <c r="L2344" s="19">
        <v>34380</v>
      </c>
      <c r="M2344" s="19">
        <v>0</v>
      </c>
      <c r="N2344" s="19">
        <v>0</v>
      </c>
      <c r="O2344" s="19">
        <v>4469.3995839999998</v>
      </c>
      <c r="P2344" s="19">
        <v>38849.399583999999</v>
      </c>
    </row>
    <row r="2345" spans="1:16" ht="15" x14ac:dyDescent="0.2">
      <c r="A2345" s="4" t="s">
        <v>584</v>
      </c>
      <c r="B2345" s="21" t="str">
        <f t="shared" si="72"/>
        <v>Jan-2026</v>
      </c>
      <c r="C2345" s="2" t="str">
        <f t="shared" si="73"/>
        <v>Q4</v>
      </c>
      <c r="D2345" s="2" t="s">
        <v>31</v>
      </c>
      <c r="E2345" s="16">
        <v>46052</v>
      </c>
      <c r="F2345" s="2" t="s">
        <v>499</v>
      </c>
      <c r="G2345" s="2" t="s">
        <v>386</v>
      </c>
      <c r="H2345" s="2" t="s">
        <v>120</v>
      </c>
      <c r="I2345" s="19">
        <v>10</v>
      </c>
      <c r="J2345" s="19">
        <v>400</v>
      </c>
      <c r="K2345" s="19">
        <v>72.040000000000006</v>
      </c>
      <c r="L2345" s="19">
        <v>28816</v>
      </c>
      <c r="M2345" s="19">
        <v>0</v>
      </c>
      <c r="N2345" s="19">
        <v>0</v>
      </c>
      <c r="O2345" s="19">
        <v>3746.079651</v>
      </c>
      <c r="P2345" s="19">
        <v>32562.079651</v>
      </c>
    </row>
    <row r="2346" spans="1:16" ht="15" x14ac:dyDescent="0.2">
      <c r="A2346" s="4" t="s">
        <v>582</v>
      </c>
      <c r="B2346" s="21" t="str">
        <f t="shared" si="72"/>
        <v>Jan-2026</v>
      </c>
      <c r="C2346" s="2" t="str">
        <f t="shared" si="73"/>
        <v>Q4</v>
      </c>
      <c r="D2346" s="2" t="s">
        <v>31</v>
      </c>
      <c r="E2346" s="16">
        <v>46052</v>
      </c>
      <c r="F2346" s="2" t="s">
        <v>499</v>
      </c>
      <c r="G2346" s="2" t="s">
        <v>386</v>
      </c>
      <c r="H2346" s="2" t="s">
        <v>108</v>
      </c>
      <c r="I2346" s="19">
        <v>10</v>
      </c>
      <c r="J2346" s="19">
        <v>240</v>
      </c>
      <c r="K2346" s="19">
        <v>163.72</v>
      </c>
      <c r="L2346" s="19">
        <v>39292.800000000003</v>
      </c>
      <c r="M2346" s="19">
        <v>0</v>
      </c>
      <c r="N2346" s="19">
        <v>0</v>
      </c>
      <c r="O2346" s="19">
        <v>5108.0635250000005</v>
      </c>
      <c r="P2346" s="19">
        <v>44400.863525000001</v>
      </c>
    </row>
    <row r="2347" spans="1:16" ht="15" x14ac:dyDescent="0.2">
      <c r="A2347" s="4" t="s">
        <v>584</v>
      </c>
      <c r="B2347" s="21" t="str">
        <f t="shared" si="72"/>
        <v>Jan-2026</v>
      </c>
      <c r="C2347" s="2" t="str">
        <f t="shared" si="73"/>
        <v>Q4</v>
      </c>
      <c r="D2347" s="2" t="s">
        <v>31</v>
      </c>
      <c r="E2347" s="16">
        <v>46052</v>
      </c>
      <c r="F2347" s="2" t="s">
        <v>499</v>
      </c>
      <c r="G2347" s="2" t="s">
        <v>386</v>
      </c>
      <c r="H2347" s="2" t="s">
        <v>99</v>
      </c>
      <c r="I2347" s="19">
        <v>10</v>
      </c>
      <c r="J2347" s="19">
        <v>400</v>
      </c>
      <c r="K2347" s="19">
        <v>72.040000000000006</v>
      </c>
      <c r="L2347" s="19">
        <v>28816</v>
      </c>
      <c r="M2347" s="19">
        <v>0</v>
      </c>
      <c r="N2347" s="19">
        <v>0</v>
      </c>
      <c r="O2347" s="19">
        <v>3746.079651</v>
      </c>
      <c r="P2347" s="19">
        <v>32562.079651</v>
      </c>
    </row>
    <row r="2348" spans="1:16" ht="15" x14ac:dyDescent="0.2">
      <c r="A2348" s="4" t="s">
        <v>587</v>
      </c>
      <c r="B2348" s="21" t="str">
        <f t="shared" si="72"/>
        <v>Jan-2026</v>
      </c>
      <c r="C2348" s="2" t="str">
        <f t="shared" si="73"/>
        <v>Q4</v>
      </c>
      <c r="D2348" s="2" t="s">
        <v>31</v>
      </c>
      <c r="E2348" s="16">
        <v>46052</v>
      </c>
      <c r="F2348" s="2" t="s">
        <v>499</v>
      </c>
      <c r="G2348" s="2" t="s">
        <v>386</v>
      </c>
      <c r="H2348" s="2" t="s">
        <v>94</v>
      </c>
      <c r="I2348" s="19">
        <v>5</v>
      </c>
      <c r="J2348" s="19">
        <v>300</v>
      </c>
      <c r="K2348" s="19">
        <v>98.23</v>
      </c>
      <c r="L2348" s="19">
        <v>29469</v>
      </c>
      <c r="M2348" s="19">
        <v>0</v>
      </c>
      <c r="N2348" s="19">
        <v>0</v>
      </c>
      <c r="O2348" s="19">
        <v>3830.9696440000002</v>
      </c>
      <c r="P2348" s="19">
        <v>33299.969643999997</v>
      </c>
    </row>
    <row r="2349" spans="1:16" ht="15" x14ac:dyDescent="0.2">
      <c r="A2349" s="4" t="s">
        <v>583</v>
      </c>
      <c r="B2349" s="21" t="str">
        <f t="shared" si="72"/>
        <v>Jan-2026</v>
      </c>
      <c r="C2349" s="2" t="str">
        <f t="shared" si="73"/>
        <v>Q4</v>
      </c>
      <c r="D2349" s="2" t="s">
        <v>31</v>
      </c>
      <c r="E2349" s="16">
        <v>46052</v>
      </c>
      <c r="F2349" s="2" t="s">
        <v>499</v>
      </c>
      <c r="G2349" s="2" t="s">
        <v>386</v>
      </c>
      <c r="H2349" s="2" t="s">
        <v>113</v>
      </c>
      <c r="I2349" s="19">
        <v>10</v>
      </c>
      <c r="J2349" s="19">
        <v>150</v>
      </c>
      <c r="K2349" s="19">
        <v>229.2</v>
      </c>
      <c r="L2349" s="19">
        <v>34380</v>
      </c>
      <c r="M2349" s="19">
        <v>0</v>
      </c>
      <c r="N2349" s="19">
        <v>0</v>
      </c>
      <c r="O2349" s="19">
        <v>4469.3995839999998</v>
      </c>
      <c r="P2349" s="19">
        <v>38849.399583999999</v>
      </c>
    </row>
    <row r="2350" spans="1:16" ht="15" x14ac:dyDescent="0.2">
      <c r="A2350" s="4" t="s">
        <v>573</v>
      </c>
      <c r="B2350" s="21" t="str">
        <f t="shared" si="72"/>
        <v>Jan-2026</v>
      </c>
      <c r="C2350" s="2" t="str">
        <f t="shared" si="73"/>
        <v>Q4</v>
      </c>
      <c r="D2350" s="2" t="s">
        <v>31</v>
      </c>
      <c r="E2350" s="16">
        <v>46052</v>
      </c>
      <c r="F2350" s="2" t="s">
        <v>500</v>
      </c>
      <c r="G2350" s="2" t="s">
        <v>142</v>
      </c>
      <c r="H2350" s="2" t="s">
        <v>111</v>
      </c>
      <c r="I2350" s="19">
        <v>5</v>
      </c>
      <c r="J2350" s="19">
        <v>200</v>
      </c>
      <c r="K2350" s="19">
        <v>111.74</v>
      </c>
      <c r="L2350" s="19">
        <v>22348</v>
      </c>
      <c r="M2350" s="19">
        <v>-1718.56</v>
      </c>
      <c r="N2350" s="19">
        <v>0</v>
      </c>
      <c r="O2350" s="19">
        <v>2681.8271600000003</v>
      </c>
      <c r="P2350" s="19">
        <v>23311.267159999999</v>
      </c>
    </row>
    <row r="2351" spans="1:16" ht="15" x14ac:dyDescent="0.2">
      <c r="A2351" s="4" t="s">
        <v>575</v>
      </c>
      <c r="B2351" s="21" t="str">
        <f t="shared" si="72"/>
        <v>Jan-2026</v>
      </c>
      <c r="C2351" s="2" t="str">
        <f t="shared" si="73"/>
        <v>Q4</v>
      </c>
      <c r="D2351" s="2" t="s">
        <v>31</v>
      </c>
      <c r="E2351" s="16">
        <v>46052</v>
      </c>
      <c r="F2351" s="2" t="s">
        <v>500</v>
      </c>
      <c r="G2351" s="2" t="s">
        <v>142</v>
      </c>
      <c r="H2351" s="2" t="s">
        <v>55</v>
      </c>
      <c r="I2351" s="19">
        <v>3</v>
      </c>
      <c r="J2351" s="19">
        <v>60</v>
      </c>
      <c r="K2351" s="19">
        <v>186.22</v>
      </c>
      <c r="L2351" s="19">
        <v>11173.199999999999</v>
      </c>
      <c r="M2351" s="19">
        <v>-859.22</v>
      </c>
      <c r="N2351" s="19">
        <v>0</v>
      </c>
      <c r="O2351" s="19">
        <v>1340.8173800000002</v>
      </c>
      <c r="P2351" s="19">
        <v>11654.79738</v>
      </c>
    </row>
    <row r="2352" spans="1:16" ht="15" x14ac:dyDescent="0.2">
      <c r="A2352" s="4" t="s">
        <v>580</v>
      </c>
      <c r="B2352" s="21" t="str">
        <f t="shared" si="72"/>
        <v>Jan-2026</v>
      </c>
      <c r="C2352" s="2" t="str">
        <f t="shared" si="73"/>
        <v>Q4</v>
      </c>
      <c r="D2352" s="2" t="s">
        <v>31</v>
      </c>
      <c r="E2352" s="16">
        <v>46052</v>
      </c>
      <c r="F2352" s="2" t="s">
        <v>500</v>
      </c>
      <c r="G2352" s="2" t="s">
        <v>142</v>
      </c>
      <c r="H2352" s="2" t="s">
        <v>89</v>
      </c>
      <c r="I2352" s="19">
        <v>20</v>
      </c>
      <c r="J2352" s="19">
        <v>1400</v>
      </c>
      <c r="K2352" s="19">
        <v>37.25</v>
      </c>
      <c r="L2352" s="19">
        <v>52150</v>
      </c>
      <c r="M2352" s="19">
        <v>-4010.3399999999997</v>
      </c>
      <c r="N2352" s="19">
        <v>0</v>
      </c>
      <c r="O2352" s="19">
        <v>6258.1557060000005</v>
      </c>
      <c r="P2352" s="19">
        <v>54397.815706000001</v>
      </c>
    </row>
    <row r="2353" spans="1:16" ht="15" x14ac:dyDescent="0.2">
      <c r="A2353" s="4" t="s">
        <v>583</v>
      </c>
      <c r="B2353" s="21" t="str">
        <f t="shared" si="72"/>
        <v>Jan-2026</v>
      </c>
      <c r="C2353" s="2" t="str">
        <f t="shared" si="73"/>
        <v>Q4</v>
      </c>
      <c r="D2353" s="2" t="s">
        <v>31</v>
      </c>
      <c r="E2353" s="16">
        <v>46052</v>
      </c>
      <c r="F2353" s="2" t="s">
        <v>500</v>
      </c>
      <c r="G2353" s="2" t="s">
        <v>142</v>
      </c>
      <c r="H2353" s="2" t="s">
        <v>109</v>
      </c>
      <c r="I2353" s="19">
        <v>10</v>
      </c>
      <c r="J2353" s="19">
        <v>150</v>
      </c>
      <c r="K2353" s="19">
        <v>260.72000000000003</v>
      </c>
      <c r="L2353" s="19">
        <v>39108</v>
      </c>
      <c r="M2353" s="19">
        <v>-3007.4100000000003</v>
      </c>
      <c r="N2353" s="19">
        <v>0</v>
      </c>
      <c r="O2353" s="19">
        <v>4693.0766300000005</v>
      </c>
      <c r="P2353" s="19">
        <v>40793.66663</v>
      </c>
    </row>
    <row r="2354" spans="1:16" ht="15" x14ac:dyDescent="0.2">
      <c r="A2354" s="4" t="s">
        <v>576</v>
      </c>
      <c r="B2354" s="21" t="str">
        <f t="shared" si="72"/>
        <v>Jan-2026</v>
      </c>
      <c r="C2354" s="2" t="str">
        <f t="shared" si="73"/>
        <v>Q4</v>
      </c>
      <c r="D2354" s="2" t="s">
        <v>31</v>
      </c>
      <c r="E2354" s="16">
        <v>46052</v>
      </c>
      <c r="F2354" s="2" t="s">
        <v>500</v>
      </c>
      <c r="G2354" s="2" t="s">
        <v>142</v>
      </c>
      <c r="H2354" s="2" t="s">
        <v>124</v>
      </c>
      <c r="I2354" s="19">
        <v>4</v>
      </c>
      <c r="J2354" s="19">
        <v>80</v>
      </c>
      <c r="K2354" s="19">
        <v>175.05</v>
      </c>
      <c r="L2354" s="19">
        <v>14003.999999999998</v>
      </c>
      <c r="M2354" s="19">
        <v>-1076.9100000000001</v>
      </c>
      <c r="N2354" s="19">
        <v>0</v>
      </c>
      <c r="O2354" s="19">
        <v>1680.521675</v>
      </c>
      <c r="P2354" s="19">
        <v>14607.611675</v>
      </c>
    </row>
    <row r="2355" spans="1:16" ht="15" x14ac:dyDescent="0.2">
      <c r="A2355" s="4" t="s">
        <v>581</v>
      </c>
      <c r="B2355" s="21" t="str">
        <f t="shared" si="72"/>
        <v>Jan-2026</v>
      </c>
      <c r="C2355" s="2" t="str">
        <f t="shared" si="73"/>
        <v>Q4</v>
      </c>
      <c r="D2355" s="2" t="s">
        <v>31</v>
      </c>
      <c r="E2355" s="16">
        <v>46052</v>
      </c>
      <c r="F2355" s="2" t="s">
        <v>500</v>
      </c>
      <c r="G2355" s="2" t="s">
        <v>142</v>
      </c>
      <c r="H2355" s="2" t="s">
        <v>104</v>
      </c>
      <c r="I2355" s="19">
        <v>1</v>
      </c>
      <c r="J2355" s="19">
        <v>40</v>
      </c>
      <c r="K2355" s="19">
        <v>74.5</v>
      </c>
      <c r="L2355" s="19">
        <v>2980</v>
      </c>
      <c r="M2355" s="19">
        <v>-229.16</v>
      </c>
      <c r="N2355" s="19">
        <v>0</v>
      </c>
      <c r="O2355" s="19">
        <v>357.609195</v>
      </c>
      <c r="P2355" s="19">
        <v>3108.4491950000001</v>
      </c>
    </row>
    <row r="2356" spans="1:16" ht="15" x14ac:dyDescent="0.2">
      <c r="A2356" s="4" t="s">
        <v>583</v>
      </c>
      <c r="B2356" s="21" t="str">
        <f t="shared" si="72"/>
        <v>Jan-2026</v>
      </c>
      <c r="C2356" s="2" t="str">
        <f t="shared" si="73"/>
        <v>Q4</v>
      </c>
      <c r="D2356" s="2" t="s">
        <v>31</v>
      </c>
      <c r="E2356" s="16">
        <v>46052</v>
      </c>
      <c r="F2356" s="2" t="s">
        <v>500</v>
      </c>
      <c r="G2356" s="2" t="s">
        <v>142</v>
      </c>
      <c r="H2356" s="2" t="s">
        <v>113</v>
      </c>
      <c r="I2356" s="19">
        <v>10</v>
      </c>
      <c r="J2356" s="19">
        <v>150</v>
      </c>
      <c r="K2356" s="19">
        <v>260.72000000000003</v>
      </c>
      <c r="L2356" s="19">
        <v>39108</v>
      </c>
      <c r="M2356" s="19">
        <v>-3007.4100000000003</v>
      </c>
      <c r="N2356" s="19">
        <v>0</v>
      </c>
      <c r="O2356" s="19">
        <v>4693.0766300000005</v>
      </c>
      <c r="P2356" s="19">
        <v>40793.66663</v>
      </c>
    </row>
    <row r="2357" spans="1:16" ht="15" x14ac:dyDescent="0.2">
      <c r="A2357" s="4" t="s">
        <v>573</v>
      </c>
      <c r="B2357" s="21" t="str">
        <f t="shared" si="72"/>
        <v>Jan-2026</v>
      </c>
      <c r="C2357" s="2" t="str">
        <f t="shared" si="73"/>
        <v>Q4</v>
      </c>
      <c r="D2357" s="2" t="s">
        <v>31</v>
      </c>
      <c r="E2357" s="16">
        <v>46052</v>
      </c>
      <c r="F2357" s="2" t="s">
        <v>500</v>
      </c>
      <c r="G2357" s="2" t="s">
        <v>142</v>
      </c>
      <c r="H2357" s="2" t="s">
        <v>136</v>
      </c>
      <c r="I2357" s="19">
        <v>5</v>
      </c>
      <c r="J2357" s="19">
        <v>200</v>
      </c>
      <c r="K2357" s="19">
        <v>111.74</v>
      </c>
      <c r="L2357" s="19">
        <v>22348</v>
      </c>
      <c r="M2357" s="19">
        <v>-1718.56</v>
      </c>
      <c r="N2357" s="19">
        <v>0</v>
      </c>
      <c r="O2357" s="19">
        <v>2681.8271600000003</v>
      </c>
      <c r="P2357" s="19">
        <v>23311.267159999999</v>
      </c>
    </row>
    <row r="2358" spans="1:16" ht="15" x14ac:dyDescent="0.2">
      <c r="A2358" s="4" t="s">
        <v>581</v>
      </c>
      <c r="B2358" s="21" t="str">
        <f t="shared" si="72"/>
        <v>Jan-2026</v>
      </c>
      <c r="C2358" s="2" t="str">
        <f t="shared" si="73"/>
        <v>Q4</v>
      </c>
      <c r="D2358" s="2" t="s">
        <v>31</v>
      </c>
      <c r="E2358" s="16">
        <v>46052</v>
      </c>
      <c r="F2358" s="2" t="s">
        <v>500</v>
      </c>
      <c r="G2358" s="2" t="s">
        <v>142</v>
      </c>
      <c r="H2358" s="2" t="s">
        <v>125</v>
      </c>
      <c r="I2358" s="19">
        <v>1</v>
      </c>
      <c r="J2358" s="19">
        <v>800</v>
      </c>
      <c r="K2358" s="19">
        <v>7.46</v>
      </c>
      <c r="L2358" s="19">
        <v>5968</v>
      </c>
      <c r="M2358" s="19">
        <v>-458.94</v>
      </c>
      <c r="N2358" s="19">
        <v>0</v>
      </c>
      <c r="O2358" s="19">
        <v>716.17778899999996</v>
      </c>
      <c r="P2358" s="19">
        <v>6225.2377889999998</v>
      </c>
    </row>
    <row r="2359" spans="1:16" ht="15" x14ac:dyDescent="0.2">
      <c r="A2359" s="4" t="s">
        <v>592</v>
      </c>
      <c r="B2359" s="21" t="str">
        <f t="shared" si="72"/>
        <v>Jan-2026</v>
      </c>
      <c r="C2359" s="2" t="str">
        <f t="shared" si="73"/>
        <v>Q4</v>
      </c>
      <c r="D2359" s="2" t="s">
        <v>31</v>
      </c>
      <c r="E2359" s="16">
        <v>46052</v>
      </c>
      <c r="F2359" s="2" t="s">
        <v>500</v>
      </c>
      <c r="G2359" s="2" t="s">
        <v>142</v>
      </c>
      <c r="H2359" s="2" t="s">
        <v>115</v>
      </c>
      <c r="I2359" s="19">
        <v>3</v>
      </c>
      <c r="J2359" s="19">
        <v>150</v>
      </c>
      <c r="K2359" s="19">
        <v>89.39</v>
      </c>
      <c r="L2359" s="19">
        <v>13408.500000000002</v>
      </c>
      <c r="M2359" s="19">
        <v>-1031.1100000000001</v>
      </c>
      <c r="N2359" s="19">
        <v>0</v>
      </c>
      <c r="O2359" s="19">
        <v>1609.0606760000001</v>
      </c>
      <c r="P2359" s="19">
        <v>13986.450676</v>
      </c>
    </row>
    <row r="2360" spans="1:16" ht="15" x14ac:dyDescent="0.2">
      <c r="A2360" s="4" t="s">
        <v>575</v>
      </c>
      <c r="B2360" s="21" t="str">
        <f t="shared" si="72"/>
        <v>Jan-2026</v>
      </c>
      <c r="C2360" s="2" t="str">
        <f t="shared" si="73"/>
        <v>Q4</v>
      </c>
      <c r="D2360" s="2" t="s">
        <v>31</v>
      </c>
      <c r="E2360" s="16">
        <v>46052</v>
      </c>
      <c r="F2360" s="2" t="s">
        <v>501</v>
      </c>
      <c r="G2360" s="2" t="s">
        <v>380</v>
      </c>
      <c r="H2360" s="2" t="s">
        <v>55</v>
      </c>
      <c r="I2360" s="19">
        <v>3</v>
      </c>
      <c r="J2360" s="19">
        <v>60</v>
      </c>
      <c r="K2360" s="19">
        <v>186.22</v>
      </c>
      <c r="L2360" s="19">
        <v>11173.199999999999</v>
      </c>
      <c r="M2360" s="19">
        <v>-859.22</v>
      </c>
      <c r="N2360" s="19">
        <v>0</v>
      </c>
      <c r="O2360" s="19">
        <v>1340.8176000000001</v>
      </c>
      <c r="P2360" s="19">
        <v>11654.7976</v>
      </c>
    </row>
    <row r="2361" spans="1:16" ht="15" x14ac:dyDescent="0.2">
      <c r="A2361" s="4" t="s">
        <v>581</v>
      </c>
      <c r="B2361" s="21" t="str">
        <f t="shared" si="72"/>
        <v>Jan-2026</v>
      </c>
      <c r="C2361" s="2" t="str">
        <f t="shared" si="73"/>
        <v>Q4</v>
      </c>
      <c r="D2361" s="2" t="s">
        <v>31</v>
      </c>
      <c r="E2361" s="16">
        <v>46052</v>
      </c>
      <c r="F2361" s="2" t="s">
        <v>501</v>
      </c>
      <c r="G2361" s="2" t="s">
        <v>380</v>
      </c>
      <c r="H2361" s="2" t="s">
        <v>104</v>
      </c>
      <c r="I2361" s="19">
        <v>1</v>
      </c>
      <c r="J2361" s="19">
        <v>40</v>
      </c>
      <c r="K2361" s="19">
        <v>74.5</v>
      </c>
      <c r="L2361" s="19">
        <v>2980</v>
      </c>
      <c r="M2361" s="19">
        <v>-229.16</v>
      </c>
      <c r="N2361" s="19">
        <v>0</v>
      </c>
      <c r="O2361" s="19">
        <v>357.60925299999997</v>
      </c>
      <c r="P2361" s="19">
        <v>3108.4492530000002</v>
      </c>
    </row>
    <row r="2362" spans="1:16" ht="15" x14ac:dyDescent="0.2">
      <c r="A2362" s="4" t="s">
        <v>584</v>
      </c>
      <c r="B2362" s="21" t="str">
        <f t="shared" si="72"/>
        <v>Jan-2026</v>
      </c>
      <c r="C2362" s="2" t="str">
        <f t="shared" si="73"/>
        <v>Q4</v>
      </c>
      <c r="D2362" s="2" t="s">
        <v>31</v>
      </c>
      <c r="E2362" s="16">
        <v>46052</v>
      </c>
      <c r="F2362" s="2" t="s">
        <v>501</v>
      </c>
      <c r="G2362" s="2" t="s">
        <v>380</v>
      </c>
      <c r="H2362" s="2" t="s">
        <v>120</v>
      </c>
      <c r="I2362" s="19">
        <v>2</v>
      </c>
      <c r="J2362" s="19">
        <v>80</v>
      </c>
      <c r="K2362" s="19">
        <v>81.94</v>
      </c>
      <c r="L2362" s="19">
        <v>6555.2</v>
      </c>
      <c r="M2362" s="19">
        <v>-504.09</v>
      </c>
      <c r="N2362" s="19">
        <v>0</v>
      </c>
      <c r="O2362" s="19">
        <v>786.64441700000009</v>
      </c>
      <c r="P2362" s="19">
        <v>6837.7544170000001</v>
      </c>
    </row>
    <row r="2363" spans="1:16" ht="15" x14ac:dyDescent="0.2">
      <c r="A2363" s="4" t="s">
        <v>581</v>
      </c>
      <c r="B2363" s="21" t="str">
        <f t="shared" si="72"/>
        <v>Jan-2026</v>
      </c>
      <c r="C2363" s="2" t="str">
        <f t="shared" si="73"/>
        <v>Q4</v>
      </c>
      <c r="D2363" s="2" t="s">
        <v>31</v>
      </c>
      <c r="E2363" s="16">
        <v>46052</v>
      </c>
      <c r="F2363" s="2" t="s">
        <v>501</v>
      </c>
      <c r="G2363" s="2" t="s">
        <v>380</v>
      </c>
      <c r="H2363" s="2" t="s">
        <v>97</v>
      </c>
      <c r="I2363" s="19">
        <v>1</v>
      </c>
      <c r="J2363" s="19">
        <v>40</v>
      </c>
      <c r="K2363" s="19">
        <v>74.5</v>
      </c>
      <c r="L2363" s="19">
        <v>2980</v>
      </c>
      <c r="M2363" s="19">
        <v>-229.16</v>
      </c>
      <c r="N2363" s="19">
        <v>0</v>
      </c>
      <c r="O2363" s="19">
        <v>357.60925299999997</v>
      </c>
      <c r="P2363" s="19">
        <v>3108.4492530000002</v>
      </c>
    </row>
    <row r="2364" spans="1:16" ht="15" x14ac:dyDescent="0.2">
      <c r="A2364" s="4" t="s">
        <v>581</v>
      </c>
      <c r="B2364" s="21" t="str">
        <f t="shared" si="72"/>
        <v>Jan-2026</v>
      </c>
      <c r="C2364" s="2" t="str">
        <f t="shared" si="73"/>
        <v>Q4</v>
      </c>
      <c r="D2364" s="2" t="s">
        <v>31</v>
      </c>
      <c r="E2364" s="16">
        <v>46052</v>
      </c>
      <c r="F2364" s="2" t="s">
        <v>501</v>
      </c>
      <c r="G2364" s="2" t="s">
        <v>380</v>
      </c>
      <c r="H2364" s="2" t="s">
        <v>125</v>
      </c>
      <c r="I2364" s="19">
        <v>1</v>
      </c>
      <c r="J2364" s="19">
        <v>800</v>
      </c>
      <c r="K2364" s="19">
        <v>7.46</v>
      </c>
      <c r="L2364" s="19">
        <v>5968</v>
      </c>
      <c r="M2364" s="19">
        <v>-458.94</v>
      </c>
      <c r="N2364" s="19">
        <v>0</v>
      </c>
      <c r="O2364" s="19">
        <v>716.177907</v>
      </c>
      <c r="P2364" s="19">
        <v>6225.2379069999997</v>
      </c>
    </row>
    <row r="2365" spans="1:16" ht="15" x14ac:dyDescent="0.2">
      <c r="A2365" s="4" t="s">
        <v>593</v>
      </c>
      <c r="B2365" s="21" t="str">
        <f t="shared" si="72"/>
        <v>Jan-2026</v>
      </c>
      <c r="C2365" s="2" t="str">
        <f t="shared" si="73"/>
        <v>Q4</v>
      </c>
      <c r="D2365" s="2" t="s">
        <v>31</v>
      </c>
      <c r="E2365" s="16">
        <v>46052</v>
      </c>
      <c r="F2365" s="2" t="s">
        <v>501</v>
      </c>
      <c r="G2365" s="2" t="s">
        <v>380</v>
      </c>
      <c r="H2365" s="2" t="s">
        <v>117</v>
      </c>
      <c r="I2365" s="19">
        <v>5</v>
      </c>
      <c r="J2365" s="19">
        <v>20</v>
      </c>
      <c r="K2365" s="19">
        <v>595.94000000000005</v>
      </c>
      <c r="L2365" s="19">
        <v>11918.8</v>
      </c>
      <c r="M2365" s="19">
        <v>-916.56</v>
      </c>
      <c r="N2365" s="19">
        <v>0</v>
      </c>
      <c r="O2365" s="19">
        <v>1430.2914130000001</v>
      </c>
      <c r="P2365" s="19">
        <v>12432.531413000001</v>
      </c>
    </row>
    <row r="2366" spans="1:16" ht="15" x14ac:dyDescent="0.2">
      <c r="A2366" s="4" t="s">
        <v>579</v>
      </c>
      <c r="B2366" s="21" t="str">
        <f t="shared" si="72"/>
        <v>Jan-2026</v>
      </c>
      <c r="C2366" s="2" t="str">
        <f t="shared" si="73"/>
        <v>Q4</v>
      </c>
      <c r="D2366" s="2" t="s">
        <v>31</v>
      </c>
      <c r="E2366" s="16">
        <v>46052</v>
      </c>
      <c r="F2366" s="2" t="s">
        <v>501</v>
      </c>
      <c r="G2366" s="2" t="s">
        <v>380</v>
      </c>
      <c r="H2366" s="2" t="s">
        <v>92</v>
      </c>
      <c r="I2366" s="19">
        <v>1</v>
      </c>
      <c r="J2366" s="19">
        <v>20</v>
      </c>
      <c r="K2366" s="19">
        <v>242.1</v>
      </c>
      <c r="L2366" s="19">
        <v>4841.9999999999991</v>
      </c>
      <c r="M2366" s="19">
        <v>-372.35</v>
      </c>
      <c r="N2366" s="19">
        <v>0</v>
      </c>
      <c r="O2366" s="19">
        <v>581.05458699999997</v>
      </c>
      <c r="P2366" s="19">
        <v>5050.7045870000002</v>
      </c>
    </row>
    <row r="2367" spans="1:16" ht="15" x14ac:dyDescent="0.2">
      <c r="A2367" s="4" t="s">
        <v>584</v>
      </c>
      <c r="B2367" s="21" t="str">
        <f t="shared" si="72"/>
        <v>Jan-2026</v>
      </c>
      <c r="C2367" s="2" t="str">
        <f t="shared" si="73"/>
        <v>Q4</v>
      </c>
      <c r="D2367" s="2" t="s">
        <v>31</v>
      </c>
      <c r="E2367" s="16">
        <v>46052</v>
      </c>
      <c r="F2367" s="2" t="s">
        <v>501</v>
      </c>
      <c r="G2367" s="2" t="s">
        <v>380</v>
      </c>
      <c r="H2367" s="2" t="s">
        <v>99</v>
      </c>
      <c r="I2367" s="19">
        <v>2</v>
      </c>
      <c r="J2367" s="19">
        <v>80</v>
      </c>
      <c r="K2367" s="19">
        <v>81.94</v>
      </c>
      <c r="L2367" s="19">
        <v>6555.2</v>
      </c>
      <c r="M2367" s="19">
        <v>-504.09</v>
      </c>
      <c r="N2367" s="19">
        <v>0</v>
      </c>
      <c r="O2367" s="19">
        <v>786.64441700000009</v>
      </c>
      <c r="P2367" s="19">
        <v>6837.7544170000001</v>
      </c>
    </row>
    <row r="2368" spans="1:16" ht="15" x14ac:dyDescent="0.2">
      <c r="A2368" s="4" t="s">
        <v>581</v>
      </c>
      <c r="B2368" s="21" t="str">
        <f t="shared" si="72"/>
        <v>Jan-2026</v>
      </c>
      <c r="C2368" s="2" t="str">
        <f t="shared" si="73"/>
        <v>Q4</v>
      </c>
      <c r="D2368" s="2" t="s">
        <v>31</v>
      </c>
      <c r="E2368" s="16">
        <v>46052</v>
      </c>
      <c r="F2368" s="2" t="s">
        <v>501</v>
      </c>
      <c r="G2368" s="2" t="s">
        <v>380</v>
      </c>
      <c r="H2368" s="2" t="s">
        <v>96</v>
      </c>
      <c r="I2368" s="19">
        <v>1</v>
      </c>
      <c r="J2368" s="19">
        <v>40</v>
      </c>
      <c r="K2368" s="19">
        <v>74.489999999999995</v>
      </c>
      <c r="L2368" s="19">
        <v>2979.6</v>
      </c>
      <c r="M2368" s="19">
        <v>-229.13</v>
      </c>
      <c r="N2368" s="19">
        <v>0</v>
      </c>
      <c r="O2368" s="19">
        <v>357.56115299999999</v>
      </c>
      <c r="P2368" s="19">
        <v>3108.0311529999999</v>
      </c>
    </row>
    <row r="2369" spans="1:16" ht="15" x14ac:dyDescent="0.2">
      <c r="A2369" s="4" t="s">
        <v>579</v>
      </c>
      <c r="B2369" s="21" t="str">
        <f t="shared" si="72"/>
        <v>Jan-2026</v>
      </c>
      <c r="C2369" s="2" t="str">
        <f t="shared" si="73"/>
        <v>Q4</v>
      </c>
      <c r="D2369" s="2" t="s">
        <v>31</v>
      </c>
      <c r="E2369" s="16">
        <v>46052</v>
      </c>
      <c r="F2369" s="2" t="s">
        <v>502</v>
      </c>
      <c r="G2369" s="2" t="s">
        <v>88</v>
      </c>
      <c r="H2369" s="2" t="s">
        <v>92</v>
      </c>
      <c r="I2369" s="19">
        <v>20</v>
      </c>
      <c r="J2369" s="19">
        <v>400</v>
      </c>
      <c r="K2369" s="19">
        <v>242.1</v>
      </c>
      <c r="L2369" s="19">
        <v>96840</v>
      </c>
      <c r="M2369" s="19">
        <v>-7447</v>
      </c>
      <c r="N2369" s="19">
        <v>0</v>
      </c>
      <c r="O2369" s="19">
        <v>11621.09</v>
      </c>
      <c r="P2369" s="19">
        <v>101014.09</v>
      </c>
    </row>
    <row r="2370" spans="1:16" ht="15" x14ac:dyDescent="0.2">
      <c r="A2370" s="4" t="s">
        <v>579</v>
      </c>
      <c r="B2370" s="21" t="str">
        <f t="shared" si="72"/>
        <v>Jan-2026</v>
      </c>
      <c r="C2370" s="2" t="str">
        <f t="shared" si="73"/>
        <v>Q4</v>
      </c>
      <c r="D2370" s="2" t="s">
        <v>31</v>
      </c>
      <c r="E2370" s="16">
        <v>46052</v>
      </c>
      <c r="F2370" s="2" t="s">
        <v>503</v>
      </c>
      <c r="G2370" s="2" t="s">
        <v>12</v>
      </c>
      <c r="H2370" s="2" t="s">
        <v>90</v>
      </c>
      <c r="I2370" s="19">
        <v>2</v>
      </c>
      <c r="J2370" s="19">
        <v>40</v>
      </c>
      <c r="K2370" s="19">
        <v>204.85</v>
      </c>
      <c r="L2370" s="19">
        <v>8194</v>
      </c>
      <c r="M2370" s="19">
        <v>-630.12</v>
      </c>
      <c r="N2370" s="19">
        <v>0</v>
      </c>
      <c r="O2370" s="19">
        <v>983.30450800000006</v>
      </c>
      <c r="P2370" s="19">
        <v>8547.1845080000003</v>
      </c>
    </row>
    <row r="2371" spans="1:16" ht="15" x14ac:dyDescent="0.2">
      <c r="A2371" s="4" t="s">
        <v>583</v>
      </c>
      <c r="B2371" s="21" t="str">
        <f t="shared" ref="B2371:B2434" si="74">+TEXT(E2371,"MMM-yyy")</f>
        <v>Jan-2026</v>
      </c>
      <c r="C2371" s="2" t="str">
        <f t="shared" ref="C2371:C2434" si="75">"Q" &amp; CHOOSE(MONTH(E2371),4,4,4,1,1,1,2,2,2,3,3,3)</f>
        <v>Q4</v>
      </c>
      <c r="D2371" s="2" t="s">
        <v>31</v>
      </c>
      <c r="E2371" s="16">
        <v>46052</v>
      </c>
      <c r="F2371" s="2" t="s">
        <v>503</v>
      </c>
      <c r="G2371" s="2" t="s">
        <v>12</v>
      </c>
      <c r="H2371" s="2" t="s">
        <v>113</v>
      </c>
      <c r="I2371" s="19">
        <v>5</v>
      </c>
      <c r="J2371" s="19">
        <v>75</v>
      </c>
      <c r="K2371" s="19">
        <v>260.72000000000003</v>
      </c>
      <c r="L2371" s="19">
        <v>19554</v>
      </c>
      <c r="M2371" s="19">
        <v>-1503.6999999999998</v>
      </c>
      <c r="N2371" s="19">
        <v>0</v>
      </c>
      <c r="O2371" s="19">
        <v>2346.5392569999999</v>
      </c>
      <c r="P2371" s="19">
        <v>20396.839257</v>
      </c>
    </row>
    <row r="2372" spans="1:16" ht="15" x14ac:dyDescent="0.2">
      <c r="A2372" s="4" t="s">
        <v>581</v>
      </c>
      <c r="B2372" s="21" t="str">
        <f t="shared" si="74"/>
        <v>Jan-2026</v>
      </c>
      <c r="C2372" s="2" t="str">
        <f t="shared" si="75"/>
        <v>Q4</v>
      </c>
      <c r="D2372" s="2" t="s">
        <v>31</v>
      </c>
      <c r="E2372" s="16">
        <v>46052</v>
      </c>
      <c r="F2372" s="2" t="s">
        <v>503</v>
      </c>
      <c r="G2372" s="2" t="s">
        <v>12</v>
      </c>
      <c r="H2372" s="2" t="s">
        <v>125</v>
      </c>
      <c r="I2372" s="19">
        <v>1</v>
      </c>
      <c r="J2372" s="19">
        <v>800</v>
      </c>
      <c r="K2372" s="19">
        <v>7.46</v>
      </c>
      <c r="L2372" s="19">
        <v>5968</v>
      </c>
      <c r="M2372" s="19">
        <v>-458.94</v>
      </c>
      <c r="N2372" s="19">
        <v>0</v>
      </c>
      <c r="O2372" s="19">
        <v>716.17787800000008</v>
      </c>
      <c r="P2372" s="19">
        <v>6225.2378779999999</v>
      </c>
    </row>
    <row r="2373" spans="1:16" ht="15" x14ac:dyDescent="0.2">
      <c r="A2373" s="4" t="s">
        <v>579</v>
      </c>
      <c r="B2373" s="21" t="str">
        <f t="shared" si="74"/>
        <v>Jan-2026</v>
      </c>
      <c r="C2373" s="2" t="str">
        <f t="shared" si="75"/>
        <v>Q4</v>
      </c>
      <c r="D2373" s="2" t="s">
        <v>31</v>
      </c>
      <c r="E2373" s="16">
        <v>46052</v>
      </c>
      <c r="F2373" s="2" t="s">
        <v>503</v>
      </c>
      <c r="G2373" s="2" t="s">
        <v>12</v>
      </c>
      <c r="H2373" s="2" t="s">
        <v>140</v>
      </c>
      <c r="I2373" s="19">
        <v>1</v>
      </c>
      <c r="J2373" s="19">
        <v>20</v>
      </c>
      <c r="K2373" s="19">
        <v>204.85</v>
      </c>
      <c r="L2373" s="19">
        <v>4097</v>
      </c>
      <c r="M2373" s="19">
        <v>-315.06</v>
      </c>
      <c r="N2373" s="19">
        <v>0</v>
      </c>
      <c r="O2373" s="19">
        <v>491.65225400000003</v>
      </c>
      <c r="P2373" s="19">
        <v>4273.5922540000001</v>
      </c>
    </row>
    <row r="2374" spans="1:16" ht="15" x14ac:dyDescent="0.2">
      <c r="A2374" s="4" t="s">
        <v>579</v>
      </c>
      <c r="B2374" s="21" t="str">
        <f t="shared" si="74"/>
        <v>Jan-2026</v>
      </c>
      <c r="C2374" s="2" t="str">
        <f t="shared" si="75"/>
        <v>Q4</v>
      </c>
      <c r="D2374" s="2" t="s">
        <v>31</v>
      </c>
      <c r="E2374" s="16">
        <v>46052</v>
      </c>
      <c r="F2374" s="2" t="s">
        <v>503</v>
      </c>
      <c r="G2374" s="2" t="s">
        <v>12</v>
      </c>
      <c r="H2374" s="2" t="s">
        <v>112</v>
      </c>
      <c r="I2374" s="19">
        <v>2</v>
      </c>
      <c r="J2374" s="19">
        <v>40</v>
      </c>
      <c r="K2374" s="19">
        <v>204.85</v>
      </c>
      <c r="L2374" s="19">
        <v>8194</v>
      </c>
      <c r="M2374" s="19">
        <v>-630.12</v>
      </c>
      <c r="N2374" s="19">
        <v>0</v>
      </c>
      <c r="O2374" s="19">
        <v>983.30450800000006</v>
      </c>
      <c r="P2374" s="19">
        <v>8547.1845080000003</v>
      </c>
    </row>
    <row r="2375" spans="1:16" ht="15" x14ac:dyDescent="0.2">
      <c r="A2375" s="4" t="s">
        <v>593</v>
      </c>
      <c r="B2375" s="21" t="str">
        <f t="shared" si="74"/>
        <v>Jan-2026</v>
      </c>
      <c r="C2375" s="2" t="str">
        <f t="shared" si="75"/>
        <v>Q4</v>
      </c>
      <c r="D2375" s="2" t="s">
        <v>31</v>
      </c>
      <c r="E2375" s="16">
        <v>46052</v>
      </c>
      <c r="F2375" s="2" t="s">
        <v>503</v>
      </c>
      <c r="G2375" s="2" t="s">
        <v>12</v>
      </c>
      <c r="H2375" s="2" t="s">
        <v>117</v>
      </c>
      <c r="I2375" s="19">
        <v>25</v>
      </c>
      <c r="J2375" s="19">
        <v>100</v>
      </c>
      <c r="K2375" s="19">
        <v>595.94000000000005</v>
      </c>
      <c r="L2375" s="19">
        <v>59594</v>
      </c>
      <c r="M2375" s="19">
        <v>-4582.78</v>
      </c>
      <c r="N2375" s="19">
        <v>0</v>
      </c>
      <c r="O2375" s="19">
        <v>7151.4593829999994</v>
      </c>
      <c r="P2375" s="19">
        <v>62162.679383000002</v>
      </c>
    </row>
    <row r="2376" spans="1:16" ht="15" x14ac:dyDescent="0.2">
      <c r="A2376" s="4" t="s">
        <v>581</v>
      </c>
      <c r="B2376" s="21" t="str">
        <f t="shared" si="74"/>
        <v>Jan-2026</v>
      </c>
      <c r="C2376" s="2" t="str">
        <f t="shared" si="75"/>
        <v>Q4</v>
      </c>
      <c r="D2376" s="2" t="s">
        <v>31</v>
      </c>
      <c r="E2376" s="16">
        <v>46052</v>
      </c>
      <c r="F2376" s="2" t="s">
        <v>503</v>
      </c>
      <c r="G2376" s="2" t="s">
        <v>12</v>
      </c>
      <c r="H2376" s="2" t="s">
        <v>96</v>
      </c>
      <c r="I2376" s="19">
        <v>4</v>
      </c>
      <c r="J2376" s="19">
        <v>160</v>
      </c>
      <c r="K2376" s="19">
        <v>74.489999999999995</v>
      </c>
      <c r="L2376" s="19">
        <v>11918.4</v>
      </c>
      <c r="M2376" s="19">
        <v>-916.52</v>
      </c>
      <c r="N2376" s="19">
        <v>0</v>
      </c>
      <c r="O2376" s="19">
        <v>1430.244557</v>
      </c>
      <c r="P2376" s="19">
        <v>12432.124556999999</v>
      </c>
    </row>
    <row r="2377" spans="1:16" ht="15" x14ac:dyDescent="0.2">
      <c r="A2377" s="4" t="s">
        <v>579</v>
      </c>
      <c r="B2377" s="21" t="str">
        <f t="shared" si="74"/>
        <v>Jan-2026</v>
      </c>
      <c r="C2377" s="2" t="str">
        <f t="shared" si="75"/>
        <v>Q4</v>
      </c>
      <c r="D2377" s="2" t="s">
        <v>31</v>
      </c>
      <c r="E2377" s="16">
        <v>46052</v>
      </c>
      <c r="F2377" s="2" t="s">
        <v>503</v>
      </c>
      <c r="G2377" s="2" t="s">
        <v>12</v>
      </c>
      <c r="H2377" s="2" t="s">
        <v>92</v>
      </c>
      <c r="I2377" s="19">
        <v>3</v>
      </c>
      <c r="J2377" s="19">
        <v>60</v>
      </c>
      <c r="K2377" s="19">
        <v>242.1</v>
      </c>
      <c r="L2377" s="19">
        <v>14526</v>
      </c>
      <c r="M2377" s="19">
        <v>-1117.05</v>
      </c>
      <c r="N2377" s="19">
        <v>0</v>
      </c>
      <c r="O2377" s="19">
        <v>1743.163691</v>
      </c>
      <c r="P2377" s="19">
        <v>15152.113691</v>
      </c>
    </row>
    <row r="2378" spans="1:16" ht="15" x14ac:dyDescent="0.2">
      <c r="A2378" s="4" t="s">
        <v>588</v>
      </c>
      <c r="B2378" s="21" t="str">
        <f t="shared" si="74"/>
        <v>Jan-2026</v>
      </c>
      <c r="C2378" s="2" t="str">
        <f t="shared" si="75"/>
        <v>Q4</v>
      </c>
      <c r="D2378" s="2" t="s">
        <v>31</v>
      </c>
      <c r="E2378" s="16">
        <v>46052</v>
      </c>
      <c r="F2378" s="2" t="s">
        <v>503</v>
      </c>
      <c r="G2378" s="2" t="s">
        <v>12</v>
      </c>
      <c r="H2378" s="2" t="s">
        <v>95</v>
      </c>
      <c r="I2378" s="19">
        <v>3</v>
      </c>
      <c r="J2378" s="19">
        <v>180</v>
      </c>
      <c r="K2378" s="19">
        <v>111.74</v>
      </c>
      <c r="L2378" s="19">
        <v>20113.2</v>
      </c>
      <c r="M2378" s="19">
        <v>-1546.71</v>
      </c>
      <c r="N2378" s="19">
        <v>0</v>
      </c>
      <c r="O2378" s="19">
        <v>2413.6439639999999</v>
      </c>
      <c r="P2378" s="19">
        <v>20980.133964000001</v>
      </c>
    </row>
    <row r="2379" spans="1:16" ht="15" x14ac:dyDescent="0.2">
      <c r="A2379" s="4" t="s">
        <v>582</v>
      </c>
      <c r="B2379" s="21" t="str">
        <f t="shared" si="74"/>
        <v>Jan-2026</v>
      </c>
      <c r="C2379" s="2" t="str">
        <f t="shared" si="75"/>
        <v>Q4</v>
      </c>
      <c r="D2379" s="2" t="s">
        <v>31</v>
      </c>
      <c r="E2379" s="16">
        <v>46052</v>
      </c>
      <c r="F2379" s="2" t="s">
        <v>504</v>
      </c>
      <c r="G2379" s="2" t="s">
        <v>505</v>
      </c>
      <c r="H2379" s="2" t="s">
        <v>108</v>
      </c>
      <c r="I2379" s="19">
        <v>1</v>
      </c>
      <c r="J2379" s="19">
        <v>24</v>
      </c>
      <c r="K2379" s="19">
        <v>186.23</v>
      </c>
      <c r="L2379" s="19">
        <v>4469.5200000000004</v>
      </c>
      <c r="M2379" s="19">
        <v>-343.71</v>
      </c>
      <c r="N2379" s="19">
        <v>0</v>
      </c>
      <c r="O2379" s="19">
        <v>536.35528099999999</v>
      </c>
      <c r="P2379" s="19">
        <v>4662.1652809999996</v>
      </c>
    </row>
    <row r="2380" spans="1:16" ht="15" x14ac:dyDescent="0.2">
      <c r="A2380" s="4" t="s">
        <v>584</v>
      </c>
      <c r="B2380" s="21" t="str">
        <f t="shared" si="74"/>
        <v>Jan-2026</v>
      </c>
      <c r="C2380" s="2" t="str">
        <f t="shared" si="75"/>
        <v>Q4</v>
      </c>
      <c r="D2380" s="2" t="s">
        <v>31</v>
      </c>
      <c r="E2380" s="16">
        <v>46052</v>
      </c>
      <c r="F2380" s="2" t="s">
        <v>504</v>
      </c>
      <c r="G2380" s="2" t="s">
        <v>505</v>
      </c>
      <c r="H2380" s="2" t="s">
        <v>120</v>
      </c>
      <c r="I2380" s="19">
        <v>1</v>
      </c>
      <c r="J2380" s="19">
        <v>40</v>
      </c>
      <c r="K2380" s="19">
        <v>81.94</v>
      </c>
      <c r="L2380" s="19">
        <v>3277.6</v>
      </c>
      <c r="M2380" s="19">
        <v>-252.05</v>
      </c>
      <c r="N2380" s="19">
        <v>0</v>
      </c>
      <c r="O2380" s="19">
        <v>393.32148599999999</v>
      </c>
      <c r="P2380" s="19">
        <v>3418.871486</v>
      </c>
    </row>
    <row r="2381" spans="1:16" ht="15" x14ac:dyDescent="0.2">
      <c r="A2381" s="4" t="s">
        <v>584</v>
      </c>
      <c r="B2381" s="21" t="str">
        <f t="shared" si="74"/>
        <v>Jan-2026</v>
      </c>
      <c r="C2381" s="2" t="str">
        <f t="shared" si="75"/>
        <v>Q4</v>
      </c>
      <c r="D2381" s="2" t="s">
        <v>31</v>
      </c>
      <c r="E2381" s="16">
        <v>46052</v>
      </c>
      <c r="F2381" s="2" t="s">
        <v>504</v>
      </c>
      <c r="G2381" s="2" t="s">
        <v>505</v>
      </c>
      <c r="H2381" s="2" t="s">
        <v>99</v>
      </c>
      <c r="I2381" s="19">
        <v>1</v>
      </c>
      <c r="J2381" s="19">
        <v>40</v>
      </c>
      <c r="K2381" s="19">
        <v>81.94</v>
      </c>
      <c r="L2381" s="19">
        <v>3277.6</v>
      </c>
      <c r="M2381" s="19">
        <v>-252.05</v>
      </c>
      <c r="N2381" s="19">
        <v>0</v>
      </c>
      <c r="O2381" s="19">
        <v>393.32148599999999</v>
      </c>
      <c r="P2381" s="19">
        <v>3418.871486</v>
      </c>
    </row>
    <row r="2382" spans="1:16" ht="15" x14ac:dyDescent="0.2">
      <c r="A2382" s="4" t="s">
        <v>575</v>
      </c>
      <c r="B2382" s="21" t="str">
        <f t="shared" si="74"/>
        <v>Jan-2026</v>
      </c>
      <c r="C2382" s="2" t="str">
        <f t="shared" si="75"/>
        <v>Q4</v>
      </c>
      <c r="D2382" s="2" t="s">
        <v>31</v>
      </c>
      <c r="E2382" s="16">
        <v>46052</v>
      </c>
      <c r="F2382" s="2" t="s">
        <v>504</v>
      </c>
      <c r="G2382" s="2" t="s">
        <v>505</v>
      </c>
      <c r="H2382" s="2" t="s">
        <v>55</v>
      </c>
      <c r="I2382" s="19">
        <v>3</v>
      </c>
      <c r="J2382" s="19">
        <v>60</v>
      </c>
      <c r="K2382" s="19">
        <v>186.22</v>
      </c>
      <c r="L2382" s="19">
        <v>11173.199999999999</v>
      </c>
      <c r="M2382" s="19">
        <v>-859.22</v>
      </c>
      <c r="N2382" s="19">
        <v>0</v>
      </c>
      <c r="O2382" s="19">
        <v>1340.8173510000001</v>
      </c>
      <c r="P2382" s="19">
        <v>11654.797350999999</v>
      </c>
    </row>
    <row r="2383" spans="1:16" ht="15" x14ac:dyDescent="0.2">
      <c r="A2383" s="4" t="s">
        <v>589</v>
      </c>
      <c r="B2383" s="21" t="str">
        <f t="shared" si="74"/>
        <v>Jan-2026</v>
      </c>
      <c r="C2383" s="2" t="str">
        <f t="shared" si="75"/>
        <v>Q4</v>
      </c>
      <c r="D2383" s="2" t="s">
        <v>31</v>
      </c>
      <c r="E2383" s="16">
        <v>46052</v>
      </c>
      <c r="F2383" s="2" t="s">
        <v>504</v>
      </c>
      <c r="G2383" s="2" t="s">
        <v>505</v>
      </c>
      <c r="H2383" s="2" t="s">
        <v>98</v>
      </c>
      <c r="I2383" s="19">
        <v>2</v>
      </c>
      <c r="J2383" s="19">
        <v>120</v>
      </c>
      <c r="K2383" s="19">
        <v>145.26</v>
      </c>
      <c r="L2383" s="19">
        <v>17431.2</v>
      </c>
      <c r="M2383" s="19">
        <v>-1340.46</v>
      </c>
      <c r="N2383" s="19">
        <v>0</v>
      </c>
      <c r="O2383" s="19">
        <v>2091.796124</v>
      </c>
      <c r="P2383" s="19">
        <v>18182.536123999998</v>
      </c>
    </row>
    <row r="2384" spans="1:16" ht="15" x14ac:dyDescent="0.2">
      <c r="A2384" s="4" t="s">
        <v>581</v>
      </c>
      <c r="B2384" s="21" t="str">
        <f t="shared" si="74"/>
        <v>Jan-2026</v>
      </c>
      <c r="C2384" s="2" t="str">
        <f t="shared" si="75"/>
        <v>Q4</v>
      </c>
      <c r="D2384" s="2" t="s">
        <v>31</v>
      </c>
      <c r="E2384" s="16">
        <v>46052</v>
      </c>
      <c r="F2384" s="2" t="s">
        <v>504</v>
      </c>
      <c r="G2384" s="2" t="s">
        <v>505</v>
      </c>
      <c r="H2384" s="2" t="s">
        <v>125</v>
      </c>
      <c r="I2384" s="19">
        <v>2</v>
      </c>
      <c r="J2384" s="19">
        <v>1600</v>
      </c>
      <c r="K2384" s="19">
        <v>7.46</v>
      </c>
      <c r="L2384" s="19">
        <v>11936</v>
      </c>
      <c r="M2384" s="19">
        <v>-917.88</v>
      </c>
      <c r="N2384" s="19">
        <v>0</v>
      </c>
      <c r="O2384" s="19">
        <v>1432.355548</v>
      </c>
      <c r="P2384" s="19">
        <v>12450.475548</v>
      </c>
    </row>
    <row r="2385" spans="1:16" ht="15" x14ac:dyDescent="0.2">
      <c r="A2385" s="4" t="s">
        <v>579</v>
      </c>
      <c r="B2385" s="21" t="str">
        <f t="shared" si="74"/>
        <v>Jan-2026</v>
      </c>
      <c r="C2385" s="2" t="str">
        <f t="shared" si="75"/>
        <v>Q4</v>
      </c>
      <c r="D2385" s="2" t="s">
        <v>31</v>
      </c>
      <c r="E2385" s="16">
        <v>46052</v>
      </c>
      <c r="F2385" s="2" t="s">
        <v>504</v>
      </c>
      <c r="G2385" s="2" t="s">
        <v>505</v>
      </c>
      <c r="H2385" s="2" t="s">
        <v>91</v>
      </c>
      <c r="I2385" s="19">
        <v>1</v>
      </c>
      <c r="J2385" s="19">
        <v>20</v>
      </c>
      <c r="K2385" s="19">
        <v>204.85</v>
      </c>
      <c r="L2385" s="19">
        <v>4097</v>
      </c>
      <c r="M2385" s="19">
        <v>-315.06</v>
      </c>
      <c r="N2385" s="19">
        <v>0</v>
      </c>
      <c r="O2385" s="19">
        <v>491.65218199999998</v>
      </c>
      <c r="P2385" s="19">
        <v>4273.5921820000003</v>
      </c>
    </row>
    <row r="2386" spans="1:16" ht="15" x14ac:dyDescent="0.2">
      <c r="A2386" s="4" t="s">
        <v>573</v>
      </c>
      <c r="B2386" s="21" t="str">
        <f t="shared" si="74"/>
        <v>Jan-2026</v>
      </c>
      <c r="C2386" s="2" t="str">
        <f t="shared" si="75"/>
        <v>Q4</v>
      </c>
      <c r="D2386" s="2" t="s">
        <v>31</v>
      </c>
      <c r="E2386" s="16">
        <v>46052</v>
      </c>
      <c r="F2386" s="2" t="s">
        <v>504</v>
      </c>
      <c r="G2386" s="2" t="s">
        <v>505</v>
      </c>
      <c r="H2386" s="2" t="s">
        <v>136</v>
      </c>
      <c r="I2386" s="19">
        <v>2</v>
      </c>
      <c r="J2386" s="19">
        <v>80</v>
      </c>
      <c r="K2386" s="19">
        <v>111.74</v>
      </c>
      <c r="L2386" s="19">
        <v>8939.2000000000007</v>
      </c>
      <c r="M2386" s="19">
        <v>-687.42</v>
      </c>
      <c r="N2386" s="19">
        <v>0</v>
      </c>
      <c r="O2386" s="19">
        <v>1072.7313610000001</v>
      </c>
      <c r="P2386" s="19">
        <v>9324.5113610000008</v>
      </c>
    </row>
    <row r="2387" spans="1:16" ht="15" x14ac:dyDescent="0.2">
      <c r="A2387" s="4" t="s">
        <v>579</v>
      </c>
      <c r="B2387" s="21" t="str">
        <f t="shared" si="74"/>
        <v>Jan-2026</v>
      </c>
      <c r="C2387" s="2" t="str">
        <f t="shared" si="75"/>
        <v>Q4</v>
      </c>
      <c r="D2387" s="2" t="s">
        <v>31</v>
      </c>
      <c r="E2387" s="16">
        <v>46052</v>
      </c>
      <c r="F2387" s="2" t="s">
        <v>504</v>
      </c>
      <c r="G2387" s="2" t="s">
        <v>505</v>
      </c>
      <c r="H2387" s="2" t="s">
        <v>90</v>
      </c>
      <c r="I2387" s="19">
        <v>1</v>
      </c>
      <c r="J2387" s="19">
        <v>20</v>
      </c>
      <c r="K2387" s="19">
        <v>204.85</v>
      </c>
      <c r="L2387" s="19">
        <v>4097</v>
      </c>
      <c r="M2387" s="19">
        <v>-315.06</v>
      </c>
      <c r="N2387" s="19">
        <v>0</v>
      </c>
      <c r="O2387" s="19">
        <v>491.65218199999998</v>
      </c>
      <c r="P2387" s="19">
        <v>4273.5921820000003</v>
      </c>
    </row>
    <row r="2388" spans="1:16" ht="15" x14ac:dyDescent="0.2">
      <c r="A2388" s="4" t="s">
        <v>581</v>
      </c>
      <c r="B2388" s="21" t="str">
        <f t="shared" si="74"/>
        <v>Jan-2026</v>
      </c>
      <c r="C2388" s="2" t="str">
        <f t="shared" si="75"/>
        <v>Q4</v>
      </c>
      <c r="D2388" s="2" t="s">
        <v>31</v>
      </c>
      <c r="E2388" s="16">
        <v>46052</v>
      </c>
      <c r="F2388" s="2" t="s">
        <v>504</v>
      </c>
      <c r="G2388" s="2" t="s">
        <v>505</v>
      </c>
      <c r="H2388" s="2" t="s">
        <v>96</v>
      </c>
      <c r="I2388" s="19">
        <v>2</v>
      </c>
      <c r="J2388" s="19">
        <v>80</v>
      </c>
      <c r="K2388" s="19">
        <v>74.489999999999995</v>
      </c>
      <c r="L2388" s="19">
        <v>5959.2</v>
      </c>
      <c r="M2388" s="19">
        <v>-458.26</v>
      </c>
      <c r="N2388" s="19">
        <v>0</v>
      </c>
      <c r="O2388" s="19">
        <v>715.12217399999997</v>
      </c>
      <c r="P2388" s="19">
        <v>6216.0621739999997</v>
      </c>
    </row>
    <row r="2389" spans="1:16" ht="15" x14ac:dyDescent="0.2">
      <c r="A2389" s="4" t="s">
        <v>581</v>
      </c>
      <c r="B2389" s="21" t="str">
        <f t="shared" si="74"/>
        <v>Jan-2026</v>
      </c>
      <c r="C2389" s="2" t="str">
        <f t="shared" si="75"/>
        <v>Q4</v>
      </c>
      <c r="D2389" s="2" t="s">
        <v>31</v>
      </c>
      <c r="E2389" s="16">
        <v>46052</v>
      </c>
      <c r="F2389" s="2" t="s">
        <v>504</v>
      </c>
      <c r="G2389" s="2" t="s">
        <v>505</v>
      </c>
      <c r="H2389" s="2" t="s">
        <v>97</v>
      </c>
      <c r="I2389" s="19">
        <v>2</v>
      </c>
      <c r="J2389" s="19">
        <v>80</v>
      </c>
      <c r="K2389" s="19">
        <v>74.5</v>
      </c>
      <c r="L2389" s="19">
        <v>5960</v>
      </c>
      <c r="M2389" s="19">
        <v>-458.32</v>
      </c>
      <c r="N2389" s="19">
        <v>0</v>
      </c>
      <c r="O2389" s="19">
        <v>715.21837399999993</v>
      </c>
      <c r="P2389" s="19">
        <v>6216.8983740000003</v>
      </c>
    </row>
    <row r="2390" spans="1:16" ht="15" x14ac:dyDescent="0.2">
      <c r="A2390" s="4" t="s">
        <v>584</v>
      </c>
      <c r="B2390" s="21" t="str">
        <f t="shared" si="74"/>
        <v>Jan-2026</v>
      </c>
      <c r="C2390" s="2" t="str">
        <f t="shared" si="75"/>
        <v>Q4</v>
      </c>
      <c r="D2390" s="2" t="s">
        <v>31</v>
      </c>
      <c r="E2390" s="16">
        <v>46052</v>
      </c>
      <c r="F2390" s="2" t="s">
        <v>504</v>
      </c>
      <c r="G2390" s="2" t="s">
        <v>505</v>
      </c>
      <c r="H2390" s="2" t="s">
        <v>100</v>
      </c>
      <c r="I2390" s="19">
        <v>1</v>
      </c>
      <c r="J2390" s="19">
        <v>40</v>
      </c>
      <c r="K2390" s="19">
        <v>81.94</v>
      </c>
      <c r="L2390" s="19">
        <v>3277.6</v>
      </c>
      <c r="M2390" s="19">
        <v>-252.05</v>
      </c>
      <c r="N2390" s="19">
        <v>0</v>
      </c>
      <c r="O2390" s="19">
        <v>393.32148599999999</v>
      </c>
      <c r="P2390" s="19">
        <v>3418.871486</v>
      </c>
    </row>
    <row r="2391" spans="1:16" ht="15" x14ac:dyDescent="0.2">
      <c r="A2391" s="4" t="s">
        <v>581</v>
      </c>
      <c r="B2391" s="21" t="str">
        <f t="shared" si="74"/>
        <v>Jan-2026</v>
      </c>
      <c r="C2391" s="2" t="str">
        <f t="shared" si="75"/>
        <v>Q4</v>
      </c>
      <c r="D2391" s="2" t="s">
        <v>31</v>
      </c>
      <c r="E2391" s="16">
        <v>46052</v>
      </c>
      <c r="F2391" s="2" t="s">
        <v>504</v>
      </c>
      <c r="G2391" s="2" t="s">
        <v>505</v>
      </c>
      <c r="H2391" s="2" t="s">
        <v>104</v>
      </c>
      <c r="I2391" s="19">
        <v>2</v>
      </c>
      <c r="J2391" s="19">
        <v>80</v>
      </c>
      <c r="K2391" s="19">
        <v>74.5</v>
      </c>
      <c r="L2391" s="19">
        <v>5960</v>
      </c>
      <c r="M2391" s="19">
        <v>-458.32</v>
      </c>
      <c r="N2391" s="19">
        <v>0</v>
      </c>
      <c r="O2391" s="19">
        <v>715.21837399999993</v>
      </c>
      <c r="P2391" s="19">
        <v>6216.8983740000003</v>
      </c>
    </row>
    <row r="2392" spans="1:16" ht="15" x14ac:dyDescent="0.2">
      <c r="A2392" s="4" t="s">
        <v>580</v>
      </c>
      <c r="B2392" s="21" t="str">
        <f t="shared" si="74"/>
        <v>Jan-2026</v>
      </c>
      <c r="C2392" s="2" t="str">
        <f t="shared" si="75"/>
        <v>Q4</v>
      </c>
      <c r="D2392" s="2" t="s">
        <v>31</v>
      </c>
      <c r="E2392" s="16">
        <v>46052</v>
      </c>
      <c r="F2392" s="2" t="s">
        <v>504</v>
      </c>
      <c r="G2392" s="2" t="s">
        <v>505</v>
      </c>
      <c r="H2392" s="2" t="s">
        <v>89</v>
      </c>
      <c r="I2392" s="19">
        <v>5</v>
      </c>
      <c r="J2392" s="19">
        <v>350</v>
      </c>
      <c r="K2392" s="19">
        <v>37.25</v>
      </c>
      <c r="L2392" s="19">
        <v>13037.5</v>
      </c>
      <c r="M2392" s="19">
        <v>-1002.58</v>
      </c>
      <c r="N2392" s="19">
        <v>0</v>
      </c>
      <c r="O2392" s="19">
        <v>1564.5395429999999</v>
      </c>
      <c r="P2392" s="19">
        <v>13599.459543000001</v>
      </c>
    </row>
    <row r="2393" spans="1:16" ht="15" x14ac:dyDescent="0.2">
      <c r="A2393" s="4" t="s">
        <v>593</v>
      </c>
      <c r="B2393" s="21" t="str">
        <f t="shared" si="74"/>
        <v>Jan-2026</v>
      </c>
      <c r="C2393" s="2" t="str">
        <f t="shared" si="75"/>
        <v>Q4</v>
      </c>
      <c r="D2393" s="2" t="s">
        <v>31</v>
      </c>
      <c r="E2393" s="16">
        <v>46052</v>
      </c>
      <c r="F2393" s="2" t="s">
        <v>504</v>
      </c>
      <c r="G2393" s="2" t="s">
        <v>505</v>
      </c>
      <c r="H2393" s="2" t="s">
        <v>117</v>
      </c>
      <c r="I2393" s="19">
        <v>1</v>
      </c>
      <c r="J2393" s="19">
        <v>4</v>
      </c>
      <c r="K2393" s="19">
        <v>595.94000000000005</v>
      </c>
      <c r="L2393" s="19">
        <v>2383.7600000000002</v>
      </c>
      <c r="M2393" s="19">
        <v>-183.31</v>
      </c>
      <c r="N2393" s="19">
        <v>0</v>
      </c>
      <c r="O2393" s="19">
        <v>286.05849000000001</v>
      </c>
      <c r="P2393" s="19">
        <v>2486.5084900000002</v>
      </c>
    </row>
    <row r="2394" spans="1:16" ht="15" x14ac:dyDescent="0.2">
      <c r="A2394" s="4" t="s">
        <v>580</v>
      </c>
      <c r="B2394" s="21" t="str">
        <f t="shared" si="74"/>
        <v>Jan-2026</v>
      </c>
      <c r="C2394" s="2" t="str">
        <f t="shared" si="75"/>
        <v>Q4</v>
      </c>
      <c r="D2394" s="2" t="s">
        <v>31</v>
      </c>
      <c r="E2394" s="16">
        <v>46052</v>
      </c>
      <c r="F2394" s="2" t="s">
        <v>504</v>
      </c>
      <c r="G2394" s="2" t="s">
        <v>505</v>
      </c>
      <c r="H2394" s="2" t="s">
        <v>65</v>
      </c>
      <c r="I2394" s="19">
        <v>2</v>
      </c>
      <c r="J2394" s="19">
        <v>260</v>
      </c>
      <c r="K2394" s="19">
        <v>37.25</v>
      </c>
      <c r="L2394" s="19">
        <v>9685</v>
      </c>
      <c r="M2394" s="19">
        <v>-744.78</v>
      </c>
      <c r="N2394" s="19">
        <v>0</v>
      </c>
      <c r="O2394" s="19">
        <v>1162.228558</v>
      </c>
      <c r="P2394" s="19">
        <v>10102.448558</v>
      </c>
    </row>
    <row r="2395" spans="1:16" ht="15" x14ac:dyDescent="0.2">
      <c r="A2395" s="4" t="s">
        <v>573</v>
      </c>
      <c r="B2395" s="21" t="str">
        <f t="shared" si="74"/>
        <v>Jan-2026</v>
      </c>
      <c r="C2395" s="2" t="str">
        <f t="shared" si="75"/>
        <v>Q4</v>
      </c>
      <c r="D2395" s="2" t="s">
        <v>31</v>
      </c>
      <c r="E2395" s="16">
        <v>46052</v>
      </c>
      <c r="F2395" s="2" t="s">
        <v>506</v>
      </c>
      <c r="G2395" s="2" t="s">
        <v>347</v>
      </c>
      <c r="H2395" s="2" t="s">
        <v>136</v>
      </c>
      <c r="I2395" s="19">
        <v>1</v>
      </c>
      <c r="J2395" s="19">
        <v>40</v>
      </c>
      <c r="K2395" s="19">
        <v>111.74</v>
      </c>
      <c r="L2395" s="19">
        <v>4469.6000000000004</v>
      </c>
      <c r="M2395" s="19">
        <v>-343.71</v>
      </c>
      <c r="N2395" s="19">
        <v>0</v>
      </c>
      <c r="O2395" s="19">
        <v>536.36582299999998</v>
      </c>
      <c r="P2395" s="19">
        <v>4662.2558230000004</v>
      </c>
    </row>
    <row r="2396" spans="1:16" ht="15" x14ac:dyDescent="0.2">
      <c r="A2396" s="4" t="s">
        <v>579</v>
      </c>
      <c r="B2396" s="21" t="str">
        <f t="shared" si="74"/>
        <v>Jan-2026</v>
      </c>
      <c r="C2396" s="2" t="str">
        <f t="shared" si="75"/>
        <v>Q4</v>
      </c>
      <c r="D2396" s="2" t="s">
        <v>31</v>
      </c>
      <c r="E2396" s="16">
        <v>46052</v>
      </c>
      <c r="F2396" s="2" t="s">
        <v>506</v>
      </c>
      <c r="G2396" s="2" t="s">
        <v>347</v>
      </c>
      <c r="H2396" s="2" t="s">
        <v>92</v>
      </c>
      <c r="I2396" s="19">
        <v>1</v>
      </c>
      <c r="J2396" s="19">
        <v>20</v>
      </c>
      <c r="K2396" s="19">
        <v>242.1</v>
      </c>
      <c r="L2396" s="19">
        <v>4841.9999999999991</v>
      </c>
      <c r="M2396" s="19">
        <v>-372.35</v>
      </c>
      <c r="N2396" s="19">
        <v>0</v>
      </c>
      <c r="O2396" s="19">
        <v>581.05463300000008</v>
      </c>
      <c r="P2396" s="19">
        <v>5050.7046330000003</v>
      </c>
    </row>
    <row r="2397" spans="1:16" ht="15" x14ac:dyDescent="0.2">
      <c r="A2397" s="4" t="s">
        <v>581</v>
      </c>
      <c r="B2397" s="21" t="str">
        <f t="shared" si="74"/>
        <v>Jan-2026</v>
      </c>
      <c r="C2397" s="2" t="str">
        <f t="shared" si="75"/>
        <v>Q4</v>
      </c>
      <c r="D2397" s="2" t="s">
        <v>31</v>
      </c>
      <c r="E2397" s="16">
        <v>46052</v>
      </c>
      <c r="F2397" s="2" t="s">
        <v>506</v>
      </c>
      <c r="G2397" s="2" t="s">
        <v>347</v>
      </c>
      <c r="H2397" s="2" t="s">
        <v>104</v>
      </c>
      <c r="I2397" s="19">
        <v>2</v>
      </c>
      <c r="J2397" s="19">
        <v>80</v>
      </c>
      <c r="K2397" s="19">
        <v>74.5</v>
      </c>
      <c r="L2397" s="19">
        <v>5960</v>
      </c>
      <c r="M2397" s="19">
        <v>-458.32</v>
      </c>
      <c r="N2397" s="19">
        <v>0</v>
      </c>
      <c r="O2397" s="19">
        <v>715.21856400000001</v>
      </c>
      <c r="P2397" s="19">
        <v>6216.8985640000001</v>
      </c>
    </row>
    <row r="2398" spans="1:16" ht="15" x14ac:dyDescent="0.2">
      <c r="A2398" s="4" t="s">
        <v>581</v>
      </c>
      <c r="B2398" s="21" t="str">
        <f t="shared" si="74"/>
        <v>Jan-2026</v>
      </c>
      <c r="C2398" s="2" t="str">
        <f t="shared" si="75"/>
        <v>Q4</v>
      </c>
      <c r="D2398" s="2" t="s">
        <v>31</v>
      </c>
      <c r="E2398" s="16">
        <v>46052</v>
      </c>
      <c r="F2398" s="2" t="s">
        <v>506</v>
      </c>
      <c r="G2398" s="2" t="s">
        <v>347</v>
      </c>
      <c r="H2398" s="2" t="s">
        <v>96</v>
      </c>
      <c r="I2398" s="19">
        <v>1</v>
      </c>
      <c r="J2398" s="19">
        <v>40</v>
      </c>
      <c r="K2398" s="19">
        <v>74.489999999999995</v>
      </c>
      <c r="L2398" s="19">
        <v>2979.6</v>
      </c>
      <c r="M2398" s="19">
        <v>-229.13</v>
      </c>
      <c r="N2398" s="19">
        <v>0</v>
      </c>
      <c r="O2398" s="19">
        <v>357.56118200000003</v>
      </c>
      <c r="P2398" s="19">
        <v>3108.0311820000002</v>
      </c>
    </row>
    <row r="2399" spans="1:16" ht="15" x14ac:dyDescent="0.2">
      <c r="A2399" s="4" t="s">
        <v>592</v>
      </c>
      <c r="B2399" s="21" t="str">
        <f t="shared" si="74"/>
        <v>Jan-2026</v>
      </c>
      <c r="C2399" s="2" t="str">
        <f t="shared" si="75"/>
        <v>Q4</v>
      </c>
      <c r="D2399" s="2" t="s">
        <v>31</v>
      </c>
      <c r="E2399" s="16">
        <v>46052</v>
      </c>
      <c r="F2399" s="2" t="s">
        <v>506</v>
      </c>
      <c r="G2399" s="2" t="s">
        <v>347</v>
      </c>
      <c r="H2399" s="2" t="s">
        <v>115</v>
      </c>
      <c r="I2399" s="19">
        <v>5</v>
      </c>
      <c r="J2399" s="19">
        <v>250</v>
      </c>
      <c r="K2399" s="19">
        <v>89.39</v>
      </c>
      <c r="L2399" s="19">
        <v>22347.5</v>
      </c>
      <c r="M2399" s="19">
        <v>-1718.52</v>
      </c>
      <c r="N2399" s="19">
        <v>0</v>
      </c>
      <c r="O2399" s="19">
        <v>2681.7680130000003</v>
      </c>
      <c r="P2399" s="19">
        <v>23310.748013</v>
      </c>
    </row>
    <row r="2400" spans="1:16" ht="15" x14ac:dyDescent="0.2">
      <c r="A2400" s="4" t="s">
        <v>581</v>
      </c>
      <c r="B2400" s="21" t="str">
        <f t="shared" si="74"/>
        <v>Jan-2026</v>
      </c>
      <c r="C2400" s="2" t="str">
        <f t="shared" si="75"/>
        <v>Q4</v>
      </c>
      <c r="D2400" s="2" t="s">
        <v>31</v>
      </c>
      <c r="E2400" s="16">
        <v>46052</v>
      </c>
      <c r="F2400" s="2" t="s">
        <v>506</v>
      </c>
      <c r="G2400" s="2" t="s">
        <v>347</v>
      </c>
      <c r="H2400" s="2" t="s">
        <v>97</v>
      </c>
      <c r="I2400" s="19">
        <v>2</v>
      </c>
      <c r="J2400" s="19">
        <v>80</v>
      </c>
      <c r="K2400" s="19">
        <v>74.5</v>
      </c>
      <c r="L2400" s="19">
        <v>5960</v>
      </c>
      <c r="M2400" s="19">
        <v>-458.32</v>
      </c>
      <c r="N2400" s="19">
        <v>0</v>
      </c>
      <c r="O2400" s="19">
        <v>715.21856400000001</v>
      </c>
      <c r="P2400" s="19">
        <v>6216.8985640000001</v>
      </c>
    </row>
    <row r="2401" spans="1:16" ht="15" x14ac:dyDescent="0.2">
      <c r="A2401" s="4" t="s">
        <v>575</v>
      </c>
      <c r="B2401" s="21" t="str">
        <f t="shared" si="74"/>
        <v>Jan-2026</v>
      </c>
      <c r="C2401" s="2" t="str">
        <f t="shared" si="75"/>
        <v>Q4</v>
      </c>
      <c r="D2401" s="2" t="s">
        <v>31</v>
      </c>
      <c r="E2401" s="16">
        <v>46052</v>
      </c>
      <c r="F2401" s="2" t="s">
        <v>506</v>
      </c>
      <c r="G2401" s="2" t="s">
        <v>347</v>
      </c>
      <c r="H2401" s="2" t="s">
        <v>55</v>
      </c>
      <c r="I2401" s="19">
        <v>10</v>
      </c>
      <c r="J2401" s="19">
        <v>200</v>
      </c>
      <c r="K2401" s="19">
        <v>186.22</v>
      </c>
      <c r="L2401" s="19">
        <v>37244</v>
      </c>
      <c r="M2401" s="19">
        <v>-2864.06</v>
      </c>
      <c r="N2401" s="19">
        <v>0</v>
      </c>
      <c r="O2401" s="19">
        <v>4469.3932219999997</v>
      </c>
      <c r="P2401" s="19">
        <v>38849.333222000001</v>
      </c>
    </row>
    <row r="2402" spans="1:16" ht="15" x14ac:dyDescent="0.2">
      <c r="A2402" s="4" t="s">
        <v>575</v>
      </c>
      <c r="B2402" s="21" t="str">
        <f t="shared" si="74"/>
        <v>Jan-2026</v>
      </c>
      <c r="C2402" s="2" t="str">
        <f t="shared" si="75"/>
        <v>Q4</v>
      </c>
      <c r="D2402" s="2" t="s">
        <v>31</v>
      </c>
      <c r="E2402" s="16">
        <v>46052</v>
      </c>
      <c r="F2402" s="2" t="s">
        <v>507</v>
      </c>
      <c r="G2402" s="2" t="s">
        <v>22</v>
      </c>
      <c r="H2402" s="2" t="s">
        <v>55</v>
      </c>
      <c r="I2402" s="19">
        <v>10</v>
      </c>
      <c r="J2402" s="19">
        <v>200</v>
      </c>
      <c r="K2402" s="19">
        <v>186.22</v>
      </c>
      <c r="L2402" s="19">
        <v>37244</v>
      </c>
      <c r="M2402" s="19">
        <v>-2864.06</v>
      </c>
      <c r="N2402" s="19">
        <v>0</v>
      </c>
      <c r="O2402" s="19">
        <v>4469.3912769999997</v>
      </c>
      <c r="P2402" s="19">
        <v>38849.331276999997</v>
      </c>
    </row>
    <row r="2403" spans="1:16" ht="15" x14ac:dyDescent="0.2">
      <c r="A2403" s="4" t="s">
        <v>593</v>
      </c>
      <c r="B2403" s="21" t="str">
        <f t="shared" si="74"/>
        <v>Jan-2026</v>
      </c>
      <c r="C2403" s="2" t="str">
        <f t="shared" si="75"/>
        <v>Q4</v>
      </c>
      <c r="D2403" s="2" t="s">
        <v>31</v>
      </c>
      <c r="E2403" s="16">
        <v>46052</v>
      </c>
      <c r="F2403" s="2" t="s">
        <v>507</v>
      </c>
      <c r="G2403" s="2" t="s">
        <v>22</v>
      </c>
      <c r="H2403" s="2" t="s">
        <v>117</v>
      </c>
      <c r="I2403" s="19">
        <v>10</v>
      </c>
      <c r="J2403" s="19">
        <v>40</v>
      </c>
      <c r="K2403" s="19">
        <v>595.94000000000005</v>
      </c>
      <c r="L2403" s="19">
        <v>23837.599999999999</v>
      </c>
      <c r="M2403" s="19">
        <v>-1833.1100000000001</v>
      </c>
      <c r="N2403" s="19">
        <v>0</v>
      </c>
      <c r="O2403" s="19">
        <v>2860.5831090000001</v>
      </c>
      <c r="P2403" s="19">
        <v>24865.073109000001</v>
      </c>
    </row>
    <row r="2404" spans="1:16" ht="15" x14ac:dyDescent="0.2">
      <c r="A2404" s="4" t="s">
        <v>580</v>
      </c>
      <c r="B2404" s="21" t="str">
        <f t="shared" si="74"/>
        <v>Jan-2026</v>
      </c>
      <c r="C2404" s="2" t="str">
        <f t="shared" si="75"/>
        <v>Q4</v>
      </c>
      <c r="D2404" s="2" t="s">
        <v>31</v>
      </c>
      <c r="E2404" s="16">
        <v>46052</v>
      </c>
      <c r="F2404" s="2" t="s">
        <v>507</v>
      </c>
      <c r="G2404" s="2" t="s">
        <v>22</v>
      </c>
      <c r="H2404" s="2" t="s">
        <v>89</v>
      </c>
      <c r="I2404" s="19">
        <v>10</v>
      </c>
      <c r="J2404" s="19">
        <v>700</v>
      </c>
      <c r="K2404" s="19">
        <v>37.25</v>
      </c>
      <c r="L2404" s="19">
        <v>26075</v>
      </c>
      <c r="M2404" s="19">
        <v>-2005.1699999999998</v>
      </c>
      <c r="N2404" s="19">
        <v>0</v>
      </c>
      <c r="O2404" s="19">
        <v>3129.0772540000003</v>
      </c>
      <c r="P2404" s="19">
        <v>27198.907254000002</v>
      </c>
    </row>
    <row r="2405" spans="1:16" ht="15" x14ac:dyDescent="0.2">
      <c r="A2405" s="4" t="s">
        <v>580</v>
      </c>
      <c r="B2405" s="21" t="str">
        <f t="shared" si="74"/>
        <v>Jan-2026</v>
      </c>
      <c r="C2405" s="2" t="str">
        <f t="shared" si="75"/>
        <v>Q4</v>
      </c>
      <c r="D2405" s="2" t="s">
        <v>31</v>
      </c>
      <c r="E2405" s="16">
        <v>46052</v>
      </c>
      <c r="F2405" s="2" t="s">
        <v>507</v>
      </c>
      <c r="G2405" s="2" t="s">
        <v>22</v>
      </c>
      <c r="H2405" s="2" t="s">
        <v>65</v>
      </c>
      <c r="I2405" s="19">
        <v>2</v>
      </c>
      <c r="J2405" s="19">
        <v>260</v>
      </c>
      <c r="K2405" s="19">
        <v>37.25</v>
      </c>
      <c r="L2405" s="19">
        <v>9685</v>
      </c>
      <c r="M2405" s="19">
        <v>-744.78</v>
      </c>
      <c r="N2405" s="19">
        <v>0</v>
      </c>
      <c r="O2405" s="19">
        <v>1162.2283600000001</v>
      </c>
      <c r="P2405" s="19">
        <v>10102.44836</v>
      </c>
    </row>
    <row r="2406" spans="1:16" ht="15" x14ac:dyDescent="0.2">
      <c r="A2406" s="4" t="s">
        <v>583</v>
      </c>
      <c r="B2406" s="21" t="str">
        <f t="shared" si="74"/>
        <v>Jan-2026</v>
      </c>
      <c r="C2406" s="2" t="str">
        <f t="shared" si="75"/>
        <v>Q4</v>
      </c>
      <c r="D2406" s="2" t="s">
        <v>31</v>
      </c>
      <c r="E2406" s="16">
        <v>46052</v>
      </c>
      <c r="F2406" s="2" t="s">
        <v>508</v>
      </c>
      <c r="G2406" s="2" t="s">
        <v>171</v>
      </c>
      <c r="H2406" s="2" t="s">
        <v>113</v>
      </c>
      <c r="I2406" s="19">
        <v>2</v>
      </c>
      <c r="J2406" s="19">
        <v>30</v>
      </c>
      <c r="K2406" s="19">
        <v>260.72000000000003</v>
      </c>
      <c r="L2406" s="19">
        <v>7821.6</v>
      </c>
      <c r="M2406" s="19">
        <v>-601.48</v>
      </c>
      <c r="N2406" s="19">
        <v>0</v>
      </c>
      <c r="O2406" s="19">
        <v>938.61604399999999</v>
      </c>
      <c r="P2406" s="19">
        <v>8158.7360440000002</v>
      </c>
    </row>
    <row r="2407" spans="1:16" ht="15" x14ac:dyDescent="0.2">
      <c r="A2407" s="4" t="s">
        <v>580</v>
      </c>
      <c r="B2407" s="21" t="str">
        <f t="shared" si="74"/>
        <v>Jan-2026</v>
      </c>
      <c r="C2407" s="2" t="str">
        <f t="shared" si="75"/>
        <v>Q4</v>
      </c>
      <c r="D2407" s="2" t="s">
        <v>31</v>
      </c>
      <c r="E2407" s="16">
        <v>46052</v>
      </c>
      <c r="F2407" s="2" t="s">
        <v>508</v>
      </c>
      <c r="G2407" s="2" t="s">
        <v>171</v>
      </c>
      <c r="H2407" s="2" t="s">
        <v>89</v>
      </c>
      <c r="I2407" s="19">
        <v>5</v>
      </c>
      <c r="J2407" s="19">
        <v>350</v>
      </c>
      <c r="K2407" s="19">
        <v>37.25</v>
      </c>
      <c r="L2407" s="19">
        <v>13037.5</v>
      </c>
      <c r="M2407" s="19">
        <v>-1002.58</v>
      </c>
      <c r="N2407" s="19">
        <v>0</v>
      </c>
      <c r="O2407" s="19">
        <v>1564.5403409999999</v>
      </c>
      <c r="P2407" s="19">
        <v>13599.460341</v>
      </c>
    </row>
    <row r="2408" spans="1:16" ht="15" x14ac:dyDescent="0.2">
      <c r="A2408" s="4" t="s">
        <v>579</v>
      </c>
      <c r="B2408" s="21" t="str">
        <f t="shared" si="74"/>
        <v>Jan-2026</v>
      </c>
      <c r="C2408" s="2" t="str">
        <f t="shared" si="75"/>
        <v>Q4</v>
      </c>
      <c r="D2408" s="2" t="s">
        <v>31</v>
      </c>
      <c r="E2408" s="16">
        <v>46052</v>
      </c>
      <c r="F2408" s="2" t="s">
        <v>508</v>
      </c>
      <c r="G2408" s="2" t="s">
        <v>171</v>
      </c>
      <c r="H2408" s="2" t="s">
        <v>112</v>
      </c>
      <c r="I2408" s="19">
        <v>2</v>
      </c>
      <c r="J2408" s="19">
        <v>40</v>
      </c>
      <c r="K2408" s="19">
        <v>204.85</v>
      </c>
      <c r="L2408" s="19">
        <v>8194</v>
      </c>
      <c r="M2408" s="19">
        <v>-630.12</v>
      </c>
      <c r="N2408" s="19">
        <v>0</v>
      </c>
      <c r="O2408" s="19">
        <v>983.30486599999995</v>
      </c>
      <c r="P2408" s="19">
        <v>8547.1848659999996</v>
      </c>
    </row>
    <row r="2409" spans="1:16" ht="15" x14ac:dyDescent="0.2">
      <c r="A2409" s="4" t="s">
        <v>575</v>
      </c>
      <c r="B2409" s="21" t="str">
        <f t="shared" si="74"/>
        <v>Jan-2026</v>
      </c>
      <c r="C2409" s="2" t="str">
        <f t="shared" si="75"/>
        <v>Q4</v>
      </c>
      <c r="D2409" s="2" t="s">
        <v>31</v>
      </c>
      <c r="E2409" s="16">
        <v>46052</v>
      </c>
      <c r="F2409" s="2" t="s">
        <v>508</v>
      </c>
      <c r="G2409" s="2" t="s">
        <v>171</v>
      </c>
      <c r="H2409" s="2" t="s">
        <v>55</v>
      </c>
      <c r="I2409" s="19">
        <v>5</v>
      </c>
      <c r="J2409" s="19">
        <v>100</v>
      </c>
      <c r="K2409" s="19">
        <v>186.22</v>
      </c>
      <c r="L2409" s="19">
        <v>18622</v>
      </c>
      <c r="M2409" s="19">
        <v>-1432.03</v>
      </c>
      <c r="N2409" s="19">
        <v>0</v>
      </c>
      <c r="O2409" s="19">
        <v>2234.6971579999999</v>
      </c>
      <c r="P2409" s="19">
        <v>19424.667158</v>
      </c>
    </row>
    <row r="2410" spans="1:16" ht="15" x14ac:dyDescent="0.2">
      <c r="A2410" s="4" t="s">
        <v>589</v>
      </c>
      <c r="B2410" s="21" t="str">
        <f t="shared" si="74"/>
        <v>Jan-2026</v>
      </c>
      <c r="C2410" s="2" t="str">
        <f t="shared" si="75"/>
        <v>Q4</v>
      </c>
      <c r="D2410" s="2" t="s">
        <v>31</v>
      </c>
      <c r="E2410" s="16">
        <v>46052</v>
      </c>
      <c r="F2410" s="2" t="s">
        <v>508</v>
      </c>
      <c r="G2410" s="2" t="s">
        <v>171</v>
      </c>
      <c r="H2410" s="2" t="s">
        <v>105</v>
      </c>
      <c r="I2410" s="19">
        <v>2</v>
      </c>
      <c r="J2410" s="19">
        <v>60</v>
      </c>
      <c r="K2410" s="19">
        <v>316.58999999999997</v>
      </c>
      <c r="L2410" s="19">
        <v>18995.399999999998</v>
      </c>
      <c r="M2410" s="19">
        <v>-1460.75</v>
      </c>
      <c r="N2410" s="19">
        <v>0</v>
      </c>
      <c r="O2410" s="19">
        <v>2279.5055789999997</v>
      </c>
      <c r="P2410" s="19">
        <v>19814.155578999998</v>
      </c>
    </row>
    <row r="2411" spans="1:16" ht="15" x14ac:dyDescent="0.2">
      <c r="A2411" s="4" t="s">
        <v>584</v>
      </c>
      <c r="B2411" s="21" t="str">
        <f t="shared" si="74"/>
        <v>Jan-2026</v>
      </c>
      <c r="C2411" s="2" t="str">
        <f t="shared" si="75"/>
        <v>Q4</v>
      </c>
      <c r="D2411" s="2" t="s">
        <v>31</v>
      </c>
      <c r="E2411" s="16">
        <v>46052</v>
      </c>
      <c r="F2411" s="2" t="s">
        <v>508</v>
      </c>
      <c r="G2411" s="2" t="s">
        <v>171</v>
      </c>
      <c r="H2411" s="2" t="s">
        <v>99</v>
      </c>
      <c r="I2411" s="19">
        <v>1</v>
      </c>
      <c r="J2411" s="19">
        <v>40</v>
      </c>
      <c r="K2411" s="19">
        <v>81.94</v>
      </c>
      <c r="L2411" s="19">
        <v>3277.6</v>
      </c>
      <c r="M2411" s="19">
        <v>-252.05</v>
      </c>
      <c r="N2411" s="19">
        <v>0</v>
      </c>
      <c r="O2411" s="19">
        <v>393.321686</v>
      </c>
      <c r="P2411" s="19">
        <v>3418.871686</v>
      </c>
    </row>
    <row r="2412" spans="1:16" ht="15" x14ac:dyDescent="0.2">
      <c r="A2412" s="4" t="s">
        <v>579</v>
      </c>
      <c r="B2412" s="21" t="str">
        <f t="shared" si="74"/>
        <v>Jan-2026</v>
      </c>
      <c r="C2412" s="2" t="str">
        <f t="shared" si="75"/>
        <v>Q4</v>
      </c>
      <c r="D2412" s="2" t="s">
        <v>31</v>
      </c>
      <c r="E2412" s="16">
        <v>46052</v>
      </c>
      <c r="F2412" s="2" t="s">
        <v>508</v>
      </c>
      <c r="G2412" s="2" t="s">
        <v>171</v>
      </c>
      <c r="H2412" s="2" t="s">
        <v>92</v>
      </c>
      <c r="I2412" s="19">
        <v>3</v>
      </c>
      <c r="J2412" s="19">
        <v>60</v>
      </c>
      <c r="K2412" s="19">
        <v>242.1</v>
      </c>
      <c r="L2412" s="19">
        <v>14526</v>
      </c>
      <c r="M2412" s="19">
        <v>-1117.05</v>
      </c>
      <c r="N2412" s="19">
        <v>0</v>
      </c>
      <c r="O2412" s="19">
        <v>1743.164325</v>
      </c>
      <c r="P2412" s="19">
        <v>15152.114325</v>
      </c>
    </row>
    <row r="2413" spans="1:16" ht="15" x14ac:dyDescent="0.2">
      <c r="A2413" s="4" t="s">
        <v>579</v>
      </c>
      <c r="B2413" s="21" t="str">
        <f t="shared" si="74"/>
        <v>Jan-2026</v>
      </c>
      <c r="C2413" s="2" t="str">
        <f t="shared" si="75"/>
        <v>Q4</v>
      </c>
      <c r="D2413" s="2" t="s">
        <v>31</v>
      </c>
      <c r="E2413" s="16">
        <v>46052</v>
      </c>
      <c r="F2413" s="2" t="s">
        <v>509</v>
      </c>
      <c r="G2413" s="2" t="s">
        <v>17</v>
      </c>
      <c r="H2413" s="2" t="s">
        <v>90</v>
      </c>
      <c r="I2413" s="19">
        <v>2</v>
      </c>
      <c r="J2413" s="19">
        <v>40</v>
      </c>
      <c r="K2413" s="19">
        <v>204.85</v>
      </c>
      <c r="L2413" s="19">
        <v>8194</v>
      </c>
      <c r="M2413" s="19">
        <v>-630.12</v>
      </c>
      <c r="N2413" s="19">
        <v>0</v>
      </c>
      <c r="O2413" s="19">
        <v>983.304303</v>
      </c>
      <c r="P2413" s="19">
        <v>8547.184303</v>
      </c>
    </row>
    <row r="2414" spans="1:16" ht="15" x14ac:dyDescent="0.2">
      <c r="A2414" s="4" t="s">
        <v>581</v>
      </c>
      <c r="B2414" s="21" t="str">
        <f t="shared" si="74"/>
        <v>Jan-2026</v>
      </c>
      <c r="C2414" s="2" t="str">
        <f t="shared" si="75"/>
        <v>Q4</v>
      </c>
      <c r="D2414" s="2" t="s">
        <v>31</v>
      </c>
      <c r="E2414" s="16">
        <v>46052</v>
      </c>
      <c r="F2414" s="2" t="s">
        <v>509</v>
      </c>
      <c r="G2414" s="2" t="s">
        <v>17</v>
      </c>
      <c r="H2414" s="2" t="s">
        <v>97</v>
      </c>
      <c r="I2414" s="19">
        <v>2</v>
      </c>
      <c r="J2414" s="19">
        <v>80</v>
      </c>
      <c r="K2414" s="19">
        <v>74.5</v>
      </c>
      <c r="L2414" s="19">
        <v>5960</v>
      </c>
      <c r="M2414" s="19">
        <v>-458.32</v>
      </c>
      <c r="N2414" s="19">
        <v>0</v>
      </c>
      <c r="O2414" s="19">
        <v>715.21833000000004</v>
      </c>
      <c r="P2414" s="19">
        <v>6216.89833</v>
      </c>
    </row>
    <row r="2415" spans="1:16" ht="15" x14ac:dyDescent="0.2">
      <c r="A2415" s="4" t="s">
        <v>592</v>
      </c>
      <c r="B2415" s="21" t="str">
        <f t="shared" si="74"/>
        <v>Jan-2026</v>
      </c>
      <c r="C2415" s="2" t="str">
        <f t="shared" si="75"/>
        <v>Q4</v>
      </c>
      <c r="D2415" s="2" t="s">
        <v>31</v>
      </c>
      <c r="E2415" s="16">
        <v>46052</v>
      </c>
      <c r="F2415" s="2" t="s">
        <v>509</v>
      </c>
      <c r="G2415" s="2" t="s">
        <v>17</v>
      </c>
      <c r="H2415" s="2" t="s">
        <v>115</v>
      </c>
      <c r="I2415" s="19">
        <v>2</v>
      </c>
      <c r="J2415" s="19">
        <v>100</v>
      </c>
      <c r="K2415" s="19">
        <v>89.39</v>
      </c>
      <c r="L2415" s="19">
        <v>8939</v>
      </c>
      <c r="M2415" s="19">
        <v>-687.41</v>
      </c>
      <c r="N2415" s="19">
        <v>0</v>
      </c>
      <c r="O2415" s="19">
        <v>1072.7065950000001</v>
      </c>
      <c r="P2415" s="19">
        <v>9324.2965949999998</v>
      </c>
    </row>
    <row r="2416" spans="1:16" ht="15" x14ac:dyDescent="0.2">
      <c r="A2416" s="4" t="s">
        <v>581</v>
      </c>
      <c r="B2416" s="21" t="str">
        <f t="shared" si="74"/>
        <v>Jan-2026</v>
      </c>
      <c r="C2416" s="2" t="str">
        <f t="shared" si="75"/>
        <v>Q4</v>
      </c>
      <c r="D2416" s="2" t="s">
        <v>31</v>
      </c>
      <c r="E2416" s="16">
        <v>46052</v>
      </c>
      <c r="F2416" s="2" t="s">
        <v>509</v>
      </c>
      <c r="G2416" s="2" t="s">
        <v>17</v>
      </c>
      <c r="H2416" s="2" t="s">
        <v>104</v>
      </c>
      <c r="I2416" s="19">
        <v>2</v>
      </c>
      <c r="J2416" s="19">
        <v>80</v>
      </c>
      <c r="K2416" s="19">
        <v>74.5</v>
      </c>
      <c r="L2416" s="19">
        <v>5960</v>
      </c>
      <c r="M2416" s="19">
        <v>-458.32</v>
      </c>
      <c r="N2416" s="19">
        <v>0</v>
      </c>
      <c r="O2416" s="19">
        <v>715.21833000000004</v>
      </c>
      <c r="P2416" s="19">
        <v>6216.89833</v>
      </c>
    </row>
    <row r="2417" spans="1:16" ht="15" x14ac:dyDescent="0.2">
      <c r="A2417" s="4" t="s">
        <v>590</v>
      </c>
      <c r="B2417" s="21" t="str">
        <f t="shared" si="74"/>
        <v>Jan-2026</v>
      </c>
      <c r="C2417" s="2" t="str">
        <f t="shared" si="75"/>
        <v>Q4</v>
      </c>
      <c r="D2417" s="2" t="s">
        <v>31</v>
      </c>
      <c r="E2417" s="16">
        <v>46052</v>
      </c>
      <c r="F2417" s="2" t="s">
        <v>509</v>
      </c>
      <c r="G2417" s="2" t="s">
        <v>17</v>
      </c>
      <c r="H2417" s="2" t="s">
        <v>102</v>
      </c>
      <c r="I2417" s="19">
        <v>3</v>
      </c>
      <c r="J2417" s="19">
        <v>60</v>
      </c>
      <c r="K2417" s="19">
        <v>249.55</v>
      </c>
      <c r="L2417" s="19">
        <v>14973</v>
      </c>
      <c r="M2417" s="19">
        <v>-1151.42</v>
      </c>
      <c r="N2417" s="19">
        <v>0</v>
      </c>
      <c r="O2417" s="19">
        <v>1796.8052229999998</v>
      </c>
      <c r="P2417" s="19">
        <v>15618.385222999999</v>
      </c>
    </row>
    <row r="2418" spans="1:16" ht="15" x14ac:dyDescent="0.2">
      <c r="A2418" s="4" t="s">
        <v>581</v>
      </c>
      <c r="B2418" s="21" t="str">
        <f t="shared" si="74"/>
        <v>Jan-2026</v>
      </c>
      <c r="C2418" s="2" t="str">
        <f t="shared" si="75"/>
        <v>Q4</v>
      </c>
      <c r="D2418" s="2" t="s">
        <v>31</v>
      </c>
      <c r="E2418" s="16">
        <v>46052</v>
      </c>
      <c r="F2418" s="2" t="s">
        <v>509</v>
      </c>
      <c r="G2418" s="2" t="s">
        <v>17</v>
      </c>
      <c r="H2418" s="2" t="s">
        <v>125</v>
      </c>
      <c r="I2418" s="19">
        <v>2</v>
      </c>
      <c r="J2418" s="19">
        <v>1600</v>
      </c>
      <c r="K2418" s="19">
        <v>7.46</v>
      </c>
      <c r="L2418" s="19">
        <v>11936</v>
      </c>
      <c r="M2418" s="19">
        <v>-917.88</v>
      </c>
      <c r="N2418" s="19">
        <v>0</v>
      </c>
      <c r="O2418" s="19">
        <v>1432.3554590000001</v>
      </c>
      <c r="P2418" s="19">
        <v>12450.475458999999</v>
      </c>
    </row>
    <row r="2419" spans="1:16" ht="15" x14ac:dyDescent="0.2">
      <c r="A2419" s="4" t="s">
        <v>575</v>
      </c>
      <c r="B2419" s="21" t="str">
        <f t="shared" si="74"/>
        <v>Jan-2026</v>
      </c>
      <c r="C2419" s="2" t="str">
        <f t="shared" si="75"/>
        <v>Q4</v>
      </c>
      <c r="D2419" s="2" t="s">
        <v>31</v>
      </c>
      <c r="E2419" s="16">
        <v>46052</v>
      </c>
      <c r="F2419" s="2" t="s">
        <v>509</v>
      </c>
      <c r="G2419" s="2" t="s">
        <v>17</v>
      </c>
      <c r="H2419" s="2" t="s">
        <v>55</v>
      </c>
      <c r="I2419" s="19">
        <v>10</v>
      </c>
      <c r="J2419" s="19">
        <v>200</v>
      </c>
      <c r="K2419" s="19">
        <v>186.22</v>
      </c>
      <c r="L2419" s="19">
        <v>37244</v>
      </c>
      <c r="M2419" s="19">
        <v>-2864.06</v>
      </c>
      <c r="N2419" s="19">
        <v>0</v>
      </c>
      <c r="O2419" s="19">
        <v>4469.3917599999995</v>
      </c>
      <c r="P2419" s="19">
        <v>38849.331760000001</v>
      </c>
    </row>
    <row r="2420" spans="1:16" ht="15" x14ac:dyDescent="0.2">
      <c r="A2420" s="4" t="s">
        <v>575</v>
      </c>
      <c r="B2420" s="21" t="str">
        <f t="shared" si="74"/>
        <v>Jan-2026</v>
      </c>
      <c r="C2420" s="2" t="str">
        <f t="shared" si="75"/>
        <v>Q4</v>
      </c>
      <c r="D2420" s="2" t="s">
        <v>31</v>
      </c>
      <c r="E2420" s="16">
        <v>46052</v>
      </c>
      <c r="F2420" s="2" t="s">
        <v>510</v>
      </c>
      <c r="G2420" s="2" t="s">
        <v>187</v>
      </c>
      <c r="H2420" s="2" t="s">
        <v>55</v>
      </c>
      <c r="I2420" s="19">
        <v>5</v>
      </c>
      <c r="J2420" s="19">
        <v>100</v>
      </c>
      <c r="K2420" s="19">
        <v>186.22</v>
      </c>
      <c r="L2420" s="19">
        <v>18622</v>
      </c>
      <c r="M2420" s="19">
        <v>-1432.03</v>
      </c>
      <c r="N2420" s="19">
        <v>0</v>
      </c>
      <c r="O2420" s="19">
        <v>2234.695698</v>
      </c>
      <c r="P2420" s="19">
        <v>19424.665698000001</v>
      </c>
    </row>
    <row r="2421" spans="1:16" ht="15" x14ac:dyDescent="0.2">
      <c r="A2421" s="4" t="s">
        <v>573</v>
      </c>
      <c r="B2421" s="21" t="str">
        <f t="shared" si="74"/>
        <v>Jan-2026</v>
      </c>
      <c r="C2421" s="2" t="str">
        <f t="shared" si="75"/>
        <v>Q4</v>
      </c>
      <c r="D2421" s="2" t="s">
        <v>31</v>
      </c>
      <c r="E2421" s="16">
        <v>46052</v>
      </c>
      <c r="F2421" s="2" t="s">
        <v>510</v>
      </c>
      <c r="G2421" s="2" t="s">
        <v>187</v>
      </c>
      <c r="H2421" s="2" t="s">
        <v>136</v>
      </c>
      <c r="I2421" s="19">
        <v>3</v>
      </c>
      <c r="J2421" s="19">
        <v>120</v>
      </c>
      <c r="K2421" s="19">
        <v>111.74</v>
      </c>
      <c r="L2421" s="19">
        <v>13408.8</v>
      </c>
      <c r="M2421" s="19">
        <v>-1031.1400000000001</v>
      </c>
      <c r="N2421" s="19">
        <v>0</v>
      </c>
      <c r="O2421" s="19">
        <v>1609.095511</v>
      </c>
      <c r="P2421" s="19">
        <v>13986.755510999999</v>
      </c>
    </row>
    <row r="2422" spans="1:16" ht="15" x14ac:dyDescent="0.2">
      <c r="A2422" s="4" t="s">
        <v>579</v>
      </c>
      <c r="B2422" s="21" t="str">
        <f t="shared" si="74"/>
        <v>Jan-2026</v>
      </c>
      <c r="C2422" s="2" t="str">
        <f t="shared" si="75"/>
        <v>Q4</v>
      </c>
      <c r="D2422" s="2" t="s">
        <v>31</v>
      </c>
      <c r="E2422" s="16">
        <v>46052</v>
      </c>
      <c r="F2422" s="2" t="s">
        <v>510</v>
      </c>
      <c r="G2422" s="2" t="s">
        <v>187</v>
      </c>
      <c r="H2422" s="2" t="s">
        <v>92</v>
      </c>
      <c r="I2422" s="19">
        <v>2</v>
      </c>
      <c r="J2422" s="19">
        <v>40</v>
      </c>
      <c r="K2422" s="19">
        <v>242.1</v>
      </c>
      <c r="L2422" s="19">
        <v>9683.9999999999982</v>
      </c>
      <c r="M2422" s="19">
        <v>-744.7</v>
      </c>
      <c r="N2422" s="19">
        <v>0</v>
      </c>
      <c r="O2422" s="19">
        <v>1162.1087909999999</v>
      </c>
      <c r="P2422" s="19">
        <v>10101.408791</v>
      </c>
    </row>
    <row r="2423" spans="1:16" ht="15" x14ac:dyDescent="0.2">
      <c r="A2423" s="4" t="s">
        <v>573</v>
      </c>
      <c r="B2423" s="21" t="str">
        <f t="shared" si="74"/>
        <v>Jan-2026</v>
      </c>
      <c r="C2423" s="2" t="str">
        <f t="shared" si="75"/>
        <v>Q4</v>
      </c>
      <c r="D2423" s="2" t="s">
        <v>31</v>
      </c>
      <c r="E2423" s="16">
        <v>46052</v>
      </c>
      <c r="F2423" s="2" t="s">
        <v>511</v>
      </c>
      <c r="G2423" s="2" t="s">
        <v>18</v>
      </c>
      <c r="H2423" s="2" t="s">
        <v>136</v>
      </c>
      <c r="I2423" s="19">
        <v>1</v>
      </c>
      <c r="J2423" s="19">
        <v>40</v>
      </c>
      <c r="K2423" s="19">
        <v>111.74</v>
      </c>
      <c r="L2423" s="19">
        <v>4469.6000000000004</v>
      </c>
      <c r="M2423" s="19">
        <v>-343.71</v>
      </c>
      <c r="N2423" s="19">
        <v>0</v>
      </c>
      <c r="O2423" s="19">
        <v>536.36609799999997</v>
      </c>
      <c r="P2423" s="19">
        <v>4662.2560979999998</v>
      </c>
    </row>
    <row r="2424" spans="1:16" ht="15" x14ac:dyDescent="0.2">
      <c r="A2424" s="4" t="s">
        <v>581</v>
      </c>
      <c r="B2424" s="21" t="str">
        <f t="shared" si="74"/>
        <v>Jan-2026</v>
      </c>
      <c r="C2424" s="2" t="str">
        <f t="shared" si="75"/>
        <v>Q4</v>
      </c>
      <c r="D2424" s="2" t="s">
        <v>31</v>
      </c>
      <c r="E2424" s="16">
        <v>46052</v>
      </c>
      <c r="F2424" s="2" t="s">
        <v>511</v>
      </c>
      <c r="G2424" s="2" t="s">
        <v>18</v>
      </c>
      <c r="H2424" s="2" t="s">
        <v>97</v>
      </c>
      <c r="I2424" s="19">
        <v>1</v>
      </c>
      <c r="J2424" s="19">
        <v>40</v>
      </c>
      <c r="K2424" s="19">
        <v>74.5</v>
      </c>
      <c r="L2424" s="19">
        <v>2980</v>
      </c>
      <c r="M2424" s="19">
        <v>-229.16</v>
      </c>
      <c r="N2424" s="19">
        <v>0</v>
      </c>
      <c r="O2424" s="19">
        <v>357.609466</v>
      </c>
      <c r="P2424" s="19">
        <v>3108.449466</v>
      </c>
    </row>
    <row r="2425" spans="1:16" ht="15" x14ac:dyDescent="0.2">
      <c r="A2425" s="4" t="s">
        <v>580</v>
      </c>
      <c r="B2425" s="21" t="str">
        <f t="shared" si="74"/>
        <v>Jan-2026</v>
      </c>
      <c r="C2425" s="2" t="str">
        <f t="shared" si="75"/>
        <v>Q4</v>
      </c>
      <c r="D2425" s="2" t="s">
        <v>31</v>
      </c>
      <c r="E2425" s="16">
        <v>46052</v>
      </c>
      <c r="F2425" s="2" t="s">
        <v>511</v>
      </c>
      <c r="G2425" s="2" t="s">
        <v>18</v>
      </c>
      <c r="H2425" s="2" t="s">
        <v>89</v>
      </c>
      <c r="I2425" s="19">
        <v>5</v>
      </c>
      <c r="J2425" s="19">
        <v>350</v>
      </c>
      <c r="K2425" s="19">
        <v>37.25</v>
      </c>
      <c r="L2425" s="19">
        <v>13037.5</v>
      </c>
      <c r="M2425" s="19">
        <v>-1002.58</v>
      </c>
      <c r="N2425" s="19">
        <v>0</v>
      </c>
      <c r="O2425" s="19">
        <v>1564.5407620000001</v>
      </c>
      <c r="P2425" s="19">
        <v>13599.460762000001</v>
      </c>
    </row>
    <row r="2426" spans="1:16" ht="15" x14ac:dyDescent="0.2">
      <c r="A2426" s="4" t="s">
        <v>581</v>
      </c>
      <c r="B2426" s="21" t="str">
        <f t="shared" si="74"/>
        <v>Jan-2026</v>
      </c>
      <c r="C2426" s="2" t="str">
        <f t="shared" si="75"/>
        <v>Q4</v>
      </c>
      <c r="D2426" s="2" t="s">
        <v>31</v>
      </c>
      <c r="E2426" s="16">
        <v>46052</v>
      </c>
      <c r="F2426" s="2" t="s">
        <v>511</v>
      </c>
      <c r="G2426" s="2" t="s">
        <v>18</v>
      </c>
      <c r="H2426" s="2" t="s">
        <v>104</v>
      </c>
      <c r="I2426" s="19">
        <v>1</v>
      </c>
      <c r="J2426" s="19">
        <v>40</v>
      </c>
      <c r="K2426" s="19">
        <v>74.5</v>
      </c>
      <c r="L2426" s="19">
        <v>2980</v>
      </c>
      <c r="M2426" s="19">
        <v>-229.16</v>
      </c>
      <c r="N2426" s="19">
        <v>0</v>
      </c>
      <c r="O2426" s="19">
        <v>357.609466</v>
      </c>
      <c r="P2426" s="19">
        <v>3108.449466</v>
      </c>
    </row>
    <row r="2427" spans="1:16" ht="15" x14ac:dyDescent="0.2">
      <c r="A2427" s="4" t="s">
        <v>575</v>
      </c>
      <c r="B2427" s="21" t="str">
        <f t="shared" si="74"/>
        <v>Jan-2026</v>
      </c>
      <c r="C2427" s="2" t="str">
        <f t="shared" si="75"/>
        <v>Q4</v>
      </c>
      <c r="D2427" s="2" t="s">
        <v>31</v>
      </c>
      <c r="E2427" s="16">
        <v>46052</v>
      </c>
      <c r="F2427" s="2" t="s">
        <v>511</v>
      </c>
      <c r="G2427" s="2" t="s">
        <v>18</v>
      </c>
      <c r="H2427" s="2" t="s">
        <v>55</v>
      </c>
      <c r="I2427" s="19">
        <v>3</v>
      </c>
      <c r="J2427" s="19">
        <v>60</v>
      </c>
      <c r="K2427" s="19">
        <v>186.22</v>
      </c>
      <c r="L2427" s="19">
        <v>11173.199999999999</v>
      </c>
      <c r="M2427" s="19">
        <v>-859.22</v>
      </c>
      <c r="N2427" s="19">
        <v>0</v>
      </c>
      <c r="O2427" s="19">
        <v>1340.8183959999999</v>
      </c>
      <c r="P2427" s="19">
        <v>11654.798396</v>
      </c>
    </row>
    <row r="2428" spans="1:16" ht="15" x14ac:dyDescent="0.2">
      <c r="A2428" s="4" t="s">
        <v>583</v>
      </c>
      <c r="B2428" s="21" t="str">
        <f t="shared" si="74"/>
        <v>Jan-2026</v>
      </c>
      <c r="C2428" s="2" t="str">
        <f t="shared" si="75"/>
        <v>Q4</v>
      </c>
      <c r="D2428" s="2" t="s">
        <v>31</v>
      </c>
      <c r="E2428" s="16">
        <v>46052</v>
      </c>
      <c r="F2428" s="2" t="s">
        <v>511</v>
      </c>
      <c r="G2428" s="2" t="s">
        <v>18</v>
      </c>
      <c r="H2428" s="2" t="s">
        <v>113</v>
      </c>
      <c r="I2428" s="19">
        <v>2</v>
      </c>
      <c r="J2428" s="19">
        <v>30</v>
      </c>
      <c r="K2428" s="19">
        <v>260.72000000000003</v>
      </c>
      <c r="L2428" s="19">
        <v>7821.6</v>
      </c>
      <c r="M2428" s="19">
        <v>-601.48</v>
      </c>
      <c r="N2428" s="19">
        <v>0</v>
      </c>
      <c r="O2428" s="19">
        <v>938.61629700000003</v>
      </c>
      <c r="P2428" s="19">
        <v>8158.7362970000004</v>
      </c>
    </row>
    <row r="2429" spans="1:16" ht="15" x14ac:dyDescent="0.2">
      <c r="A2429" s="4" t="s">
        <v>581</v>
      </c>
      <c r="B2429" s="21" t="str">
        <f t="shared" si="74"/>
        <v>Jan-2026</v>
      </c>
      <c r="C2429" s="2" t="str">
        <f t="shared" si="75"/>
        <v>Q4</v>
      </c>
      <c r="D2429" s="2" t="s">
        <v>31</v>
      </c>
      <c r="E2429" s="16">
        <v>46052</v>
      </c>
      <c r="F2429" s="2" t="s">
        <v>511</v>
      </c>
      <c r="G2429" s="2" t="s">
        <v>18</v>
      </c>
      <c r="H2429" s="2" t="s">
        <v>96</v>
      </c>
      <c r="I2429" s="19">
        <v>1</v>
      </c>
      <c r="J2429" s="19">
        <v>40</v>
      </c>
      <c r="K2429" s="19">
        <v>74.489999999999995</v>
      </c>
      <c r="L2429" s="19">
        <v>2979.6</v>
      </c>
      <c r="M2429" s="19">
        <v>-229.13</v>
      </c>
      <c r="N2429" s="19">
        <v>0</v>
      </c>
      <c r="O2429" s="19">
        <v>357.56136599999996</v>
      </c>
      <c r="P2429" s="19">
        <v>3108.0313660000002</v>
      </c>
    </row>
    <row r="2430" spans="1:16" ht="15" x14ac:dyDescent="0.2">
      <c r="A2430" s="4" t="s">
        <v>583</v>
      </c>
      <c r="B2430" s="21" t="str">
        <f t="shared" si="74"/>
        <v>Jan-2026</v>
      </c>
      <c r="C2430" s="2" t="str">
        <f t="shared" si="75"/>
        <v>Q4</v>
      </c>
      <c r="D2430" s="2" t="s">
        <v>31</v>
      </c>
      <c r="E2430" s="16">
        <v>46052</v>
      </c>
      <c r="F2430" s="2" t="s">
        <v>511</v>
      </c>
      <c r="G2430" s="2" t="s">
        <v>18</v>
      </c>
      <c r="H2430" s="2" t="s">
        <v>109</v>
      </c>
      <c r="I2430" s="19">
        <v>1</v>
      </c>
      <c r="J2430" s="19">
        <v>15</v>
      </c>
      <c r="K2430" s="19">
        <v>260.72000000000003</v>
      </c>
      <c r="L2430" s="19">
        <v>3910.8</v>
      </c>
      <c r="M2430" s="19">
        <v>-300.74</v>
      </c>
      <c r="N2430" s="19">
        <v>0</v>
      </c>
      <c r="O2430" s="19">
        <v>469.30814899999996</v>
      </c>
      <c r="P2430" s="19">
        <v>4079.3681489999999</v>
      </c>
    </row>
    <row r="2431" spans="1:16" ht="15" x14ac:dyDescent="0.2">
      <c r="A2431" s="4" t="s">
        <v>593</v>
      </c>
      <c r="B2431" s="21" t="str">
        <f t="shared" si="74"/>
        <v>Jan-2026</v>
      </c>
      <c r="C2431" s="2" t="str">
        <f t="shared" si="75"/>
        <v>Q4</v>
      </c>
      <c r="D2431" s="2" t="s">
        <v>31</v>
      </c>
      <c r="E2431" s="16">
        <v>46052</v>
      </c>
      <c r="F2431" s="2" t="s">
        <v>512</v>
      </c>
      <c r="G2431" s="2" t="s">
        <v>345</v>
      </c>
      <c r="H2431" s="2" t="s">
        <v>117</v>
      </c>
      <c r="I2431" s="19">
        <v>2</v>
      </c>
      <c r="J2431" s="19">
        <v>8</v>
      </c>
      <c r="K2431" s="19">
        <v>595.94000000000005</v>
      </c>
      <c r="L2431" s="19">
        <v>4767.5200000000004</v>
      </c>
      <c r="M2431" s="19">
        <v>-366.62</v>
      </c>
      <c r="N2431" s="19">
        <v>0</v>
      </c>
      <c r="O2431" s="19">
        <v>572.11705800000004</v>
      </c>
      <c r="P2431" s="19">
        <v>4973.0170580000004</v>
      </c>
    </row>
    <row r="2432" spans="1:16" ht="15" x14ac:dyDescent="0.2">
      <c r="A2432" s="4" t="s">
        <v>579</v>
      </c>
      <c r="B2432" s="21" t="str">
        <f t="shared" si="74"/>
        <v>Jan-2026</v>
      </c>
      <c r="C2432" s="2" t="str">
        <f t="shared" si="75"/>
        <v>Q4</v>
      </c>
      <c r="D2432" s="2" t="s">
        <v>31</v>
      </c>
      <c r="E2432" s="16">
        <v>46052</v>
      </c>
      <c r="F2432" s="2" t="s">
        <v>512</v>
      </c>
      <c r="G2432" s="2" t="s">
        <v>345</v>
      </c>
      <c r="H2432" s="2" t="s">
        <v>91</v>
      </c>
      <c r="I2432" s="19">
        <v>1</v>
      </c>
      <c r="J2432" s="19">
        <v>20</v>
      </c>
      <c r="K2432" s="19">
        <v>204.85</v>
      </c>
      <c r="L2432" s="19">
        <v>4097</v>
      </c>
      <c r="M2432" s="19">
        <v>-315.06</v>
      </c>
      <c r="N2432" s="19">
        <v>0</v>
      </c>
      <c r="O2432" s="19">
        <v>491.65225000000004</v>
      </c>
      <c r="P2432" s="19">
        <v>4273.5922499999997</v>
      </c>
    </row>
    <row r="2433" spans="1:16" ht="15" x14ac:dyDescent="0.2">
      <c r="A2433" s="4" t="s">
        <v>575</v>
      </c>
      <c r="B2433" s="21" t="str">
        <f t="shared" si="74"/>
        <v>Jan-2026</v>
      </c>
      <c r="C2433" s="2" t="str">
        <f t="shared" si="75"/>
        <v>Q4</v>
      </c>
      <c r="D2433" s="2" t="s">
        <v>31</v>
      </c>
      <c r="E2433" s="16">
        <v>46052</v>
      </c>
      <c r="F2433" s="2" t="s">
        <v>512</v>
      </c>
      <c r="G2433" s="2" t="s">
        <v>345</v>
      </c>
      <c r="H2433" s="2" t="s">
        <v>55</v>
      </c>
      <c r="I2433" s="19">
        <v>5</v>
      </c>
      <c r="J2433" s="19">
        <v>100</v>
      </c>
      <c r="K2433" s="19">
        <v>186.22</v>
      </c>
      <c r="L2433" s="19">
        <v>18622</v>
      </c>
      <c r="M2433" s="19">
        <v>-1432.03</v>
      </c>
      <c r="N2433" s="19">
        <v>0</v>
      </c>
      <c r="O2433" s="19">
        <v>2234.696328</v>
      </c>
      <c r="P2433" s="19">
        <v>19424.666327999999</v>
      </c>
    </row>
    <row r="2434" spans="1:16" ht="15" x14ac:dyDescent="0.2">
      <c r="A2434" s="4" t="s">
        <v>579</v>
      </c>
      <c r="B2434" s="21" t="str">
        <f t="shared" si="74"/>
        <v>Jan-2026</v>
      </c>
      <c r="C2434" s="2" t="str">
        <f t="shared" si="75"/>
        <v>Q4</v>
      </c>
      <c r="D2434" s="2" t="s">
        <v>31</v>
      </c>
      <c r="E2434" s="16">
        <v>46052</v>
      </c>
      <c r="F2434" s="2" t="s">
        <v>512</v>
      </c>
      <c r="G2434" s="2" t="s">
        <v>345</v>
      </c>
      <c r="H2434" s="2" t="s">
        <v>112</v>
      </c>
      <c r="I2434" s="19">
        <v>1</v>
      </c>
      <c r="J2434" s="19">
        <v>20</v>
      </c>
      <c r="K2434" s="19">
        <v>204.85</v>
      </c>
      <c r="L2434" s="19">
        <v>4097</v>
      </c>
      <c r="M2434" s="19">
        <v>-315.06</v>
      </c>
      <c r="N2434" s="19">
        <v>0</v>
      </c>
      <c r="O2434" s="19">
        <v>491.65225000000004</v>
      </c>
      <c r="P2434" s="19">
        <v>4273.5922499999997</v>
      </c>
    </row>
    <row r="2435" spans="1:16" ht="15" x14ac:dyDescent="0.2">
      <c r="A2435" s="4" t="s">
        <v>579</v>
      </c>
      <c r="B2435" s="21" t="str">
        <f t="shared" ref="B2435:B2497" si="76">+TEXT(E2435,"MMM-yyy")</f>
        <v>Jan-2026</v>
      </c>
      <c r="C2435" s="2" t="str">
        <f t="shared" ref="C2435:C2497" si="77">"Q" &amp; CHOOSE(MONTH(E2435),4,4,4,1,1,1,2,2,2,3,3,3)</f>
        <v>Q4</v>
      </c>
      <c r="D2435" s="2" t="s">
        <v>31</v>
      </c>
      <c r="E2435" s="16">
        <v>46052</v>
      </c>
      <c r="F2435" s="2" t="s">
        <v>512</v>
      </c>
      <c r="G2435" s="2" t="s">
        <v>345</v>
      </c>
      <c r="H2435" s="2" t="s">
        <v>90</v>
      </c>
      <c r="I2435" s="19">
        <v>1</v>
      </c>
      <c r="J2435" s="19">
        <v>20</v>
      </c>
      <c r="K2435" s="19">
        <v>204.85</v>
      </c>
      <c r="L2435" s="19">
        <v>4097</v>
      </c>
      <c r="M2435" s="19">
        <v>-315.06</v>
      </c>
      <c r="N2435" s="19">
        <v>0</v>
      </c>
      <c r="O2435" s="19">
        <v>491.65225000000004</v>
      </c>
      <c r="P2435" s="19">
        <v>4273.5922499999997</v>
      </c>
    </row>
    <row r="2436" spans="1:16" ht="15" x14ac:dyDescent="0.2">
      <c r="A2436" s="4" t="s">
        <v>583</v>
      </c>
      <c r="B2436" s="21" t="str">
        <f t="shared" si="76"/>
        <v>Jan-2026</v>
      </c>
      <c r="C2436" s="2" t="str">
        <f t="shared" si="77"/>
        <v>Q4</v>
      </c>
      <c r="D2436" s="2" t="s">
        <v>31</v>
      </c>
      <c r="E2436" s="16">
        <v>46052</v>
      </c>
      <c r="F2436" s="2" t="s">
        <v>512</v>
      </c>
      <c r="G2436" s="2" t="s">
        <v>345</v>
      </c>
      <c r="H2436" s="2" t="s">
        <v>109</v>
      </c>
      <c r="I2436" s="19">
        <v>2</v>
      </c>
      <c r="J2436" s="19">
        <v>30</v>
      </c>
      <c r="K2436" s="19">
        <v>260.72000000000003</v>
      </c>
      <c r="L2436" s="19">
        <v>7821.6</v>
      </c>
      <c r="M2436" s="19">
        <v>-601.48</v>
      </c>
      <c r="N2436" s="19">
        <v>0</v>
      </c>
      <c r="O2436" s="19">
        <v>938.61569599999996</v>
      </c>
      <c r="P2436" s="19">
        <v>8158.7356959999997</v>
      </c>
    </row>
    <row r="2437" spans="1:16" ht="15" x14ac:dyDescent="0.2">
      <c r="A2437" s="4" t="s">
        <v>583</v>
      </c>
      <c r="B2437" s="21" t="str">
        <f t="shared" si="76"/>
        <v>Jan-2026</v>
      </c>
      <c r="C2437" s="2" t="str">
        <f t="shared" si="77"/>
        <v>Q4</v>
      </c>
      <c r="D2437" s="2" t="s">
        <v>31</v>
      </c>
      <c r="E2437" s="16">
        <v>46052</v>
      </c>
      <c r="F2437" s="2" t="s">
        <v>512</v>
      </c>
      <c r="G2437" s="2" t="s">
        <v>345</v>
      </c>
      <c r="H2437" s="2" t="s">
        <v>113</v>
      </c>
      <c r="I2437" s="19">
        <v>2</v>
      </c>
      <c r="J2437" s="19">
        <v>30</v>
      </c>
      <c r="K2437" s="19">
        <v>260.72000000000003</v>
      </c>
      <c r="L2437" s="19">
        <v>7821.6</v>
      </c>
      <c r="M2437" s="19">
        <v>-601.48</v>
      </c>
      <c r="N2437" s="19">
        <v>0</v>
      </c>
      <c r="O2437" s="19">
        <v>938.61569599999996</v>
      </c>
      <c r="P2437" s="19">
        <v>8158.7356959999997</v>
      </c>
    </row>
    <row r="2438" spans="1:16" ht="15" x14ac:dyDescent="0.2">
      <c r="A2438" s="4" t="s">
        <v>581</v>
      </c>
      <c r="B2438" s="21" t="str">
        <f t="shared" si="76"/>
        <v>Jan-2026</v>
      </c>
      <c r="C2438" s="2" t="str">
        <f t="shared" si="77"/>
        <v>Q4</v>
      </c>
      <c r="D2438" s="2" t="s">
        <v>31</v>
      </c>
      <c r="E2438" s="16">
        <v>46052</v>
      </c>
      <c r="F2438" s="2" t="s">
        <v>512</v>
      </c>
      <c r="G2438" s="2" t="s">
        <v>345</v>
      </c>
      <c r="H2438" s="2" t="s">
        <v>97</v>
      </c>
      <c r="I2438" s="19">
        <v>1</v>
      </c>
      <c r="J2438" s="19">
        <v>40</v>
      </c>
      <c r="K2438" s="19">
        <v>74.5</v>
      </c>
      <c r="L2438" s="19">
        <v>2980</v>
      </c>
      <c r="M2438" s="19">
        <v>-229.16</v>
      </c>
      <c r="N2438" s="19">
        <v>0</v>
      </c>
      <c r="O2438" s="19">
        <v>357.60923600000001</v>
      </c>
      <c r="P2438" s="19">
        <v>3108.4492359999999</v>
      </c>
    </row>
    <row r="2439" spans="1:16" ht="15" x14ac:dyDescent="0.2">
      <c r="A2439" s="4" t="s">
        <v>581</v>
      </c>
      <c r="B2439" s="21" t="str">
        <f t="shared" si="76"/>
        <v>Jan-2026</v>
      </c>
      <c r="C2439" s="2" t="str">
        <f t="shared" si="77"/>
        <v>Q4</v>
      </c>
      <c r="D2439" s="2" t="s">
        <v>31</v>
      </c>
      <c r="E2439" s="16">
        <v>46052</v>
      </c>
      <c r="F2439" s="2" t="s">
        <v>512</v>
      </c>
      <c r="G2439" s="2" t="s">
        <v>345</v>
      </c>
      <c r="H2439" s="2" t="s">
        <v>104</v>
      </c>
      <c r="I2439" s="19">
        <v>1</v>
      </c>
      <c r="J2439" s="19">
        <v>40</v>
      </c>
      <c r="K2439" s="19">
        <v>74.5</v>
      </c>
      <c r="L2439" s="19">
        <v>2980</v>
      </c>
      <c r="M2439" s="19">
        <v>-229.16</v>
      </c>
      <c r="N2439" s="19">
        <v>0</v>
      </c>
      <c r="O2439" s="19">
        <v>357.60923600000001</v>
      </c>
      <c r="P2439" s="19">
        <v>3108.4492359999999</v>
      </c>
    </row>
    <row r="2440" spans="1:16" ht="15" x14ac:dyDescent="0.2">
      <c r="A2440" s="4" t="s">
        <v>579</v>
      </c>
      <c r="B2440" s="21" t="str">
        <f t="shared" si="76"/>
        <v>Feb-2026</v>
      </c>
      <c r="C2440" s="2" t="str">
        <f t="shared" si="77"/>
        <v>Q4</v>
      </c>
      <c r="D2440" s="2" t="s">
        <v>31</v>
      </c>
      <c r="E2440" s="16">
        <v>46055</v>
      </c>
      <c r="F2440" s="2" t="s">
        <v>513</v>
      </c>
      <c r="G2440" s="2" t="s">
        <v>306</v>
      </c>
      <c r="H2440" s="2" t="s">
        <v>112</v>
      </c>
      <c r="I2440" s="19">
        <v>0.15</v>
      </c>
      <c r="J2440" s="19">
        <v>3</v>
      </c>
      <c r="K2440" s="19">
        <v>194.69</v>
      </c>
      <c r="L2440" s="19">
        <v>584.07000000000005</v>
      </c>
      <c r="M2440" s="19">
        <v>0</v>
      </c>
      <c r="N2440" s="19">
        <v>0</v>
      </c>
      <c r="O2440" s="19">
        <v>75.92880199999999</v>
      </c>
      <c r="P2440" s="19">
        <v>659.99880199999996</v>
      </c>
    </row>
    <row r="2441" spans="1:16" ht="15" x14ac:dyDescent="0.2">
      <c r="A2441" s="4" t="s">
        <v>573</v>
      </c>
      <c r="B2441" s="21" t="str">
        <f t="shared" si="76"/>
        <v>Feb-2026</v>
      </c>
      <c r="C2441" s="2" t="str">
        <f t="shared" si="77"/>
        <v>Q4</v>
      </c>
      <c r="D2441" s="2" t="s">
        <v>31</v>
      </c>
      <c r="E2441" s="16">
        <v>46055</v>
      </c>
      <c r="F2441" s="2" t="s">
        <v>513</v>
      </c>
      <c r="G2441" s="2" t="s">
        <v>306</v>
      </c>
      <c r="H2441" s="2" t="s">
        <v>136</v>
      </c>
      <c r="I2441" s="19">
        <v>0.15</v>
      </c>
      <c r="J2441" s="19">
        <v>6</v>
      </c>
      <c r="K2441" s="19">
        <v>106.19</v>
      </c>
      <c r="L2441" s="19">
        <v>637.14</v>
      </c>
      <c r="M2441" s="19">
        <v>0</v>
      </c>
      <c r="N2441" s="19">
        <v>0</v>
      </c>
      <c r="O2441" s="19">
        <v>82.827875000000006</v>
      </c>
      <c r="P2441" s="19">
        <v>719.96787500000005</v>
      </c>
    </row>
    <row r="2442" spans="1:16" ht="15" x14ac:dyDescent="0.2">
      <c r="A2442" s="4" t="s">
        <v>574</v>
      </c>
      <c r="B2442" s="21" t="str">
        <f t="shared" si="76"/>
        <v>Feb-2026</v>
      </c>
      <c r="C2442" s="2" t="str">
        <f t="shared" si="77"/>
        <v>Q4</v>
      </c>
      <c r="D2442" s="2" t="s">
        <v>31</v>
      </c>
      <c r="E2442" s="16">
        <v>46055</v>
      </c>
      <c r="F2442" s="2" t="s">
        <v>513</v>
      </c>
      <c r="G2442" s="2" t="s">
        <v>306</v>
      </c>
      <c r="H2442" s="2" t="s">
        <v>84</v>
      </c>
      <c r="I2442" s="19">
        <v>0.11</v>
      </c>
      <c r="J2442" s="19">
        <v>2</v>
      </c>
      <c r="K2442" s="19">
        <v>169.81</v>
      </c>
      <c r="L2442" s="19">
        <v>339.62</v>
      </c>
      <c r="M2442" s="19">
        <v>0</v>
      </c>
      <c r="N2442" s="19">
        <v>0</v>
      </c>
      <c r="O2442" s="19">
        <v>44.150427000000008</v>
      </c>
      <c r="P2442" s="19">
        <v>383.77042699999998</v>
      </c>
    </row>
    <row r="2443" spans="1:16" ht="15" x14ac:dyDescent="0.2">
      <c r="A2443" s="4" t="s">
        <v>574</v>
      </c>
      <c r="B2443" s="21" t="str">
        <f t="shared" si="76"/>
        <v>Feb-2026</v>
      </c>
      <c r="C2443" s="2" t="str">
        <f t="shared" si="77"/>
        <v>Q4</v>
      </c>
      <c r="D2443" s="2" t="s">
        <v>31</v>
      </c>
      <c r="E2443" s="16">
        <v>46055</v>
      </c>
      <c r="F2443" s="2" t="s">
        <v>513</v>
      </c>
      <c r="G2443" s="2" t="s">
        <v>306</v>
      </c>
      <c r="H2443" s="2" t="s">
        <v>86</v>
      </c>
      <c r="I2443" s="19">
        <v>0.11</v>
      </c>
      <c r="J2443" s="19">
        <v>2</v>
      </c>
      <c r="K2443" s="19">
        <v>169.81</v>
      </c>
      <c r="L2443" s="19">
        <v>339.62</v>
      </c>
      <c r="M2443" s="19">
        <v>0</v>
      </c>
      <c r="N2443" s="19">
        <v>0</v>
      </c>
      <c r="O2443" s="19">
        <v>44.150427000000008</v>
      </c>
      <c r="P2443" s="19">
        <v>383.77042699999998</v>
      </c>
    </row>
    <row r="2444" spans="1:16" ht="15" x14ac:dyDescent="0.2">
      <c r="A2444" s="4" t="s">
        <v>581</v>
      </c>
      <c r="B2444" s="21" t="str">
        <f t="shared" si="76"/>
        <v>Feb-2026</v>
      </c>
      <c r="C2444" s="2" t="str">
        <f t="shared" si="77"/>
        <v>Q4</v>
      </c>
      <c r="D2444" s="2" t="s">
        <v>31</v>
      </c>
      <c r="E2444" s="16">
        <v>46055</v>
      </c>
      <c r="F2444" s="2" t="s">
        <v>513</v>
      </c>
      <c r="G2444" s="2" t="s">
        <v>306</v>
      </c>
      <c r="H2444" s="2" t="s">
        <v>104</v>
      </c>
      <c r="I2444" s="19">
        <v>0.08</v>
      </c>
      <c r="J2444" s="19">
        <v>3</v>
      </c>
      <c r="K2444" s="19">
        <v>70.8</v>
      </c>
      <c r="L2444" s="19">
        <v>212.4</v>
      </c>
      <c r="M2444" s="19">
        <v>0</v>
      </c>
      <c r="N2444" s="19">
        <v>0</v>
      </c>
      <c r="O2444" s="19">
        <v>27.611892000000001</v>
      </c>
      <c r="P2444" s="19">
        <v>240.01189199999999</v>
      </c>
    </row>
    <row r="2445" spans="1:16" ht="15" x14ac:dyDescent="0.2">
      <c r="A2445" s="4" t="s">
        <v>575</v>
      </c>
      <c r="B2445" s="21" t="str">
        <f t="shared" si="76"/>
        <v>Feb-2026</v>
      </c>
      <c r="C2445" s="2" t="str">
        <f t="shared" si="77"/>
        <v>Q4</v>
      </c>
      <c r="D2445" s="2" t="s">
        <v>31</v>
      </c>
      <c r="E2445" s="16">
        <v>46055</v>
      </c>
      <c r="F2445" s="2" t="s">
        <v>513</v>
      </c>
      <c r="G2445" s="2" t="s">
        <v>306</v>
      </c>
      <c r="H2445" s="2" t="s">
        <v>55</v>
      </c>
      <c r="I2445" s="19">
        <v>0.15</v>
      </c>
      <c r="J2445" s="19">
        <v>3</v>
      </c>
      <c r="K2445" s="19">
        <v>176.99</v>
      </c>
      <c r="L2445" s="19">
        <v>530.97</v>
      </c>
      <c r="M2445" s="19">
        <v>0</v>
      </c>
      <c r="N2445" s="19">
        <v>0</v>
      </c>
      <c r="O2445" s="19">
        <v>69.025829000000002</v>
      </c>
      <c r="P2445" s="19">
        <v>599.99582899999996</v>
      </c>
    </row>
    <row r="2446" spans="1:16" ht="15" x14ac:dyDescent="0.2">
      <c r="A2446" s="4" t="s">
        <v>579</v>
      </c>
      <c r="B2446" s="21" t="str">
        <f t="shared" si="76"/>
        <v>Feb-2026</v>
      </c>
      <c r="C2446" s="2" t="str">
        <f t="shared" si="77"/>
        <v>Q4</v>
      </c>
      <c r="D2446" s="2" t="s">
        <v>31</v>
      </c>
      <c r="E2446" s="16">
        <v>46055</v>
      </c>
      <c r="F2446" s="2" t="s">
        <v>513</v>
      </c>
      <c r="G2446" s="2" t="s">
        <v>306</v>
      </c>
      <c r="H2446" s="2" t="s">
        <v>92</v>
      </c>
      <c r="I2446" s="19">
        <v>0.15</v>
      </c>
      <c r="J2446" s="19">
        <v>3</v>
      </c>
      <c r="K2446" s="19">
        <v>230.09</v>
      </c>
      <c r="L2446" s="19">
        <v>690.2700000000001</v>
      </c>
      <c r="M2446" s="19">
        <v>0</v>
      </c>
      <c r="N2446" s="19">
        <v>0</v>
      </c>
      <c r="O2446" s="19">
        <v>89.734747999999996</v>
      </c>
      <c r="P2446" s="19">
        <v>780.00474799999995</v>
      </c>
    </row>
    <row r="2447" spans="1:16" ht="15" x14ac:dyDescent="0.2">
      <c r="A2447" s="4" t="s">
        <v>573</v>
      </c>
      <c r="B2447" s="21" t="str">
        <f t="shared" si="76"/>
        <v>Feb-2026</v>
      </c>
      <c r="C2447" s="2" t="str">
        <f t="shared" si="77"/>
        <v>Q4</v>
      </c>
      <c r="D2447" s="2" t="s">
        <v>31</v>
      </c>
      <c r="E2447" s="16">
        <v>46055</v>
      </c>
      <c r="F2447" s="2" t="s">
        <v>514</v>
      </c>
      <c r="G2447" s="2" t="s">
        <v>306</v>
      </c>
      <c r="H2447" s="2" t="s">
        <v>111</v>
      </c>
      <c r="I2447" s="19">
        <v>-0.13</v>
      </c>
      <c r="J2447" s="19">
        <v>-5</v>
      </c>
      <c r="K2447" s="19">
        <v>106.19</v>
      </c>
      <c r="L2447" s="19">
        <v>-530.95000000000005</v>
      </c>
      <c r="M2447" s="19">
        <v>0</v>
      </c>
      <c r="N2447" s="19">
        <v>0</v>
      </c>
      <c r="O2447" s="19">
        <v>-69.022989999999993</v>
      </c>
      <c r="P2447" s="19">
        <v>-599.97298999999998</v>
      </c>
    </row>
    <row r="2448" spans="1:16" ht="15" x14ac:dyDescent="0.2">
      <c r="A2448" s="4" t="s">
        <v>574</v>
      </c>
      <c r="B2448" s="21" t="str">
        <f t="shared" si="76"/>
        <v>Feb-2026</v>
      </c>
      <c r="C2448" s="2" t="str">
        <f t="shared" si="77"/>
        <v>Q4</v>
      </c>
      <c r="D2448" s="2" t="s">
        <v>31</v>
      </c>
      <c r="E2448" s="16">
        <v>46055</v>
      </c>
      <c r="F2448" s="2" t="s">
        <v>514</v>
      </c>
      <c r="G2448" s="2" t="s">
        <v>306</v>
      </c>
      <c r="H2448" s="2" t="s">
        <v>84</v>
      </c>
      <c r="I2448" s="19">
        <v>-0.28000000000000003</v>
      </c>
      <c r="J2448" s="19">
        <v>-5</v>
      </c>
      <c r="K2448" s="19">
        <v>169.91</v>
      </c>
      <c r="L2448" s="19">
        <v>-849.55000000000007</v>
      </c>
      <c r="M2448" s="19">
        <v>0</v>
      </c>
      <c r="N2448" s="19">
        <v>0</v>
      </c>
      <c r="O2448" s="19">
        <v>-110.440684</v>
      </c>
      <c r="P2448" s="19">
        <v>-959.99068399999999</v>
      </c>
    </row>
    <row r="2449" spans="1:16" ht="15" x14ac:dyDescent="0.2">
      <c r="A2449" s="4" t="s">
        <v>574</v>
      </c>
      <c r="B2449" s="21" t="str">
        <f t="shared" si="76"/>
        <v>Feb-2026</v>
      </c>
      <c r="C2449" s="2" t="str">
        <f t="shared" si="77"/>
        <v>Q4</v>
      </c>
      <c r="D2449" s="2" t="s">
        <v>31</v>
      </c>
      <c r="E2449" s="16">
        <v>46055</v>
      </c>
      <c r="F2449" s="2" t="s">
        <v>514</v>
      </c>
      <c r="G2449" s="2" t="s">
        <v>306</v>
      </c>
      <c r="H2449" s="2" t="s">
        <v>86</v>
      </c>
      <c r="I2449" s="19">
        <v>-0.28000000000000003</v>
      </c>
      <c r="J2449" s="19">
        <v>-5</v>
      </c>
      <c r="K2449" s="19">
        <v>169.91</v>
      </c>
      <c r="L2449" s="19">
        <v>-849.55000000000007</v>
      </c>
      <c r="M2449" s="19">
        <v>0</v>
      </c>
      <c r="N2449" s="19">
        <v>0</v>
      </c>
      <c r="O2449" s="19">
        <v>-110.440684</v>
      </c>
      <c r="P2449" s="19">
        <v>-959.99068399999999</v>
      </c>
    </row>
    <row r="2450" spans="1:16" ht="15" x14ac:dyDescent="0.2">
      <c r="A2450" s="4" t="s">
        <v>584</v>
      </c>
      <c r="B2450" s="21" t="str">
        <f t="shared" si="76"/>
        <v>Feb-2026</v>
      </c>
      <c r="C2450" s="2" t="str">
        <f t="shared" si="77"/>
        <v>Q4</v>
      </c>
      <c r="D2450" s="2" t="s">
        <v>31</v>
      </c>
      <c r="E2450" s="16">
        <v>46055</v>
      </c>
      <c r="F2450" s="2" t="s">
        <v>514</v>
      </c>
      <c r="G2450" s="2" t="s">
        <v>306</v>
      </c>
      <c r="H2450" s="2" t="s">
        <v>100</v>
      </c>
      <c r="I2450" s="19">
        <v>-0.13</v>
      </c>
      <c r="J2450" s="19">
        <v>-5</v>
      </c>
      <c r="K2450" s="19">
        <v>77.88</v>
      </c>
      <c r="L2450" s="19">
        <v>-389.4</v>
      </c>
      <c r="M2450" s="19">
        <v>0</v>
      </c>
      <c r="N2450" s="19">
        <v>0</v>
      </c>
      <c r="O2450" s="19">
        <v>-50.621625999999999</v>
      </c>
      <c r="P2450" s="19">
        <v>-440.02162600000003</v>
      </c>
    </row>
    <row r="2451" spans="1:16" ht="15" x14ac:dyDescent="0.2">
      <c r="A2451" s="4" t="s">
        <v>589</v>
      </c>
      <c r="B2451" s="21" t="str">
        <f t="shared" si="76"/>
        <v>Feb-2026</v>
      </c>
      <c r="C2451" s="2" t="str">
        <f t="shared" si="77"/>
        <v>Q4</v>
      </c>
      <c r="D2451" s="2" t="s">
        <v>31</v>
      </c>
      <c r="E2451" s="16">
        <v>46056</v>
      </c>
      <c r="F2451" s="2" t="s">
        <v>515</v>
      </c>
      <c r="G2451" s="2" t="s">
        <v>25</v>
      </c>
      <c r="H2451" s="2" t="s">
        <v>105</v>
      </c>
      <c r="I2451" s="19">
        <v>1</v>
      </c>
      <c r="J2451" s="19">
        <v>30</v>
      </c>
      <c r="K2451" s="19">
        <v>282.08</v>
      </c>
      <c r="L2451" s="19">
        <v>8462.4</v>
      </c>
      <c r="M2451" s="19">
        <v>0</v>
      </c>
      <c r="N2451" s="19">
        <v>0</v>
      </c>
      <c r="O2451" s="19">
        <v>1100.113059</v>
      </c>
      <c r="P2451" s="19">
        <v>9562.5130590000008</v>
      </c>
    </row>
    <row r="2452" spans="1:16" ht="15" x14ac:dyDescent="0.2">
      <c r="A2452" s="4" t="s">
        <v>581</v>
      </c>
      <c r="B2452" s="21" t="str">
        <f t="shared" si="76"/>
        <v>Feb-2026</v>
      </c>
      <c r="C2452" s="2" t="str">
        <f t="shared" si="77"/>
        <v>Q4</v>
      </c>
      <c r="D2452" s="2" t="s">
        <v>31</v>
      </c>
      <c r="E2452" s="16">
        <v>46056</v>
      </c>
      <c r="F2452" s="2" t="s">
        <v>515</v>
      </c>
      <c r="G2452" s="2" t="s">
        <v>25</v>
      </c>
      <c r="H2452" s="2" t="s">
        <v>96</v>
      </c>
      <c r="I2452" s="19">
        <v>3</v>
      </c>
      <c r="J2452" s="19">
        <v>120</v>
      </c>
      <c r="K2452" s="19">
        <v>66.37</v>
      </c>
      <c r="L2452" s="19">
        <v>7964.4000000000005</v>
      </c>
      <c r="M2452" s="19">
        <v>0</v>
      </c>
      <c r="N2452" s="19">
        <v>0</v>
      </c>
      <c r="O2452" s="19">
        <v>1035.3729969999999</v>
      </c>
      <c r="P2452" s="19">
        <v>8999.772997</v>
      </c>
    </row>
    <row r="2453" spans="1:16" ht="15" x14ac:dyDescent="0.2">
      <c r="A2453" s="4" t="s">
        <v>589</v>
      </c>
      <c r="B2453" s="21" t="str">
        <f t="shared" si="76"/>
        <v>Feb-2026</v>
      </c>
      <c r="C2453" s="2" t="str">
        <f t="shared" si="77"/>
        <v>Q4</v>
      </c>
      <c r="D2453" s="2" t="s">
        <v>31</v>
      </c>
      <c r="E2453" s="16">
        <v>46056</v>
      </c>
      <c r="F2453" s="2" t="s">
        <v>515</v>
      </c>
      <c r="G2453" s="2" t="s">
        <v>25</v>
      </c>
      <c r="H2453" s="2" t="s">
        <v>98</v>
      </c>
      <c r="I2453" s="19">
        <v>2</v>
      </c>
      <c r="J2453" s="19">
        <v>120</v>
      </c>
      <c r="K2453" s="19">
        <v>129.41999999999999</v>
      </c>
      <c r="L2453" s="19">
        <v>15530.4</v>
      </c>
      <c r="M2453" s="19">
        <v>0</v>
      </c>
      <c r="N2453" s="19">
        <v>0</v>
      </c>
      <c r="O2453" s="19">
        <v>2018.9539439999999</v>
      </c>
      <c r="P2453" s="19">
        <v>17549.353943999999</v>
      </c>
    </row>
    <row r="2454" spans="1:16" ht="15" x14ac:dyDescent="0.2">
      <c r="A2454" s="4" t="s">
        <v>584</v>
      </c>
      <c r="B2454" s="21" t="str">
        <f t="shared" si="76"/>
        <v>Feb-2026</v>
      </c>
      <c r="C2454" s="2" t="str">
        <f t="shared" si="77"/>
        <v>Q4</v>
      </c>
      <c r="D2454" s="2" t="s">
        <v>31</v>
      </c>
      <c r="E2454" s="16">
        <v>46056</v>
      </c>
      <c r="F2454" s="2" t="s">
        <v>516</v>
      </c>
      <c r="G2454" s="2" t="s">
        <v>130</v>
      </c>
      <c r="H2454" s="2" t="s">
        <v>120</v>
      </c>
      <c r="I2454" s="19">
        <v>0.38</v>
      </c>
      <c r="J2454" s="19">
        <v>15</v>
      </c>
      <c r="K2454" s="19">
        <v>81.94</v>
      </c>
      <c r="L2454" s="19">
        <v>1229.1000000000001</v>
      </c>
      <c r="M2454" s="19">
        <v>-94.52</v>
      </c>
      <c r="N2454" s="19">
        <v>0</v>
      </c>
      <c r="O2454" s="19">
        <v>147.49552700000001</v>
      </c>
      <c r="P2454" s="19">
        <v>1282.075527</v>
      </c>
    </row>
    <row r="2455" spans="1:16" ht="15" x14ac:dyDescent="0.2">
      <c r="A2455" s="4" t="s">
        <v>593</v>
      </c>
      <c r="B2455" s="21" t="str">
        <f t="shared" si="76"/>
        <v>Feb-2026</v>
      </c>
      <c r="C2455" s="2" t="str">
        <f t="shared" si="77"/>
        <v>Q4</v>
      </c>
      <c r="D2455" s="2" t="s">
        <v>31</v>
      </c>
      <c r="E2455" s="16">
        <v>46056</v>
      </c>
      <c r="F2455" s="2" t="s">
        <v>516</v>
      </c>
      <c r="G2455" s="2" t="s">
        <v>130</v>
      </c>
      <c r="H2455" s="2" t="s">
        <v>117</v>
      </c>
      <c r="I2455" s="19">
        <v>3.75</v>
      </c>
      <c r="J2455" s="19">
        <v>15</v>
      </c>
      <c r="K2455" s="19">
        <v>595.92999999999995</v>
      </c>
      <c r="L2455" s="19">
        <v>8938.9499999999989</v>
      </c>
      <c r="M2455" s="19">
        <v>-687.41</v>
      </c>
      <c r="N2455" s="19">
        <v>0</v>
      </c>
      <c r="O2455" s="19">
        <v>1072.7011219999999</v>
      </c>
      <c r="P2455" s="19">
        <v>9324.2411219999995</v>
      </c>
    </row>
    <row r="2456" spans="1:16" ht="15" x14ac:dyDescent="0.2">
      <c r="A2456" s="4" t="s">
        <v>589</v>
      </c>
      <c r="B2456" s="21" t="str">
        <f t="shared" si="76"/>
        <v>Feb-2026</v>
      </c>
      <c r="C2456" s="2" t="str">
        <f t="shared" si="77"/>
        <v>Q4</v>
      </c>
      <c r="D2456" s="2" t="s">
        <v>31</v>
      </c>
      <c r="E2456" s="16">
        <v>46056</v>
      </c>
      <c r="F2456" s="2" t="s">
        <v>516</v>
      </c>
      <c r="G2456" s="2" t="s">
        <v>130</v>
      </c>
      <c r="H2456" s="2" t="s">
        <v>98</v>
      </c>
      <c r="I2456" s="19">
        <v>1</v>
      </c>
      <c r="J2456" s="19">
        <v>60</v>
      </c>
      <c r="K2456" s="19">
        <v>145.26</v>
      </c>
      <c r="L2456" s="19">
        <v>8715.6</v>
      </c>
      <c r="M2456" s="19">
        <v>-670.23</v>
      </c>
      <c r="N2456" s="19">
        <v>0</v>
      </c>
      <c r="O2456" s="19">
        <v>1045.898999</v>
      </c>
      <c r="P2456" s="19">
        <v>9091.2689989999999</v>
      </c>
    </row>
    <row r="2457" spans="1:16" ht="15" x14ac:dyDescent="0.2">
      <c r="A2457" s="4" t="s">
        <v>584</v>
      </c>
      <c r="B2457" s="21" t="str">
        <f t="shared" si="76"/>
        <v>Feb-2026</v>
      </c>
      <c r="C2457" s="2" t="str">
        <f t="shared" si="77"/>
        <v>Q4</v>
      </c>
      <c r="D2457" s="2" t="s">
        <v>31</v>
      </c>
      <c r="E2457" s="16">
        <v>46056</v>
      </c>
      <c r="F2457" s="2" t="s">
        <v>516</v>
      </c>
      <c r="G2457" s="2" t="s">
        <v>130</v>
      </c>
      <c r="H2457" s="2" t="s">
        <v>100</v>
      </c>
      <c r="I2457" s="19">
        <v>0.55000000000000004</v>
      </c>
      <c r="J2457" s="19">
        <v>22</v>
      </c>
      <c r="K2457" s="19">
        <v>81.94</v>
      </c>
      <c r="L2457" s="19">
        <v>1802.68</v>
      </c>
      <c r="M2457" s="19">
        <v>-138.63</v>
      </c>
      <c r="N2457" s="19">
        <v>0</v>
      </c>
      <c r="O2457" s="19">
        <v>216.326686</v>
      </c>
      <c r="P2457" s="19">
        <v>1880.3766860000001</v>
      </c>
    </row>
    <row r="2458" spans="1:16" ht="15" x14ac:dyDescent="0.2">
      <c r="A2458" s="4" t="s">
        <v>582</v>
      </c>
      <c r="B2458" s="21" t="str">
        <f t="shared" si="76"/>
        <v>Feb-2026</v>
      </c>
      <c r="C2458" s="2" t="str">
        <f t="shared" si="77"/>
        <v>Q4</v>
      </c>
      <c r="D2458" s="2" t="s">
        <v>31</v>
      </c>
      <c r="E2458" s="16">
        <v>46056</v>
      </c>
      <c r="F2458" s="2" t="s">
        <v>516</v>
      </c>
      <c r="G2458" s="2" t="s">
        <v>130</v>
      </c>
      <c r="H2458" s="2" t="s">
        <v>77</v>
      </c>
      <c r="I2458" s="19">
        <v>0.71</v>
      </c>
      <c r="J2458" s="19">
        <v>17</v>
      </c>
      <c r="K2458" s="19">
        <v>204.85</v>
      </c>
      <c r="L2458" s="19">
        <v>3482.4500000000003</v>
      </c>
      <c r="M2458" s="19">
        <v>-267.8</v>
      </c>
      <c r="N2458" s="19">
        <v>0</v>
      </c>
      <c r="O2458" s="19">
        <v>417.90485900000004</v>
      </c>
      <c r="P2458" s="19">
        <v>3632.5548589999999</v>
      </c>
    </row>
    <row r="2459" spans="1:16" ht="15" x14ac:dyDescent="0.2">
      <c r="A2459" s="4" t="s">
        <v>584</v>
      </c>
      <c r="B2459" s="21" t="str">
        <f t="shared" si="76"/>
        <v>Feb-2026</v>
      </c>
      <c r="C2459" s="2" t="str">
        <f t="shared" si="77"/>
        <v>Q4</v>
      </c>
      <c r="D2459" s="2" t="s">
        <v>31</v>
      </c>
      <c r="E2459" s="16">
        <v>46056</v>
      </c>
      <c r="F2459" s="2" t="s">
        <v>516</v>
      </c>
      <c r="G2459" s="2" t="s">
        <v>130</v>
      </c>
      <c r="H2459" s="2" t="s">
        <v>99</v>
      </c>
      <c r="I2459" s="19">
        <v>0.85</v>
      </c>
      <c r="J2459" s="19">
        <v>34</v>
      </c>
      <c r="K2459" s="19">
        <v>81.94</v>
      </c>
      <c r="L2459" s="19">
        <v>2785.9599999999996</v>
      </c>
      <c r="M2459" s="19">
        <v>-214.24</v>
      </c>
      <c r="N2459" s="19">
        <v>0</v>
      </c>
      <c r="O2459" s="19">
        <v>334.32388700000001</v>
      </c>
      <c r="P2459" s="19">
        <v>2906.0438869999998</v>
      </c>
    </row>
    <row r="2460" spans="1:16" ht="15" x14ac:dyDescent="0.2">
      <c r="A2460" s="4" t="s">
        <v>581</v>
      </c>
      <c r="B2460" s="21" t="str">
        <f t="shared" si="76"/>
        <v>Feb-2026</v>
      </c>
      <c r="C2460" s="2" t="str">
        <f t="shared" si="77"/>
        <v>Q4</v>
      </c>
      <c r="D2460" s="2" t="s">
        <v>31</v>
      </c>
      <c r="E2460" s="16">
        <v>46056</v>
      </c>
      <c r="F2460" s="2" t="s">
        <v>516</v>
      </c>
      <c r="G2460" s="2" t="s">
        <v>130</v>
      </c>
      <c r="H2460" s="2" t="s">
        <v>66</v>
      </c>
      <c r="I2460" s="19">
        <v>0.92</v>
      </c>
      <c r="J2460" s="19">
        <v>22</v>
      </c>
      <c r="K2460" s="19">
        <v>141.53</v>
      </c>
      <c r="L2460" s="19">
        <v>3113.6600000000003</v>
      </c>
      <c r="M2460" s="19">
        <v>-239.44</v>
      </c>
      <c r="N2460" s="19">
        <v>0</v>
      </c>
      <c r="O2460" s="19">
        <v>373.64892100000003</v>
      </c>
      <c r="P2460" s="19">
        <v>3247.8689209999998</v>
      </c>
    </row>
    <row r="2461" spans="1:16" ht="15" x14ac:dyDescent="0.2">
      <c r="A2461" s="4" t="s">
        <v>593</v>
      </c>
      <c r="B2461" s="21" t="str">
        <f t="shared" si="76"/>
        <v>Feb-2026</v>
      </c>
      <c r="C2461" s="2" t="str">
        <f t="shared" si="77"/>
        <v>Q4</v>
      </c>
      <c r="D2461" s="2" t="s">
        <v>31</v>
      </c>
      <c r="E2461" s="16">
        <v>46056</v>
      </c>
      <c r="F2461" s="2" t="s">
        <v>517</v>
      </c>
      <c r="G2461" s="2" t="s">
        <v>215</v>
      </c>
      <c r="H2461" s="2" t="s">
        <v>117</v>
      </c>
      <c r="I2461" s="19">
        <v>-3.75</v>
      </c>
      <c r="J2461" s="19">
        <v>-15</v>
      </c>
      <c r="K2461" s="19">
        <v>595.92999999999995</v>
      </c>
      <c r="L2461" s="19">
        <v>-8938.9499999999989</v>
      </c>
      <c r="M2461" s="19">
        <v>317.57</v>
      </c>
      <c r="N2461" s="19">
        <v>0</v>
      </c>
      <c r="O2461" s="19">
        <v>-1120.7792810000001</v>
      </c>
      <c r="P2461" s="19">
        <v>-9742.1592810000002</v>
      </c>
    </row>
    <row r="2462" spans="1:16" ht="15" x14ac:dyDescent="0.2">
      <c r="A2462" s="4" t="s">
        <v>589</v>
      </c>
      <c r="B2462" s="21" t="str">
        <f t="shared" si="76"/>
        <v>Feb-2026</v>
      </c>
      <c r="C2462" s="2" t="str">
        <f t="shared" si="77"/>
        <v>Q4</v>
      </c>
      <c r="D2462" s="2" t="s">
        <v>31</v>
      </c>
      <c r="E2462" s="16">
        <v>46056</v>
      </c>
      <c r="F2462" s="2" t="s">
        <v>517</v>
      </c>
      <c r="G2462" s="2" t="s">
        <v>215</v>
      </c>
      <c r="H2462" s="2" t="s">
        <v>98</v>
      </c>
      <c r="I2462" s="19">
        <v>-1</v>
      </c>
      <c r="J2462" s="19">
        <v>-60</v>
      </c>
      <c r="K2462" s="19">
        <v>145.26</v>
      </c>
      <c r="L2462" s="19">
        <v>-8715.6</v>
      </c>
      <c r="M2462" s="19">
        <v>317.57</v>
      </c>
      <c r="N2462" s="19">
        <v>0</v>
      </c>
      <c r="O2462" s="19">
        <v>-1091.7437850000001</v>
      </c>
      <c r="P2462" s="19">
        <v>-9489.7737849999994</v>
      </c>
    </row>
    <row r="2463" spans="1:16" ht="15" x14ac:dyDescent="0.2">
      <c r="A2463" s="4" t="s">
        <v>584</v>
      </c>
      <c r="B2463" s="21" t="str">
        <f t="shared" si="76"/>
        <v>Feb-2026</v>
      </c>
      <c r="C2463" s="2" t="str">
        <f t="shared" si="77"/>
        <v>Q4</v>
      </c>
      <c r="D2463" s="2" t="s">
        <v>31</v>
      </c>
      <c r="E2463" s="16">
        <v>46056</v>
      </c>
      <c r="F2463" s="2" t="s">
        <v>517</v>
      </c>
      <c r="G2463" s="2" t="s">
        <v>215</v>
      </c>
      <c r="H2463" s="2" t="s">
        <v>120</v>
      </c>
      <c r="I2463" s="19">
        <v>-0.38</v>
      </c>
      <c r="J2463" s="19">
        <v>-15</v>
      </c>
      <c r="K2463" s="19">
        <v>81.94</v>
      </c>
      <c r="L2463" s="19">
        <v>-1229.1000000000001</v>
      </c>
      <c r="M2463" s="19">
        <v>317.57</v>
      </c>
      <c r="N2463" s="19">
        <v>0</v>
      </c>
      <c r="O2463" s="19">
        <v>-118.49888700000001</v>
      </c>
      <c r="P2463" s="19">
        <v>-1030.0288869999999</v>
      </c>
    </row>
    <row r="2464" spans="1:16" ht="15" x14ac:dyDescent="0.2">
      <c r="A2464" s="4" t="s">
        <v>584</v>
      </c>
      <c r="B2464" s="21" t="str">
        <f t="shared" si="76"/>
        <v>Feb-2026</v>
      </c>
      <c r="C2464" s="2" t="str">
        <f t="shared" si="77"/>
        <v>Q4</v>
      </c>
      <c r="D2464" s="2" t="s">
        <v>31</v>
      </c>
      <c r="E2464" s="16">
        <v>46056</v>
      </c>
      <c r="F2464" s="2" t="s">
        <v>517</v>
      </c>
      <c r="G2464" s="2" t="s">
        <v>215</v>
      </c>
      <c r="H2464" s="2" t="s">
        <v>100</v>
      </c>
      <c r="I2464" s="19">
        <v>-0.55000000000000004</v>
      </c>
      <c r="J2464" s="19">
        <v>-22</v>
      </c>
      <c r="K2464" s="19">
        <v>81.94</v>
      </c>
      <c r="L2464" s="19">
        <v>-1802.68</v>
      </c>
      <c r="M2464" s="19">
        <v>317.57</v>
      </c>
      <c r="N2464" s="19">
        <v>0</v>
      </c>
      <c r="O2464" s="19">
        <v>-193.06428</v>
      </c>
      <c r="P2464" s="19">
        <v>-1678.17428</v>
      </c>
    </row>
    <row r="2465" spans="1:16" ht="15" x14ac:dyDescent="0.2">
      <c r="A2465" s="4" t="s">
        <v>584</v>
      </c>
      <c r="B2465" s="21" t="str">
        <f t="shared" si="76"/>
        <v>Feb-2026</v>
      </c>
      <c r="C2465" s="2" t="str">
        <f t="shared" si="77"/>
        <v>Q4</v>
      </c>
      <c r="D2465" s="2" t="s">
        <v>31</v>
      </c>
      <c r="E2465" s="16">
        <v>46056</v>
      </c>
      <c r="F2465" s="2" t="s">
        <v>517</v>
      </c>
      <c r="G2465" s="2" t="s">
        <v>215</v>
      </c>
      <c r="H2465" s="2" t="s">
        <v>99</v>
      </c>
      <c r="I2465" s="19">
        <v>-0.85</v>
      </c>
      <c r="J2465" s="19">
        <v>-34</v>
      </c>
      <c r="K2465" s="19">
        <v>81.94</v>
      </c>
      <c r="L2465" s="19">
        <v>-2785.9599999999996</v>
      </c>
      <c r="M2465" s="19">
        <v>317.57</v>
      </c>
      <c r="N2465" s="19">
        <v>0</v>
      </c>
      <c r="O2465" s="19">
        <v>-320.89066600000001</v>
      </c>
      <c r="P2465" s="19">
        <v>-2789.2806660000001</v>
      </c>
    </row>
    <row r="2466" spans="1:16" ht="15" x14ac:dyDescent="0.2">
      <c r="A2466" s="4" t="s">
        <v>582</v>
      </c>
      <c r="B2466" s="21" t="str">
        <f t="shared" si="76"/>
        <v>Feb-2026</v>
      </c>
      <c r="C2466" s="2" t="str">
        <f t="shared" si="77"/>
        <v>Q4</v>
      </c>
      <c r="D2466" s="2" t="s">
        <v>31</v>
      </c>
      <c r="E2466" s="16">
        <v>46056</v>
      </c>
      <c r="F2466" s="2" t="s">
        <v>517</v>
      </c>
      <c r="G2466" s="2" t="s">
        <v>215</v>
      </c>
      <c r="H2466" s="2" t="s">
        <v>77</v>
      </c>
      <c r="I2466" s="19">
        <v>-0.71</v>
      </c>
      <c r="J2466" s="19">
        <v>-17</v>
      </c>
      <c r="K2466" s="19">
        <v>204.85</v>
      </c>
      <c r="L2466" s="19">
        <v>-3482.4500000000003</v>
      </c>
      <c r="M2466" s="19">
        <v>317.57</v>
      </c>
      <c r="N2466" s="19">
        <v>0</v>
      </c>
      <c r="O2466" s="19">
        <v>-411.43435599999998</v>
      </c>
      <c r="P2466" s="19">
        <v>-3576.3143559999999</v>
      </c>
    </row>
    <row r="2467" spans="1:16" ht="15" x14ac:dyDescent="0.2">
      <c r="A2467" s="4" t="s">
        <v>581</v>
      </c>
      <c r="B2467" s="21" t="str">
        <f t="shared" si="76"/>
        <v>Feb-2026</v>
      </c>
      <c r="C2467" s="2" t="str">
        <f t="shared" si="77"/>
        <v>Q4</v>
      </c>
      <c r="D2467" s="2" t="s">
        <v>31</v>
      </c>
      <c r="E2467" s="16">
        <v>46056</v>
      </c>
      <c r="F2467" s="2" t="s">
        <v>517</v>
      </c>
      <c r="G2467" s="2" t="s">
        <v>215</v>
      </c>
      <c r="H2467" s="2" t="s">
        <v>66</v>
      </c>
      <c r="I2467" s="19">
        <v>-0.92</v>
      </c>
      <c r="J2467" s="19">
        <v>-22</v>
      </c>
      <c r="K2467" s="19">
        <v>141.53</v>
      </c>
      <c r="L2467" s="19">
        <v>-3113.6600000000003</v>
      </c>
      <c r="M2467" s="19">
        <v>317.57</v>
      </c>
      <c r="N2467" s="19">
        <v>0</v>
      </c>
      <c r="O2467" s="19">
        <v>-363.49166200000002</v>
      </c>
      <c r="P2467" s="19">
        <v>-3159.5816620000001</v>
      </c>
    </row>
    <row r="2468" spans="1:16" ht="15" x14ac:dyDescent="0.2">
      <c r="A2468" s="4" t="s">
        <v>581</v>
      </c>
      <c r="B2468" s="21" t="str">
        <f t="shared" si="76"/>
        <v>Feb-2026</v>
      </c>
      <c r="C2468" s="2" t="str">
        <f t="shared" si="77"/>
        <v>Q4</v>
      </c>
      <c r="D2468" s="2" t="s">
        <v>31</v>
      </c>
      <c r="E2468" s="16">
        <v>46056</v>
      </c>
      <c r="F2468" s="2" t="s">
        <v>517</v>
      </c>
      <c r="G2468" s="2" t="s">
        <v>215</v>
      </c>
      <c r="H2468" s="2" t="s">
        <v>125</v>
      </c>
      <c r="I2468" s="19">
        <v>-0.78</v>
      </c>
      <c r="J2468" s="19">
        <v>-620</v>
      </c>
      <c r="K2468" s="19">
        <v>7.45</v>
      </c>
      <c r="L2468" s="19">
        <v>-4619</v>
      </c>
      <c r="M2468" s="19">
        <v>317.57</v>
      </c>
      <c r="N2468" s="19">
        <v>0</v>
      </c>
      <c r="O2468" s="19">
        <v>-559.18584099999998</v>
      </c>
      <c r="P2468" s="19">
        <v>-4860.6158409999998</v>
      </c>
    </row>
    <row r="2469" spans="1:16" ht="15" x14ac:dyDescent="0.2">
      <c r="A2469" s="4" t="s">
        <v>586</v>
      </c>
      <c r="B2469" s="21" t="str">
        <f t="shared" si="76"/>
        <v>Feb-2026</v>
      </c>
      <c r="C2469" s="2" t="str">
        <f t="shared" si="77"/>
        <v>Q4</v>
      </c>
      <c r="D2469" s="2" t="s">
        <v>31</v>
      </c>
      <c r="E2469" s="16">
        <v>46056</v>
      </c>
      <c r="F2469" s="2" t="s">
        <v>517</v>
      </c>
      <c r="G2469" s="2" t="s">
        <v>215</v>
      </c>
      <c r="H2469" s="2" t="s">
        <v>103</v>
      </c>
      <c r="I2469" s="19">
        <v>-0.8</v>
      </c>
      <c r="J2469" s="19">
        <v>-480</v>
      </c>
      <c r="K2469" s="19">
        <v>7.45</v>
      </c>
      <c r="L2469" s="19">
        <v>-3576</v>
      </c>
      <c r="M2469" s="19">
        <v>317.57</v>
      </c>
      <c r="N2469" s="19">
        <v>0</v>
      </c>
      <c r="O2469" s="19">
        <v>-423.59585500000003</v>
      </c>
      <c r="P2469" s="19">
        <v>-3682.0258549999999</v>
      </c>
    </row>
    <row r="2470" spans="1:16" ht="15" x14ac:dyDescent="0.2">
      <c r="A2470" s="4" t="s">
        <v>581</v>
      </c>
      <c r="B2470" s="21" t="str">
        <f t="shared" si="76"/>
        <v>Feb-2026</v>
      </c>
      <c r="C2470" s="2" t="str">
        <f t="shared" si="77"/>
        <v>Q4</v>
      </c>
      <c r="D2470" s="2" t="s">
        <v>31</v>
      </c>
      <c r="E2470" s="16">
        <v>46056</v>
      </c>
      <c r="F2470" s="2" t="s">
        <v>517</v>
      </c>
      <c r="G2470" s="2" t="s">
        <v>215</v>
      </c>
      <c r="H2470" s="2" t="s">
        <v>125</v>
      </c>
      <c r="I2470" s="19">
        <v>-0.08</v>
      </c>
      <c r="J2470" s="19">
        <v>-60</v>
      </c>
      <c r="K2470" s="19">
        <v>7.45</v>
      </c>
      <c r="L2470" s="19">
        <v>-447</v>
      </c>
      <c r="M2470" s="19">
        <v>317.57</v>
      </c>
      <c r="N2470" s="19">
        <v>0</v>
      </c>
      <c r="O2470" s="19">
        <v>-16.825897999999999</v>
      </c>
      <c r="P2470" s="19">
        <v>-146.255898</v>
      </c>
    </row>
    <row r="2471" spans="1:16" ht="15" x14ac:dyDescent="0.2">
      <c r="A2471" s="4" t="s">
        <v>580</v>
      </c>
      <c r="B2471" s="21" t="str">
        <f t="shared" si="76"/>
        <v>Feb-2026</v>
      </c>
      <c r="C2471" s="2" t="str">
        <f t="shared" si="77"/>
        <v>Q4</v>
      </c>
      <c r="D2471" s="2" t="s">
        <v>31</v>
      </c>
      <c r="E2471" s="16">
        <v>46056</v>
      </c>
      <c r="F2471" s="2" t="s">
        <v>517</v>
      </c>
      <c r="G2471" s="2" t="s">
        <v>215</v>
      </c>
      <c r="H2471" s="2" t="s">
        <v>65</v>
      </c>
      <c r="I2471" s="19">
        <v>-1.74</v>
      </c>
      <c r="J2471" s="19">
        <v>-226</v>
      </c>
      <c r="K2471" s="19">
        <v>37.25</v>
      </c>
      <c r="L2471" s="19">
        <v>-8418.5</v>
      </c>
      <c r="M2471" s="19">
        <v>317.58</v>
      </c>
      <c r="N2471" s="19">
        <v>0</v>
      </c>
      <c r="O2471" s="19">
        <v>-1053.1194890000002</v>
      </c>
      <c r="P2471" s="19">
        <v>-9154.0394890000007</v>
      </c>
    </row>
    <row r="2472" spans="1:16" ht="15" x14ac:dyDescent="0.2">
      <c r="A2472" s="4" t="s">
        <v>582</v>
      </c>
      <c r="B2472" s="21" t="str">
        <f t="shared" si="76"/>
        <v>Feb-2026</v>
      </c>
      <c r="C2472" s="2" t="str">
        <f t="shared" si="77"/>
        <v>Q4</v>
      </c>
      <c r="D2472" s="2" t="s">
        <v>31</v>
      </c>
      <c r="E2472" s="16">
        <v>46057</v>
      </c>
      <c r="F2472" s="2" t="s">
        <v>518</v>
      </c>
      <c r="G2472" s="2" t="s">
        <v>242</v>
      </c>
      <c r="H2472" s="2" t="s">
        <v>108</v>
      </c>
      <c r="I2472" s="19">
        <v>10</v>
      </c>
      <c r="J2472" s="19">
        <v>240</v>
      </c>
      <c r="K2472" s="19">
        <v>186.23</v>
      </c>
      <c r="L2472" s="19">
        <v>44695.199999999997</v>
      </c>
      <c r="M2472" s="19">
        <v>-3437.06</v>
      </c>
      <c r="N2472" s="19">
        <v>0</v>
      </c>
      <c r="O2472" s="19">
        <v>5363.561479</v>
      </c>
      <c r="P2472" s="19">
        <v>46621.701479000003</v>
      </c>
    </row>
    <row r="2473" spans="1:16" ht="15" x14ac:dyDescent="0.2">
      <c r="A2473" s="4" t="s">
        <v>583</v>
      </c>
      <c r="B2473" s="21" t="str">
        <f t="shared" si="76"/>
        <v>Feb-2026</v>
      </c>
      <c r="C2473" s="2" t="str">
        <f t="shared" si="77"/>
        <v>Q4</v>
      </c>
      <c r="D2473" s="2" t="s">
        <v>31</v>
      </c>
      <c r="E2473" s="16">
        <v>46057</v>
      </c>
      <c r="F2473" s="2" t="s">
        <v>518</v>
      </c>
      <c r="G2473" s="2" t="s">
        <v>242</v>
      </c>
      <c r="H2473" s="2" t="s">
        <v>109</v>
      </c>
      <c r="I2473" s="19">
        <v>3</v>
      </c>
      <c r="J2473" s="19">
        <v>45</v>
      </c>
      <c r="K2473" s="19">
        <v>260.72000000000003</v>
      </c>
      <c r="L2473" s="19">
        <v>11732.4</v>
      </c>
      <c r="M2473" s="19">
        <v>-902.22</v>
      </c>
      <c r="N2473" s="19">
        <v>0</v>
      </c>
      <c r="O2473" s="19">
        <v>1407.9242610000001</v>
      </c>
      <c r="P2473" s="19">
        <v>12238.104261</v>
      </c>
    </row>
    <row r="2474" spans="1:16" ht="15" x14ac:dyDescent="0.2">
      <c r="A2474" s="4" t="s">
        <v>583</v>
      </c>
      <c r="B2474" s="21" t="str">
        <f t="shared" si="76"/>
        <v>Feb-2026</v>
      </c>
      <c r="C2474" s="2" t="str">
        <f t="shared" si="77"/>
        <v>Q4</v>
      </c>
      <c r="D2474" s="2" t="s">
        <v>31</v>
      </c>
      <c r="E2474" s="16">
        <v>46057</v>
      </c>
      <c r="F2474" s="2" t="s">
        <v>518</v>
      </c>
      <c r="G2474" s="2" t="s">
        <v>242</v>
      </c>
      <c r="H2474" s="2" t="s">
        <v>113</v>
      </c>
      <c r="I2474" s="19">
        <v>3</v>
      </c>
      <c r="J2474" s="19">
        <v>45</v>
      </c>
      <c r="K2474" s="19">
        <v>260.72000000000003</v>
      </c>
      <c r="L2474" s="19">
        <v>11732.4</v>
      </c>
      <c r="M2474" s="19">
        <v>-902.22</v>
      </c>
      <c r="N2474" s="19">
        <v>0</v>
      </c>
      <c r="O2474" s="19">
        <v>1407.9242610000001</v>
      </c>
      <c r="P2474" s="19">
        <v>12238.104261</v>
      </c>
    </row>
    <row r="2475" spans="1:16" ht="15" x14ac:dyDescent="0.2">
      <c r="A2475" s="4" t="s">
        <v>580</v>
      </c>
      <c r="B2475" s="21" t="str">
        <f t="shared" si="76"/>
        <v>Feb-2026</v>
      </c>
      <c r="C2475" s="2" t="str">
        <f t="shared" si="77"/>
        <v>Q4</v>
      </c>
      <c r="D2475" s="2" t="s">
        <v>31</v>
      </c>
      <c r="E2475" s="16">
        <v>46057</v>
      </c>
      <c r="F2475" s="2" t="s">
        <v>519</v>
      </c>
      <c r="G2475" s="2" t="s">
        <v>12</v>
      </c>
      <c r="H2475" s="2" t="s">
        <v>89</v>
      </c>
      <c r="I2475" s="19">
        <v>10</v>
      </c>
      <c r="J2475" s="19">
        <v>700</v>
      </c>
      <c r="K2475" s="19">
        <v>37.25</v>
      </c>
      <c r="L2475" s="19">
        <v>26075</v>
      </c>
      <c r="M2475" s="19">
        <v>-2005.1699999999998</v>
      </c>
      <c r="N2475" s="19">
        <v>0</v>
      </c>
      <c r="O2475" s="19">
        <v>3129.0800000000004</v>
      </c>
      <c r="P2475" s="19">
        <v>27198.91</v>
      </c>
    </row>
    <row r="2476" spans="1:16" ht="15" x14ac:dyDescent="0.2">
      <c r="A2476" s="4" t="s">
        <v>593</v>
      </c>
      <c r="B2476" s="21" t="str">
        <f t="shared" si="76"/>
        <v>Feb-2026</v>
      </c>
      <c r="C2476" s="2" t="str">
        <f t="shared" si="77"/>
        <v>Q4</v>
      </c>
      <c r="D2476" s="2" t="s">
        <v>31</v>
      </c>
      <c r="E2476" s="16">
        <v>46057</v>
      </c>
      <c r="F2476" s="2" t="s">
        <v>520</v>
      </c>
      <c r="G2476" s="2" t="s">
        <v>187</v>
      </c>
      <c r="H2476" s="2" t="s">
        <v>117</v>
      </c>
      <c r="I2476" s="19">
        <v>20</v>
      </c>
      <c r="J2476" s="19">
        <v>80</v>
      </c>
      <c r="K2476" s="19">
        <v>595.92999999999995</v>
      </c>
      <c r="L2476" s="19">
        <v>47674.400000000001</v>
      </c>
      <c r="M2476" s="19">
        <v>-3666.16</v>
      </c>
      <c r="N2476" s="19">
        <v>0</v>
      </c>
      <c r="O2476" s="19">
        <v>5721.0700000000006</v>
      </c>
      <c r="P2476" s="19">
        <v>49729.31</v>
      </c>
    </row>
    <row r="2477" spans="1:16" ht="15" x14ac:dyDescent="0.2">
      <c r="A2477" s="4" t="s">
        <v>589</v>
      </c>
      <c r="B2477" s="21" t="str">
        <f t="shared" si="76"/>
        <v>Feb-2026</v>
      </c>
      <c r="C2477" s="2" t="str">
        <f t="shared" si="77"/>
        <v>Q4</v>
      </c>
      <c r="D2477" s="2" t="s">
        <v>31</v>
      </c>
      <c r="E2477" s="16">
        <v>46059</v>
      </c>
      <c r="F2477" s="2" t="s">
        <v>521</v>
      </c>
      <c r="G2477" s="2" t="s">
        <v>25</v>
      </c>
      <c r="H2477" s="2" t="s">
        <v>105</v>
      </c>
      <c r="I2477" s="19">
        <v>1</v>
      </c>
      <c r="J2477" s="19">
        <v>30</v>
      </c>
      <c r="K2477" s="19">
        <v>282.08</v>
      </c>
      <c r="L2477" s="19">
        <v>8462.4</v>
      </c>
      <c r="M2477" s="19">
        <v>0</v>
      </c>
      <c r="N2477" s="19">
        <v>0</v>
      </c>
      <c r="O2477" s="19">
        <v>1100.1100000000001</v>
      </c>
      <c r="P2477" s="19">
        <v>9562.51</v>
      </c>
    </row>
    <row r="2478" spans="1:16" ht="15" x14ac:dyDescent="0.2">
      <c r="A2478" s="4" t="s">
        <v>574</v>
      </c>
      <c r="B2478" s="21" t="str">
        <f t="shared" si="76"/>
        <v>Feb-2026</v>
      </c>
      <c r="C2478" s="2" t="str">
        <f t="shared" si="77"/>
        <v>Q4</v>
      </c>
      <c r="D2478" s="2" t="s">
        <v>31</v>
      </c>
      <c r="E2478" s="16">
        <v>46062</v>
      </c>
      <c r="F2478" s="2" t="s">
        <v>522</v>
      </c>
      <c r="G2478" s="2" t="s">
        <v>523</v>
      </c>
      <c r="H2478" s="2" t="s">
        <v>84</v>
      </c>
      <c r="I2478" s="19">
        <v>30</v>
      </c>
      <c r="J2478" s="19">
        <v>540</v>
      </c>
      <c r="K2478" s="19">
        <v>178.78</v>
      </c>
      <c r="L2478" s="19">
        <v>96541.2</v>
      </c>
      <c r="M2478" s="19">
        <v>-7424.0199999999995</v>
      </c>
      <c r="N2478" s="19">
        <v>0</v>
      </c>
      <c r="O2478" s="19">
        <v>11585.23</v>
      </c>
      <c r="P2478" s="19">
        <v>100702.41</v>
      </c>
    </row>
    <row r="2479" spans="1:16" ht="15" x14ac:dyDescent="0.2">
      <c r="A2479" s="4" t="s">
        <v>580</v>
      </c>
      <c r="B2479" s="21" t="str">
        <f t="shared" si="76"/>
        <v>Feb-2026</v>
      </c>
      <c r="C2479" s="2" t="str">
        <f t="shared" si="77"/>
        <v>Q4</v>
      </c>
      <c r="D2479" s="2" t="s">
        <v>31</v>
      </c>
      <c r="E2479" s="16">
        <v>46063</v>
      </c>
      <c r="F2479" s="2" t="s">
        <v>524</v>
      </c>
      <c r="G2479" s="2" t="s">
        <v>46</v>
      </c>
      <c r="H2479" s="2" t="s">
        <v>89</v>
      </c>
      <c r="I2479" s="19">
        <v>10</v>
      </c>
      <c r="J2479" s="19">
        <v>700</v>
      </c>
      <c r="K2479" s="19">
        <v>37.25</v>
      </c>
      <c r="L2479" s="19">
        <v>26075</v>
      </c>
      <c r="M2479" s="19">
        <v>-2005.1699999999998</v>
      </c>
      <c r="N2479" s="19">
        <v>0</v>
      </c>
      <c r="O2479" s="19">
        <v>3129.0786450000001</v>
      </c>
      <c r="P2479" s="19">
        <v>27198.908645</v>
      </c>
    </row>
    <row r="2480" spans="1:16" ht="15" x14ac:dyDescent="0.2">
      <c r="A2480" s="4" t="s">
        <v>573</v>
      </c>
      <c r="B2480" s="21" t="str">
        <f t="shared" si="76"/>
        <v>Feb-2026</v>
      </c>
      <c r="C2480" s="2" t="str">
        <f t="shared" si="77"/>
        <v>Q4</v>
      </c>
      <c r="D2480" s="2" t="s">
        <v>31</v>
      </c>
      <c r="E2480" s="16">
        <v>46063</v>
      </c>
      <c r="F2480" s="2" t="s">
        <v>524</v>
      </c>
      <c r="G2480" s="2" t="s">
        <v>46</v>
      </c>
      <c r="H2480" s="2" t="s">
        <v>138</v>
      </c>
      <c r="I2480" s="19">
        <v>20</v>
      </c>
      <c r="J2480" s="19">
        <v>800</v>
      </c>
      <c r="K2480" s="19">
        <v>111.74</v>
      </c>
      <c r="L2480" s="19">
        <v>89392</v>
      </c>
      <c r="M2480" s="19">
        <v>-6874.24</v>
      </c>
      <c r="N2480" s="19">
        <v>0</v>
      </c>
      <c r="O2480" s="19">
        <v>10727.311355</v>
      </c>
      <c r="P2480" s="19">
        <v>93245.071354999993</v>
      </c>
    </row>
    <row r="2481" spans="1:16" ht="15" x14ac:dyDescent="0.2">
      <c r="A2481" s="4" t="s">
        <v>581</v>
      </c>
      <c r="B2481" s="21" t="str">
        <f t="shared" si="76"/>
        <v>Feb-2026</v>
      </c>
      <c r="C2481" s="2" t="str">
        <f t="shared" si="77"/>
        <v>Q4</v>
      </c>
      <c r="D2481" s="2" t="s">
        <v>31</v>
      </c>
      <c r="E2481" s="16">
        <v>46063</v>
      </c>
      <c r="F2481" s="2" t="s">
        <v>525</v>
      </c>
      <c r="G2481" s="2" t="s">
        <v>25</v>
      </c>
      <c r="H2481" s="2" t="s">
        <v>96</v>
      </c>
      <c r="I2481" s="19">
        <v>4</v>
      </c>
      <c r="J2481" s="19">
        <v>160</v>
      </c>
      <c r="K2481" s="19">
        <v>66.37</v>
      </c>
      <c r="L2481" s="19">
        <v>10619.2</v>
      </c>
      <c r="M2481" s="19">
        <v>0</v>
      </c>
      <c r="N2481" s="19">
        <v>0</v>
      </c>
      <c r="O2481" s="19">
        <v>1380.4956999999999</v>
      </c>
      <c r="P2481" s="19">
        <v>11999.6957</v>
      </c>
    </row>
    <row r="2482" spans="1:16" ht="15" x14ac:dyDescent="0.2">
      <c r="A2482" s="4" t="s">
        <v>581</v>
      </c>
      <c r="B2482" s="21" t="str">
        <f t="shared" si="76"/>
        <v>Feb-2026</v>
      </c>
      <c r="C2482" s="2" t="str">
        <f t="shared" si="77"/>
        <v>Q4</v>
      </c>
      <c r="D2482" s="2" t="s">
        <v>31</v>
      </c>
      <c r="E2482" s="16">
        <v>46063</v>
      </c>
      <c r="F2482" s="2" t="s">
        <v>525</v>
      </c>
      <c r="G2482" s="2" t="s">
        <v>25</v>
      </c>
      <c r="H2482" s="2" t="s">
        <v>66</v>
      </c>
      <c r="I2482" s="19">
        <v>22</v>
      </c>
      <c r="J2482" s="19">
        <v>528</v>
      </c>
      <c r="K2482" s="19">
        <v>126.11</v>
      </c>
      <c r="L2482" s="19">
        <v>66586.080000000002</v>
      </c>
      <c r="M2482" s="19">
        <v>0</v>
      </c>
      <c r="N2482" s="19">
        <v>0</v>
      </c>
      <c r="O2482" s="19">
        <v>8656.1885190000012</v>
      </c>
      <c r="P2482" s="19">
        <v>75242.268519000005</v>
      </c>
    </row>
    <row r="2483" spans="1:16" ht="15" x14ac:dyDescent="0.2">
      <c r="A2483" s="4" t="s">
        <v>589</v>
      </c>
      <c r="B2483" s="21" t="str">
        <f t="shared" si="76"/>
        <v>Feb-2026</v>
      </c>
      <c r="C2483" s="2" t="str">
        <f t="shared" si="77"/>
        <v>Q4</v>
      </c>
      <c r="D2483" s="2" t="s">
        <v>31</v>
      </c>
      <c r="E2483" s="16">
        <v>46063</v>
      </c>
      <c r="F2483" s="2" t="s">
        <v>525</v>
      </c>
      <c r="G2483" s="2" t="s">
        <v>25</v>
      </c>
      <c r="H2483" s="2" t="s">
        <v>98</v>
      </c>
      <c r="I2483" s="19">
        <v>1</v>
      </c>
      <c r="J2483" s="19">
        <v>60</v>
      </c>
      <c r="K2483" s="19">
        <v>129.41999999999999</v>
      </c>
      <c r="L2483" s="19">
        <v>7765.2</v>
      </c>
      <c r="M2483" s="19">
        <v>0</v>
      </c>
      <c r="N2483" s="19">
        <v>0</v>
      </c>
      <c r="O2483" s="19">
        <v>1009.4757810000001</v>
      </c>
      <c r="P2483" s="19">
        <v>8774.6757809999999</v>
      </c>
    </row>
    <row r="2484" spans="1:16" ht="15" x14ac:dyDescent="0.2">
      <c r="A2484" s="4" t="s">
        <v>582</v>
      </c>
      <c r="B2484" s="21" t="str">
        <f t="shared" si="76"/>
        <v>Feb-2026</v>
      </c>
      <c r="C2484" s="2" t="str">
        <f t="shared" si="77"/>
        <v>Q4</v>
      </c>
      <c r="D2484" s="2" t="s">
        <v>31</v>
      </c>
      <c r="E2484" s="16">
        <v>46063</v>
      </c>
      <c r="F2484" s="2" t="s">
        <v>526</v>
      </c>
      <c r="G2484" s="2" t="s">
        <v>12</v>
      </c>
      <c r="H2484" s="2" t="s">
        <v>77</v>
      </c>
      <c r="I2484" s="19">
        <v>3</v>
      </c>
      <c r="J2484" s="19">
        <v>72</v>
      </c>
      <c r="K2484" s="19">
        <v>204.85</v>
      </c>
      <c r="L2484" s="19">
        <v>14749.199999999999</v>
      </c>
      <c r="M2484" s="19">
        <v>-1134.21</v>
      </c>
      <c r="N2484" s="19">
        <v>0</v>
      </c>
      <c r="O2484" s="19">
        <v>1769.9465299999999</v>
      </c>
      <c r="P2484" s="19">
        <v>15384.936530000001</v>
      </c>
    </row>
    <row r="2485" spans="1:16" ht="15" x14ac:dyDescent="0.2">
      <c r="A2485" s="4" t="s">
        <v>576</v>
      </c>
      <c r="B2485" s="21" t="str">
        <f t="shared" si="76"/>
        <v>Feb-2026</v>
      </c>
      <c r="C2485" s="2" t="str">
        <f t="shared" si="77"/>
        <v>Q4</v>
      </c>
      <c r="D2485" s="2" t="s">
        <v>31</v>
      </c>
      <c r="E2485" s="16">
        <v>46063</v>
      </c>
      <c r="F2485" s="2" t="s">
        <v>526</v>
      </c>
      <c r="G2485" s="2" t="s">
        <v>12</v>
      </c>
      <c r="H2485" s="2" t="s">
        <v>56</v>
      </c>
      <c r="I2485" s="19">
        <v>2</v>
      </c>
      <c r="J2485" s="19">
        <v>40</v>
      </c>
      <c r="K2485" s="19">
        <v>175.05</v>
      </c>
      <c r="L2485" s="19">
        <v>7001.9999999999991</v>
      </c>
      <c r="M2485" s="19">
        <v>-538.45000000000005</v>
      </c>
      <c r="N2485" s="19">
        <v>0</v>
      </c>
      <c r="O2485" s="19">
        <v>840.26047000000005</v>
      </c>
      <c r="P2485" s="19">
        <v>7303.8104700000004</v>
      </c>
    </row>
    <row r="2486" spans="1:16" ht="15" x14ac:dyDescent="0.2">
      <c r="A2486" s="4" t="s">
        <v>581</v>
      </c>
      <c r="B2486" s="21" t="str">
        <f t="shared" si="76"/>
        <v>Feb-2026</v>
      </c>
      <c r="C2486" s="2" t="str">
        <f t="shared" si="77"/>
        <v>Q4</v>
      </c>
      <c r="D2486" s="2" t="s">
        <v>31</v>
      </c>
      <c r="E2486" s="16">
        <v>46063</v>
      </c>
      <c r="F2486" s="2" t="s">
        <v>526</v>
      </c>
      <c r="G2486" s="2" t="s">
        <v>12</v>
      </c>
      <c r="H2486" s="2" t="s">
        <v>66</v>
      </c>
      <c r="I2486" s="19">
        <v>3</v>
      </c>
      <c r="J2486" s="19">
        <v>72</v>
      </c>
      <c r="K2486" s="19">
        <v>141.53</v>
      </c>
      <c r="L2486" s="19">
        <v>10190.280000000001</v>
      </c>
      <c r="M2486" s="19">
        <v>-783.63000000000011</v>
      </c>
      <c r="N2486" s="19">
        <v>0</v>
      </c>
      <c r="O2486" s="19">
        <v>1222.8630010000002</v>
      </c>
      <c r="P2486" s="19">
        <v>10629.513000999999</v>
      </c>
    </row>
    <row r="2487" spans="1:16" ht="15" x14ac:dyDescent="0.2">
      <c r="A2487" s="4" t="s">
        <v>593</v>
      </c>
      <c r="B2487" s="21" t="str">
        <f t="shared" si="76"/>
        <v>Feb-2026</v>
      </c>
      <c r="C2487" s="2" t="str">
        <f t="shared" si="77"/>
        <v>Q4</v>
      </c>
      <c r="D2487" s="2" t="s">
        <v>31</v>
      </c>
      <c r="E2487" s="16">
        <v>46063</v>
      </c>
      <c r="F2487" s="2" t="s">
        <v>527</v>
      </c>
      <c r="G2487" s="2" t="s">
        <v>380</v>
      </c>
      <c r="H2487" s="2" t="s">
        <v>117</v>
      </c>
      <c r="I2487" s="19">
        <v>20</v>
      </c>
      <c r="J2487" s="19">
        <v>80</v>
      </c>
      <c r="K2487" s="19">
        <v>595.92999999999995</v>
      </c>
      <c r="L2487" s="19">
        <v>47674.400000000001</v>
      </c>
      <c r="M2487" s="19">
        <v>-3666.16</v>
      </c>
      <c r="N2487" s="19">
        <v>0</v>
      </c>
      <c r="O2487" s="19">
        <v>5721.0700000000006</v>
      </c>
      <c r="P2487" s="19">
        <v>49729.31</v>
      </c>
    </row>
    <row r="2488" spans="1:16" ht="15" x14ac:dyDescent="0.2">
      <c r="A2488" s="4" t="s">
        <v>583</v>
      </c>
      <c r="B2488" s="21" t="str">
        <f t="shared" si="76"/>
        <v>Feb-2026</v>
      </c>
      <c r="C2488" s="2" t="str">
        <f t="shared" si="77"/>
        <v>Q4</v>
      </c>
      <c r="D2488" s="2" t="s">
        <v>31</v>
      </c>
      <c r="E2488" s="16">
        <v>46063</v>
      </c>
      <c r="F2488" s="2" t="s">
        <v>528</v>
      </c>
      <c r="G2488" s="2" t="s">
        <v>187</v>
      </c>
      <c r="H2488" s="2" t="s">
        <v>113</v>
      </c>
      <c r="I2488" s="19">
        <v>3</v>
      </c>
      <c r="J2488" s="19">
        <v>45</v>
      </c>
      <c r="K2488" s="19">
        <v>260.72000000000003</v>
      </c>
      <c r="L2488" s="19">
        <v>11732.4</v>
      </c>
      <c r="M2488" s="19">
        <v>-902.22</v>
      </c>
      <c r="N2488" s="19">
        <v>0</v>
      </c>
      <c r="O2488" s="19">
        <v>1407.922276</v>
      </c>
      <c r="P2488" s="19">
        <v>12238.102276</v>
      </c>
    </row>
    <row r="2489" spans="1:16" ht="15" x14ac:dyDescent="0.2">
      <c r="A2489" s="4" t="s">
        <v>582</v>
      </c>
      <c r="B2489" s="21" t="str">
        <f t="shared" si="76"/>
        <v>Feb-2026</v>
      </c>
      <c r="C2489" s="2" t="str">
        <f t="shared" si="77"/>
        <v>Q4</v>
      </c>
      <c r="D2489" s="2" t="s">
        <v>31</v>
      </c>
      <c r="E2489" s="16">
        <v>46063</v>
      </c>
      <c r="F2489" s="2" t="s">
        <v>528</v>
      </c>
      <c r="G2489" s="2" t="s">
        <v>187</v>
      </c>
      <c r="H2489" s="2" t="s">
        <v>77</v>
      </c>
      <c r="I2489" s="19">
        <v>2</v>
      </c>
      <c r="J2489" s="19">
        <v>48</v>
      </c>
      <c r="K2489" s="19">
        <v>204.85</v>
      </c>
      <c r="L2489" s="19">
        <v>9832.8000000000011</v>
      </c>
      <c r="M2489" s="19">
        <v>-756.14</v>
      </c>
      <c r="N2489" s="19">
        <v>0</v>
      </c>
      <c r="O2489" s="19">
        <v>1179.964858</v>
      </c>
      <c r="P2489" s="19">
        <v>10256.624857999999</v>
      </c>
    </row>
    <row r="2490" spans="1:16" ht="15" x14ac:dyDescent="0.2">
      <c r="A2490" s="4" t="s">
        <v>580</v>
      </c>
      <c r="B2490" s="21" t="str">
        <f t="shared" si="76"/>
        <v>Feb-2026</v>
      </c>
      <c r="C2490" s="2" t="str">
        <f t="shared" si="77"/>
        <v>Q4</v>
      </c>
      <c r="D2490" s="2" t="s">
        <v>31</v>
      </c>
      <c r="E2490" s="16">
        <v>46063</v>
      </c>
      <c r="F2490" s="2" t="s">
        <v>528</v>
      </c>
      <c r="G2490" s="2" t="s">
        <v>187</v>
      </c>
      <c r="H2490" s="2" t="s">
        <v>89</v>
      </c>
      <c r="I2490" s="19">
        <v>5</v>
      </c>
      <c r="J2490" s="19">
        <v>350</v>
      </c>
      <c r="K2490" s="19">
        <v>37.25</v>
      </c>
      <c r="L2490" s="19">
        <v>13037.5</v>
      </c>
      <c r="M2490" s="19">
        <v>-1002.58</v>
      </c>
      <c r="N2490" s="19">
        <v>0</v>
      </c>
      <c r="O2490" s="19">
        <v>1564.5383509999999</v>
      </c>
      <c r="P2490" s="19">
        <v>13599.458350999999</v>
      </c>
    </row>
    <row r="2491" spans="1:16" ht="15" x14ac:dyDescent="0.2">
      <c r="A2491" s="4" t="s">
        <v>573</v>
      </c>
      <c r="B2491" s="21" t="str">
        <f t="shared" si="76"/>
        <v>Feb-2026</v>
      </c>
      <c r="C2491" s="2" t="str">
        <f t="shared" si="77"/>
        <v>Q4</v>
      </c>
      <c r="D2491" s="2" t="s">
        <v>31</v>
      </c>
      <c r="E2491" s="16">
        <v>46063</v>
      </c>
      <c r="F2491" s="2" t="s">
        <v>528</v>
      </c>
      <c r="G2491" s="2" t="s">
        <v>187</v>
      </c>
      <c r="H2491" s="2" t="s">
        <v>138</v>
      </c>
      <c r="I2491" s="19">
        <v>3</v>
      </c>
      <c r="J2491" s="19">
        <v>120</v>
      </c>
      <c r="K2491" s="19">
        <v>111.74</v>
      </c>
      <c r="L2491" s="19">
        <v>13408.8</v>
      </c>
      <c r="M2491" s="19">
        <v>-1031.1400000000001</v>
      </c>
      <c r="N2491" s="19">
        <v>0</v>
      </c>
      <c r="O2491" s="19">
        <v>1609.0945150000002</v>
      </c>
      <c r="P2491" s="19">
        <v>13986.754515000001</v>
      </c>
    </row>
    <row r="2492" spans="1:16" ht="15" x14ac:dyDescent="0.2">
      <c r="A2492" s="4" t="s">
        <v>583</v>
      </c>
      <c r="B2492" s="21" t="str">
        <f t="shared" si="76"/>
        <v>Feb-2026</v>
      </c>
      <c r="C2492" s="2" t="str">
        <f t="shared" si="77"/>
        <v>Q4</v>
      </c>
      <c r="D2492" s="2" t="s">
        <v>31</v>
      </c>
      <c r="E2492" s="16">
        <v>46063</v>
      </c>
      <c r="F2492" s="2" t="s">
        <v>529</v>
      </c>
      <c r="G2492" s="2" t="s">
        <v>130</v>
      </c>
      <c r="H2492" s="2" t="s">
        <v>113</v>
      </c>
      <c r="I2492" s="19">
        <v>5</v>
      </c>
      <c r="J2492" s="19">
        <v>75</v>
      </c>
      <c r="K2492" s="19">
        <v>260.72000000000003</v>
      </c>
      <c r="L2492" s="19">
        <v>19554</v>
      </c>
      <c r="M2492" s="19">
        <v>-1503.6999999999998</v>
      </c>
      <c r="N2492" s="19">
        <v>0</v>
      </c>
      <c r="O2492" s="19">
        <v>2346.5389880000002</v>
      </c>
      <c r="P2492" s="19">
        <v>20396.838988</v>
      </c>
    </row>
    <row r="2493" spans="1:16" ht="15" x14ac:dyDescent="0.2">
      <c r="A2493" s="4" t="s">
        <v>583</v>
      </c>
      <c r="B2493" s="21" t="str">
        <f t="shared" si="76"/>
        <v>Feb-2026</v>
      </c>
      <c r="C2493" s="2" t="str">
        <f t="shared" si="77"/>
        <v>Q4</v>
      </c>
      <c r="D2493" s="2" t="s">
        <v>31</v>
      </c>
      <c r="E2493" s="16">
        <v>46063</v>
      </c>
      <c r="F2493" s="2" t="s">
        <v>529</v>
      </c>
      <c r="G2493" s="2" t="s">
        <v>130</v>
      </c>
      <c r="H2493" s="2" t="s">
        <v>109</v>
      </c>
      <c r="I2493" s="19">
        <v>5</v>
      </c>
      <c r="J2493" s="19">
        <v>75</v>
      </c>
      <c r="K2493" s="19">
        <v>260.72000000000003</v>
      </c>
      <c r="L2493" s="19">
        <v>19554</v>
      </c>
      <c r="M2493" s="19">
        <v>-1503.6999999999998</v>
      </c>
      <c r="N2493" s="19">
        <v>0</v>
      </c>
      <c r="O2493" s="19">
        <v>2346.5389880000002</v>
      </c>
      <c r="P2493" s="19">
        <v>20396.838988</v>
      </c>
    </row>
    <row r="2494" spans="1:16" ht="15" x14ac:dyDescent="0.2">
      <c r="A2494" s="4" t="s">
        <v>582</v>
      </c>
      <c r="B2494" s="21" t="str">
        <f t="shared" si="76"/>
        <v>Feb-2026</v>
      </c>
      <c r="C2494" s="2" t="str">
        <f t="shared" si="77"/>
        <v>Q4</v>
      </c>
      <c r="D2494" s="2" t="s">
        <v>31</v>
      </c>
      <c r="E2494" s="16">
        <v>46063</v>
      </c>
      <c r="F2494" s="2" t="s">
        <v>529</v>
      </c>
      <c r="G2494" s="2" t="s">
        <v>130</v>
      </c>
      <c r="H2494" s="2" t="s">
        <v>77</v>
      </c>
      <c r="I2494" s="19">
        <v>5</v>
      </c>
      <c r="J2494" s="19">
        <v>120</v>
      </c>
      <c r="K2494" s="19">
        <v>204.85</v>
      </c>
      <c r="L2494" s="19">
        <v>24582</v>
      </c>
      <c r="M2494" s="19">
        <v>-1890.36</v>
      </c>
      <c r="N2494" s="19">
        <v>0</v>
      </c>
      <c r="O2494" s="19">
        <v>2949.913184</v>
      </c>
      <c r="P2494" s="19">
        <v>25641.553184</v>
      </c>
    </row>
    <row r="2495" spans="1:16" ht="15" x14ac:dyDescent="0.2">
      <c r="A2495" s="4" t="s">
        <v>581</v>
      </c>
      <c r="B2495" s="21" t="str">
        <f t="shared" si="76"/>
        <v>Feb-2026</v>
      </c>
      <c r="C2495" s="2" t="str">
        <f t="shared" si="77"/>
        <v>Q4</v>
      </c>
      <c r="D2495" s="2" t="s">
        <v>31</v>
      </c>
      <c r="E2495" s="16">
        <v>46063</v>
      </c>
      <c r="F2495" s="2" t="s">
        <v>529</v>
      </c>
      <c r="G2495" s="2" t="s">
        <v>130</v>
      </c>
      <c r="H2495" s="2" t="s">
        <v>104</v>
      </c>
      <c r="I2495" s="19">
        <v>10</v>
      </c>
      <c r="J2495" s="19">
        <v>400</v>
      </c>
      <c r="K2495" s="19">
        <v>74.5</v>
      </c>
      <c r="L2495" s="19">
        <v>29799.999999999996</v>
      </c>
      <c r="M2495" s="19">
        <v>-2291.62</v>
      </c>
      <c r="N2495" s="19">
        <v>0</v>
      </c>
      <c r="O2495" s="19">
        <v>3576.0893809999998</v>
      </c>
      <c r="P2495" s="19">
        <v>31084.469380999999</v>
      </c>
    </row>
    <row r="2496" spans="1:16" ht="15" x14ac:dyDescent="0.2">
      <c r="A2496" s="4" t="s">
        <v>589</v>
      </c>
      <c r="B2496" s="21" t="str">
        <f t="shared" si="76"/>
        <v>Feb-2026</v>
      </c>
      <c r="C2496" s="2" t="str">
        <f t="shared" si="77"/>
        <v>Q4</v>
      </c>
      <c r="D2496" s="2" t="s">
        <v>31</v>
      </c>
      <c r="E2496" s="16">
        <v>46063</v>
      </c>
      <c r="F2496" s="2" t="s">
        <v>529</v>
      </c>
      <c r="G2496" s="2" t="s">
        <v>130</v>
      </c>
      <c r="H2496" s="2" t="s">
        <v>105</v>
      </c>
      <c r="I2496" s="19">
        <v>20</v>
      </c>
      <c r="J2496" s="19">
        <v>600</v>
      </c>
      <c r="K2496" s="19">
        <v>316.58999999999997</v>
      </c>
      <c r="L2496" s="19">
        <v>189954</v>
      </c>
      <c r="M2496" s="19">
        <v>-14607.46</v>
      </c>
      <c r="N2496" s="19">
        <v>0</v>
      </c>
      <c r="O2496" s="19">
        <v>22795.050079000001</v>
      </c>
      <c r="P2496" s="19">
        <v>198141.59007899999</v>
      </c>
    </row>
    <row r="2497" spans="1:16" ht="15" x14ac:dyDescent="0.2">
      <c r="A2497" s="4" t="s">
        <v>581</v>
      </c>
      <c r="B2497" s="21" t="str">
        <f t="shared" si="76"/>
        <v>Feb-2026</v>
      </c>
      <c r="C2497" s="2" t="str">
        <f t="shared" si="77"/>
        <v>Q4</v>
      </c>
      <c r="D2497" s="2" t="s">
        <v>31</v>
      </c>
      <c r="E2497" s="16">
        <v>46063</v>
      </c>
      <c r="F2497" s="2" t="s">
        <v>529</v>
      </c>
      <c r="G2497" s="2" t="s">
        <v>130</v>
      </c>
      <c r="H2497" s="2" t="s">
        <v>97</v>
      </c>
      <c r="I2497" s="19">
        <v>10</v>
      </c>
      <c r="J2497" s="19">
        <v>400</v>
      </c>
      <c r="K2497" s="19">
        <v>74.5</v>
      </c>
      <c r="L2497" s="19">
        <v>29799.999999999996</v>
      </c>
      <c r="M2497" s="19">
        <v>-2291.62</v>
      </c>
      <c r="N2497" s="19">
        <v>0</v>
      </c>
      <c r="O2497" s="19">
        <v>3576.0893809999998</v>
      </c>
      <c r="P2497" s="19">
        <v>31084.469380999999</v>
      </c>
    </row>
    <row r="2498" spans="1:16" ht="15" x14ac:dyDescent="0.2">
      <c r="A2498" s="4" t="s">
        <v>575</v>
      </c>
      <c r="B2498" s="21" t="str">
        <f t="shared" ref="B2498:B2561" si="78">+TEXT(E2498,"MMM-yyy")</f>
        <v>Feb-2026</v>
      </c>
      <c r="C2498" s="2" t="str">
        <f t="shared" ref="C2498:C2561" si="79">"Q" &amp; CHOOSE(MONTH(E2498),4,4,4,1,1,1,2,2,2,3,3,3)</f>
        <v>Q4</v>
      </c>
      <c r="D2498" s="2" t="s">
        <v>31</v>
      </c>
      <c r="E2498" s="16">
        <v>46063</v>
      </c>
      <c r="F2498" s="2" t="s">
        <v>530</v>
      </c>
      <c r="G2498" s="2" t="s">
        <v>54</v>
      </c>
      <c r="H2498" s="2" t="s">
        <v>55</v>
      </c>
      <c r="I2498" s="19">
        <v>-0.1</v>
      </c>
      <c r="J2498" s="19">
        <v>-2</v>
      </c>
      <c r="K2498" s="19">
        <v>186.23</v>
      </c>
      <c r="L2498" s="19">
        <v>-372.46</v>
      </c>
      <c r="M2498" s="19">
        <v>58.57</v>
      </c>
      <c r="N2498" s="19">
        <v>0</v>
      </c>
      <c r="O2498" s="19">
        <v>-40.804940999999992</v>
      </c>
      <c r="P2498" s="19">
        <v>-354.69494099999997</v>
      </c>
    </row>
    <row r="2499" spans="1:16" ht="15" x14ac:dyDescent="0.2">
      <c r="A2499" s="4" t="s">
        <v>576</v>
      </c>
      <c r="B2499" s="21" t="str">
        <f t="shared" si="78"/>
        <v>Feb-2026</v>
      </c>
      <c r="C2499" s="2" t="str">
        <f t="shared" si="79"/>
        <v>Q4</v>
      </c>
      <c r="D2499" s="2" t="s">
        <v>31</v>
      </c>
      <c r="E2499" s="16">
        <v>46063</v>
      </c>
      <c r="F2499" s="2" t="s">
        <v>530</v>
      </c>
      <c r="G2499" s="2" t="s">
        <v>54</v>
      </c>
      <c r="H2499" s="2" t="s">
        <v>56</v>
      </c>
      <c r="I2499" s="19">
        <v>-0.7</v>
      </c>
      <c r="J2499" s="19">
        <v>-14</v>
      </c>
      <c r="K2499" s="19">
        <v>175.05</v>
      </c>
      <c r="L2499" s="19">
        <v>-2450.7000000000003</v>
      </c>
      <c r="M2499" s="19">
        <v>58.57</v>
      </c>
      <c r="N2499" s="19">
        <v>0</v>
      </c>
      <c r="O2499" s="19">
        <v>-310.97111599999999</v>
      </c>
      <c r="P2499" s="19">
        <v>-2703.1011159999998</v>
      </c>
    </row>
    <row r="2500" spans="1:16" ht="15" x14ac:dyDescent="0.2">
      <c r="A2500" s="4" t="s">
        <v>573</v>
      </c>
      <c r="B2500" s="21" t="str">
        <f t="shared" si="78"/>
        <v>Feb-2026</v>
      </c>
      <c r="C2500" s="2" t="str">
        <f t="shared" si="79"/>
        <v>Q4</v>
      </c>
      <c r="D2500" s="2" t="s">
        <v>31</v>
      </c>
      <c r="E2500" s="16">
        <v>46063</v>
      </c>
      <c r="F2500" s="2" t="s">
        <v>530</v>
      </c>
      <c r="G2500" s="2" t="s">
        <v>54</v>
      </c>
      <c r="H2500" s="2" t="s">
        <v>58</v>
      </c>
      <c r="I2500" s="19">
        <v>-0.03</v>
      </c>
      <c r="J2500" s="19">
        <v>-1</v>
      </c>
      <c r="K2500" s="19">
        <v>111.74</v>
      </c>
      <c r="L2500" s="19">
        <v>-111.74</v>
      </c>
      <c r="M2500" s="19">
        <v>58.57</v>
      </c>
      <c r="N2500" s="19">
        <v>0</v>
      </c>
      <c r="O2500" s="19">
        <v>-6.9119710000000003</v>
      </c>
      <c r="P2500" s="19">
        <v>-60.081971000000003</v>
      </c>
    </row>
    <row r="2501" spans="1:16" ht="15" x14ac:dyDescent="0.2">
      <c r="A2501" s="4" t="s">
        <v>573</v>
      </c>
      <c r="B2501" s="21" t="str">
        <f t="shared" si="78"/>
        <v>Feb-2026</v>
      </c>
      <c r="C2501" s="2" t="str">
        <f t="shared" si="79"/>
        <v>Q4</v>
      </c>
      <c r="D2501" s="2" t="s">
        <v>31</v>
      </c>
      <c r="E2501" s="16">
        <v>46063</v>
      </c>
      <c r="F2501" s="2" t="s">
        <v>530</v>
      </c>
      <c r="G2501" s="2" t="s">
        <v>54</v>
      </c>
      <c r="H2501" s="2" t="s">
        <v>47</v>
      </c>
      <c r="I2501" s="19">
        <v>-0.03</v>
      </c>
      <c r="J2501" s="19">
        <v>-1</v>
      </c>
      <c r="K2501" s="19">
        <v>111.74</v>
      </c>
      <c r="L2501" s="19">
        <v>-111.74</v>
      </c>
      <c r="M2501" s="19">
        <v>58.57</v>
      </c>
      <c r="N2501" s="19">
        <v>0</v>
      </c>
      <c r="O2501" s="19">
        <v>-6.9119710000000003</v>
      </c>
      <c r="P2501" s="19">
        <v>-60.081971000000003</v>
      </c>
    </row>
    <row r="2502" spans="1:16" ht="15" x14ac:dyDescent="0.2">
      <c r="A2502" s="4" t="s">
        <v>577</v>
      </c>
      <c r="B2502" s="21" t="str">
        <f t="shared" si="78"/>
        <v>Feb-2026</v>
      </c>
      <c r="C2502" s="2" t="str">
        <f t="shared" si="79"/>
        <v>Q4</v>
      </c>
      <c r="D2502" s="2" t="s">
        <v>31</v>
      </c>
      <c r="E2502" s="16">
        <v>46063</v>
      </c>
      <c r="F2502" s="2" t="s">
        <v>531</v>
      </c>
      <c r="G2502" s="2" t="s">
        <v>54</v>
      </c>
      <c r="H2502" s="14" t="s">
        <v>57</v>
      </c>
      <c r="I2502" s="19">
        <v>-0.03</v>
      </c>
      <c r="J2502" s="19">
        <v>-180</v>
      </c>
      <c r="K2502" s="19">
        <v>18.62</v>
      </c>
      <c r="L2502" s="19">
        <v>-3351.6</v>
      </c>
      <c r="M2502" s="19">
        <v>342.33</v>
      </c>
      <c r="N2502" s="19">
        <v>0</v>
      </c>
      <c r="O2502" s="19">
        <v>-391.204725</v>
      </c>
      <c r="P2502" s="19">
        <v>-3400.474725</v>
      </c>
    </row>
    <row r="2503" spans="1:16" ht="15" x14ac:dyDescent="0.2">
      <c r="A2503" s="4" t="s">
        <v>576</v>
      </c>
      <c r="B2503" s="21" t="str">
        <f t="shared" si="78"/>
        <v>Feb-2026</v>
      </c>
      <c r="C2503" s="2" t="str">
        <f t="shared" si="79"/>
        <v>Q4</v>
      </c>
      <c r="D2503" s="2" t="s">
        <v>31</v>
      </c>
      <c r="E2503" s="16">
        <v>46063</v>
      </c>
      <c r="F2503" s="2" t="s">
        <v>531</v>
      </c>
      <c r="G2503" s="2" t="s">
        <v>54</v>
      </c>
      <c r="H2503" s="2" t="s">
        <v>56</v>
      </c>
      <c r="I2503" s="19">
        <v>-3.3</v>
      </c>
      <c r="J2503" s="19">
        <v>-66</v>
      </c>
      <c r="K2503" s="19">
        <v>175.05</v>
      </c>
      <c r="L2503" s="19">
        <v>-11553.3</v>
      </c>
      <c r="M2503" s="19">
        <v>342.33</v>
      </c>
      <c r="N2503" s="19">
        <v>0</v>
      </c>
      <c r="O2503" s="19">
        <v>-1457.4247019999998</v>
      </c>
      <c r="P2503" s="19">
        <v>-12668.394702</v>
      </c>
    </row>
    <row r="2504" spans="1:16" ht="15" x14ac:dyDescent="0.2">
      <c r="A2504" s="4" t="s">
        <v>579</v>
      </c>
      <c r="B2504" s="21" t="str">
        <f t="shared" si="78"/>
        <v>Feb-2026</v>
      </c>
      <c r="C2504" s="2" t="str">
        <f t="shared" si="79"/>
        <v>Q4</v>
      </c>
      <c r="D2504" s="2" t="s">
        <v>31</v>
      </c>
      <c r="E2504" s="16">
        <v>46063</v>
      </c>
      <c r="F2504" s="2" t="s">
        <v>531</v>
      </c>
      <c r="G2504" s="2" t="s">
        <v>54</v>
      </c>
      <c r="H2504" s="2" t="s">
        <v>63</v>
      </c>
      <c r="I2504" s="19">
        <v>-0.4</v>
      </c>
      <c r="J2504" s="19">
        <v>-8</v>
      </c>
      <c r="K2504" s="19">
        <v>204.85</v>
      </c>
      <c r="L2504" s="19">
        <v>-1638.8</v>
      </c>
      <c r="M2504" s="19">
        <v>342.33</v>
      </c>
      <c r="N2504" s="19">
        <v>0</v>
      </c>
      <c r="O2504" s="19">
        <v>-168.54093799999998</v>
      </c>
      <c r="P2504" s="19">
        <v>-1465.0109379999999</v>
      </c>
    </row>
    <row r="2505" spans="1:16" ht="15" x14ac:dyDescent="0.2">
      <c r="A2505" s="4" t="s">
        <v>578</v>
      </c>
      <c r="B2505" s="21" t="str">
        <f t="shared" si="78"/>
        <v>Feb-2026</v>
      </c>
      <c r="C2505" s="2" t="str">
        <f t="shared" si="79"/>
        <v>Q4</v>
      </c>
      <c r="D2505" s="2" t="s">
        <v>31</v>
      </c>
      <c r="E2505" s="16">
        <v>46063</v>
      </c>
      <c r="F2505" s="2" t="s">
        <v>531</v>
      </c>
      <c r="G2505" s="2" t="s">
        <v>54</v>
      </c>
      <c r="H2505" s="2" t="s">
        <v>59</v>
      </c>
      <c r="I2505" s="19">
        <v>-1.83</v>
      </c>
      <c r="J2505" s="19">
        <v>-77</v>
      </c>
      <c r="K2505" s="19">
        <v>74.489999999999995</v>
      </c>
      <c r="L2505" s="19">
        <v>-5735.73</v>
      </c>
      <c r="M2505" s="19">
        <v>342.33</v>
      </c>
      <c r="N2505" s="19">
        <v>0</v>
      </c>
      <c r="O2505" s="19">
        <v>-701.14132700000005</v>
      </c>
      <c r="P2505" s="19">
        <v>-6094.5413269999999</v>
      </c>
    </row>
    <row r="2506" spans="1:16" ht="15" x14ac:dyDescent="0.2">
      <c r="A2506" s="4" t="s">
        <v>578</v>
      </c>
      <c r="B2506" s="21" t="str">
        <f t="shared" si="78"/>
        <v>Feb-2026</v>
      </c>
      <c r="C2506" s="2" t="str">
        <f t="shared" si="79"/>
        <v>Q4</v>
      </c>
      <c r="D2506" s="2" t="s">
        <v>31</v>
      </c>
      <c r="E2506" s="16">
        <v>46063</v>
      </c>
      <c r="F2506" s="2" t="s">
        <v>531</v>
      </c>
      <c r="G2506" s="2" t="s">
        <v>54</v>
      </c>
      <c r="H2506" s="2" t="s">
        <v>62</v>
      </c>
      <c r="I2506" s="19">
        <v>-1.83</v>
      </c>
      <c r="J2506" s="19">
        <v>-77</v>
      </c>
      <c r="K2506" s="19">
        <v>74.489999999999995</v>
      </c>
      <c r="L2506" s="19">
        <v>-5735.73</v>
      </c>
      <c r="M2506" s="19">
        <v>342.33</v>
      </c>
      <c r="N2506" s="19">
        <v>0</v>
      </c>
      <c r="O2506" s="19">
        <v>-701.14132700000005</v>
      </c>
      <c r="P2506" s="19">
        <v>-6094.5413269999999</v>
      </c>
    </row>
    <row r="2507" spans="1:16" ht="15" x14ac:dyDescent="0.2">
      <c r="A2507" s="4" t="s">
        <v>578</v>
      </c>
      <c r="B2507" s="21" t="str">
        <f t="shared" si="78"/>
        <v>Feb-2026</v>
      </c>
      <c r="C2507" s="2" t="str">
        <f t="shared" si="79"/>
        <v>Q4</v>
      </c>
      <c r="D2507" s="2" t="s">
        <v>31</v>
      </c>
      <c r="E2507" s="16">
        <v>46063</v>
      </c>
      <c r="F2507" s="2" t="s">
        <v>531</v>
      </c>
      <c r="G2507" s="2" t="s">
        <v>54</v>
      </c>
      <c r="H2507" s="2" t="s">
        <v>60</v>
      </c>
      <c r="I2507" s="19">
        <v>-1.83</v>
      </c>
      <c r="J2507" s="19">
        <v>-77</v>
      </c>
      <c r="K2507" s="19">
        <v>74.489999999999995</v>
      </c>
      <c r="L2507" s="19">
        <v>-5735.73</v>
      </c>
      <c r="M2507" s="19">
        <v>342.33</v>
      </c>
      <c r="N2507" s="19">
        <v>0</v>
      </c>
      <c r="O2507" s="19">
        <v>-701.14132700000005</v>
      </c>
      <c r="P2507" s="19">
        <v>-6094.5413269999999</v>
      </c>
    </row>
    <row r="2508" spans="1:16" ht="15" x14ac:dyDescent="0.2">
      <c r="A2508" s="4" t="s">
        <v>573</v>
      </c>
      <c r="B2508" s="21" t="str">
        <f t="shared" si="78"/>
        <v>Feb-2026</v>
      </c>
      <c r="C2508" s="2" t="str">
        <f t="shared" si="79"/>
        <v>Q4</v>
      </c>
      <c r="D2508" s="2" t="s">
        <v>31</v>
      </c>
      <c r="E2508" s="16">
        <v>46063</v>
      </c>
      <c r="F2508" s="2" t="s">
        <v>531</v>
      </c>
      <c r="G2508" s="2" t="s">
        <v>54</v>
      </c>
      <c r="H2508" s="2" t="s">
        <v>49</v>
      </c>
      <c r="I2508" s="19">
        <v>-0.38</v>
      </c>
      <c r="J2508" s="19">
        <v>-15</v>
      </c>
      <c r="K2508" s="19">
        <v>111.74</v>
      </c>
      <c r="L2508" s="19">
        <v>-1676.1</v>
      </c>
      <c r="M2508" s="19">
        <v>342.33</v>
      </c>
      <c r="N2508" s="19">
        <v>0</v>
      </c>
      <c r="O2508" s="19">
        <v>-173.38993400000001</v>
      </c>
      <c r="P2508" s="19">
        <v>-1507.159934</v>
      </c>
    </row>
    <row r="2509" spans="1:16" ht="15" x14ac:dyDescent="0.2">
      <c r="A2509" s="4" t="s">
        <v>575</v>
      </c>
      <c r="B2509" s="21" t="str">
        <f t="shared" si="78"/>
        <v>Feb-2026</v>
      </c>
      <c r="C2509" s="2" t="str">
        <f t="shared" si="79"/>
        <v>Q4</v>
      </c>
      <c r="D2509" s="2" t="s">
        <v>31</v>
      </c>
      <c r="E2509" s="16">
        <v>46063</v>
      </c>
      <c r="F2509" s="2" t="s">
        <v>531</v>
      </c>
      <c r="G2509" s="2" t="s">
        <v>54</v>
      </c>
      <c r="H2509" s="2" t="s">
        <v>55</v>
      </c>
      <c r="I2509" s="19">
        <v>-0.05</v>
      </c>
      <c r="J2509" s="19">
        <v>-1</v>
      </c>
      <c r="K2509" s="19">
        <v>186.23</v>
      </c>
      <c r="L2509" s="19">
        <v>-186.23</v>
      </c>
      <c r="M2509" s="19">
        <v>342.34</v>
      </c>
      <c r="N2509" s="19">
        <v>0</v>
      </c>
      <c r="O2509" s="19">
        <v>20.294281000000002</v>
      </c>
      <c r="P2509" s="19">
        <v>176.404281</v>
      </c>
    </row>
    <row r="2510" spans="1:16" ht="15" x14ac:dyDescent="0.2">
      <c r="A2510" s="4" t="s">
        <v>589</v>
      </c>
      <c r="B2510" s="21" t="str">
        <f t="shared" si="78"/>
        <v>Feb-2026</v>
      </c>
      <c r="C2510" s="2" t="str">
        <f t="shared" si="79"/>
        <v>Q4</v>
      </c>
      <c r="D2510" s="2" t="s">
        <v>31</v>
      </c>
      <c r="E2510" s="16">
        <v>46066</v>
      </c>
      <c r="F2510" s="2" t="s">
        <v>532</v>
      </c>
      <c r="G2510" s="2" t="s">
        <v>25</v>
      </c>
      <c r="H2510" s="2" t="s">
        <v>105</v>
      </c>
      <c r="I2510" s="19">
        <v>1</v>
      </c>
      <c r="J2510" s="19">
        <v>30</v>
      </c>
      <c r="K2510" s="19">
        <v>282.08</v>
      </c>
      <c r="L2510" s="19">
        <v>8462.4</v>
      </c>
      <c r="M2510" s="19">
        <v>0</v>
      </c>
      <c r="N2510" s="19">
        <v>0</v>
      </c>
      <c r="O2510" s="19">
        <v>1100.1100000000001</v>
      </c>
      <c r="P2510" s="19">
        <v>9562.51</v>
      </c>
    </row>
    <row r="2511" spans="1:16" ht="15" x14ac:dyDescent="0.2">
      <c r="A2511" s="4" t="s">
        <v>593</v>
      </c>
      <c r="B2511" s="21" t="str">
        <f t="shared" si="78"/>
        <v>Feb-2026</v>
      </c>
      <c r="C2511" s="2" t="str">
        <f t="shared" si="79"/>
        <v>Q4</v>
      </c>
      <c r="D2511" s="2" t="s">
        <v>31</v>
      </c>
      <c r="E2511" s="16">
        <v>46066</v>
      </c>
      <c r="F2511" s="2" t="s">
        <v>533</v>
      </c>
      <c r="G2511" s="2" t="s">
        <v>171</v>
      </c>
      <c r="H2511" s="2" t="s">
        <v>117</v>
      </c>
      <c r="I2511" s="19">
        <v>10</v>
      </c>
      <c r="J2511" s="19">
        <v>40</v>
      </c>
      <c r="K2511" s="19">
        <v>595.92999999999995</v>
      </c>
      <c r="L2511" s="19">
        <v>23837.200000000001</v>
      </c>
      <c r="M2511" s="19">
        <v>-1833.08</v>
      </c>
      <c r="N2511" s="19">
        <v>0</v>
      </c>
      <c r="O2511" s="19">
        <v>2860.5341480000002</v>
      </c>
      <c r="P2511" s="19">
        <v>24864.654148000001</v>
      </c>
    </row>
    <row r="2512" spans="1:16" ht="15" x14ac:dyDescent="0.2">
      <c r="A2512" s="4" t="s">
        <v>579</v>
      </c>
      <c r="B2512" s="21" t="str">
        <f t="shared" si="78"/>
        <v>Feb-2026</v>
      </c>
      <c r="C2512" s="2" t="str">
        <f t="shared" si="79"/>
        <v>Q4</v>
      </c>
      <c r="D2512" s="2" t="s">
        <v>31</v>
      </c>
      <c r="E2512" s="16">
        <v>46066</v>
      </c>
      <c r="F2512" s="2" t="s">
        <v>533</v>
      </c>
      <c r="G2512" s="2" t="s">
        <v>171</v>
      </c>
      <c r="H2512" s="2" t="s">
        <v>90</v>
      </c>
      <c r="I2512" s="19">
        <v>3</v>
      </c>
      <c r="J2512" s="19">
        <v>60</v>
      </c>
      <c r="K2512" s="19">
        <v>204.85</v>
      </c>
      <c r="L2512" s="19">
        <v>12291</v>
      </c>
      <c r="M2512" s="19">
        <v>-945.18</v>
      </c>
      <c r="N2512" s="19">
        <v>0</v>
      </c>
      <c r="O2512" s="19">
        <v>1474.955852</v>
      </c>
      <c r="P2512" s="19">
        <v>12820.775852000001</v>
      </c>
    </row>
    <row r="2513" spans="1:16" ht="15" x14ac:dyDescent="0.2">
      <c r="A2513" s="4" t="s">
        <v>589</v>
      </c>
      <c r="B2513" s="21" t="str">
        <f t="shared" si="78"/>
        <v>Feb-2026</v>
      </c>
      <c r="C2513" s="2" t="str">
        <f t="shared" si="79"/>
        <v>Q4</v>
      </c>
      <c r="D2513" s="2" t="s">
        <v>31</v>
      </c>
      <c r="E2513" s="16">
        <v>46066</v>
      </c>
      <c r="F2513" s="2" t="s">
        <v>534</v>
      </c>
      <c r="G2513" s="2" t="s">
        <v>465</v>
      </c>
      <c r="H2513" s="2" t="s">
        <v>105</v>
      </c>
      <c r="I2513" s="19">
        <v>3</v>
      </c>
      <c r="J2513" s="19">
        <v>90</v>
      </c>
      <c r="K2513" s="19">
        <v>316.58999999999997</v>
      </c>
      <c r="L2513" s="19">
        <v>28493.1</v>
      </c>
      <c r="M2513" s="19">
        <v>-2191.12</v>
      </c>
      <c r="N2513" s="19">
        <v>0</v>
      </c>
      <c r="O2513" s="19">
        <v>3419.2570450000003</v>
      </c>
      <c r="P2513" s="19">
        <v>29721.237045000002</v>
      </c>
    </row>
    <row r="2514" spans="1:16" ht="15" x14ac:dyDescent="0.2">
      <c r="A2514" s="4" t="s">
        <v>593</v>
      </c>
      <c r="B2514" s="21" t="str">
        <f t="shared" si="78"/>
        <v>Feb-2026</v>
      </c>
      <c r="C2514" s="2" t="str">
        <f t="shared" si="79"/>
        <v>Q4</v>
      </c>
      <c r="D2514" s="2" t="s">
        <v>31</v>
      </c>
      <c r="E2514" s="16">
        <v>46066</v>
      </c>
      <c r="F2514" s="2" t="s">
        <v>534</v>
      </c>
      <c r="G2514" s="2" t="s">
        <v>465</v>
      </c>
      <c r="H2514" s="2" t="s">
        <v>117</v>
      </c>
      <c r="I2514" s="19">
        <v>15</v>
      </c>
      <c r="J2514" s="19">
        <v>60</v>
      </c>
      <c r="K2514" s="19">
        <v>595.92999999999995</v>
      </c>
      <c r="L2514" s="19">
        <v>35755.799999999996</v>
      </c>
      <c r="M2514" s="19">
        <v>-2749.62</v>
      </c>
      <c r="N2514" s="19">
        <v>0</v>
      </c>
      <c r="O2514" s="19">
        <v>4290.8029550000001</v>
      </c>
      <c r="P2514" s="19">
        <v>37296.982954999999</v>
      </c>
    </row>
    <row r="2515" spans="1:16" ht="15" x14ac:dyDescent="0.2">
      <c r="A2515" s="4" t="s">
        <v>589</v>
      </c>
      <c r="B2515" s="21" t="str">
        <f t="shared" si="78"/>
        <v>Feb-2026</v>
      </c>
      <c r="C2515" s="2" t="str">
        <f t="shared" si="79"/>
        <v>Q4</v>
      </c>
      <c r="D2515" s="2" t="s">
        <v>31</v>
      </c>
      <c r="E2515" s="16">
        <v>46066</v>
      </c>
      <c r="F2515" s="2" t="s">
        <v>535</v>
      </c>
      <c r="G2515" s="2" t="s">
        <v>459</v>
      </c>
      <c r="H2515" s="2" t="s">
        <v>105</v>
      </c>
      <c r="I2515" s="19">
        <v>1</v>
      </c>
      <c r="J2515" s="19">
        <v>30</v>
      </c>
      <c r="K2515" s="19">
        <v>316.58999999999997</v>
      </c>
      <c r="L2515" s="19">
        <v>9497.6999999999989</v>
      </c>
      <c r="M2515" s="19">
        <v>-730.36999999999989</v>
      </c>
      <c r="N2515" s="19">
        <v>0</v>
      </c>
      <c r="O2515" s="19">
        <v>1139.7529770000001</v>
      </c>
      <c r="P2515" s="19">
        <v>9907.082977</v>
      </c>
    </row>
    <row r="2516" spans="1:16" ht="15" x14ac:dyDescent="0.2">
      <c r="A2516" s="4" t="s">
        <v>581</v>
      </c>
      <c r="B2516" s="21" t="str">
        <f t="shared" si="78"/>
        <v>Feb-2026</v>
      </c>
      <c r="C2516" s="2" t="str">
        <f t="shared" si="79"/>
        <v>Q4</v>
      </c>
      <c r="D2516" s="2" t="s">
        <v>31</v>
      </c>
      <c r="E2516" s="16">
        <v>46066</v>
      </c>
      <c r="F2516" s="2" t="s">
        <v>535</v>
      </c>
      <c r="G2516" s="2" t="s">
        <v>459</v>
      </c>
      <c r="H2516" s="2" t="s">
        <v>97</v>
      </c>
      <c r="I2516" s="19">
        <v>1</v>
      </c>
      <c r="J2516" s="19">
        <v>40</v>
      </c>
      <c r="K2516" s="19">
        <v>74.5</v>
      </c>
      <c r="L2516" s="19">
        <v>2980</v>
      </c>
      <c r="M2516" s="19">
        <v>-229.16</v>
      </c>
      <c r="N2516" s="19">
        <v>0</v>
      </c>
      <c r="O2516" s="19">
        <v>357.60922399999998</v>
      </c>
      <c r="P2516" s="19">
        <v>3108.449224</v>
      </c>
    </row>
    <row r="2517" spans="1:16" ht="15" x14ac:dyDescent="0.2">
      <c r="A2517" s="4" t="s">
        <v>583</v>
      </c>
      <c r="B2517" s="21" t="str">
        <f t="shared" si="78"/>
        <v>Feb-2026</v>
      </c>
      <c r="C2517" s="2" t="str">
        <f t="shared" si="79"/>
        <v>Q4</v>
      </c>
      <c r="D2517" s="2" t="s">
        <v>31</v>
      </c>
      <c r="E2517" s="16">
        <v>46066</v>
      </c>
      <c r="F2517" s="2" t="s">
        <v>535</v>
      </c>
      <c r="G2517" s="2" t="s">
        <v>459</v>
      </c>
      <c r="H2517" s="2" t="s">
        <v>109</v>
      </c>
      <c r="I2517" s="19">
        <v>3</v>
      </c>
      <c r="J2517" s="19">
        <v>45</v>
      </c>
      <c r="K2517" s="19">
        <v>260.72000000000003</v>
      </c>
      <c r="L2517" s="19">
        <v>11732.4</v>
      </c>
      <c r="M2517" s="19">
        <v>-902.22</v>
      </c>
      <c r="N2517" s="19">
        <v>0</v>
      </c>
      <c r="O2517" s="19">
        <v>1407.923495</v>
      </c>
      <c r="P2517" s="19">
        <v>12238.103494999999</v>
      </c>
    </row>
    <row r="2518" spans="1:16" ht="15" x14ac:dyDescent="0.2">
      <c r="A2518" s="4" t="s">
        <v>589</v>
      </c>
      <c r="B2518" s="21" t="str">
        <f t="shared" si="78"/>
        <v>Feb-2026</v>
      </c>
      <c r="C2518" s="2" t="str">
        <f t="shared" si="79"/>
        <v>Q4</v>
      </c>
      <c r="D2518" s="2" t="s">
        <v>31</v>
      </c>
      <c r="E2518" s="16">
        <v>46066</v>
      </c>
      <c r="F2518" s="2" t="s">
        <v>535</v>
      </c>
      <c r="G2518" s="2" t="s">
        <v>459</v>
      </c>
      <c r="H2518" s="2" t="s">
        <v>98</v>
      </c>
      <c r="I2518" s="19">
        <v>1</v>
      </c>
      <c r="J2518" s="19">
        <v>60</v>
      </c>
      <c r="K2518" s="19">
        <v>145.26</v>
      </c>
      <c r="L2518" s="19">
        <v>8715.6</v>
      </c>
      <c r="M2518" s="19">
        <v>-670.23</v>
      </c>
      <c r="N2518" s="19">
        <v>0</v>
      </c>
      <c r="O2518" s="19">
        <v>1045.8981699999999</v>
      </c>
      <c r="P2518" s="19">
        <v>9091.2681699999994</v>
      </c>
    </row>
    <row r="2519" spans="1:16" ht="15" x14ac:dyDescent="0.2">
      <c r="A2519" s="4" t="s">
        <v>581</v>
      </c>
      <c r="B2519" s="21" t="str">
        <f t="shared" si="78"/>
        <v>Feb-2026</v>
      </c>
      <c r="C2519" s="2" t="str">
        <f t="shared" si="79"/>
        <v>Q4</v>
      </c>
      <c r="D2519" s="2" t="s">
        <v>31</v>
      </c>
      <c r="E2519" s="16">
        <v>46066</v>
      </c>
      <c r="F2519" s="2" t="s">
        <v>535</v>
      </c>
      <c r="G2519" s="2" t="s">
        <v>459</v>
      </c>
      <c r="H2519" s="2" t="s">
        <v>104</v>
      </c>
      <c r="I2519" s="19">
        <v>1</v>
      </c>
      <c r="J2519" s="19">
        <v>40</v>
      </c>
      <c r="K2519" s="19">
        <v>74.5</v>
      </c>
      <c r="L2519" s="19">
        <v>2980</v>
      </c>
      <c r="M2519" s="19">
        <v>-229.16</v>
      </c>
      <c r="N2519" s="19">
        <v>0</v>
      </c>
      <c r="O2519" s="19">
        <v>357.60922399999998</v>
      </c>
      <c r="P2519" s="19">
        <v>3108.449224</v>
      </c>
    </row>
    <row r="2520" spans="1:16" ht="15" x14ac:dyDescent="0.2">
      <c r="A2520" s="4" t="s">
        <v>593</v>
      </c>
      <c r="B2520" s="21" t="str">
        <f t="shared" si="78"/>
        <v>Feb-2026</v>
      </c>
      <c r="C2520" s="2" t="str">
        <f t="shared" si="79"/>
        <v>Q4</v>
      </c>
      <c r="D2520" s="2" t="s">
        <v>31</v>
      </c>
      <c r="E2520" s="16">
        <v>46066</v>
      </c>
      <c r="F2520" s="2" t="s">
        <v>535</v>
      </c>
      <c r="G2520" s="2" t="s">
        <v>459</v>
      </c>
      <c r="H2520" s="2" t="s">
        <v>117</v>
      </c>
      <c r="I2520" s="19">
        <v>3</v>
      </c>
      <c r="J2520" s="19">
        <v>12</v>
      </c>
      <c r="K2520" s="19">
        <v>595.92999999999995</v>
      </c>
      <c r="L2520" s="19">
        <v>7151.16</v>
      </c>
      <c r="M2520" s="19">
        <v>-549.91999999999996</v>
      </c>
      <c r="N2520" s="19">
        <v>0</v>
      </c>
      <c r="O2520" s="19">
        <v>858.16125799999998</v>
      </c>
      <c r="P2520" s="19">
        <v>7459.4012579999999</v>
      </c>
    </row>
    <row r="2521" spans="1:16" ht="15" x14ac:dyDescent="0.2">
      <c r="A2521" s="4" t="s">
        <v>583</v>
      </c>
      <c r="B2521" s="21" t="str">
        <f t="shared" si="78"/>
        <v>Feb-2026</v>
      </c>
      <c r="C2521" s="2" t="str">
        <f t="shared" si="79"/>
        <v>Q4</v>
      </c>
      <c r="D2521" s="2" t="s">
        <v>31</v>
      </c>
      <c r="E2521" s="16">
        <v>46066</v>
      </c>
      <c r="F2521" s="2" t="s">
        <v>535</v>
      </c>
      <c r="G2521" s="2" t="s">
        <v>459</v>
      </c>
      <c r="H2521" s="2" t="s">
        <v>113</v>
      </c>
      <c r="I2521" s="19">
        <v>3</v>
      </c>
      <c r="J2521" s="19">
        <v>45</v>
      </c>
      <c r="K2521" s="19">
        <v>260.72000000000003</v>
      </c>
      <c r="L2521" s="19">
        <v>11732.4</v>
      </c>
      <c r="M2521" s="19">
        <v>-902.22</v>
      </c>
      <c r="N2521" s="19">
        <v>0</v>
      </c>
      <c r="O2521" s="19">
        <v>1407.923495</v>
      </c>
      <c r="P2521" s="19">
        <v>12238.103494999999</v>
      </c>
    </row>
    <row r="2522" spans="1:16" ht="15" x14ac:dyDescent="0.2">
      <c r="A2522" s="4" t="s">
        <v>575</v>
      </c>
      <c r="B2522" s="21" t="str">
        <f t="shared" si="78"/>
        <v>Feb-2026</v>
      </c>
      <c r="C2522" s="2" t="str">
        <f t="shared" si="79"/>
        <v>Q4</v>
      </c>
      <c r="D2522" s="2" t="s">
        <v>31</v>
      </c>
      <c r="E2522" s="16">
        <v>46066</v>
      </c>
      <c r="F2522" s="2" t="s">
        <v>535</v>
      </c>
      <c r="G2522" s="2" t="s">
        <v>459</v>
      </c>
      <c r="H2522" s="2" t="s">
        <v>55</v>
      </c>
      <c r="I2522" s="19">
        <v>5</v>
      </c>
      <c r="J2522" s="19">
        <v>100</v>
      </c>
      <c r="K2522" s="19">
        <v>186.22</v>
      </c>
      <c r="L2522" s="19">
        <v>18622</v>
      </c>
      <c r="M2522" s="19">
        <v>-1432.03</v>
      </c>
      <c r="N2522" s="19">
        <v>0</v>
      </c>
      <c r="O2522" s="19">
        <v>2234.69625</v>
      </c>
      <c r="P2522" s="19">
        <v>19424.666249999998</v>
      </c>
    </row>
    <row r="2523" spans="1:16" ht="15" x14ac:dyDescent="0.2">
      <c r="A2523" s="4" t="s">
        <v>573</v>
      </c>
      <c r="B2523" s="21" t="str">
        <f t="shared" si="78"/>
        <v>Feb-2026</v>
      </c>
      <c r="C2523" s="2" t="str">
        <f t="shared" si="79"/>
        <v>Q4</v>
      </c>
      <c r="D2523" s="2" t="s">
        <v>31</v>
      </c>
      <c r="E2523" s="16">
        <v>46066</v>
      </c>
      <c r="F2523" s="2" t="s">
        <v>535</v>
      </c>
      <c r="G2523" s="2" t="s">
        <v>459</v>
      </c>
      <c r="H2523" s="2" t="s">
        <v>136</v>
      </c>
      <c r="I2523" s="19">
        <v>3</v>
      </c>
      <c r="J2523" s="19">
        <v>120</v>
      </c>
      <c r="K2523" s="19">
        <v>111.74</v>
      </c>
      <c r="L2523" s="19">
        <v>13408.8</v>
      </c>
      <c r="M2523" s="19">
        <v>-1031.1400000000001</v>
      </c>
      <c r="N2523" s="19">
        <v>0</v>
      </c>
      <c r="O2523" s="19">
        <v>1609.095908</v>
      </c>
      <c r="P2523" s="19">
        <v>13986.755907999999</v>
      </c>
    </row>
    <row r="2524" spans="1:16" ht="15" x14ac:dyDescent="0.2">
      <c r="A2524" s="4" t="s">
        <v>582</v>
      </c>
      <c r="B2524" s="21" t="str">
        <f t="shared" si="78"/>
        <v>Feb-2026</v>
      </c>
      <c r="C2524" s="2" t="str">
        <f t="shared" si="79"/>
        <v>Q4</v>
      </c>
      <c r="D2524" s="2" t="s">
        <v>31</v>
      </c>
      <c r="E2524" s="16">
        <v>46066</v>
      </c>
      <c r="F2524" s="2" t="s">
        <v>536</v>
      </c>
      <c r="G2524" s="2" t="s">
        <v>306</v>
      </c>
      <c r="H2524" s="2" t="s">
        <v>77</v>
      </c>
      <c r="I2524" s="19">
        <v>0.21</v>
      </c>
      <c r="J2524" s="19">
        <v>5</v>
      </c>
      <c r="K2524" s="19">
        <v>194.69</v>
      </c>
      <c r="L2524" s="19">
        <v>973.44999999999993</v>
      </c>
      <c r="M2524" s="19">
        <v>0</v>
      </c>
      <c r="N2524" s="19">
        <v>0</v>
      </c>
      <c r="O2524" s="19">
        <v>126.548604</v>
      </c>
      <c r="P2524" s="19">
        <v>1099.9986039999999</v>
      </c>
    </row>
    <row r="2525" spans="1:16" ht="15" x14ac:dyDescent="0.2">
      <c r="A2525" s="4" t="s">
        <v>584</v>
      </c>
      <c r="B2525" s="21" t="str">
        <f t="shared" si="78"/>
        <v>Feb-2026</v>
      </c>
      <c r="C2525" s="2" t="str">
        <f t="shared" si="79"/>
        <v>Q4</v>
      </c>
      <c r="D2525" s="2" t="s">
        <v>31</v>
      </c>
      <c r="E2525" s="16">
        <v>46066</v>
      </c>
      <c r="F2525" s="2" t="s">
        <v>536</v>
      </c>
      <c r="G2525" s="2" t="s">
        <v>306</v>
      </c>
      <c r="H2525" s="2" t="s">
        <v>120</v>
      </c>
      <c r="I2525" s="19">
        <v>0.15</v>
      </c>
      <c r="J2525" s="19">
        <v>6</v>
      </c>
      <c r="K2525" s="19">
        <v>77.88</v>
      </c>
      <c r="L2525" s="19">
        <v>467.28</v>
      </c>
      <c r="M2525" s="19">
        <v>0</v>
      </c>
      <c r="N2525" s="19">
        <v>0</v>
      </c>
      <c r="O2525" s="19">
        <v>60.746450000000003</v>
      </c>
      <c r="P2525" s="19">
        <v>528.02644999999995</v>
      </c>
    </row>
    <row r="2526" spans="1:16" ht="15" x14ac:dyDescent="0.2">
      <c r="A2526" s="4" t="s">
        <v>573</v>
      </c>
      <c r="B2526" s="21" t="str">
        <f t="shared" si="78"/>
        <v>Feb-2026</v>
      </c>
      <c r="C2526" s="2" t="str">
        <f t="shared" si="79"/>
        <v>Q4</v>
      </c>
      <c r="D2526" s="2" t="s">
        <v>31</v>
      </c>
      <c r="E2526" s="16">
        <v>46066</v>
      </c>
      <c r="F2526" s="2" t="s">
        <v>536</v>
      </c>
      <c r="G2526" s="2" t="s">
        <v>306</v>
      </c>
      <c r="H2526" s="2" t="s">
        <v>138</v>
      </c>
      <c r="I2526" s="19">
        <v>0.1</v>
      </c>
      <c r="J2526" s="19">
        <v>4</v>
      </c>
      <c r="K2526" s="19">
        <v>106.19</v>
      </c>
      <c r="L2526" s="19">
        <v>424.76</v>
      </c>
      <c r="M2526" s="19">
        <v>0</v>
      </c>
      <c r="N2526" s="19">
        <v>0</v>
      </c>
      <c r="O2526" s="19">
        <v>55.218844999999995</v>
      </c>
      <c r="P2526" s="19">
        <v>479.97884499999998</v>
      </c>
    </row>
    <row r="2527" spans="1:16" ht="15" x14ac:dyDescent="0.2">
      <c r="A2527" s="4" t="s">
        <v>579</v>
      </c>
      <c r="B2527" s="21" t="str">
        <f t="shared" si="78"/>
        <v>Feb-2026</v>
      </c>
      <c r="C2527" s="2" t="str">
        <f t="shared" si="79"/>
        <v>Q4</v>
      </c>
      <c r="D2527" s="2" t="s">
        <v>31</v>
      </c>
      <c r="E2527" s="16">
        <v>46066</v>
      </c>
      <c r="F2527" s="2" t="s">
        <v>536</v>
      </c>
      <c r="G2527" s="2" t="s">
        <v>306</v>
      </c>
      <c r="H2527" s="2" t="s">
        <v>90</v>
      </c>
      <c r="I2527" s="19">
        <v>0.25</v>
      </c>
      <c r="J2527" s="19">
        <v>5</v>
      </c>
      <c r="K2527" s="19">
        <v>194.69</v>
      </c>
      <c r="L2527" s="19">
        <v>973.44999999999993</v>
      </c>
      <c r="M2527" s="19">
        <v>0</v>
      </c>
      <c r="N2527" s="19">
        <v>0</v>
      </c>
      <c r="O2527" s="19">
        <v>126.548604</v>
      </c>
      <c r="P2527" s="19">
        <v>1099.9986039999999</v>
      </c>
    </row>
    <row r="2528" spans="1:16" ht="15" x14ac:dyDescent="0.2">
      <c r="A2528" s="4" t="s">
        <v>588</v>
      </c>
      <c r="B2528" s="21" t="str">
        <f t="shared" si="78"/>
        <v>Feb-2026</v>
      </c>
      <c r="C2528" s="2" t="str">
        <f t="shared" si="79"/>
        <v>Q4</v>
      </c>
      <c r="D2528" s="2" t="s">
        <v>31</v>
      </c>
      <c r="E2528" s="16">
        <v>46066</v>
      </c>
      <c r="F2528" s="2" t="s">
        <v>536</v>
      </c>
      <c r="G2528" s="2" t="s">
        <v>306</v>
      </c>
      <c r="H2528" s="2" t="s">
        <v>95</v>
      </c>
      <c r="I2528" s="19">
        <v>0.17</v>
      </c>
      <c r="J2528" s="19">
        <v>10</v>
      </c>
      <c r="K2528" s="19">
        <v>106.19</v>
      </c>
      <c r="L2528" s="19">
        <v>1061.9000000000001</v>
      </c>
      <c r="M2528" s="19">
        <v>0</v>
      </c>
      <c r="N2528" s="19">
        <v>0</v>
      </c>
      <c r="O2528" s="19">
        <v>138.047113</v>
      </c>
      <c r="P2528" s="19">
        <v>1199.9471129999999</v>
      </c>
    </row>
    <row r="2529" spans="1:16" ht="15" x14ac:dyDescent="0.2">
      <c r="A2529" s="4" t="s">
        <v>587</v>
      </c>
      <c r="B2529" s="21" t="str">
        <f t="shared" si="78"/>
        <v>Feb-2026</v>
      </c>
      <c r="C2529" s="2" t="str">
        <f t="shared" si="79"/>
        <v>Q4</v>
      </c>
      <c r="D2529" s="2" t="s">
        <v>31</v>
      </c>
      <c r="E2529" s="16">
        <v>46066</v>
      </c>
      <c r="F2529" s="2" t="s">
        <v>536</v>
      </c>
      <c r="G2529" s="2" t="s">
        <v>306</v>
      </c>
      <c r="H2529" s="2" t="s">
        <v>94</v>
      </c>
      <c r="I2529" s="19">
        <v>0.17</v>
      </c>
      <c r="J2529" s="19">
        <v>10</v>
      </c>
      <c r="K2529" s="19">
        <v>106.19</v>
      </c>
      <c r="L2529" s="19">
        <v>1061.9000000000001</v>
      </c>
      <c r="M2529" s="19">
        <v>0</v>
      </c>
      <c r="N2529" s="19">
        <v>0</v>
      </c>
      <c r="O2529" s="19">
        <v>138.047113</v>
      </c>
      <c r="P2529" s="19">
        <v>1199.9471129999999</v>
      </c>
    </row>
    <row r="2530" spans="1:16" ht="15" x14ac:dyDescent="0.2">
      <c r="A2530" s="4" t="s">
        <v>574</v>
      </c>
      <c r="B2530" s="21" t="str">
        <f t="shared" si="78"/>
        <v>Feb-2026</v>
      </c>
      <c r="C2530" s="2" t="str">
        <f t="shared" si="79"/>
        <v>Q4</v>
      </c>
      <c r="D2530" s="2" t="s">
        <v>31</v>
      </c>
      <c r="E2530" s="16">
        <v>46066</v>
      </c>
      <c r="F2530" s="2" t="s">
        <v>536</v>
      </c>
      <c r="G2530" s="2" t="s">
        <v>306</v>
      </c>
      <c r="H2530" s="2" t="s">
        <v>85</v>
      </c>
      <c r="I2530" s="19">
        <v>0.22</v>
      </c>
      <c r="J2530" s="19">
        <v>4</v>
      </c>
      <c r="K2530" s="19">
        <v>169.91</v>
      </c>
      <c r="L2530" s="19">
        <v>679.64</v>
      </c>
      <c r="M2530" s="19">
        <v>0</v>
      </c>
      <c r="N2530" s="19">
        <v>0</v>
      </c>
      <c r="O2530" s="19">
        <v>88.353272000000004</v>
      </c>
      <c r="P2530" s="19">
        <v>767.99327200000005</v>
      </c>
    </row>
    <row r="2531" spans="1:16" ht="15" x14ac:dyDescent="0.2">
      <c r="A2531" s="4" t="s">
        <v>589</v>
      </c>
      <c r="B2531" s="21" t="str">
        <f t="shared" si="78"/>
        <v>Feb-2026</v>
      </c>
      <c r="C2531" s="2" t="str">
        <f t="shared" si="79"/>
        <v>Q4</v>
      </c>
      <c r="D2531" s="2" t="s">
        <v>31</v>
      </c>
      <c r="E2531" s="16">
        <v>46070</v>
      </c>
      <c r="F2531" s="2" t="s">
        <v>537</v>
      </c>
      <c r="G2531" s="2" t="s">
        <v>25</v>
      </c>
      <c r="H2531" s="2" t="s">
        <v>98</v>
      </c>
      <c r="I2531" s="19">
        <v>2</v>
      </c>
      <c r="J2531" s="19">
        <v>120</v>
      </c>
      <c r="K2531" s="19">
        <v>129.41999999999999</v>
      </c>
      <c r="L2531" s="19">
        <v>15530.4</v>
      </c>
      <c r="M2531" s="19">
        <v>0</v>
      </c>
      <c r="N2531" s="19">
        <v>0</v>
      </c>
      <c r="O2531" s="19">
        <v>2018.950333</v>
      </c>
      <c r="P2531" s="19">
        <v>17549.350332999998</v>
      </c>
    </row>
    <row r="2532" spans="1:16" ht="15" x14ac:dyDescent="0.2">
      <c r="A2532" s="4" t="s">
        <v>581</v>
      </c>
      <c r="B2532" s="21" t="str">
        <f t="shared" si="78"/>
        <v>Feb-2026</v>
      </c>
      <c r="C2532" s="2" t="str">
        <f t="shared" si="79"/>
        <v>Q4</v>
      </c>
      <c r="D2532" s="2" t="s">
        <v>31</v>
      </c>
      <c r="E2532" s="16">
        <v>46070</v>
      </c>
      <c r="F2532" s="2" t="s">
        <v>537</v>
      </c>
      <c r="G2532" s="2" t="s">
        <v>25</v>
      </c>
      <c r="H2532" s="2" t="s">
        <v>96</v>
      </c>
      <c r="I2532" s="19">
        <v>5</v>
      </c>
      <c r="J2532" s="19">
        <v>200</v>
      </c>
      <c r="K2532" s="19">
        <v>66.37</v>
      </c>
      <c r="L2532" s="19">
        <v>13274</v>
      </c>
      <c r="M2532" s="19">
        <v>0</v>
      </c>
      <c r="N2532" s="19">
        <v>0</v>
      </c>
      <c r="O2532" s="19">
        <v>1725.618575</v>
      </c>
      <c r="P2532" s="19">
        <v>14999.618575</v>
      </c>
    </row>
    <row r="2533" spans="1:16" ht="15" x14ac:dyDescent="0.2">
      <c r="A2533" s="4" t="s">
        <v>589</v>
      </c>
      <c r="B2533" s="21" t="str">
        <f t="shared" si="78"/>
        <v>Feb-2026</v>
      </c>
      <c r="C2533" s="2" t="str">
        <f t="shared" si="79"/>
        <v>Q4</v>
      </c>
      <c r="D2533" s="2" t="s">
        <v>31</v>
      </c>
      <c r="E2533" s="16">
        <v>46070</v>
      </c>
      <c r="F2533" s="2" t="s">
        <v>537</v>
      </c>
      <c r="G2533" s="2" t="s">
        <v>25</v>
      </c>
      <c r="H2533" s="2" t="s">
        <v>105</v>
      </c>
      <c r="I2533" s="19">
        <v>1</v>
      </c>
      <c r="J2533" s="19">
        <v>30</v>
      </c>
      <c r="K2533" s="19">
        <v>282.08</v>
      </c>
      <c r="L2533" s="19">
        <v>8462.4</v>
      </c>
      <c r="M2533" s="19">
        <v>0</v>
      </c>
      <c r="N2533" s="19">
        <v>0</v>
      </c>
      <c r="O2533" s="19">
        <v>1100.1110920000001</v>
      </c>
      <c r="P2533" s="19">
        <v>9562.5110920000006</v>
      </c>
    </row>
    <row r="2534" spans="1:16" ht="15" x14ac:dyDescent="0.2">
      <c r="A2534" s="4" t="s">
        <v>583</v>
      </c>
      <c r="B2534" s="21" t="str">
        <f t="shared" si="78"/>
        <v>Feb-2026</v>
      </c>
      <c r="C2534" s="2" t="str">
        <f t="shared" si="79"/>
        <v>Q4</v>
      </c>
      <c r="D2534" s="2" t="s">
        <v>31</v>
      </c>
      <c r="E2534" s="16">
        <v>46070</v>
      </c>
      <c r="F2534" s="2" t="s">
        <v>538</v>
      </c>
      <c r="G2534" s="2" t="s">
        <v>187</v>
      </c>
      <c r="H2534" s="2" t="s">
        <v>113</v>
      </c>
      <c r="I2534" s="19">
        <v>5</v>
      </c>
      <c r="J2534" s="19">
        <v>75</v>
      </c>
      <c r="K2534" s="19">
        <v>260.72000000000003</v>
      </c>
      <c r="L2534" s="19">
        <v>19554</v>
      </c>
      <c r="M2534" s="19">
        <v>-1503.6999999999998</v>
      </c>
      <c r="N2534" s="19">
        <v>0</v>
      </c>
      <c r="O2534" s="19">
        <v>2346.5391439999999</v>
      </c>
      <c r="P2534" s="19">
        <v>20396.839144000001</v>
      </c>
    </row>
    <row r="2535" spans="1:16" ht="15" x14ac:dyDescent="0.2">
      <c r="A2535" s="4" t="s">
        <v>581</v>
      </c>
      <c r="B2535" s="21" t="str">
        <f t="shared" si="78"/>
        <v>Feb-2026</v>
      </c>
      <c r="C2535" s="2" t="str">
        <f t="shared" si="79"/>
        <v>Q4</v>
      </c>
      <c r="D2535" s="2" t="s">
        <v>31</v>
      </c>
      <c r="E2535" s="16">
        <v>46070</v>
      </c>
      <c r="F2535" s="2" t="s">
        <v>538</v>
      </c>
      <c r="G2535" s="2" t="s">
        <v>187</v>
      </c>
      <c r="H2535" s="2" t="s">
        <v>125</v>
      </c>
      <c r="I2535" s="19">
        <v>3</v>
      </c>
      <c r="J2535" s="19">
        <v>2400</v>
      </c>
      <c r="K2535" s="19">
        <v>7.46</v>
      </c>
      <c r="L2535" s="19">
        <v>17904</v>
      </c>
      <c r="M2535" s="19">
        <v>-1376.82</v>
      </c>
      <c r="N2535" s="19">
        <v>0</v>
      </c>
      <c r="O2535" s="19">
        <v>2148.533531</v>
      </c>
      <c r="P2535" s="19">
        <v>18675.713531000001</v>
      </c>
    </row>
    <row r="2536" spans="1:16" ht="15" x14ac:dyDescent="0.2">
      <c r="A2536" s="4" t="s">
        <v>593</v>
      </c>
      <c r="B2536" s="21" t="str">
        <f t="shared" si="78"/>
        <v>Feb-2026</v>
      </c>
      <c r="C2536" s="2" t="str">
        <f t="shared" si="79"/>
        <v>Q4</v>
      </c>
      <c r="D2536" s="2" t="s">
        <v>31</v>
      </c>
      <c r="E2536" s="16">
        <v>46070</v>
      </c>
      <c r="F2536" s="2" t="s">
        <v>538</v>
      </c>
      <c r="G2536" s="2" t="s">
        <v>187</v>
      </c>
      <c r="H2536" s="2" t="s">
        <v>117</v>
      </c>
      <c r="I2536" s="19">
        <v>30</v>
      </c>
      <c r="J2536" s="19">
        <v>120</v>
      </c>
      <c r="K2536" s="19">
        <v>595.92999999999995</v>
      </c>
      <c r="L2536" s="19">
        <v>71511.599999999991</v>
      </c>
      <c r="M2536" s="19">
        <v>-5499.24</v>
      </c>
      <c r="N2536" s="19">
        <v>0</v>
      </c>
      <c r="O2536" s="19">
        <v>8581.6073250000009</v>
      </c>
      <c r="P2536" s="19">
        <v>74593.967325000005</v>
      </c>
    </row>
    <row r="2537" spans="1:16" ht="15" x14ac:dyDescent="0.2">
      <c r="A2537" s="4" t="s">
        <v>590</v>
      </c>
      <c r="B2537" s="21" t="str">
        <f t="shared" si="78"/>
        <v>Feb-2026</v>
      </c>
      <c r="C2537" s="2" t="str">
        <f t="shared" si="79"/>
        <v>Q4</v>
      </c>
      <c r="D2537" s="2" t="s">
        <v>31</v>
      </c>
      <c r="E2537" s="16">
        <v>46071</v>
      </c>
      <c r="F2537" s="2" t="s">
        <v>539</v>
      </c>
      <c r="G2537" s="2" t="s">
        <v>88</v>
      </c>
      <c r="H2537" s="2" t="s">
        <v>102</v>
      </c>
      <c r="I2537" s="19">
        <v>2</v>
      </c>
      <c r="J2537" s="19">
        <v>40</v>
      </c>
      <c r="K2537" s="19">
        <v>249.55</v>
      </c>
      <c r="L2537" s="19">
        <v>9982</v>
      </c>
      <c r="M2537" s="19">
        <v>-767.62</v>
      </c>
      <c r="N2537" s="19">
        <v>0</v>
      </c>
      <c r="O2537" s="19">
        <v>1197.870676</v>
      </c>
      <c r="P2537" s="19">
        <v>10412.250676</v>
      </c>
    </row>
    <row r="2538" spans="1:16" ht="15" x14ac:dyDescent="0.2">
      <c r="A2538" s="4" t="s">
        <v>593</v>
      </c>
      <c r="B2538" s="21" t="str">
        <f t="shared" si="78"/>
        <v>Feb-2026</v>
      </c>
      <c r="C2538" s="2" t="str">
        <f t="shared" si="79"/>
        <v>Q4</v>
      </c>
      <c r="D2538" s="2" t="s">
        <v>31</v>
      </c>
      <c r="E2538" s="16">
        <v>46071</v>
      </c>
      <c r="F2538" s="2" t="s">
        <v>539</v>
      </c>
      <c r="G2538" s="2" t="s">
        <v>88</v>
      </c>
      <c r="H2538" s="2" t="s">
        <v>117</v>
      </c>
      <c r="I2538" s="19">
        <v>5</v>
      </c>
      <c r="J2538" s="19">
        <v>20</v>
      </c>
      <c r="K2538" s="19">
        <v>595.92999999999995</v>
      </c>
      <c r="L2538" s="19">
        <v>11918.6</v>
      </c>
      <c r="M2538" s="19">
        <v>-916.54</v>
      </c>
      <c r="N2538" s="19">
        <v>0</v>
      </c>
      <c r="O2538" s="19">
        <v>1430.2693239999999</v>
      </c>
      <c r="P2538" s="19">
        <v>12432.329324</v>
      </c>
    </row>
    <row r="2539" spans="1:16" ht="15" x14ac:dyDescent="0.2">
      <c r="A2539" s="4" t="s">
        <v>593</v>
      </c>
      <c r="B2539" s="21" t="str">
        <f t="shared" si="78"/>
        <v>Feb-2026</v>
      </c>
      <c r="C2539" s="2" t="str">
        <f t="shared" si="79"/>
        <v>Q4</v>
      </c>
      <c r="D2539" s="2" t="s">
        <v>31</v>
      </c>
      <c r="E2539" s="16">
        <v>46071</v>
      </c>
      <c r="F2539" s="2" t="s">
        <v>540</v>
      </c>
      <c r="G2539" s="2" t="s">
        <v>130</v>
      </c>
      <c r="H2539" s="2" t="s">
        <v>117</v>
      </c>
      <c r="I2539" s="19">
        <v>50</v>
      </c>
      <c r="J2539" s="19">
        <v>200</v>
      </c>
      <c r="K2539" s="19">
        <v>595.94000000000005</v>
      </c>
      <c r="L2539" s="19">
        <v>119188</v>
      </c>
      <c r="M2539" s="19">
        <v>-9165.56</v>
      </c>
      <c r="N2539" s="19">
        <v>0</v>
      </c>
      <c r="O2539" s="19">
        <v>14302.92</v>
      </c>
      <c r="P2539" s="19">
        <v>124325.36</v>
      </c>
    </row>
    <row r="2540" spans="1:16" ht="15" x14ac:dyDescent="0.2">
      <c r="A2540" s="4" t="s">
        <v>580</v>
      </c>
      <c r="B2540" s="21" t="str">
        <f t="shared" si="78"/>
        <v>Feb-2026</v>
      </c>
      <c r="C2540" s="2" t="str">
        <f t="shared" si="79"/>
        <v>Q4</v>
      </c>
      <c r="D2540" s="2" t="s">
        <v>31</v>
      </c>
      <c r="E2540" s="16">
        <v>46075</v>
      </c>
      <c r="F2540" s="2" t="s">
        <v>541</v>
      </c>
      <c r="G2540" s="2" t="s">
        <v>380</v>
      </c>
      <c r="H2540" s="2" t="s">
        <v>89</v>
      </c>
      <c r="I2540" s="19">
        <v>15</v>
      </c>
      <c r="J2540" s="19">
        <v>1050</v>
      </c>
      <c r="K2540" s="19">
        <v>37.25</v>
      </c>
      <c r="L2540" s="19">
        <v>39112.5</v>
      </c>
      <c r="M2540" s="19">
        <v>-3007.75</v>
      </c>
      <c r="N2540" s="19">
        <v>0</v>
      </c>
      <c r="O2540" s="19">
        <v>4693.62</v>
      </c>
      <c r="P2540" s="19">
        <v>40798.370000000003</v>
      </c>
    </row>
    <row r="2541" spans="1:16" ht="15" x14ac:dyDescent="0.2">
      <c r="A2541" s="4" t="s">
        <v>581</v>
      </c>
      <c r="B2541" s="21" t="str">
        <f t="shared" si="78"/>
        <v>Feb-2026</v>
      </c>
      <c r="C2541" s="2" t="str">
        <f t="shared" si="79"/>
        <v>Q4</v>
      </c>
      <c r="D2541" s="2" t="s">
        <v>31</v>
      </c>
      <c r="E2541" s="16">
        <v>46078</v>
      </c>
      <c r="F2541" s="2" t="s">
        <v>542</v>
      </c>
      <c r="G2541" s="2" t="s">
        <v>12</v>
      </c>
      <c r="H2541" s="2" t="s">
        <v>104</v>
      </c>
      <c r="I2541" s="19">
        <v>3</v>
      </c>
      <c r="J2541" s="19">
        <v>120</v>
      </c>
      <c r="K2541" s="19">
        <v>74.5</v>
      </c>
      <c r="L2541" s="19">
        <v>8940</v>
      </c>
      <c r="M2541" s="19">
        <v>-687.4899999999999</v>
      </c>
      <c r="N2541" s="19">
        <v>0</v>
      </c>
      <c r="O2541" s="19">
        <v>1072.826368</v>
      </c>
      <c r="P2541" s="19">
        <v>9325.3363680000002</v>
      </c>
    </row>
    <row r="2542" spans="1:16" ht="15" x14ac:dyDescent="0.2">
      <c r="A2542" s="4" t="s">
        <v>593</v>
      </c>
      <c r="B2542" s="21" t="str">
        <f t="shared" si="78"/>
        <v>Feb-2026</v>
      </c>
      <c r="C2542" s="2" t="str">
        <f t="shared" si="79"/>
        <v>Q4</v>
      </c>
      <c r="D2542" s="2" t="s">
        <v>31</v>
      </c>
      <c r="E2542" s="16">
        <v>46078</v>
      </c>
      <c r="F2542" s="2" t="s">
        <v>542</v>
      </c>
      <c r="G2542" s="2" t="s">
        <v>12</v>
      </c>
      <c r="H2542" s="2" t="s">
        <v>117</v>
      </c>
      <c r="I2542" s="19">
        <v>25</v>
      </c>
      <c r="J2542" s="19">
        <v>100</v>
      </c>
      <c r="K2542" s="19">
        <v>595.94000000000005</v>
      </c>
      <c r="L2542" s="19">
        <v>59594</v>
      </c>
      <c r="M2542" s="19">
        <v>-4582.78</v>
      </c>
      <c r="N2542" s="19">
        <v>0</v>
      </c>
      <c r="O2542" s="19">
        <v>7151.4590529999996</v>
      </c>
      <c r="P2542" s="19">
        <v>62162.679053</v>
      </c>
    </row>
    <row r="2543" spans="1:16" ht="15" x14ac:dyDescent="0.2">
      <c r="A2543" s="4" t="s">
        <v>590</v>
      </c>
      <c r="B2543" s="21" t="str">
        <f t="shared" si="78"/>
        <v>Feb-2026</v>
      </c>
      <c r="C2543" s="2" t="str">
        <f t="shared" si="79"/>
        <v>Q4</v>
      </c>
      <c r="D2543" s="2" t="s">
        <v>31</v>
      </c>
      <c r="E2543" s="16">
        <v>46078</v>
      </c>
      <c r="F2543" s="2" t="s">
        <v>542</v>
      </c>
      <c r="G2543" s="2" t="s">
        <v>12</v>
      </c>
      <c r="H2543" s="2" t="s">
        <v>102</v>
      </c>
      <c r="I2543" s="19">
        <v>20</v>
      </c>
      <c r="J2543" s="19">
        <v>400</v>
      </c>
      <c r="K2543" s="19">
        <v>249.55</v>
      </c>
      <c r="L2543" s="19">
        <v>99820</v>
      </c>
      <c r="M2543" s="19">
        <v>-7676.16</v>
      </c>
      <c r="N2543" s="19">
        <v>0</v>
      </c>
      <c r="O2543" s="19">
        <v>11978.699958000001</v>
      </c>
      <c r="P2543" s="19">
        <v>104122.53995799999</v>
      </c>
    </row>
    <row r="2544" spans="1:16" ht="15" x14ac:dyDescent="0.2">
      <c r="A2544" s="4" t="s">
        <v>573</v>
      </c>
      <c r="B2544" s="21" t="str">
        <f t="shared" si="78"/>
        <v>Feb-2026</v>
      </c>
      <c r="C2544" s="2" t="str">
        <f t="shared" si="79"/>
        <v>Q4</v>
      </c>
      <c r="D2544" s="2" t="s">
        <v>31</v>
      </c>
      <c r="E2544" s="16">
        <v>46078</v>
      </c>
      <c r="F2544" s="2" t="s">
        <v>542</v>
      </c>
      <c r="G2544" s="2" t="s">
        <v>12</v>
      </c>
      <c r="H2544" s="2" t="s">
        <v>138</v>
      </c>
      <c r="I2544" s="19">
        <v>2</v>
      </c>
      <c r="J2544" s="19">
        <v>80</v>
      </c>
      <c r="K2544" s="19">
        <v>111.74</v>
      </c>
      <c r="L2544" s="19">
        <v>8939.2000000000007</v>
      </c>
      <c r="M2544" s="19">
        <v>-687.42</v>
      </c>
      <c r="N2544" s="19">
        <v>0</v>
      </c>
      <c r="O2544" s="19">
        <v>1072.7314679999999</v>
      </c>
      <c r="P2544" s="19">
        <v>9324.5114680000006</v>
      </c>
    </row>
    <row r="2545" spans="1:16" ht="15" x14ac:dyDescent="0.2">
      <c r="A2545" s="4" t="s">
        <v>573</v>
      </c>
      <c r="B2545" s="21" t="str">
        <f t="shared" si="78"/>
        <v>Feb-2026</v>
      </c>
      <c r="C2545" s="2" t="str">
        <f t="shared" si="79"/>
        <v>Q4</v>
      </c>
      <c r="D2545" s="2" t="s">
        <v>31</v>
      </c>
      <c r="E2545" s="16">
        <v>46078</v>
      </c>
      <c r="F2545" s="2" t="s">
        <v>542</v>
      </c>
      <c r="G2545" s="2" t="s">
        <v>12</v>
      </c>
      <c r="H2545" s="2" t="s">
        <v>136</v>
      </c>
      <c r="I2545" s="19">
        <v>3</v>
      </c>
      <c r="J2545" s="19">
        <v>120</v>
      </c>
      <c r="K2545" s="19">
        <v>111.74</v>
      </c>
      <c r="L2545" s="19">
        <v>13408.8</v>
      </c>
      <c r="M2545" s="19">
        <v>-1031.1400000000001</v>
      </c>
      <c r="N2545" s="19">
        <v>0</v>
      </c>
      <c r="O2545" s="19">
        <v>1609.095902</v>
      </c>
      <c r="P2545" s="19">
        <v>13986.755902000001</v>
      </c>
    </row>
    <row r="2546" spans="1:16" ht="15" x14ac:dyDescent="0.2">
      <c r="A2546" s="4" t="s">
        <v>580</v>
      </c>
      <c r="B2546" s="21" t="str">
        <f t="shared" si="78"/>
        <v>Feb-2026</v>
      </c>
      <c r="C2546" s="2" t="str">
        <f t="shared" si="79"/>
        <v>Q4</v>
      </c>
      <c r="D2546" s="2" t="s">
        <v>31</v>
      </c>
      <c r="E2546" s="16">
        <v>46078</v>
      </c>
      <c r="F2546" s="2" t="s">
        <v>542</v>
      </c>
      <c r="G2546" s="2" t="s">
        <v>12</v>
      </c>
      <c r="H2546" s="2" t="s">
        <v>89</v>
      </c>
      <c r="I2546" s="19">
        <v>20</v>
      </c>
      <c r="J2546" s="19">
        <v>1400</v>
      </c>
      <c r="K2546" s="19">
        <v>37.25</v>
      </c>
      <c r="L2546" s="19">
        <v>52150</v>
      </c>
      <c r="M2546" s="19">
        <v>-4010.3399999999997</v>
      </c>
      <c r="N2546" s="19">
        <v>0</v>
      </c>
      <c r="O2546" s="19">
        <v>6258.1561959999999</v>
      </c>
      <c r="P2546" s="19">
        <v>54397.816196</v>
      </c>
    </row>
    <row r="2547" spans="1:16" ht="15" x14ac:dyDescent="0.2">
      <c r="A2547" s="4" t="s">
        <v>588</v>
      </c>
      <c r="B2547" s="21" t="str">
        <f t="shared" si="78"/>
        <v>Feb-2026</v>
      </c>
      <c r="C2547" s="2" t="str">
        <f t="shared" si="79"/>
        <v>Q4</v>
      </c>
      <c r="D2547" s="2" t="s">
        <v>31</v>
      </c>
      <c r="E2547" s="16">
        <v>46078</v>
      </c>
      <c r="F2547" s="2" t="s">
        <v>542</v>
      </c>
      <c r="G2547" s="2" t="s">
        <v>12</v>
      </c>
      <c r="H2547" s="2" t="s">
        <v>95</v>
      </c>
      <c r="I2547" s="19">
        <v>5</v>
      </c>
      <c r="J2547" s="19">
        <v>300</v>
      </c>
      <c r="K2547" s="19">
        <v>111.74</v>
      </c>
      <c r="L2547" s="19">
        <v>33522</v>
      </c>
      <c r="M2547" s="19">
        <v>-2577.84</v>
      </c>
      <c r="N2547" s="19">
        <v>0</v>
      </c>
      <c r="O2547" s="19">
        <v>4022.741055</v>
      </c>
      <c r="P2547" s="19">
        <v>34966.901055000002</v>
      </c>
    </row>
    <row r="2548" spans="1:16" ht="15" x14ac:dyDescent="0.2">
      <c r="A2548" s="4" t="s">
        <v>576</v>
      </c>
      <c r="B2548" s="21" t="str">
        <f t="shared" si="78"/>
        <v>Feb-2026</v>
      </c>
      <c r="C2548" s="2" t="str">
        <f t="shared" si="79"/>
        <v>Q4</v>
      </c>
      <c r="D2548" s="2" t="s">
        <v>31</v>
      </c>
      <c r="E2548" s="16">
        <v>46078</v>
      </c>
      <c r="F2548" s="2" t="s">
        <v>543</v>
      </c>
      <c r="G2548" s="2" t="s">
        <v>12</v>
      </c>
      <c r="H2548" s="2" t="s">
        <v>123</v>
      </c>
      <c r="I2548" s="19">
        <v>2</v>
      </c>
      <c r="J2548" s="19">
        <v>40</v>
      </c>
      <c r="K2548" s="19">
        <v>175.05</v>
      </c>
      <c r="L2548" s="19">
        <v>7001.9999999999991</v>
      </c>
      <c r="M2548" s="19">
        <v>-538.45000000000005</v>
      </c>
      <c r="N2548" s="19">
        <v>0</v>
      </c>
      <c r="O2548" s="19">
        <v>840.26183000000003</v>
      </c>
      <c r="P2548" s="19">
        <v>7303.8118299999996</v>
      </c>
    </row>
    <row r="2549" spans="1:16" ht="15" x14ac:dyDescent="0.2">
      <c r="A2549" s="4" t="s">
        <v>576</v>
      </c>
      <c r="B2549" s="21" t="str">
        <f t="shared" si="78"/>
        <v>Feb-2026</v>
      </c>
      <c r="C2549" s="2" t="str">
        <f t="shared" si="79"/>
        <v>Q4</v>
      </c>
      <c r="D2549" s="2" t="s">
        <v>31</v>
      </c>
      <c r="E2549" s="16">
        <v>46078</v>
      </c>
      <c r="F2549" s="2" t="s">
        <v>543</v>
      </c>
      <c r="G2549" s="2" t="s">
        <v>12</v>
      </c>
      <c r="H2549" s="2" t="s">
        <v>124</v>
      </c>
      <c r="I2549" s="19">
        <v>1</v>
      </c>
      <c r="J2549" s="19">
        <v>20</v>
      </c>
      <c r="K2549" s="19">
        <v>175.05</v>
      </c>
      <c r="L2549" s="19">
        <v>3500.9999999999995</v>
      </c>
      <c r="M2549" s="19">
        <v>-269.23</v>
      </c>
      <c r="N2549" s="19">
        <v>0</v>
      </c>
      <c r="O2549" s="19">
        <v>420.13026500000001</v>
      </c>
      <c r="P2549" s="19">
        <v>3651.9002650000002</v>
      </c>
    </row>
    <row r="2550" spans="1:16" ht="15" x14ac:dyDescent="0.2">
      <c r="A2550" s="4" t="s">
        <v>583</v>
      </c>
      <c r="B2550" s="21" t="str">
        <f t="shared" si="78"/>
        <v>Feb-2026</v>
      </c>
      <c r="C2550" s="2" t="str">
        <f t="shared" si="79"/>
        <v>Q4</v>
      </c>
      <c r="D2550" s="2" t="s">
        <v>31</v>
      </c>
      <c r="E2550" s="16">
        <v>46078</v>
      </c>
      <c r="F2550" s="2" t="s">
        <v>543</v>
      </c>
      <c r="G2550" s="2" t="s">
        <v>12</v>
      </c>
      <c r="H2550" s="2" t="s">
        <v>113</v>
      </c>
      <c r="I2550" s="19">
        <v>3</v>
      </c>
      <c r="J2550" s="19">
        <v>45</v>
      </c>
      <c r="K2550" s="19">
        <v>260.72000000000003</v>
      </c>
      <c r="L2550" s="19">
        <v>11732.4</v>
      </c>
      <c r="M2550" s="19">
        <v>-902.22</v>
      </c>
      <c r="N2550" s="19">
        <v>0</v>
      </c>
      <c r="O2550" s="19">
        <v>1407.923953</v>
      </c>
      <c r="P2550" s="19">
        <v>12238.103953</v>
      </c>
    </row>
    <row r="2551" spans="1:16" ht="15" x14ac:dyDescent="0.2">
      <c r="A2551" s="4" t="s">
        <v>583</v>
      </c>
      <c r="B2551" s="21" t="str">
        <f t="shared" si="78"/>
        <v>Feb-2026</v>
      </c>
      <c r="C2551" s="2" t="str">
        <f t="shared" si="79"/>
        <v>Q4</v>
      </c>
      <c r="D2551" s="2" t="s">
        <v>31</v>
      </c>
      <c r="E2551" s="16">
        <v>46078</v>
      </c>
      <c r="F2551" s="2" t="s">
        <v>543</v>
      </c>
      <c r="G2551" s="2" t="s">
        <v>12</v>
      </c>
      <c r="H2551" s="2" t="s">
        <v>109</v>
      </c>
      <c r="I2551" s="19">
        <v>3</v>
      </c>
      <c r="J2551" s="19">
        <v>45</v>
      </c>
      <c r="K2551" s="19">
        <v>260.72000000000003</v>
      </c>
      <c r="L2551" s="19">
        <v>11732.4</v>
      </c>
      <c r="M2551" s="19">
        <v>-902.22</v>
      </c>
      <c r="N2551" s="19">
        <v>0</v>
      </c>
      <c r="O2551" s="19">
        <v>1407.923953</v>
      </c>
      <c r="P2551" s="19">
        <v>12238.103953</v>
      </c>
    </row>
    <row r="2552" spans="1:16" ht="15" x14ac:dyDescent="0.2">
      <c r="A2552" s="4" t="s">
        <v>593</v>
      </c>
      <c r="B2552" s="21" t="str">
        <f t="shared" si="78"/>
        <v>Feb-2026</v>
      </c>
      <c r="C2552" s="2" t="str">
        <f t="shared" si="79"/>
        <v>Q4</v>
      </c>
      <c r="D2552" s="2" t="s">
        <v>31</v>
      </c>
      <c r="E2552" s="16">
        <v>46078</v>
      </c>
      <c r="F2552" s="2" t="s">
        <v>544</v>
      </c>
      <c r="G2552" s="2" t="s">
        <v>347</v>
      </c>
      <c r="H2552" s="2" t="s">
        <v>117</v>
      </c>
      <c r="I2552" s="19">
        <v>20</v>
      </c>
      <c r="J2552" s="19">
        <v>80</v>
      </c>
      <c r="K2552" s="19">
        <v>595.94000000000005</v>
      </c>
      <c r="L2552" s="19">
        <v>47675.199999999997</v>
      </c>
      <c r="M2552" s="19">
        <v>-3666.2200000000003</v>
      </c>
      <c r="N2552" s="19">
        <v>0</v>
      </c>
      <c r="O2552" s="19">
        <v>5721.1652689999992</v>
      </c>
      <c r="P2552" s="19">
        <v>49730.145269000001</v>
      </c>
    </row>
    <row r="2553" spans="1:16" ht="15" x14ac:dyDescent="0.2">
      <c r="A2553" s="4" t="s">
        <v>590</v>
      </c>
      <c r="B2553" s="21" t="str">
        <f t="shared" si="78"/>
        <v>Feb-2026</v>
      </c>
      <c r="C2553" s="2" t="str">
        <f t="shared" si="79"/>
        <v>Q4</v>
      </c>
      <c r="D2553" s="2" t="s">
        <v>31</v>
      </c>
      <c r="E2553" s="16">
        <v>46078</v>
      </c>
      <c r="F2553" s="2" t="s">
        <v>544</v>
      </c>
      <c r="G2553" s="2" t="s">
        <v>347</v>
      </c>
      <c r="H2553" s="2" t="s">
        <v>102</v>
      </c>
      <c r="I2553" s="19">
        <v>3</v>
      </c>
      <c r="J2553" s="19">
        <v>60</v>
      </c>
      <c r="K2553" s="19">
        <v>249.55</v>
      </c>
      <c r="L2553" s="19">
        <v>14973</v>
      </c>
      <c r="M2553" s="19">
        <v>-1151.42</v>
      </c>
      <c r="N2553" s="19">
        <v>0</v>
      </c>
      <c r="O2553" s="19">
        <v>1796.8047310000002</v>
      </c>
      <c r="P2553" s="19">
        <v>15618.384731</v>
      </c>
    </row>
    <row r="2554" spans="1:16" ht="15" x14ac:dyDescent="0.2">
      <c r="A2554" s="4" t="s">
        <v>579</v>
      </c>
      <c r="B2554" s="21" t="str">
        <f t="shared" si="78"/>
        <v>Feb-2026</v>
      </c>
      <c r="C2554" s="2" t="str">
        <f t="shared" si="79"/>
        <v>Q4</v>
      </c>
      <c r="D2554" s="2" t="s">
        <v>31</v>
      </c>
      <c r="E2554" s="16">
        <v>46078</v>
      </c>
      <c r="F2554" s="2" t="s">
        <v>545</v>
      </c>
      <c r="G2554" s="2" t="s">
        <v>20</v>
      </c>
      <c r="H2554" s="2" t="s">
        <v>91</v>
      </c>
      <c r="I2554" s="19">
        <v>2</v>
      </c>
      <c r="J2554" s="19">
        <v>40</v>
      </c>
      <c r="K2554" s="19">
        <v>204.85</v>
      </c>
      <c r="L2554" s="19">
        <v>8194</v>
      </c>
      <c r="M2554" s="19">
        <v>-630.12</v>
      </c>
      <c r="N2554" s="19">
        <v>0</v>
      </c>
      <c r="O2554" s="19">
        <v>983.30499999999995</v>
      </c>
      <c r="P2554" s="19">
        <v>8547.1849999999995</v>
      </c>
    </row>
    <row r="2555" spans="1:16" ht="15" x14ac:dyDescent="0.2">
      <c r="A2555" s="4" t="s">
        <v>579</v>
      </c>
      <c r="B2555" s="21" t="str">
        <f t="shared" si="78"/>
        <v>Feb-2026</v>
      </c>
      <c r="C2555" s="2" t="str">
        <f t="shared" si="79"/>
        <v>Q4</v>
      </c>
      <c r="D2555" s="2" t="s">
        <v>31</v>
      </c>
      <c r="E2555" s="16">
        <v>46078</v>
      </c>
      <c r="F2555" s="2" t="s">
        <v>545</v>
      </c>
      <c r="G2555" s="2" t="s">
        <v>20</v>
      </c>
      <c r="H2555" s="2" t="s">
        <v>90</v>
      </c>
      <c r="I2555" s="19">
        <v>2</v>
      </c>
      <c r="J2555" s="19">
        <v>40</v>
      </c>
      <c r="K2555" s="19">
        <v>204.85</v>
      </c>
      <c r="L2555" s="19">
        <v>8194</v>
      </c>
      <c r="M2555" s="19">
        <v>-630.12</v>
      </c>
      <c r="N2555" s="19">
        <v>0</v>
      </c>
      <c r="O2555" s="19">
        <v>983.30499999999995</v>
      </c>
      <c r="P2555" s="19">
        <v>8547.1849999999995</v>
      </c>
    </row>
    <row r="2556" spans="1:16" ht="15" x14ac:dyDescent="0.2">
      <c r="A2556" s="4" t="s">
        <v>584</v>
      </c>
      <c r="B2556" s="21" t="str">
        <f t="shared" si="78"/>
        <v>Feb-2026</v>
      </c>
      <c r="C2556" s="2" t="str">
        <f t="shared" si="79"/>
        <v>Q4</v>
      </c>
      <c r="D2556" s="2" t="s">
        <v>31</v>
      </c>
      <c r="E2556" s="16">
        <v>46078</v>
      </c>
      <c r="F2556" s="2" t="s">
        <v>546</v>
      </c>
      <c r="G2556" s="2" t="s">
        <v>130</v>
      </c>
      <c r="H2556" s="2" t="s">
        <v>99</v>
      </c>
      <c r="I2556" s="19">
        <v>5</v>
      </c>
      <c r="J2556" s="19">
        <v>200</v>
      </c>
      <c r="K2556" s="19">
        <v>81.94</v>
      </c>
      <c r="L2556" s="19">
        <v>16388</v>
      </c>
      <c r="M2556" s="19">
        <v>-1260.24</v>
      </c>
      <c r="N2556" s="19">
        <v>0</v>
      </c>
      <c r="O2556" s="19">
        <v>1966.6088120000002</v>
      </c>
      <c r="P2556" s="19">
        <v>17094.368812000001</v>
      </c>
    </row>
    <row r="2557" spans="1:16" ht="15" x14ac:dyDescent="0.2">
      <c r="A2557" s="4" t="s">
        <v>584</v>
      </c>
      <c r="B2557" s="21" t="str">
        <f t="shared" si="78"/>
        <v>Feb-2026</v>
      </c>
      <c r="C2557" s="2" t="str">
        <f t="shared" si="79"/>
        <v>Q4</v>
      </c>
      <c r="D2557" s="2" t="s">
        <v>31</v>
      </c>
      <c r="E2557" s="16">
        <v>46078</v>
      </c>
      <c r="F2557" s="2" t="s">
        <v>546</v>
      </c>
      <c r="G2557" s="2" t="s">
        <v>130</v>
      </c>
      <c r="H2557" s="2" t="s">
        <v>100</v>
      </c>
      <c r="I2557" s="19">
        <v>5</v>
      </c>
      <c r="J2557" s="19">
        <v>200</v>
      </c>
      <c r="K2557" s="19">
        <v>89.39</v>
      </c>
      <c r="L2557" s="19">
        <v>17878</v>
      </c>
      <c r="M2557" s="19">
        <v>-1374.82</v>
      </c>
      <c r="N2557" s="19">
        <v>0</v>
      </c>
      <c r="O2557" s="19">
        <v>2145.4134130000002</v>
      </c>
      <c r="P2557" s="19">
        <v>18648.593412999999</v>
      </c>
    </row>
    <row r="2558" spans="1:16" ht="15" x14ac:dyDescent="0.2">
      <c r="A2558" s="4" t="s">
        <v>581</v>
      </c>
      <c r="B2558" s="21" t="str">
        <f t="shared" si="78"/>
        <v>Feb-2026</v>
      </c>
      <c r="C2558" s="2" t="str">
        <f t="shared" si="79"/>
        <v>Q4</v>
      </c>
      <c r="D2558" s="2" t="s">
        <v>31</v>
      </c>
      <c r="E2558" s="16">
        <v>46078</v>
      </c>
      <c r="F2558" s="2" t="s">
        <v>546</v>
      </c>
      <c r="G2558" s="2" t="s">
        <v>130</v>
      </c>
      <c r="H2558" s="2" t="s">
        <v>97</v>
      </c>
      <c r="I2558" s="19">
        <v>35</v>
      </c>
      <c r="J2558" s="19">
        <v>1400</v>
      </c>
      <c r="K2558" s="19">
        <v>74.5</v>
      </c>
      <c r="L2558" s="19">
        <v>104300</v>
      </c>
      <c r="M2558" s="19">
        <v>-8020.67</v>
      </c>
      <c r="N2558" s="19">
        <v>0</v>
      </c>
      <c r="O2558" s="19">
        <v>12516.312974999999</v>
      </c>
      <c r="P2558" s="19">
        <v>108795.642975</v>
      </c>
    </row>
    <row r="2559" spans="1:16" ht="15" x14ac:dyDescent="0.2">
      <c r="A2559" s="4" t="s">
        <v>575</v>
      </c>
      <c r="B2559" s="21" t="str">
        <f t="shared" si="78"/>
        <v>Feb-2026</v>
      </c>
      <c r="C2559" s="2" t="str">
        <f t="shared" si="79"/>
        <v>Q4</v>
      </c>
      <c r="D2559" s="2" t="s">
        <v>31</v>
      </c>
      <c r="E2559" s="16">
        <v>46078</v>
      </c>
      <c r="F2559" s="2" t="s">
        <v>546</v>
      </c>
      <c r="G2559" s="2" t="s">
        <v>130</v>
      </c>
      <c r="H2559" s="2" t="s">
        <v>55</v>
      </c>
      <c r="I2559" s="19">
        <v>50</v>
      </c>
      <c r="J2559" s="19">
        <v>1000</v>
      </c>
      <c r="K2559" s="19">
        <v>186.22</v>
      </c>
      <c r="L2559" s="19">
        <v>186220</v>
      </c>
      <c r="M2559" s="19">
        <v>-14320.32</v>
      </c>
      <c r="N2559" s="19">
        <v>0</v>
      </c>
      <c r="O2559" s="19">
        <v>22346.958533000001</v>
      </c>
      <c r="P2559" s="19">
        <v>194246.63853299999</v>
      </c>
    </row>
    <row r="2560" spans="1:16" ht="15" x14ac:dyDescent="0.2">
      <c r="A2560" s="4" t="s">
        <v>581</v>
      </c>
      <c r="B2560" s="21" t="str">
        <f t="shared" si="78"/>
        <v>Feb-2026</v>
      </c>
      <c r="C2560" s="2" t="str">
        <f t="shared" si="79"/>
        <v>Q4</v>
      </c>
      <c r="D2560" s="2" t="s">
        <v>31</v>
      </c>
      <c r="E2560" s="16">
        <v>46078</v>
      </c>
      <c r="F2560" s="2" t="s">
        <v>546</v>
      </c>
      <c r="G2560" s="2" t="s">
        <v>130</v>
      </c>
      <c r="H2560" s="2" t="s">
        <v>96</v>
      </c>
      <c r="I2560" s="19">
        <v>35</v>
      </c>
      <c r="J2560" s="19">
        <v>1400</v>
      </c>
      <c r="K2560" s="19">
        <v>74.489999999999995</v>
      </c>
      <c r="L2560" s="19">
        <v>104286</v>
      </c>
      <c r="M2560" s="19">
        <v>-8019.5899999999992</v>
      </c>
      <c r="N2560" s="19">
        <v>0</v>
      </c>
      <c r="O2560" s="19">
        <v>12514.633374999999</v>
      </c>
      <c r="P2560" s="19">
        <v>108781.04337499999</v>
      </c>
    </row>
    <row r="2561" spans="1:16" ht="15" x14ac:dyDescent="0.2">
      <c r="A2561" s="4" t="s">
        <v>583</v>
      </c>
      <c r="B2561" s="21" t="str">
        <f t="shared" si="78"/>
        <v>Feb-2026</v>
      </c>
      <c r="C2561" s="2" t="str">
        <f t="shared" si="79"/>
        <v>Q4</v>
      </c>
      <c r="D2561" s="2" t="s">
        <v>31</v>
      </c>
      <c r="E2561" s="16">
        <v>46078</v>
      </c>
      <c r="F2561" s="2" t="s">
        <v>546</v>
      </c>
      <c r="G2561" s="2" t="s">
        <v>130</v>
      </c>
      <c r="H2561" s="2" t="s">
        <v>113</v>
      </c>
      <c r="I2561" s="19">
        <v>10</v>
      </c>
      <c r="J2561" s="19">
        <v>150</v>
      </c>
      <c r="K2561" s="19">
        <v>260.72000000000003</v>
      </c>
      <c r="L2561" s="19">
        <v>39108</v>
      </c>
      <c r="M2561" s="19">
        <v>-3007.4100000000003</v>
      </c>
      <c r="N2561" s="19">
        <v>0</v>
      </c>
      <c r="O2561" s="19">
        <v>4693.076728</v>
      </c>
      <c r="P2561" s="19">
        <v>40793.666727999997</v>
      </c>
    </row>
    <row r="2562" spans="1:16" ht="15" x14ac:dyDescent="0.2">
      <c r="A2562" s="4" t="s">
        <v>593</v>
      </c>
      <c r="B2562" s="21" t="str">
        <f t="shared" ref="B2562:B2625" si="80">+TEXT(E2562,"MMM-yyy")</f>
        <v>Feb-2026</v>
      </c>
      <c r="C2562" s="2" t="str">
        <f t="shared" ref="C2562:C2625" si="81">"Q" &amp; CHOOSE(MONTH(E2562),4,4,4,1,1,1,2,2,2,3,3,3)</f>
        <v>Q4</v>
      </c>
      <c r="D2562" s="2" t="s">
        <v>31</v>
      </c>
      <c r="E2562" s="16">
        <v>46078</v>
      </c>
      <c r="F2562" s="2" t="s">
        <v>546</v>
      </c>
      <c r="G2562" s="2" t="s">
        <v>130</v>
      </c>
      <c r="H2562" s="2" t="s">
        <v>117</v>
      </c>
      <c r="I2562" s="19">
        <v>50</v>
      </c>
      <c r="J2562" s="19">
        <v>200</v>
      </c>
      <c r="K2562" s="19">
        <v>595.94000000000005</v>
      </c>
      <c r="L2562" s="19">
        <v>119188</v>
      </c>
      <c r="M2562" s="19">
        <v>-9165.56</v>
      </c>
      <c r="N2562" s="19">
        <v>0</v>
      </c>
      <c r="O2562" s="19">
        <v>14302.917285</v>
      </c>
      <c r="P2562" s="19">
        <v>124325.35728500001</v>
      </c>
    </row>
    <row r="2563" spans="1:16" ht="15" x14ac:dyDescent="0.2">
      <c r="A2563" s="4" t="s">
        <v>581</v>
      </c>
      <c r="B2563" s="21" t="str">
        <f t="shared" si="80"/>
        <v>Feb-2026</v>
      </c>
      <c r="C2563" s="2" t="str">
        <f t="shared" si="81"/>
        <v>Q4</v>
      </c>
      <c r="D2563" s="2" t="s">
        <v>31</v>
      </c>
      <c r="E2563" s="16">
        <v>46078</v>
      </c>
      <c r="F2563" s="2" t="s">
        <v>546</v>
      </c>
      <c r="G2563" s="2" t="s">
        <v>130</v>
      </c>
      <c r="H2563" s="2" t="s">
        <v>104</v>
      </c>
      <c r="I2563" s="19">
        <v>35</v>
      </c>
      <c r="J2563" s="19">
        <v>1400</v>
      </c>
      <c r="K2563" s="19">
        <v>74.489999999999995</v>
      </c>
      <c r="L2563" s="19">
        <v>104286</v>
      </c>
      <c r="M2563" s="19">
        <v>-8019.5899999999992</v>
      </c>
      <c r="N2563" s="19">
        <v>0</v>
      </c>
      <c r="O2563" s="19">
        <v>12514.633374999999</v>
      </c>
      <c r="P2563" s="19">
        <v>108781.04337499999</v>
      </c>
    </row>
    <row r="2564" spans="1:16" ht="15" x14ac:dyDescent="0.2">
      <c r="A2564" s="4" t="s">
        <v>589</v>
      </c>
      <c r="B2564" s="21" t="str">
        <f t="shared" si="80"/>
        <v>Feb-2026</v>
      </c>
      <c r="C2564" s="2" t="str">
        <f t="shared" si="81"/>
        <v>Q4</v>
      </c>
      <c r="D2564" s="2" t="s">
        <v>31</v>
      </c>
      <c r="E2564" s="16">
        <v>46078</v>
      </c>
      <c r="F2564" s="2" t="s">
        <v>546</v>
      </c>
      <c r="G2564" s="2" t="s">
        <v>130</v>
      </c>
      <c r="H2564" s="2" t="s">
        <v>105</v>
      </c>
      <c r="I2564" s="19">
        <v>30</v>
      </c>
      <c r="J2564" s="19">
        <v>900</v>
      </c>
      <c r="K2564" s="19">
        <v>316.58999999999997</v>
      </c>
      <c r="L2564" s="19">
        <v>284931</v>
      </c>
      <c r="M2564" s="19">
        <v>-21911.19</v>
      </c>
      <c r="N2564" s="19">
        <v>0</v>
      </c>
      <c r="O2564" s="19">
        <v>34192.575504</v>
      </c>
      <c r="P2564" s="19">
        <v>297212.38550400001</v>
      </c>
    </row>
    <row r="2565" spans="1:16" ht="15" x14ac:dyDescent="0.2">
      <c r="A2565" s="4" t="s">
        <v>583</v>
      </c>
      <c r="B2565" s="21" t="str">
        <f t="shared" si="80"/>
        <v>Feb-2026</v>
      </c>
      <c r="C2565" s="2" t="str">
        <f t="shared" si="81"/>
        <v>Q4</v>
      </c>
      <c r="D2565" s="2" t="s">
        <v>31</v>
      </c>
      <c r="E2565" s="16">
        <v>46078</v>
      </c>
      <c r="F2565" s="2" t="s">
        <v>547</v>
      </c>
      <c r="G2565" s="2" t="s">
        <v>386</v>
      </c>
      <c r="H2565" s="2" t="s">
        <v>113</v>
      </c>
      <c r="I2565" s="19">
        <v>-14</v>
      </c>
      <c r="J2565" s="19">
        <v>-210</v>
      </c>
      <c r="K2565" s="19">
        <v>232.3</v>
      </c>
      <c r="L2565" s="19">
        <v>-48783</v>
      </c>
      <c r="M2565" s="19">
        <v>0</v>
      </c>
      <c r="N2565" s="19">
        <v>0</v>
      </c>
      <c r="O2565" s="19">
        <v>-6341.7901820000006</v>
      </c>
      <c r="P2565" s="19">
        <v>-55124.790181999997</v>
      </c>
    </row>
    <row r="2566" spans="1:16" ht="15" x14ac:dyDescent="0.2">
      <c r="A2566" s="4" t="s">
        <v>582</v>
      </c>
      <c r="B2566" s="21" t="str">
        <f t="shared" si="80"/>
        <v>Feb-2026</v>
      </c>
      <c r="C2566" s="2" t="str">
        <f t="shared" si="81"/>
        <v>Q4</v>
      </c>
      <c r="D2566" s="2" t="s">
        <v>31</v>
      </c>
      <c r="E2566" s="16">
        <v>46078</v>
      </c>
      <c r="F2566" s="2" t="s">
        <v>547</v>
      </c>
      <c r="G2566" s="2" t="s">
        <v>386</v>
      </c>
      <c r="H2566" s="2" t="s">
        <v>108</v>
      </c>
      <c r="I2566" s="19">
        <v>-14</v>
      </c>
      <c r="J2566" s="19">
        <v>-336</v>
      </c>
      <c r="K2566" s="19">
        <v>165.93</v>
      </c>
      <c r="L2566" s="19">
        <v>-55752.480000000003</v>
      </c>
      <c r="M2566" s="19">
        <v>0</v>
      </c>
      <c r="N2566" s="19">
        <v>0</v>
      </c>
      <c r="O2566" s="19">
        <v>-7247.8226079999995</v>
      </c>
      <c r="P2566" s="19">
        <v>-63000.302607999998</v>
      </c>
    </row>
    <row r="2567" spans="1:16" ht="15" x14ac:dyDescent="0.2">
      <c r="A2567" s="4" t="s">
        <v>580</v>
      </c>
      <c r="B2567" s="21" t="str">
        <f t="shared" si="80"/>
        <v>Feb-2026</v>
      </c>
      <c r="C2567" s="2" t="str">
        <f t="shared" si="81"/>
        <v>Q4</v>
      </c>
      <c r="D2567" s="2" t="s">
        <v>31</v>
      </c>
      <c r="E2567" s="16">
        <v>46078</v>
      </c>
      <c r="F2567" s="2" t="s">
        <v>547</v>
      </c>
      <c r="G2567" s="2" t="s">
        <v>386</v>
      </c>
      <c r="H2567" s="2" t="s">
        <v>89</v>
      </c>
      <c r="I2567" s="19">
        <v>-14</v>
      </c>
      <c r="J2567" s="19">
        <v>-980</v>
      </c>
      <c r="K2567" s="19">
        <v>33.19</v>
      </c>
      <c r="L2567" s="19">
        <v>-32526.2</v>
      </c>
      <c r="M2567" s="19">
        <v>0</v>
      </c>
      <c r="N2567" s="19">
        <v>0</v>
      </c>
      <c r="O2567" s="19">
        <v>-4228.406121</v>
      </c>
      <c r="P2567" s="19">
        <v>-36754.606120999997</v>
      </c>
    </row>
    <row r="2568" spans="1:16" ht="15" x14ac:dyDescent="0.2">
      <c r="A2568" s="4" t="s">
        <v>579</v>
      </c>
      <c r="B2568" s="21" t="str">
        <f t="shared" si="80"/>
        <v>Feb-2026</v>
      </c>
      <c r="C2568" s="2" t="str">
        <f t="shared" si="81"/>
        <v>Q4</v>
      </c>
      <c r="D2568" s="2" t="s">
        <v>31</v>
      </c>
      <c r="E2568" s="16">
        <v>46078</v>
      </c>
      <c r="F2568" s="2" t="s">
        <v>547</v>
      </c>
      <c r="G2568" s="2" t="s">
        <v>386</v>
      </c>
      <c r="H2568" s="2" t="s">
        <v>140</v>
      </c>
      <c r="I2568" s="19">
        <v>-14</v>
      </c>
      <c r="J2568" s="19">
        <v>-280</v>
      </c>
      <c r="K2568" s="19">
        <v>182.52</v>
      </c>
      <c r="L2568" s="19">
        <v>-51105.599999999999</v>
      </c>
      <c r="M2568" s="19">
        <v>0</v>
      </c>
      <c r="N2568" s="19">
        <v>0</v>
      </c>
      <c r="O2568" s="19">
        <v>-6643.7281910000002</v>
      </c>
      <c r="P2568" s="19">
        <v>-57749.328191000001</v>
      </c>
    </row>
    <row r="2569" spans="1:16" ht="15" x14ac:dyDescent="0.2">
      <c r="A2569" s="4" t="s">
        <v>579</v>
      </c>
      <c r="B2569" s="21" t="str">
        <f t="shared" si="80"/>
        <v>Feb-2026</v>
      </c>
      <c r="C2569" s="2" t="str">
        <f t="shared" si="81"/>
        <v>Q4</v>
      </c>
      <c r="D2569" s="2" t="s">
        <v>31</v>
      </c>
      <c r="E2569" s="16">
        <v>46078</v>
      </c>
      <c r="F2569" s="2" t="s">
        <v>547</v>
      </c>
      <c r="G2569" s="2" t="s">
        <v>386</v>
      </c>
      <c r="H2569" s="2" t="s">
        <v>91</v>
      </c>
      <c r="I2569" s="19">
        <v>-33</v>
      </c>
      <c r="J2569" s="19">
        <v>-660</v>
      </c>
      <c r="K2569" s="19">
        <v>182.52</v>
      </c>
      <c r="L2569" s="19">
        <v>-120463.2</v>
      </c>
      <c r="M2569" s="19">
        <v>0</v>
      </c>
      <c r="N2569" s="19">
        <v>0</v>
      </c>
      <c r="O2569" s="19">
        <v>-15660.216449</v>
      </c>
      <c r="P2569" s="19">
        <v>-136123.41644900001</v>
      </c>
    </row>
    <row r="2570" spans="1:16" ht="15" x14ac:dyDescent="0.2">
      <c r="A2570" s="4" t="s">
        <v>579</v>
      </c>
      <c r="B2570" s="21" t="str">
        <f t="shared" si="80"/>
        <v>Feb-2026</v>
      </c>
      <c r="C2570" s="2" t="str">
        <f t="shared" si="81"/>
        <v>Q4</v>
      </c>
      <c r="D2570" s="2" t="s">
        <v>31</v>
      </c>
      <c r="E2570" s="16">
        <v>46078</v>
      </c>
      <c r="F2570" s="2" t="s">
        <v>547</v>
      </c>
      <c r="G2570" s="2" t="s">
        <v>386</v>
      </c>
      <c r="H2570" s="2" t="s">
        <v>90</v>
      </c>
      <c r="I2570" s="19">
        <v>-33</v>
      </c>
      <c r="J2570" s="19">
        <v>-660</v>
      </c>
      <c r="K2570" s="19">
        <v>182.52</v>
      </c>
      <c r="L2570" s="19">
        <v>-120463.2</v>
      </c>
      <c r="M2570" s="19">
        <v>0</v>
      </c>
      <c r="N2570" s="19">
        <v>0</v>
      </c>
      <c r="O2570" s="19">
        <v>-15660.216449</v>
      </c>
      <c r="P2570" s="19">
        <v>-136123.41644900001</v>
      </c>
    </row>
    <row r="2571" spans="1:16" ht="15" x14ac:dyDescent="0.2">
      <c r="A2571" s="4" t="s">
        <v>575</v>
      </c>
      <c r="B2571" s="21" t="str">
        <f t="shared" si="80"/>
        <v>Feb-2026</v>
      </c>
      <c r="C2571" s="2" t="str">
        <f t="shared" si="81"/>
        <v>Q4</v>
      </c>
      <c r="D2571" s="2" t="s">
        <v>31</v>
      </c>
      <c r="E2571" s="16">
        <v>46079</v>
      </c>
      <c r="F2571" s="2" t="s">
        <v>548</v>
      </c>
      <c r="G2571" s="2" t="s">
        <v>306</v>
      </c>
      <c r="H2571" s="2" t="s">
        <v>55</v>
      </c>
      <c r="I2571" s="19">
        <v>0.1</v>
      </c>
      <c r="J2571" s="19">
        <v>2</v>
      </c>
      <c r="K2571" s="19">
        <v>176.99</v>
      </c>
      <c r="L2571" s="19">
        <v>353.98</v>
      </c>
      <c r="M2571" s="19">
        <v>0</v>
      </c>
      <c r="N2571" s="19">
        <v>0</v>
      </c>
      <c r="O2571" s="19">
        <v>46.017252999999997</v>
      </c>
      <c r="P2571" s="19">
        <v>399.997253</v>
      </c>
    </row>
    <row r="2572" spans="1:16" ht="15" x14ac:dyDescent="0.2">
      <c r="A2572" s="4" t="s">
        <v>573</v>
      </c>
      <c r="B2572" s="21" t="str">
        <f t="shared" si="80"/>
        <v>Feb-2026</v>
      </c>
      <c r="C2572" s="2" t="str">
        <f t="shared" si="81"/>
        <v>Q4</v>
      </c>
      <c r="D2572" s="2" t="s">
        <v>31</v>
      </c>
      <c r="E2572" s="16">
        <v>46079</v>
      </c>
      <c r="F2572" s="2" t="s">
        <v>548</v>
      </c>
      <c r="G2572" s="2" t="s">
        <v>306</v>
      </c>
      <c r="H2572" s="2" t="s">
        <v>136</v>
      </c>
      <c r="I2572" s="19">
        <v>0.15</v>
      </c>
      <c r="J2572" s="19">
        <v>6</v>
      </c>
      <c r="K2572" s="19">
        <v>106.19</v>
      </c>
      <c r="L2572" s="19">
        <v>637.14</v>
      </c>
      <c r="M2572" s="19">
        <v>0</v>
      </c>
      <c r="N2572" s="19">
        <v>0</v>
      </c>
      <c r="O2572" s="19">
        <v>82.827935000000011</v>
      </c>
      <c r="P2572" s="19">
        <v>719.96793500000001</v>
      </c>
    </row>
    <row r="2573" spans="1:16" ht="15" x14ac:dyDescent="0.2">
      <c r="A2573" s="4" t="s">
        <v>579</v>
      </c>
      <c r="B2573" s="21" t="str">
        <f t="shared" si="80"/>
        <v>Feb-2026</v>
      </c>
      <c r="C2573" s="2" t="str">
        <f t="shared" si="81"/>
        <v>Q4</v>
      </c>
      <c r="D2573" s="2" t="s">
        <v>31</v>
      </c>
      <c r="E2573" s="16">
        <v>46079</v>
      </c>
      <c r="F2573" s="2" t="s">
        <v>548</v>
      </c>
      <c r="G2573" s="2" t="s">
        <v>306</v>
      </c>
      <c r="H2573" s="2" t="s">
        <v>92</v>
      </c>
      <c r="I2573" s="19">
        <v>0.15</v>
      </c>
      <c r="J2573" s="19">
        <v>3</v>
      </c>
      <c r="K2573" s="19">
        <v>230.09</v>
      </c>
      <c r="L2573" s="19">
        <v>690.2700000000001</v>
      </c>
      <c r="M2573" s="19">
        <v>0</v>
      </c>
      <c r="N2573" s="19">
        <v>0</v>
      </c>
      <c r="O2573" s="19">
        <v>89.734813000000003</v>
      </c>
      <c r="P2573" s="19">
        <v>780.00481300000001</v>
      </c>
    </row>
    <row r="2574" spans="1:16" ht="15" x14ac:dyDescent="0.2">
      <c r="A2574" s="4" t="s">
        <v>581</v>
      </c>
      <c r="B2574" s="21" t="str">
        <f t="shared" si="80"/>
        <v>Feb-2026</v>
      </c>
      <c r="C2574" s="2" t="str">
        <f t="shared" si="81"/>
        <v>Q4</v>
      </c>
      <c r="D2574" s="2" t="s">
        <v>31</v>
      </c>
      <c r="E2574" s="16">
        <v>46079</v>
      </c>
      <c r="F2574" s="2" t="s">
        <v>549</v>
      </c>
      <c r="G2574" s="2" t="s">
        <v>171</v>
      </c>
      <c r="H2574" s="2" t="s">
        <v>104</v>
      </c>
      <c r="I2574" s="19">
        <v>2</v>
      </c>
      <c r="J2574" s="19">
        <v>80</v>
      </c>
      <c r="K2574" s="19">
        <v>74.5</v>
      </c>
      <c r="L2574" s="19">
        <v>5960</v>
      </c>
      <c r="M2574" s="19">
        <v>-458.32</v>
      </c>
      <c r="N2574" s="19">
        <v>0</v>
      </c>
      <c r="O2574" s="19">
        <v>715.21875999999997</v>
      </c>
      <c r="P2574" s="19">
        <v>6216.89876</v>
      </c>
    </row>
    <row r="2575" spans="1:16" ht="15" x14ac:dyDescent="0.2">
      <c r="A2575" s="4" t="s">
        <v>593</v>
      </c>
      <c r="B2575" s="21" t="str">
        <f t="shared" si="80"/>
        <v>Feb-2026</v>
      </c>
      <c r="C2575" s="2" t="str">
        <f t="shared" si="81"/>
        <v>Q4</v>
      </c>
      <c r="D2575" s="2" t="s">
        <v>31</v>
      </c>
      <c r="E2575" s="16">
        <v>46079</v>
      </c>
      <c r="F2575" s="2" t="s">
        <v>549</v>
      </c>
      <c r="G2575" s="2" t="s">
        <v>171</v>
      </c>
      <c r="H2575" s="2" t="s">
        <v>117</v>
      </c>
      <c r="I2575" s="19">
        <v>10</v>
      </c>
      <c r="J2575" s="19">
        <v>40</v>
      </c>
      <c r="K2575" s="19">
        <v>595.94000000000005</v>
      </c>
      <c r="L2575" s="19">
        <v>23837.4</v>
      </c>
      <c r="M2575" s="19">
        <v>-1833.1000000000001</v>
      </c>
      <c r="N2575" s="19">
        <v>0</v>
      </c>
      <c r="O2575" s="19">
        <v>2860.560442</v>
      </c>
      <c r="P2575" s="19">
        <v>24864.860442000001</v>
      </c>
    </row>
    <row r="2576" spans="1:16" ht="15" x14ac:dyDescent="0.2">
      <c r="A2576" s="4" t="s">
        <v>580</v>
      </c>
      <c r="B2576" s="21" t="str">
        <f t="shared" si="80"/>
        <v>Feb-2026</v>
      </c>
      <c r="C2576" s="2" t="str">
        <f t="shared" si="81"/>
        <v>Q4</v>
      </c>
      <c r="D2576" s="2" t="s">
        <v>31</v>
      </c>
      <c r="E2576" s="16">
        <v>46079</v>
      </c>
      <c r="F2576" s="2" t="s">
        <v>549</v>
      </c>
      <c r="G2576" s="2" t="s">
        <v>171</v>
      </c>
      <c r="H2576" s="2" t="s">
        <v>89</v>
      </c>
      <c r="I2576" s="19">
        <v>10</v>
      </c>
      <c r="J2576" s="19">
        <v>700</v>
      </c>
      <c r="K2576" s="19">
        <v>37.25</v>
      </c>
      <c r="L2576" s="19">
        <v>26075</v>
      </c>
      <c r="M2576" s="19">
        <v>-2005.1699999999998</v>
      </c>
      <c r="N2576" s="19">
        <v>0</v>
      </c>
      <c r="O2576" s="19">
        <v>3129.0794770000002</v>
      </c>
      <c r="P2576" s="19">
        <v>27198.909477000001</v>
      </c>
    </row>
    <row r="2577" spans="1:16" ht="15" x14ac:dyDescent="0.2">
      <c r="A2577" s="4" t="s">
        <v>581</v>
      </c>
      <c r="B2577" s="21" t="str">
        <f t="shared" si="80"/>
        <v>Feb-2026</v>
      </c>
      <c r="C2577" s="2" t="str">
        <f t="shared" si="81"/>
        <v>Q4</v>
      </c>
      <c r="D2577" s="2" t="s">
        <v>31</v>
      </c>
      <c r="E2577" s="16">
        <v>46079</v>
      </c>
      <c r="F2577" s="2" t="s">
        <v>549</v>
      </c>
      <c r="G2577" s="2" t="s">
        <v>171</v>
      </c>
      <c r="H2577" s="2" t="s">
        <v>97</v>
      </c>
      <c r="I2577" s="19">
        <v>2</v>
      </c>
      <c r="J2577" s="19">
        <v>80</v>
      </c>
      <c r="K2577" s="19">
        <v>74.5</v>
      </c>
      <c r="L2577" s="19">
        <v>5960</v>
      </c>
      <c r="M2577" s="19">
        <v>-458.32</v>
      </c>
      <c r="N2577" s="19">
        <v>0</v>
      </c>
      <c r="O2577" s="19">
        <v>715.21875999999997</v>
      </c>
      <c r="P2577" s="19">
        <v>6216.89876</v>
      </c>
    </row>
    <row r="2578" spans="1:16" ht="15" x14ac:dyDescent="0.2">
      <c r="A2578" s="4" t="s">
        <v>581</v>
      </c>
      <c r="B2578" s="21" t="str">
        <f t="shared" si="80"/>
        <v>Feb-2026</v>
      </c>
      <c r="C2578" s="2" t="str">
        <f t="shared" si="81"/>
        <v>Q4</v>
      </c>
      <c r="D2578" s="2" t="s">
        <v>31</v>
      </c>
      <c r="E2578" s="16">
        <v>46079</v>
      </c>
      <c r="F2578" s="2" t="s">
        <v>549</v>
      </c>
      <c r="G2578" s="2" t="s">
        <v>171</v>
      </c>
      <c r="H2578" s="2" t="s">
        <v>96</v>
      </c>
      <c r="I2578" s="19">
        <v>2</v>
      </c>
      <c r="J2578" s="19">
        <v>80</v>
      </c>
      <c r="K2578" s="19">
        <v>74.489999999999995</v>
      </c>
      <c r="L2578" s="19">
        <v>5959.2</v>
      </c>
      <c r="M2578" s="19">
        <v>-458.26</v>
      </c>
      <c r="N2578" s="19">
        <v>0</v>
      </c>
      <c r="O2578" s="19">
        <v>715.12256000000002</v>
      </c>
      <c r="P2578" s="19">
        <v>6216.0625600000003</v>
      </c>
    </row>
    <row r="2579" spans="1:16" ht="15" x14ac:dyDescent="0.2">
      <c r="A2579" s="4" t="s">
        <v>581</v>
      </c>
      <c r="B2579" s="21" t="str">
        <f t="shared" si="80"/>
        <v>Feb-2026</v>
      </c>
      <c r="C2579" s="2" t="str">
        <f t="shared" si="81"/>
        <v>Q4</v>
      </c>
      <c r="D2579" s="2" t="s">
        <v>31</v>
      </c>
      <c r="E2579" s="16">
        <v>46079</v>
      </c>
      <c r="F2579" s="2" t="s">
        <v>550</v>
      </c>
      <c r="G2579" s="2" t="s">
        <v>187</v>
      </c>
      <c r="H2579" s="2" t="s">
        <v>96</v>
      </c>
      <c r="I2579" s="19">
        <v>3</v>
      </c>
      <c r="J2579" s="19">
        <v>120</v>
      </c>
      <c r="K2579" s="19">
        <v>74.489999999999995</v>
      </c>
      <c r="L2579" s="19">
        <v>8938.8000000000011</v>
      </c>
      <c r="M2579" s="19">
        <v>-687.3900000000001</v>
      </c>
      <c r="N2579" s="19">
        <v>0</v>
      </c>
      <c r="O2579" s="19">
        <v>1072.6835999999998</v>
      </c>
      <c r="P2579" s="19">
        <v>9324.0936000000002</v>
      </c>
    </row>
    <row r="2580" spans="1:16" ht="15" x14ac:dyDescent="0.2">
      <c r="A2580" s="4" t="s">
        <v>593</v>
      </c>
      <c r="B2580" s="21" t="str">
        <f t="shared" si="80"/>
        <v>Feb-2026</v>
      </c>
      <c r="C2580" s="2" t="str">
        <f t="shared" si="81"/>
        <v>Q4</v>
      </c>
      <c r="D2580" s="2" t="s">
        <v>31</v>
      </c>
      <c r="E2580" s="16">
        <v>46079</v>
      </c>
      <c r="F2580" s="2" t="s">
        <v>550</v>
      </c>
      <c r="G2580" s="2" t="s">
        <v>187</v>
      </c>
      <c r="H2580" s="2" t="s">
        <v>117</v>
      </c>
      <c r="I2580" s="19">
        <v>10</v>
      </c>
      <c r="J2580" s="19">
        <v>40</v>
      </c>
      <c r="K2580" s="19">
        <v>595.92999999999995</v>
      </c>
      <c r="L2580" s="19">
        <v>23837.200000000001</v>
      </c>
      <c r="M2580" s="19">
        <v>-1833.08</v>
      </c>
      <c r="N2580" s="19">
        <v>0</v>
      </c>
      <c r="O2580" s="19">
        <v>2860.5364000000004</v>
      </c>
      <c r="P2580" s="19">
        <v>24864.6564</v>
      </c>
    </row>
    <row r="2581" spans="1:16" ht="15" x14ac:dyDescent="0.2">
      <c r="A2581" s="4" t="s">
        <v>574</v>
      </c>
      <c r="B2581" s="21" t="str">
        <f t="shared" si="80"/>
        <v>Feb-2026</v>
      </c>
      <c r="C2581" s="2" t="str">
        <f t="shared" si="81"/>
        <v>Q4</v>
      </c>
      <c r="D2581" s="2" t="s">
        <v>31</v>
      </c>
      <c r="E2581" s="16">
        <v>46079</v>
      </c>
      <c r="F2581" s="2" t="s">
        <v>551</v>
      </c>
      <c r="G2581" s="2" t="s">
        <v>386</v>
      </c>
      <c r="H2581" s="2" t="s">
        <v>52</v>
      </c>
      <c r="I2581" s="19">
        <v>6</v>
      </c>
      <c r="J2581" s="19">
        <v>108</v>
      </c>
      <c r="K2581" s="19">
        <v>157.16999999999999</v>
      </c>
      <c r="L2581" s="19">
        <v>16974.36</v>
      </c>
      <c r="M2581" s="19">
        <v>0</v>
      </c>
      <c r="N2581" s="19">
        <v>0</v>
      </c>
      <c r="O2581" s="19">
        <v>2206.6668979999999</v>
      </c>
      <c r="P2581" s="19">
        <v>19181.026898</v>
      </c>
    </row>
    <row r="2582" spans="1:16" ht="15" x14ac:dyDescent="0.2">
      <c r="A2582" s="4" t="s">
        <v>574</v>
      </c>
      <c r="B2582" s="21" t="str">
        <f t="shared" si="80"/>
        <v>Feb-2026</v>
      </c>
      <c r="C2582" s="2" t="str">
        <f t="shared" si="81"/>
        <v>Q4</v>
      </c>
      <c r="D2582" s="2" t="s">
        <v>31</v>
      </c>
      <c r="E2582" s="16">
        <v>46079</v>
      </c>
      <c r="F2582" s="2" t="s">
        <v>551</v>
      </c>
      <c r="G2582" s="2" t="s">
        <v>386</v>
      </c>
      <c r="H2582" s="2" t="s">
        <v>84</v>
      </c>
      <c r="I2582" s="19">
        <v>6</v>
      </c>
      <c r="J2582" s="19">
        <v>108</v>
      </c>
      <c r="K2582" s="19">
        <v>157.16999999999999</v>
      </c>
      <c r="L2582" s="19">
        <v>16974.36</v>
      </c>
      <c r="M2582" s="19">
        <v>0</v>
      </c>
      <c r="N2582" s="19">
        <v>0</v>
      </c>
      <c r="O2582" s="19">
        <v>2206.6668979999999</v>
      </c>
      <c r="P2582" s="19">
        <v>19181.026898</v>
      </c>
    </row>
    <row r="2583" spans="1:16" ht="15" x14ac:dyDescent="0.2">
      <c r="A2583" s="4" t="s">
        <v>589</v>
      </c>
      <c r="B2583" s="21" t="str">
        <f t="shared" si="80"/>
        <v>Feb-2026</v>
      </c>
      <c r="C2583" s="2" t="str">
        <f t="shared" si="81"/>
        <v>Q4</v>
      </c>
      <c r="D2583" s="2" t="s">
        <v>31</v>
      </c>
      <c r="E2583" s="16">
        <v>46079</v>
      </c>
      <c r="F2583" s="2" t="s">
        <v>551</v>
      </c>
      <c r="G2583" s="2" t="s">
        <v>386</v>
      </c>
      <c r="H2583" s="2" t="s">
        <v>105</v>
      </c>
      <c r="I2583" s="19">
        <v>7</v>
      </c>
      <c r="J2583" s="19">
        <v>210</v>
      </c>
      <c r="K2583" s="19">
        <v>278.32</v>
      </c>
      <c r="L2583" s="19">
        <v>58447.200000000004</v>
      </c>
      <c r="M2583" s="19">
        <v>0</v>
      </c>
      <c r="N2583" s="19">
        <v>0</v>
      </c>
      <c r="O2583" s="19">
        <v>7598.1363380000003</v>
      </c>
      <c r="P2583" s="19">
        <v>66045.336337999994</v>
      </c>
    </row>
    <row r="2584" spans="1:16" ht="15" x14ac:dyDescent="0.2">
      <c r="A2584" s="4" t="s">
        <v>579</v>
      </c>
      <c r="B2584" s="21" t="str">
        <f t="shared" si="80"/>
        <v>Feb-2026</v>
      </c>
      <c r="C2584" s="2" t="str">
        <f t="shared" si="81"/>
        <v>Q4</v>
      </c>
      <c r="D2584" s="2" t="s">
        <v>31</v>
      </c>
      <c r="E2584" s="16">
        <v>46079</v>
      </c>
      <c r="F2584" s="2" t="s">
        <v>551</v>
      </c>
      <c r="G2584" s="2" t="s">
        <v>386</v>
      </c>
      <c r="H2584" s="2" t="s">
        <v>91</v>
      </c>
      <c r="I2584" s="19">
        <v>9</v>
      </c>
      <c r="J2584" s="19">
        <v>180</v>
      </c>
      <c r="K2584" s="19">
        <v>180.09</v>
      </c>
      <c r="L2584" s="19">
        <v>32416.199999999997</v>
      </c>
      <c r="M2584" s="19">
        <v>0</v>
      </c>
      <c r="N2584" s="19">
        <v>0</v>
      </c>
      <c r="O2584" s="19">
        <v>4214.1061879999997</v>
      </c>
      <c r="P2584" s="19">
        <v>36630.306188000002</v>
      </c>
    </row>
    <row r="2585" spans="1:16" ht="15" x14ac:dyDescent="0.2">
      <c r="A2585" s="4" t="s">
        <v>590</v>
      </c>
      <c r="B2585" s="21" t="str">
        <f t="shared" si="80"/>
        <v>Feb-2026</v>
      </c>
      <c r="C2585" s="2" t="str">
        <f t="shared" si="81"/>
        <v>Q4</v>
      </c>
      <c r="D2585" s="2" t="s">
        <v>31</v>
      </c>
      <c r="E2585" s="16">
        <v>46079</v>
      </c>
      <c r="F2585" s="2" t="s">
        <v>551</v>
      </c>
      <c r="G2585" s="2" t="s">
        <v>386</v>
      </c>
      <c r="H2585" s="2" t="s">
        <v>102</v>
      </c>
      <c r="I2585" s="19">
        <v>3</v>
      </c>
      <c r="J2585" s="19">
        <v>60</v>
      </c>
      <c r="K2585" s="19">
        <v>219.38</v>
      </c>
      <c r="L2585" s="19">
        <v>13162.800000000001</v>
      </c>
      <c r="M2585" s="19">
        <v>0</v>
      </c>
      <c r="N2585" s="19">
        <v>0</v>
      </c>
      <c r="O2585" s="19">
        <v>1711.164076</v>
      </c>
      <c r="P2585" s="19">
        <v>14873.964076</v>
      </c>
    </row>
    <row r="2586" spans="1:16" ht="15" x14ac:dyDescent="0.2">
      <c r="A2586" s="4" t="s">
        <v>580</v>
      </c>
      <c r="B2586" s="21" t="str">
        <f t="shared" si="80"/>
        <v>Feb-2026</v>
      </c>
      <c r="C2586" s="2" t="str">
        <f t="shared" si="81"/>
        <v>Q4</v>
      </c>
      <c r="D2586" s="2" t="s">
        <v>31</v>
      </c>
      <c r="E2586" s="16">
        <v>46079</v>
      </c>
      <c r="F2586" s="2" t="s">
        <v>551</v>
      </c>
      <c r="G2586" s="2" t="s">
        <v>386</v>
      </c>
      <c r="H2586" s="2" t="s">
        <v>65</v>
      </c>
      <c r="I2586" s="19">
        <v>9</v>
      </c>
      <c r="J2586" s="19">
        <v>1170</v>
      </c>
      <c r="K2586" s="19">
        <v>32.74</v>
      </c>
      <c r="L2586" s="19">
        <v>38305.799999999996</v>
      </c>
      <c r="M2586" s="19">
        <v>0</v>
      </c>
      <c r="N2586" s="19">
        <v>0</v>
      </c>
      <c r="O2586" s="19">
        <v>4979.7542219999996</v>
      </c>
      <c r="P2586" s="19">
        <v>43285.554221999999</v>
      </c>
    </row>
    <row r="2587" spans="1:16" ht="15" x14ac:dyDescent="0.2">
      <c r="A2587" s="4" t="s">
        <v>581</v>
      </c>
      <c r="B2587" s="21" t="str">
        <f t="shared" si="80"/>
        <v>Feb-2026</v>
      </c>
      <c r="C2587" s="2" t="str">
        <f t="shared" si="81"/>
        <v>Q4</v>
      </c>
      <c r="D2587" s="2" t="s">
        <v>31</v>
      </c>
      <c r="E2587" s="16">
        <v>46079</v>
      </c>
      <c r="F2587" s="2" t="s">
        <v>551</v>
      </c>
      <c r="G2587" s="2" t="s">
        <v>386</v>
      </c>
      <c r="H2587" s="2" t="s">
        <v>97</v>
      </c>
      <c r="I2587" s="19">
        <v>7</v>
      </c>
      <c r="J2587" s="19">
        <v>280</v>
      </c>
      <c r="K2587" s="19">
        <v>65.489999999999995</v>
      </c>
      <c r="L2587" s="19">
        <v>18337.2</v>
      </c>
      <c r="M2587" s="19">
        <v>0</v>
      </c>
      <c r="N2587" s="19">
        <v>0</v>
      </c>
      <c r="O2587" s="19">
        <v>2383.8361060000002</v>
      </c>
      <c r="P2587" s="19">
        <v>20721.036106</v>
      </c>
    </row>
    <row r="2588" spans="1:16" ht="15" x14ac:dyDescent="0.2">
      <c r="A2588" s="4" t="s">
        <v>573</v>
      </c>
      <c r="B2588" s="21" t="str">
        <f t="shared" si="80"/>
        <v>Feb-2026</v>
      </c>
      <c r="C2588" s="2" t="str">
        <f t="shared" si="81"/>
        <v>Q4</v>
      </c>
      <c r="D2588" s="2" t="s">
        <v>31</v>
      </c>
      <c r="E2588" s="16">
        <v>46079</v>
      </c>
      <c r="F2588" s="2" t="s">
        <v>551</v>
      </c>
      <c r="G2588" s="2" t="s">
        <v>386</v>
      </c>
      <c r="H2588" s="2" t="s">
        <v>136</v>
      </c>
      <c r="I2588" s="19">
        <v>7</v>
      </c>
      <c r="J2588" s="19">
        <v>280</v>
      </c>
      <c r="K2588" s="19">
        <v>98.23</v>
      </c>
      <c r="L2588" s="19">
        <v>27504.400000000001</v>
      </c>
      <c r="M2588" s="19">
        <v>0</v>
      </c>
      <c r="N2588" s="19">
        <v>0</v>
      </c>
      <c r="O2588" s="19">
        <v>3575.5721590000003</v>
      </c>
      <c r="P2588" s="19">
        <v>31079.972159000001</v>
      </c>
    </row>
    <row r="2589" spans="1:16" ht="15" x14ac:dyDescent="0.2">
      <c r="A2589" s="4" t="s">
        <v>592</v>
      </c>
      <c r="B2589" s="21" t="str">
        <f t="shared" si="80"/>
        <v>Feb-2026</v>
      </c>
      <c r="C2589" s="2" t="str">
        <f t="shared" si="81"/>
        <v>Q4</v>
      </c>
      <c r="D2589" s="2" t="s">
        <v>31</v>
      </c>
      <c r="E2589" s="16">
        <v>46079</v>
      </c>
      <c r="F2589" s="2" t="s">
        <v>551</v>
      </c>
      <c r="G2589" s="2" t="s">
        <v>386</v>
      </c>
      <c r="H2589" s="2" t="s">
        <v>115</v>
      </c>
      <c r="I2589" s="19">
        <v>8</v>
      </c>
      <c r="J2589" s="19">
        <v>400</v>
      </c>
      <c r="K2589" s="19">
        <v>78.58</v>
      </c>
      <c r="L2589" s="19">
        <v>31431.999999999996</v>
      </c>
      <c r="M2589" s="19">
        <v>0</v>
      </c>
      <c r="N2589" s="19">
        <v>0</v>
      </c>
      <c r="O2589" s="19">
        <v>4086.1601820000001</v>
      </c>
      <c r="P2589" s="19">
        <v>35518.160182</v>
      </c>
    </row>
    <row r="2590" spans="1:16" ht="15" x14ac:dyDescent="0.2">
      <c r="A2590" s="4" t="s">
        <v>574</v>
      </c>
      <c r="B2590" s="21" t="str">
        <f t="shared" si="80"/>
        <v>Feb-2026</v>
      </c>
      <c r="C2590" s="2" t="str">
        <f t="shared" si="81"/>
        <v>Q4</v>
      </c>
      <c r="D2590" s="2" t="s">
        <v>31</v>
      </c>
      <c r="E2590" s="16">
        <v>46079</v>
      </c>
      <c r="F2590" s="2" t="s">
        <v>551</v>
      </c>
      <c r="G2590" s="2" t="s">
        <v>386</v>
      </c>
      <c r="H2590" s="2" t="s">
        <v>86</v>
      </c>
      <c r="I2590" s="19">
        <v>6</v>
      </c>
      <c r="J2590" s="19">
        <v>108</v>
      </c>
      <c r="K2590" s="19">
        <v>157.16999999999999</v>
      </c>
      <c r="L2590" s="19">
        <v>16974.36</v>
      </c>
      <c r="M2590" s="19">
        <v>0</v>
      </c>
      <c r="N2590" s="19">
        <v>0</v>
      </c>
      <c r="O2590" s="19">
        <v>2206.6668979999999</v>
      </c>
      <c r="P2590" s="19">
        <v>19181.026898</v>
      </c>
    </row>
    <row r="2591" spans="1:16" ht="15" x14ac:dyDescent="0.2">
      <c r="A2591" s="4" t="s">
        <v>574</v>
      </c>
      <c r="B2591" s="21" t="str">
        <f t="shared" si="80"/>
        <v>Feb-2026</v>
      </c>
      <c r="C2591" s="2" t="str">
        <f t="shared" si="81"/>
        <v>Q4</v>
      </c>
      <c r="D2591" s="2" t="s">
        <v>31</v>
      </c>
      <c r="E2591" s="16">
        <v>46079</v>
      </c>
      <c r="F2591" s="2" t="s">
        <v>551</v>
      </c>
      <c r="G2591" s="2" t="s">
        <v>386</v>
      </c>
      <c r="H2591" s="2" t="s">
        <v>85</v>
      </c>
      <c r="I2591" s="19">
        <v>6</v>
      </c>
      <c r="J2591" s="19">
        <v>108</v>
      </c>
      <c r="K2591" s="19">
        <v>157.16999999999999</v>
      </c>
      <c r="L2591" s="19">
        <v>16974.36</v>
      </c>
      <c r="M2591" s="19">
        <v>0</v>
      </c>
      <c r="N2591" s="19">
        <v>0</v>
      </c>
      <c r="O2591" s="19">
        <v>2206.6668979999999</v>
      </c>
      <c r="P2591" s="19">
        <v>19181.026898</v>
      </c>
    </row>
    <row r="2592" spans="1:16" ht="15" x14ac:dyDescent="0.2">
      <c r="A2592" s="4" t="s">
        <v>576</v>
      </c>
      <c r="B2592" s="21" t="str">
        <f t="shared" si="80"/>
        <v>Feb-2026</v>
      </c>
      <c r="C2592" s="2" t="str">
        <f t="shared" si="81"/>
        <v>Q4</v>
      </c>
      <c r="D2592" s="2" t="s">
        <v>31</v>
      </c>
      <c r="E2592" s="16">
        <v>46079</v>
      </c>
      <c r="F2592" s="2" t="s">
        <v>551</v>
      </c>
      <c r="G2592" s="2" t="s">
        <v>386</v>
      </c>
      <c r="H2592" s="2" t="s">
        <v>123</v>
      </c>
      <c r="I2592" s="19">
        <v>7</v>
      </c>
      <c r="J2592" s="19">
        <v>140</v>
      </c>
      <c r="K2592" s="19">
        <v>153.88999999999999</v>
      </c>
      <c r="L2592" s="19">
        <v>21544.6</v>
      </c>
      <c r="M2592" s="19">
        <v>0</v>
      </c>
      <c r="N2592" s="19">
        <v>0</v>
      </c>
      <c r="O2592" s="19">
        <v>2800.7981249999998</v>
      </c>
      <c r="P2592" s="19">
        <v>24345.398125</v>
      </c>
    </row>
    <row r="2593" spans="1:16" ht="15" x14ac:dyDescent="0.2">
      <c r="A2593" s="4" t="s">
        <v>575</v>
      </c>
      <c r="B2593" s="21" t="str">
        <f t="shared" si="80"/>
        <v>Feb-2026</v>
      </c>
      <c r="C2593" s="2" t="str">
        <f t="shared" si="81"/>
        <v>Q4</v>
      </c>
      <c r="D2593" s="2" t="s">
        <v>31</v>
      </c>
      <c r="E2593" s="16">
        <v>46079</v>
      </c>
      <c r="F2593" s="2" t="s">
        <v>551</v>
      </c>
      <c r="G2593" s="2" t="s">
        <v>386</v>
      </c>
      <c r="H2593" s="2" t="s">
        <v>55</v>
      </c>
      <c r="I2593" s="19">
        <v>17</v>
      </c>
      <c r="J2593" s="19">
        <v>340</v>
      </c>
      <c r="K2593" s="19">
        <v>163.72</v>
      </c>
      <c r="L2593" s="19">
        <v>55664.799999999996</v>
      </c>
      <c r="M2593" s="19">
        <v>0</v>
      </c>
      <c r="N2593" s="19">
        <v>0</v>
      </c>
      <c r="O2593" s="19">
        <v>7236.4243219999998</v>
      </c>
      <c r="P2593" s="19">
        <v>62901.224322000002</v>
      </c>
    </row>
    <row r="2594" spans="1:16" ht="15" x14ac:dyDescent="0.2">
      <c r="A2594" s="4" t="s">
        <v>581</v>
      </c>
      <c r="B2594" s="21" t="str">
        <f t="shared" si="80"/>
        <v>Feb-2026</v>
      </c>
      <c r="C2594" s="2" t="str">
        <f t="shared" si="81"/>
        <v>Q4</v>
      </c>
      <c r="D2594" s="2" t="s">
        <v>31</v>
      </c>
      <c r="E2594" s="16">
        <v>46079</v>
      </c>
      <c r="F2594" s="2" t="s">
        <v>551</v>
      </c>
      <c r="G2594" s="2" t="s">
        <v>386</v>
      </c>
      <c r="H2594" s="2" t="s">
        <v>104</v>
      </c>
      <c r="I2594" s="19">
        <v>6</v>
      </c>
      <c r="J2594" s="19">
        <v>240</v>
      </c>
      <c r="K2594" s="19">
        <v>65.489999999999995</v>
      </c>
      <c r="L2594" s="19">
        <v>15717.6</v>
      </c>
      <c r="M2594" s="19">
        <v>0</v>
      </c>
      <c r="N2594" s="19">
        <v>0</v>
      </c>
      <c r="O2594" s="19">
        <v>2043.2880909999999</v>
      </c>
      <c r="P2594" s="19">
        <v>17760.888091000001</v>
      </c>
    </row>
    <row r="2595" spans="1:16" ht="15" x14ac:dyDescent="0.2">
      <c r="A2595" s="4" t="s">
        <v>581</v>
      </c>
      <c r="B2595" s="21" t="str">
        <f t="shared" si="80"/>
        <v>Feb-2026</v>
      </c>
      <c r="C2595" s="2" t="str">
        <f t="shared" si="81"/>
        <v>Q4</v>
      </c>
      <c r="D2595" s="2" t="s">
        <v>31</v>
      </c>
      <c r="E2595" s="16">
        <v>46079</v>
      </c>
      <c r="F2595" s="2" t="s">
        <v>551</v>
      </c>
      <c r="G2595" s="2" t="s">
        <v>386</v>
      </c>
      <c r="H2595" s="2" t="s">
        <v>96</v>
      </c>
      <c r="I2595" s="19">
        <v>9</v>
      </c>
      <c r="J2595" s="19">
        <v>360</v>
      </c>
      <c r="K2595" s="19">
        <v>65.489999999999995</v>
      </c>
      <c r="L2595" s="19">
        <v>23576.399999999998</v>
      </c>
      <c r="M2595" s="19">
        <v>0</v>
      </c>
      <c r="N2595" s="19">
        <v>0</v>
      </c>
      <c r="O2595" s="19">
        <v>3064.9321370000002</v>
      </c>
      <c r="P2595" s="19">
        <v>26641.332137000001</v>
      </c>
    </row>
    <row r="2596" spans="1:16" ht="15" x14ac:dyDescent="0.2">
      <c r="A2596" s="4" t="s">
        <v>580</v>
      </c>
      <c r="B2596" s="21" t="str">
        <f t="shared" si="80"/>
        <v>Feb-2026</v>
      </c>
      <c r="C2596" s="2" t="str">
        <f t="shared" si="81"/>
        <v>Q4</v>
      </c>
      <c r="D2596" s="2" t="s">
        <v>31</v>
      </c>
      <c r="E2596" s="16">
        <v>46079</v>
      </c>
      <c r="F2596" s="2" t="s">
        <v>551</v>
      </c>
      <c r="G2596" s="2" t="s">
        <v>386</v>
      </c>
      <c r="H2596" s="2" t="s">
        <v>89</v>
      </c>
      <c r="I2596" s="19">
        <v>8</v>
      </c>
      <c r="J2596" s="19">
        <v>560</v>
      </c>
      <c r="K2596" s="19">
        <v>32.74</v>
      </c>
      <c r="L2596" s="19">
        <v>18334.400000000001</v>
      </c>
      <c r="M2596" s="19">
        <v>0</v>
      </c>
      <c r="N2596" s="19">
        <v>0</v>
      </c>
      <c r="O2596" s="19">
        <v>2383.4721060000002</v>
      </c>
      <c r="P2596" s="19">
        <v>20717.872105999999</v>
      </c>
    </row>
    <row r="2597" spans="1:16" ht="15" x14ac:dyDescent="0.2">
      <c r="A2597" s="4" t="s">
        <v>579</v>
      </c>
      <c r="B2597" s="21" t="str">
        <f t="shared" si="80"/>
        <v>Feb-2026</v>
      </c>
      <c r="C2597" s="2" t="str">
        <f t="shared" si="81"/>
        <v>Q4</v>
      </c>
      <c r="D2597" s="2" t="s">
        <v>31</v>
      </c>
      <c r="E2597" s="16">
        <v>46079</v>
      </c>
      <c r="F2597" s="2" t="s">
        <v>551</v>
      </c>
      <c r="G2597" s="2" t="s">
        <v>386</v>
      </c>
      <c r="H2597" s="2" t="s">
        <v>140</v>
      </c>
      <c r="I2597" s="19">
        <v>7</v>
      </c>
      <c r="J2597" s="19">
        <v>140</v>
      </c>
      <c r="K2597" s="19">
        <v>180.09</v>
      </c>
      <c r="L2597" s="19">
        <v>25212.600000000002</v>
      </c>
      <c r="M2597" s="19">
        <v>0</v>
      </c>
      <c r="N2597" s="19">
        <v>0</v>
      </c>
      <c r="O2597" s="19">
        <v>3277.6381459999998</v>
      </c>
      <c r="P2597" s="19">
        <v>28490.238146</v>
      </c>
    </row>
    <row r="2598" spans="1:16" ht="15" x14ac:dyDescent="0.2">
      <c r="A2598" s="4" t="s">
        <v>579</v>
      </c>
      <c r="B2598" s="21" t="str">
        <f t="shared" si="80"/>
        <v>Feb-2026</v>
      </c>
      <c r="C2598" s="2" t="str">
        <f t="shared" si="81"/>
        <v>Q4</v>
      </c>
      <c r="D2598" s="2" t="s">
        <v>31</v>
      </c>
      <c r="E2598" s="16">
        <v>46079</v>
      </c>
      <c r="F2598" s="2" t="s">
        <v>551</v>
      </c>
      <c r="G2598" s="2" t="s">
        <v>386</v>
      </c>
      <c r="H2598" s="2" t="s">
        <v>90</v>
      </c>
      <c r="I2598" s="19">
        <v>10</v>
      </c>
      <c r="J2598" s="19">
        <v>200</v>
      </c>
      <c r="K2598" s="19">
        <v>180.09</v>
      </c>
      <c r="L2598" s="19">
        <v>36018</v>
      </c>
      <c r="M2598" s="19">
        <v>0</v>
      </c>
      <c r="N2598" s="19">
        <v>0</v>
      </c>
      <c r="O2598" s="19">
        <v>4682.340209</v>
      </c>
      <c r="P2598" s="19">
        <v>40700.340209000002</v>
      </c>
    </row>
    <row r="2599" spans="1:16" ht="15" x14ac:dyDescent="0.2">
      <c r="A2599" s="4" t="s">
        <v>584</v>
      </c>
      <c r="B2599" s="21" t="str">
        <f t="shared" si="80"/>
        <v>Feb-2026</v>
      </c>
      <c r="C2599" s="2" t="str">
        <f t="shared" si="81"/>
        <v>Q4</v>
      </c>
      <c r="D2599" s="2" t="s">
        <v>31</v>
      </c>
      <c r="E2599" s="16">
        <v>46079</v>
      </c>
      <c r="F2599" s="2" t="s">
        <v>552</v>
      </c>
      <c r="G2599" s="2" t="s">
        <v>386</v>
      </c>
      <c r="H2599" s="2" t="s">
        <v>120</v>
      </c>
      <c r="I2599" s="19">
        <v>6</v>
      </c>
      <c r="J2599" s="19">
        <v>240</v>
      </c>
      <c r="K2599" s="19">
        <v>72.040000000000006</v>
      </c>
      <c r="L2599" s="19">
        <v>17289.599999999999</v>
      </c>
      <c r="M2599" s="19">
        <v>0</v>
      </c>
      <c r="N2599" s="19">
        <v>0</v>
      </c>
      <c r="O2599" s="19">
        <v>2247.6482120000001</v>
      </c>
      <c r="P2599" s="19">
        <v>19537.248211999999</v>
      </c>
    </row>
    <row r="2600" spans="1:16" ht="15" x14ac:dyDescent="0.2">
      <c r="A2600" s="4" t="s">
        <v>587</v>
      </c>
      <c r="B2600" s="21" t="str">
        <f t="shared" si="80"/>
        <v>Feb-2026</v>
      </c>
      <c r="C2600" s="2" t="str">
        <f t="shared" si="81"/>
        <v>Q4</v>
      </c>
      <c r="D2600" s="2" t="s">
        <v>31</v>
      </c>
      <c r="E2600" s="16">
        <v>46079</v>
      </c>
      <c r="F2600" s="2" t="s">
        <v>552</v>
      </c>
      <c r="G2600" s="2" t="s">
        <v>386</v>
      </c>
      <c r="H2600" s="2" t="s">
        <v>94</v>
      </c>
      <c r="I2600" s="19">
        <v>3</v>
      </c>
      <c r="J2600" s="19">
        <v>180</v>
      </c>
      <c r="K2600" s="19">
        <v>98.23</v>
      </c>
      <c r="L2600" s="19">
        <v>17681.399999999998</v>
      </c>
      <c r="M2600" s="19">
        <v>0</v>
      </c>
      <c r="N2600" s="19">
        <v>0</v>
      </c>
      <c r="O2600" s="19">
        <v>2298.5822169999997</v>
      </c>
      <c r="P2600" s="19">
        <v>19979.982217000001</v>
      </c>
    </row>
    <row r="2601" spans="1:16" ht="15" x14ac:dyDescent="0.2">
      <c r="A2601" s="4" t="s">
        <v>582</v>
      </c>
      <c r="B2601" s="21" t="str">
        <f t="shared" si="80"/>
        <v>Feb-2026</v>
      </c>
      <c r="C2601" s="2" t="str">
        <f t="shared" si="81"/>
        <v>Q4</v>
      </c>
      <c r="D2601" s="2" t="s">
        <v>31</v>
      </c>
      <c r="E2601" s="16">
        <v>46079</v>
      </c>
      <c r="F2601" s="2" t="s">
        <v>552</v>
      </c>
      <c r="G2601" s="2" t="s">
        <v>386</v>
      </c>
      <c r="H2601" s="2" t="s">
        <v>77</v>
      </c>
      <c r="I2601" s="19">
        <v>11</v>
      </c>
      <c r="J2601" s="19">
        <v>264</v>
      </c>
      <c r="K2601" s="19">
        <v>180.09</v>
      </c>
      <c r="L2601" s="19">
        <v>47543.76</v>
      </c>
      <c r="M2601" s="19">
        <v>0</v>
      </c>
      <c r="N2601" s="19">
        <v>0</v>
      </c>
      <c r="O2601" s="19">
        <v>6180.6893829999999</v>
      </c>
      <c r="P2601" s="19">
        <v>53724.449382999999</v>
      </c>
    </row>
    <row r="2602" spans="1:16" ht="15" x14ac:dyDescent="0.2">
      <c r="A2602" s="4" t="s">
        <v>584</v>
      </c>
      <c r="B2602" s="21" t="str">
        <f t="shared" si="80"/>
        <v>Feb-2026</v>
      </c>
      <c r="C2602" s="2" t="str">
        <f t="shared" si="81"/>
        <v>Q4</v>
      </c>
      <c r="D2602" s="2" t="s">
        <v>31</v>
      </c>
      <c r="E2602" s="16">
        <v>46079</v>
      </c>
      <c r="F2602" s="2" t="s">
        <v>552</v>
      </c>
      <c r="G2602" s="2" t="s">
        <v>386</v>
      </c>
      <c r="H2602" s="2" t="s">
        <v>99</v>
      </c>
      <c r="I2602" s="19">
        <v>7</v>
      </c>
      <c r="J2602" s="19">
        <v>280</v>
      </c>
      <c r="K2602" s="19">
        <v>72.040000000000006</v>
      </c>
      <c r="L2602" s="19">
        <v>20171.2</v>
      </c>
      <c r="M2602" s="19">
        <v>0</v>
      </c>
      <c r="N2602" s="19">
        <v>0</v>
      </c>
      <c r="O2602" s="19">
        <v>2622.2562469999998</v>
      </c>
      <c r="P2602" s="19">
        <v>22793.456246999998</v>
      </c>
    </row>
    <row r="2603" spans="1:16" ht="15" x14ac:dyDescent="0.2">
      <c r="A2603" s="4" t="s">
        <v>589</v>
      </c>
      <c r="B2603" s="21" t="str">
        <f t="shared" si="80"/>
        <v>Feb-2026</v>
      </c>
      <c r="C2603" s="2" t="str">
        <f t="shared" si="81"/>
        <v>Q4</v>
      </c>
      <c r="D2603" s="2" t="s">
        <v>31</v>
      </c>
      <c r="E2603" s="16">
        <v>46079</v>
      </c>
      <c r="F2603" s="2" t="s">
        <v>552</v>
      </c>
      <c r="G2603" s="2" t="s">
        <v>386</v>
      </c>
      <c r="H2603" s="2" t="s">
        <v>98</v>
      </c>
      <c r="I2603" s="19">
        <v>7</v>
      </c>
      <c r="J2603" s="19">
        <v>420</v>
      </c>
      <c r="K2603" s="19">
        <v>127.7</v>
      </c>
      <c r="L2603" s="19">
        <v>53634.000000000007</v>
      </c>
      <c r="M2603" s="19">
        <v>0</v>
      </c>
      <c r="N2603" s="19">
        <v>0</v>
      </c>
      <c r="O2603" s="19">
        <v>6972.420658</v>
      </c>
      <c r="P2603" s="19">
        <v>60606.420658000003</v>
      </c>
    </row>
    <row r="2604" spans="1:16" ht="15" x14ac:dyDescent="0.2">
      <c r="A2604" s="4" t="s">
        <v>588</v>
      </c>
      <c r="B2604" s="21" t="str">
        <f t="shared" si="80"/>
        <v>Feb-2026</v>
      </c>
      <c r="C2604" s="2" t="str">
        <f t="shared" si="81"/>
        <v>Q4</v>
      </c>
      <c r="D2604" s="2" t="s">
        <v>31</v>
      </c>
      <c r="E2604" s="16">
        <v>46079</v>
      </c>
      <c r="F2604" s="2" t="s">
        <v>552</v>
      </c>
      <c r="G2604" s="2" t="s">
        <v>386</v>
      </c>
      <c r="H2604" s="2" t="s">
        <v>95</v>
      </c>
      <c r="I2604" s="19">
        <v>2</v>
      </c>
      <c r="J2604" s="19">
        <v>120</v>
      </c>
      <c r="K2604" s="19">
        <v>98.23</v>
      </c>
      <c r="L2604" s="19">
        <v>11787.6</v>
      </c>
      <c r="M2604" s="19">
        <v>0</v>
      </c>
      <c r="N2604" s="19">
        <v>0</v>
      </c>
      <c r="O2604" s="19">
        <v>1532.3881449999999</v>
      </c>
      <c r="P2604" s="19">
        <v>13319.988144999999</v>
      </c>
    </row>
    <row r="2605" spans="1:16" ht="15" x14ac:dyDescent="0.2">
      <c r="A2605" s="4" t="s">
        <v>582</v>
      </c>
      <c r="B2605" s="21" t="str">
        <f t="shared" si="80"/>
        <v>Feb-2026</v>
      </c>
      <c r="C2605" s="2" t="str">
        <f t="shared" si="81"/>
        <v>Q4</v>
      </c>
      <c r="D2605" s="2" t="s">
        <v>31</v>
      </c>
      <c r="E2605" s="16">
        <v>46079</v>
      </c>
      <c r="F2605" s="2" t="s">
        <v>552</v>
      </c>
      <c r="G2605" s="2" t="s">
        <v>386</v>
      </c>
      <c r="H2605" s="2" t="s">
        <v>108</v>
      </c>
      <c r="I2605" s="19">
        <v>7</v>
      </c>
      <c r="J2605" s="19">
        <v>168</v>
      </c>
      <c r="K2605" s="19">
        <v>163.72</v>
      </c>
      <c r="L2605" s="19">
        <v>27504.959999999999</v>
      </c>
      <c r="M2605" s="19">
        <v>0</v>
      </c>
      <c r="N2605" s="19">
        <v>0</v>
      </c>
      <c r="O2605" s="19">
        <v>3575.645137</v>
      </c>
      <c r="P2605" s="19">
        <v>31080.605136999999</v>
      </c>
    </row>
    <row r="2606" spans="1:16" ht="15" x14ac:dyDescent="0.2">
      <c r="A2606" s="4" t="s">
        <v>580</v>
      </c>
      <c r="B2606" s="21" t="str">
        <f t="shared" si="80"/>
        <v>Feb-2026</v>
      </c>
      <c r="C2606" s="2" t="str">
        <f t="shared" si="81"/>
        <v>Q4</v>
      </c>
      <c r="D2606" s="2" t="s">
        <v>31</v>
      </c>
      <c r="E2606" s="16">
        <v>46080</v>
      </c>
      <c r="F2606" s="2" t="s">
        <v>553</v>
      </c>
      <c r="G2606" s="2" t="s">
        <v>171</v>
      </c>
      <c r="H2606" s="2" t="s">
        <v>89</v>
      </c>
      <c r="I2606" s="19">
        <v>20</v>
      </c>
      <c r="J2606" s="19">
        <v>1400</v>
      </c>
      <c r="K2606" s="19">
        <v>37.25</v>
      </c>
      <c r="L2606" s="19">
        <v>52150</v>
      </c>
      <c r="M2606" s="19">
        <v>-4010.3399999999997</v>
      </c>
      <c r="N2606" s="19">
        <v>0</v>
      </c>
      <c r="O2606" s="19">
        <v>6258.1600000000008</v>
      </c>
      <c r="P2606" s="19">
        <v>54397.82</v>
      </c>
    </row>
    <row r="2607" spans="1:16" ht="15" x14ac:dyDescent="0.2">
      <c r="A2607" s="4" t="s">
        <v>581</v>
      </c>
      <c r="B2607" s="21" t="str">
        <f t="shared" si="80"/>
        <v>Feb-2026</v>
      </c>
      <c r="C2607" s="2" t="str">
        <f t="shared" si="81"/>
        <v>Q4</v>
      </c>
      <c r="D2607" s="2" t="s">
        <v>31</v>
      </c>
      <c r="E2607" s="16">
        <v>46080</v>
      </c>
      <c r="F2607" s="2" t="s">
        <v>554</v>
      </c>
      <c r="G2607" s="2" t="s">
        <v>142</v>
      </c>
      <c r="H2607" s="2" t="s">
        <v>97</v>
      </c>
      <c r="I2607" s="19">
        <v>1</v>
      </c>
      <c r="J2607" s="19">
        <v>40</v>
      </c>
      <c r="K2607" s="19">
        <v>74.489999999999995</v>
      </c>
      <c r="L2607" s="19">
        <v>2979.6</v>
      </c>
      <c r="M2607" s="19">
        <v>-229.13</v>
      </c>
      <c r="N2607" s="19">
        <v>0</v>
      </c>
      <c r="O2607" s="19">
        <v>357.56120299999998</v>
      </c>
      <c r="P2607" s="19">
        <v>3108.031203</v>
      </c>
    </row>
    <row r="2608" spans="1:16" ht="15" x14ac:dyDescent="0.2">
      <c r="A2608" s="4" t="s">
        <v>580</v>
      </c>
      <c r="B2608" s="21" t="str">
        <f t="shared" si="80"/>
        <v>Feb-2026</v>
      </c>
      <c r="C2608" s="2" t="str">
        <f t="shared" si="81"/>
        <v>Q4</v>
      </c>
      <c r="D2608" s="2" t="s">
        <v>31</v>
      </c>
      <c r="E2608" s="16">
        <v>46080</v>
      </c>
      <c r="F2608" s="2" t="s">
        <v>554</v>
      </c>
      <c r="G2608" s="2" t="s">
        <v>142</v>
      </c>
      <c r="H2608" s="2" t="s">
        <v>89</v>
      </c>
      <c r="I2608" s="19">
        <v>10</v>
      </c>
      <c r="J2608" s="19">
        <v>700</v>
      </c>
      <c r="K2608" s="19">
        <v>37.25</v>
      </c>
      <c r="L2608" s="19">
        <v>26075</v>
      </c>
      <c r="M2608" s="19">
        <v>-2005.1699999999998</v>
      </c>
      <c r="N2608" s="19">
        <v>0</v>
      </c>
      <c r="O2608" s="19">
        <v>3129.0787969999997</v>
      </c>
      <c r="P2608" s="19">
        <v>27198.908797</v>
      </c>
    </row>
    <row r="2609" spans="1:16" ht="15" x14ac:dyDescent="0.2">
      <c r="A2609" s="4" t="s">
        <v>575</v>
      </c>
      <c r="B2609" s="21" t="str">
        <f t="shared" si="80"/>
        <v>Feb-2026</v>
      </c>
      <c r="C2609" s="2" t="str">
        <f t="shared" si="81"/>
        <v>Q4</v>
      </c>
      <c r="D2609" s="2" t="s">
        <v>31</v>
      </c>
      <c r="E2609" s="16">
        <v>46080</v>
      </c>
      <c r="F2609" s="2" t="s">
        <v>555</v>
      </c>
      <c r="G2609" s="2" t="s">
        <v>386</v>
      </c>
      <c r="H2609" s="2" t="s">
        <v>55</v>
      </c>
      <c r="I2609" s="19">
        <v>25</v>
      </c>
      <c r="J2609" s="19">
        <v>500</v>
      </c>
      <c r="K2609" s="19">
        <v>163.72</v>
      </c>
      <c r="L2609" s="19">
        <v>81860.000000000015</v>
      </c>
      <c r="M2609" s="19">
        <v>0</v>
      </c>
      <c r="N2609" s="19">
        <v>0</v>
      </c>
      <c r="O2609" s="19">
        <v>10641.800000000001</v>
      </c>
      <c r="P2609" s="19">
        <v>92501.8</v>
      </c>
    </row>
    <row r="2610" spans="1:16" ht="15" x14ac:dyDescent="0.2">
      <c r="A2610" s="4" t="s">
        <v>592</v>
      </c>
      <c r="B2610" s="21" t="str">
        <f t="shared" si="80"/>
        <v>Feb-2026</v>
      </c>
      <c r="C2610" s="2" t="str">
        <f t="shared" si="81"/>
        <v>Q4</v>
      </c>
      <c r="D2610" s="2" t="s">
        <v>31</v>
      </c>
      <c r="E2610" s="16">
        <v>46080</v>
      </c>
      <c r="F2610" s="2" t="s">
        <v>555</v>
      </c>
      <c r="G2610" s="2" t="s">
        <v>386</v>
      </c>
      <c r="H2610" s="2" t="s">
        <v>115</v>
      </c>
      <c r="I2610" s="19">
        <v>25</v>
      </c>
      <c r="J2610" s="19">
        <v>1250</v>
      </c>
      <c r="K2610" s="19">
        <v>78.58</v>
      </c>
      <c r="L2610" s="19">
        <v>98225</v>
      </c>
      <c r="M2610" s="19">
        <v>0</v>
      </c>
      <c r="N2610" s="19">
        <v>0</v>
      </c>
      <c r="O2610" s="19">
        <v>12769.25</v>
      </c>
      <c r="P2610" s="19">
        <v>110994.25</v>
      </c>
    </row>
    <row r="2611" spans="1:16" ht="15" x14ac:dyDescent="0.2">
      <c r="A2611" s="4" t="s">
        <v>581</v>
      </c>
      <c r="B2611" s="21" t="str">
        <f t="shared" si="80"/>
        <v>Feb-2026</v>
      </c>
      <c r="C2611" s="2" t="str">
        <f t="shared" si="81"/>
        <v>Q4</v>
      </c>
      <c r="D2611" s="2" t="s">
        <v>31</v>
      </c>
      <c r="E2611" s="16">
        <v>46080</v>
      </c>
      <c r="F2611" s="2" t="s">
        <v>556</v>
      </c>
      <c r="G2611" s="2" t="s">
        <v>20</v>
      </c>
      <c r="H2611" s="2" t="s">
        <v>96</v>
      </c>
      <c r="I2611" s="19">
        <v>1</v>
      </c>
      <c r="J2611" s="19">
        <v>40</v>
      </c>
      <c r="K2611" s="19">
        <v>74.489999999999995</v>
      </c>
      <c r="L2611" s="19">
        <v>2979.6</v>
      </c>
      <c r="M2611" s="19">
        <v>-229.13</v>
      </c>
      <c r="N2611" s="19">
        <v>0</v>
      </c>
      <c r="O2611" s="19">
        <v>357.56124599999998</v>
      </c>
      <c r="P2611" s="19">
        <v>3108.031246</v>
      </c>
    </row>
    <row r="2612" spans="1:16" ht="15" x14ac:dyDescent="0.2">
      <c r="A2612" s="4" t="s">
        <v>584</v>
      </c>
      <c r="B2612" s="21" t="str">
        <f t="shared" si="80"/>
        <v>Feb-2026</v>
      </c>
      <c r="C2612" s="2" t="str">
        <f t="shared" si="81"/>
        <v>Q4</v>
      </c>
      <c r="D2612" s="2" t="s">
        <v>31</v>
      </c>
      <c r="E2612" s="16">
        <v>46080</v>
      </c>
      <c r="F2612" s="2" t="s">
        <v>556</v>
      </c>
      <c r="G2612" s="2" t="s">
        <v>20</v>
      </c>
      <c r="H2612" s="2" t="s">
        <v>120</v>
      </c>
      <c r="I2612" s="19">
        <v>1</v>
      </c>
      <c r="J2612" s="19">
        <v>40</v>
      </c>
      <c r="K2612" s="19">
        <v>81.94</v>
      </c>
      <c r="L2612" s="19">
        <v>3277.6</v>
      </c>
      <c r="M2612" s="19">
        <v>-252.05</v>
      </c>
      <c r="N2612" s="19">
        <v>0</v>
      </c>
      <c r="O2612" s="19">
        <v>393.32166100000001</v>
      </c>
      <c r="P2612" s="19">
        <v>3418.8716610000001</v>
      </c>
    </row>
    <row r="2613" spans="1:16" ht="15" x14ac:dyDescent="0.2">
      <c r="A2613" s="4" t="s">
        <v>580</v>
      </c>
      <c r="B2613" s="21" t="str">
        <f t="shared" si="80"/>
        <v>Feb-2026</v>
      </c>
      <c r="C2613" s="2" t="str">
        <f t="shared" si="81"/>
        <v>Q4</v>
      </c>
      <c r="D2613" s="2" t="s">
        <v>31</v>
      </c>
      <c r="E2613" s="16">
        <v>46080</v>
      </c>
      <c r="F2613" s="2" t="s">
        <v>556</v>
      </c>
      <c r="G2613" s="2" t="s">
        <v>20</v>
      </c>
      <c r="H2613" s="2" t="s">
        <v>65</v>
      </c>
      <c r="I2613" s="19">
        <v>1</v>
      </c>
      <c r="J2613" s="19">
        <v>130</v>
      </c>
      <c r="K2613" s="19">
        <v>37.25</v>
      </c>
      <c r="L2613" s="19">
        <v>4842.5</v>
      </c>
      <c r="M2613" s="19">
        <v>-372.39</v>
      </c>
      <c r="N2613" s="19">
        <v>0</v>
      </c>
      <c r="O2613" s="19">
        <v>581.11453800000004</v>
      </c>
      <c r="P2613" s="19">
        <v>5051.2245380000004</v>
      </c>
    </row>
    <row r="2614" spans="1:16" ht="15" x14ac:dyDescent="0.2">
      <c r="A2614" s="4" t="s">
        <v>592</v>
      </c>
      <c r="B2614" s="21" t="str">
        <f t="shared" si="80"/>
        <v>Feb-2026</v>
      </c>
      <c r="C2614" s="2" t="str">
        <f t="shared" si="81"/>
        <v>Q4</v>
      </c>
      <c r="D2614" s="2" t="s">
        <v>31</v>
      </c>
      <c r="E2614" s="16">
        <v>46080</v>
      </c>
      <c r="F2614" s="2" t="s">
        <v>556</v>
      </c>
      <c r="G2614" s="2" t="s">
        <v>20</v>
      </c>
      <c r="H2614" s="2" t="s">
        <v>115</v>
      </c>
      <c r="I2614" s="19">
        <v>2</v>
      </c>
      <c r="J2614" s="19">
        <v>100</v>
      </c>
      <c r="K2614" s="19">
        <v>89.39</v>
      </c>
      <c r="L2614" s="19">
        <v>8939</v>
      </c>
      <c r="M2614" s="19">
        <v>-687.41</v>
      </c>
      <c r="N2614" s="19">
        <v>0</v>
      </c>
      <c r="O2614" s="19">
        <v>1072.7071390000001</v>
      </c>
      <c r="P2614" s="19">
        <v>9324.2971390000002</v>
      </c>
    </row>
    <row r="2615" spans="1:16" ht="15" x14ac:dyDescent="0.2">
      <c r="A2615" s="4" t="s">
        <v>589</v>
      </c>
      <c r="B2615" s="21" t="str">
        <f t="shared" si="80"/>
        <v>Feb-2026</v>
      </c>
      <c r="C2615" s="2" t="str">
        <f t="shared" si="81"/>
        <v>Q4</v>
      </c>
      <c r="D2615" s="2" t="s">
        <v>31</v>
      </c>
      <c r="E2615" s="16">
        <v>46080</v>
      </c>
      <c r="F2615" s="2" t="s">
        <v>556</v>
      </c>
      <c r="G2615" s="2" t="s">
        <v>20</v>
      </c>
      <c r="H2615" s="2" t="s">
        <v>98</v>
      </c>
      <c r="I2615" s="19">
        <v>1</v>
      </c>
      <c r="J2615" s="19">
        <v>60</v>
      </c>
      <c r="K2615" s="19">
        <v>145.26</v>
      </c>
      <c r="L2615" s="19">
        <v>8715.6</v>
      </c>
      <c r="M2615" s="19">
        <v>-670.23</v>
      </c>
      <c r="N2615" s="19">
        <v>0</v>
      </c>
      <c r="O2615" s="19">
        <v>1045.8985279999999</v>
      </c>
      <c r="P2615" s="19">
        <v>9091.2685280000005</v>
      </c>
    </row>
    <row r="2616" spans="1:16" ht="15" x14ac:dyDescent="0.2">
      <c r="A2616" s="4" t="s">
        <v>581</v>
      </c>
      <c r="B2616" s="21" t="str">
        <f t="shared" si="80"/>
        <v>Feb-2026</v>
      </c>
      <c r="C2616" s="2" t="str">
        <f t="shared" si="81"/>
        <v>Q4</v>
      </c>
      <c r="D2616" s="2" t="s">
        <v>31</v>
      </c>
      <c r="E2616" s="16">
        <v>46080</v>
      </c>
      <c r="F2616" s="2" t="s">
        <v>556</v>
      </c>
      <c r="G2616" s="2" t="s">
        <v>20</v>
      </c>
      <c r="H2616" s="2" t="s">
        <v>125</v>
      </c>
      <c r="I2616" s="19">
        <v>1</v>
      </c>
      <c r="J2616" s="19">
        <v>800</v>
      </c>
      <c r="K2616" s="19">
        <v>7.46</v>
      </c>
      <c r="L2616" s="19">
        <v>5964</v>
      </c>
      <c r="M2616" s="19">
        <v>-458.63</v>
      </c>
      <c r="N2616" s="19">
        <v>0</v>
      </c>
      <c r="O2616" s="19">
        <v>715.69839300000001</v>
      </c>
      <c r="P2616" s="19">
        <v>6221.0683929999996</v>
      </c>
    </row>
    <row r="2617" spans="1:16" ht="15" x14ac:dyDescent="0.2">
      <c r="A2617" s="4" t="s">
        <v>589</v>
      </c>
      <c r="B2617" s="21" t="str">
        <f t="shared" si="80"/>
        <v>Feb-2026</v>
      </c>
      <c r="C2617" s="2" t="str">
        <f t="shared" si="81"/>
        <v>Q4</v>
      </c>
      <c r="D2617" s="2" t="s">
        <v>31</v>
      </c>
      <c r="E2617" s="16">
        <v>46080</v>
      </c>
      <c r="F2617" s="2" t="s">
        <v>556</v>
      </c>
      <c r="G2617" s="2" t="s">
        <v>20</v>
      </c>
      <c r="H2617" s="2" t="s">
        <v>105</v>
      </c>
      <c r="I2617" s="19">
        <v>1</v>
      </c>
      <c r="J2617" s="19">
        <v>30</v>
      </c>
      <c r="K2617" s="19">
        <v>316.58999999999997</v>
      </c>
      <c r="L2617" s="19">
        <v>9497.6999999999989</v>
      </c>
      <c r="M2617" s="19">
        <v>-730.36999999999989</v>
      </c>
      <c r="N2617" s="19">
        <v>0</v>
      </c>
      <c r="O2617" s="19">
        <v>1139.753367</v>
      </c>
      <c r="P2617" s="19">
        <v>9907.0833669999993</v>
      </c>
    </row>
    <row r="2618" spans="1:16" ht="15" x14ac:dyDescent="0.2">
      <c r="A2618" s="4" t="s">
        <v>584</v>
      </c>
      <c r="B2618" s="21" t="str">
        <f t="shared" si="80"/>
        <v>Feb-2026</v>
      </c>
      <c r="C2618" s="2" t="str">
        <f t="shared" si="81"/>
        <v>Q4</v>
      </c>
      <c r="D2618" s="2" t="s">
        <v>31</v>
      </c>
      <c r="E2618" s="16">
        <v>46080</v>
      </c>
      <c r="F2618" s="2" t="s">
        <v>556</v>
      </c>
      <c r="G2618" s="2" t="s">
        <v>20</v>
      </c>
      <c r="H2618" s="2" t="s">
        <v>99</v>
      </c>
      <c r="I2618" s="19">
        <v>1</v>
      </c>
      <c r="J2618" s="19">
        <v>40</v>
      </c>
      <c r="K2618" s="19">
        <v>81.94</v>
      </c>
      <c r="L2618" s="19">
        <v>3277.6</v>
      </c>
      <c r="M2618" s="19">
        <v>-252.05</v>
      </c>
      <c r="N2618" s="19">
        <v>0</v>
      </c>
      <c r="O2618" s="19">
        <v>393.32166100000001</v>
      </c>
      <c r="P2618" s="19">
        <v>3418.8716610000001</v>
      </c>
    </row>
    <row r="2619" spans="1:16" ht="15" x14ac:dyDescent="0.2">
      <c r="A2619" s="4" t="s">
        <v>582</v>
      </c>
      <c r="B2619" s="21" t="str">
        <f t="shared" si="80"/>
        <v>Feb-2026</v>
      </c>
      <c r="C2619" s="2" t="str">
        <f t="shared" si="81"/>
        <v>Q4</v>
      </c>
      <c r="D2619" s="2" t="s">
        <v>31</v>
      </c>
      <c r="E2619" s="16">
        <v>46080</v>
      </c>
      <c r="F2619" s="2" t="s">
        <v>556</v>
      </c>
      <c r="G2619" s="2" t="s">
        <v>20</v>
      </c>
      <c r="H2619" s="2" t="s">
        <v>108</v>
      </c>
      <c r="I2619" s="19">
        <v>1</v>
      </c>
      <c r="J2619" s="19">
        <v>24</v>
      </c>
      <c r="K2619" s="19">
        <v>186.23</v>
      </c>
      <c r="L2619" s="19">
        <v>4469.5200000000004</v>
      </c>
      <c r="M2619" s="19">
        <v>-343.71</v>
      </c>
      <c r="N2619" s="19">
        <v>0</v>
      </c>
      <c r="O2619" s="19">
        <v>536.35551999999996</v>
      </c>
      <c r="P2619" s="19">
        <v>4662.1655199999996</v>
      </c>
    </row>
    <row r="2620" spans="1:16" ht="15" x14ac:dyDescent="0.2">
      <c r="A2620" s="4" t="s">
        <v>581</v>
      </c>
      <c r="B2620" s="21" t="str">
        <f t="shared" si="80"/>
        <v>Feb-2026</v>
      </c>
      <c r="C2620" s="2" t="str">
        <f t="shared" si="81"/>
        <v>Q4</v>
      </c>
      <c r="D2620" s="2" t="s">
        <v>31</v>
      </c>
      <c r="E2620" s="16">
        <v>46080</v>
      </c>
      <c r="F2620" s="2" t="s">
        <v>556</v>
      </c>
      <c r="G2620" s="2" t="s">
        <v>20</v>
      </c>
      <c r="H2620" s="2" t="s">
        <v>97</v>
      </c>
      <c r="I2620" s="19">
        <v>1</v>
      </c>
      <c r="J2620" s="19">
        <v>40</v>
      </c>
      <c r="K2620" s="19">
        <v>74.489999999999995</v>
      </c>
      <c r="L2620" s="19">
        <v>2979.6</v>
      </c>
      <c r="M2620" s="19">
        <v>-229.13</v>
      </c>
      <c r="N2620" s="19">
        <v>0</v>
      </c>
      <c r="O2620" s="19">
        <v>357.56124599999998</v>
      </c>
      <c r="P2620" s="19">
        <v>3108.031246</v>
      </c>
    </row>
    <row r="2621" spans="1:16" ht="15" x14ac:dyDescent="0.2">
      <c r="A2621" s="4" t="s">
        <v>575</v>
      </c>
      <c r="B2621" s="21" t="str">
        <f t="shared" si="80"/>
        <v>Feb-2026</v>
      </c>
      <c r="C2621" s="2" t="str">
        <f t="shared" si="81"/>
        <v>Q4</v>
      </c>
      <c r="D2621" s="2" t="s">
        <v>31</v>
      </c>
      <c r="E2621" s="16">
        <v>46080</v>
      </c>
      <c r="F2621" s="2" t="s">
        <v>556</v>
      </c>
      <c r="G2621" s="2" t="s">
        <v>20</v>
      </c>
      <c r="H2621" s="2" t="s">
        <v>55</v>
      </c>
      <c r="I2621" s="19">
        <v>4</v>
      </c>
      <c r="J2621" s="19">
        <v>80</v>
      </c>
      <c r="K2621" s="19">
        <v>186.22</v>
      </c>
      <c r="L2621" s="19">
        <v>14897.6</v>
      </c>
      <c r="M2621" s="19">
        <v>-1145.6300000000001</v>
      </c>
      <c r="N2621" s="19">
        <v>0</v>
      </c>
      <c r="O2621" s="19">
        <v>1787.7568319999998</v>
      </c>
      <c r="P2621" s="19">
        <v>15539.726832</v>
      </c>
    </row>
    <row r="2622" spans="1:16" ht="15" x14ac:dyDescent="0.2">
      <c r="A2622" s="4" t="s">
        <v>583</v>
      </c>
      <c r="B2622" s="21" t="str">
        <f t="shared" si="80"/>
        <v>Feb-2026</v>
      </c>
      <c r="C2622" s="2" t="str">
        <f t="shared" si="81"/>
        <v>Q4</v>
      </c>
      <c r="D2622" s="2" t="s">
        <v>31</v>
      </c>
      <c r="E2622" s="16">
        <v>46080</v>
      </c>
      <c r="F2622" s="2" t="s">
        <v>556</v>
      </c>
      <c r="G2622" s="2" t="s">
        <v>20</v>
      </c>
      <c r="H2622" s="2" t="s">
        <v>113</v>
      </c>
      <c r="I2622" s="19">
        <v>1</v>
      </c>
      <c r="J2622" s="19">
        <v>15</v>
      </c>
      <c r="K2622" s="19">
        <v>260.72000000000003</v>
      </c>
      <c r="L2622" s="19">
        <v>3910.8</v>
      </c>
      <c r="M2622" s="19">
        <v>-300.74</v>
      </c>
      <c r="N2622" s="19">
        <v>0</v>
      </c>
      <c r="O2622" s="19">
        <v>469.30799200000001</v>
      </c>
      <c r="P2622" s="19">
        <v>4079.367992</v>
      </c>
    </row>
    <row r="2623" spans="1:16" ht="15" x14ac:dyDescent="0.2">
      <c r="A2623" s="4" t="s">
        <v>583</v>
      </c>
      <c r="B2623" s="21" t="str">
        <f t="shared" si="80"/>
        <v>Feb-2026</v>
      </c>
      <c r="C2623" s="2" t="str">
        <f t="shared" si="81"/>
        <v>Q4</v>
      </c>
      <c r="D2623" s="2" t="s">
        <v>31</v>
      </c>
      <c r="E2623" s="16">
        <v>46080</v>
      </c>
      <c r="F2623" s="2" t="s">
        <v>556</v>
      </c>
      <c r="G2623" s="2" t="s">
        <v>20</v>
      </c>
      <c r="H2623" s="2" t="s">
        <v>109</v>
      </c>
      <c r="I2623" s="19">
        <v>1</v>
      </c>
      <c r="J2623" s="19">
        <v>15</v>
      </c>
      <c r="K2623" s="19">
        <v>260.72000000000003</v>
      </c>
      <c r="L2623" s="19">
        <v>3910.8</v>
      </c>
      <c r="M2623" s="19">
        <v>-300.74</v>
      </c>
      <c r="N2623" s="19">
        <v>0</v>
      </c>
      <c r="O2623" s="19">
        <v>469.30799200000001</v>
      </c>
      <c r="P2623" s="19">
        <v>4079.367992</v>
      </c>
    </row>
    <row r="2624" spans="1:16" ht="15" x14ac:dyDescent="0.2">
      <c r="A2624" s="4" t="s">
        <v>580</v>
      </c>
      <c r="B2624" s="21" t="str">
        <f t="shared" si="80"/>
        <v>Feb-2026</v>
      </c>
      <c r="C2624" s="2" t="str">
        <f t="shared" si="81"/>
        <v>Q4</v>
      </c>
      <c r="D2624" s="2" t="s">
        <v>31</v>
      </c>
      <c r="E2624" s="16">
        <v>46080</v>
      </c>
      <c r="F2624" s="2" t="s">
        <v>556</v>
      </c>
      <c r="G2624" s="2" t="s">
        <v>20</v>
      </c>
      <c r="H2624" s="2" t="s">
        <v>89</v>
      </c>
      <c r="I2624" s="19">
        <v>3</v>
      </c>
      <c r="J2624" s="19">
        <v>210</v>
      </c>
      <c r="K2624" s="19">
        <v>37.25</v>
      </c>
      <c r="L2624" s="19">
        <v>7822.5</v>
      </c>
      <c r="M2624" s="19">
        <v>-601.55000000000007</v>
      </c>
      <c r="N2624" s="19">
        <v>0</v>
      </c>
      <c r="O2624" s="19">
        <v>938.723884</v>
      </c>
      <c r="P2624" s="19">
        <v>8159.6738839999998</v>
      </c>
    </row>
    <row r="2625" spans="1:16" ht="15" x14ac:dyDescent="0.2">
      <c r="A2625" s="4" t="s">
        <v>584</v>
      </c>
      <c r="B2625" s="21" t="str">
        <f t="shared" si="80"/>
        <v>Feb-2026</v>
      </c>
      <c r="C2625" s="2" t="str">
        <f t="shared" si="81"/>
        <v>Q4</v>
      </c>
      <c r="D2625" s="2" t="s">
        <v>31</v>
      </c>
      <c r="E2625" s="16">
        <v>46080</v>
      </c>
      <c r="F2625" s="2" t="s">
        <v>557</v>
      </c>
      <c r="G2625" s="2" t="s">
        <v>20</v>
      </c>
      <c r="H2625" s="2" t="s">
        <v>100</v>
      </c>
      <c r="I2625" s="19">
        <v>1</v>
      </c>
      <c r="J2625" s="19">
        <v>40</v>
      </c>
      <c r="K2625" s="19">
        <v>89.39</v>
      </c>
      <c r="L2625" s="19">
        <v>3575.6</v>
      </c>
      <c r="M2625" s="19">
        <v>-274.95999999999998</v>
      </c>
      <c r="N2625" s="19">
        <v>0</v>
      </c>
      <c r="O2625" s="19">
        <v>429.08355</v>
      </c>
      <c r="P2625" s="19">
        <v>3729.7235500000002</v>
      </c>
    </row>
    <row r="2626" spans="1:16" ht="15" x14ac:dyDescent="0.2">
      <c r="A2626" s="4" t="s">
        <v>581</v>
      </c>
      <c r="B2626" s="21" t="str">
        <f t="shared" ref="B2626:B2689" si="82">+TEXT(E2626,"MMM-yyy")</f>
        <v>Feb-2026</v>
      </c>
      <c r="C2626" s="2" t="str">
        <f t="shared" ref="C2626:C2689" si="83">"Q" &amp; CHOOSE(MONTH(E2626),4,4,4,1,1,1,2,2,2,3,3,3)</f>
        <v>Q4</v>
      </c>
      <c r="D2626" s="2" t="s">
        <v>31</v>
      </c>
      <c r="E2626" s="16">
        <v>46080</v>
      </c>
      <c r="F2626" s="2" t="s">
        <v>557</v>
      </c>
      <c r="G2626" s="2" t="s">
        <v>20</v>
      </c>
      <c r="H2626" s="2" t="s">
        <v>104</v>
      </c>
      <c r="I2626" s="19">
        <v>1</v>
      </c>
      <c r="J2626" s="19">
        <v>40</v>
      </c>
      <c r="K2626" s="19">
        <v>74.5</v>
      </c>
      <c r="L2626" s="19">
        <v>2980</v>
      </c>
      <c r="M2626" s="19">
        <v>-229.16</v>
      </c>
      <c r="N2626" s="19">
        <v>0</v>
      </c>
      <c r="O2626" s="19">
        <v>357.60949199999999</v>
      </c>
      <c r="P2626" s="19">
        <v>3108.4494920000002</v>
      </c>
    </row>
    <row r="2627" spans="1:16" ht="15" x14ac:dyDescent="0.2">
      <c r="A2627" s="4" t="s">
        <v>579</v>
      </c>
      <c r="B2627" s="21" t="str">
        <f t="shared" si="82"/>
        <v>Feb-2026</v>
      </c>
      <c r="C2627" s="2" t="str">
        <f t="shared" si="83"/>
        <v>Q4</v>
      </c>
      <c r="D2627" s="2" t="s">
        <v>31</v>
      </c>
      <c r="E2627" s="16">
        <v>46080</v>
      </c>
      <c r="F2627" s="2" t="s">
        <v>557</v>
      </c>
      <c r="G2627" s="2" t="s">
        <v>20</v>
      </c>
      <c r="H2627" s="2" t="s">
        <v>112</v>
      </c>
      <c r="I2627" s="19">
        <v>1</v>
      </c>
      <c r="J2627" s="19">
        <v>20</v>
      </c>
      <c r="K2627" s="19">
        <v>204.85</v>
      </c>
      <c r="L2627" s="19">
        <v>4097</v>
      </c>
      <c r="M2627" s="19">
        <v>-315.06</v>
      </c>
      <c r="N2627" s="19">
        <v>0</v>
      </c>
      <c r="O2627" s="19">
        <v>491.652601</v>
      </c>
      <c r="P2627" s="19">
        <v>4273.5926010000003</v>
      </c>
    </row>
    <row r="2628" spans="1:16" ht="15" x14ac:dyDescent="0.2">
      <c r="A2628" s="4" t="s">
        <v>586</v>
      </c>
      <c r="B2628" s="21" t="str">
        <f t="shared" si="82"/>
        <v>Feb-2026</v>
      </c>
      <c r="C2628" s="2" t="str">
        <f t="shared" si="83"/>
        <v>Q4</v>
      </c>
      <c r="D2628" s="2" t="s">
        <v>31</v>
      </c>
      <c r="E2628" s="16">
        <v>46080</v>
      </c>
      <c r="F2628" s="2" t="s">
        <v>557</v>
      </c>
      <c r="G2628" s="2" t="s">
        <v>20</v>
      </c>
      <c r="H2628" s="2" t="s">
        <v>103</v>
      </c>
      <c r="I2628" s="19">
        <v>1</v>
      </c>
      <c r="J2628" s="19">
        <v>600</v>
      </c>
      <c r="K2628" s="19">
        <v>7.45</v>
      </c>
      <c r="L2628" s="19">
        <v>4470</v>
      </c>
      <c r="M2628" s="19">
        <v>-343.74</v>
      </c>
      <c r="N2628" s="19">
        <v>0</v>
      </c>
      <c r="O2628" s="19">
        <v>536.41423799999995</v>
      </c>
      <c r="P2628" s="19">
        <v>4662.6742379999996</v>
      </c>
    </row>
    <row r="2629" spans="1:16" ht="15" x14ac:dyDescent="0.2">
      <c r="A2629" s="4" t="s">
        <v>579</v>
      </c>
      <c r="B2629" s="21" t="str">
        <f t="shared" si="82"/>
        <v>Feb-2026</v>
      </c>
      <c r="C2629" s="2" t="str">
        <f t="shared" si="83"/>
        <v>Q4</v>
      </c>
      <c r="D2629" s="2" t="s">
        <v>31</v>
      </c>
      <c r="E2629" s="16">
        <v>46080</v>
      </c>
      <c r="F2629" s="2" t="s">
        <v>557</v>
      </c>
      <c r="G2629" s="2" t="s">
        <v>20</v>
      </c>
      <c r="H2629" s="2" t="s">
        <v>140</v>
      </c>
      <c r="I2629" s="19">
        <v>1</v>
      </c>
      <c r="J2629" s="19">
        <v>20</v>
      </c>
      <c r="K2629" s="19">
        <v>204.85</v>
      </c>
      <c r="L2629" s="19">
        <v>4097</v>
      </c>
      <c r="M2629" s="19">
        <v>-315.06</v>
      </c>
      <c r="N2629" s="19">
        <v>0</v>
      </c>
      <c r="O2629" s="19">
        <v>491.652601</v>
      </c>
      <c r="P2629" s="19">
        <v>4273.5926010000003</v>
      </c>
    </row>
    <row r="2630" spans="1:16" ht="15" x14ac:dyDescent="0.2">
      <c r="A2630" s="4" t="s">
        <v>576</v>
      </c>
      <c r="B2630" s="21" t="str">
        <f t="shared" si="82"/>
        <v>Feb-2026</v>
      </c>
      <c r="C2630" s="2" t="str">
        <f t="shared" si="83"/>
        <v>Q4</v>
      </c>
      <c r="D2630" s="2" t="s">
        <v>31</v>
      </c>
      <c r="E2630" s="16">
        <v>46080</v>
      </c>
      <c r="F2630" s="2" t="s">
        <v>557</v>
      </c>
      <c r="G2630" s="2" t="s">
        <v>20</v>
      </c>
      <c r="H2630" s="2" t="s">
        <v>123</v>
      </c>
      <c r="I2630" s="19">
        <v>1</v>
      </c>
      <c r="J2630" s="19">
        <v>20</v>
      </c>
      <c r="K2630" s="19">
        <v>175.06</v>
      </c>
      <c r="L2630" s="19">
        <v>3501.1800000000003</v>
      </c>
      <c r="M2630" s="19">
        <v>-269.24</v>
      </c>
      <c r="N2630" s="19">
        <v>0</v>
      </c>
      <c r="O2630" s="19">
        <v>420.15254299999998</v>
      </c>
      <c r="P2630" s="19">
        <v>3652.0925430000002</v>
      </c>
    </row>
    <row r="2631" spans="1:16" ht="15" x14ac:dyDescent="0.2">
      <c r="A2631" s="4" t="s">
        <v>579</v>
      </c>
      <c r="B2631" s="21" t="str">
        <f t="shared" si="82"/>
        <v>Feb-2026</v>
      </c>
      <c r="C2631" s="2" t="str">
        <f t="shared" si="83"/>
        <v>Q4</v>
      </c>
      <c r="D2631" s="2" t="s">
        <v>31</v>
      </c>
      <c r="E2631" s="16">
        <v>46080</v>
      </c>
      <c r="F2631" s="2" t="s">
        <v>557</v>
      </c>
      <c r="G2631" s="2" t="s">
        <v>20</v>
      </c>
      <c r="H2631" s="2" t="s">
        <v>92</v>
      </c>
      <c r="I2631" s="19">
        <v>1</v>
      </c>
      <c r="J2631" s="19">
        <v>20</v>
      </c>
      <c r="K2631" s="19">
        <v>242.1</v>
      </c>
      <c r="L2631" s="19">
        <v>4841.9999999999991</v>
      </c>
      <c r="M2631" s="19">
        <v>-372.35</v>
      </c>
      <c r="N2631" s="19">
        <v>0</v>
      </c>
      <c r="O2631" s="19">
        <v>581.05497400000002</v>
      </c>
      <c r="P2631" s="19">
        <v>5050.7049740000002</v>
      </c>
    </row>
    <row r="2632" spans="1:16" ht="15" x14ac:dyDescent="0.2">
      <c r="A2632" s="4" t="s">
        <v>581</v>
      </c>
      <c r="B2632" s="21" t="str">
        <f t="shared" si="82"/>
        <v>Feb-2026</v>
      </c>
      <c r="C2632" s="2" t="str">
        <f t="shared" si="83"/>
        <v>Q4</v>
      </c>
      <c r="D2632" s="2" t="s">
        <v>31</v>
      </c>
      <c r="E2632" s="16">
        <v>46080</v>
      </c>
      <c r="F2632" s="2" t="s">
        <v>558</v>
      </c>
      <c r="G2632" s="2" t="s">
        <v>23</v>
      </c>
      <c r="H2632" s="2" t="s">
        <v>104</v>
      </c>
      <c r="I2632" s="19">
        <v>2</v>
      </c>
      <c r="J2632" s="19">
        <v>80</v>
      </c>
      <c r="K2632" s="19">
        <v>74.489999999999995</v>
      </c>
      <c r="L2632" s="19">
        <v>5959.2</v>
      </c>
      <c r="M2632" s="19">
        <v>-458.26</v>
      </c>
      <c r="N2632" s="19">
        <v>0</v>
      </c>
      <c r="O2632" s="19">
        <v>715.12225599999988</v>
      </c>
      <c r="P2632" s="19">
        <v>6216.0622560000002</v>
      </c>
    </row>
    <row r="2633" spans="1:16" ht="15" x14ac:dyDescent="0.2">
      <c r="A2633" s="4" t="s">
        <v>581</v>
      </c>
      <c r="B2633" s="21" t="str">
        <f t="shared" si="82"/>
        <v>Feb-2026</v>
      </c>
      <c r="C2633" s="2" t="str">
        <f t="shared" si="83"/>
        <v>Q4</v>
      </c>
      <c r="D2633" s="2" t="s">
        <v>31</v>
      </c>
      <c r="E2633" s="16">
        <v>46080</v>
      </c>
      <c r="F2633" s="2" t="s">
        <v>558</v>
      </c>
      <c r="G2633" s="2" t="s">
        <v>23</v>
      </c>
      <c r="H2633" s="2" t="s">
        <v>96</v>
      </c>
      <c r="I2633" s="19">
        <v>2</v>
      </c>
      <c r="J2633" s="19">
        <v>80</v>
      </c>
      <c r="K2633" s="19">
        <v>74.489999999999995</v>
      </c>
      <c r="L2633" s="19">
        <v>5959.2</v>
      </c>
      <c r="M2633" s="19">
        <v>-458.26</v>
      </c>
      <c r="N2633" s="19">
        <v>0</v>
      </c>
      <c r="O2633" s="19">
        <v>715.12225599999988</v>
      </c>
      <c r="P2633" s="19">
        <v>6216.0622560000002</v>
      </c>
    </row>
    <row r="2634" spans="1:16" ht="15" x14ac:dyDescent="0.2">
      <c r="A2634" s="4" t="s">
        <v>583</v>
      </c>
      <c r="B2634" s="21" t="str">
        <f t="shared" si="82"/>
        <v>Feb-2026</v>
      </c>
      <c r="C2634" s="2" t="str">
        <f t="shared" si="83"/>
        <v>Q4</v>
      </c>
      <c r="D2634" s="2" t="s">
        <v>31</v>
      </c>
      <c r="E2634" s="16">
        <v>46080</v>
      </c>
      <c r="F2634" s="2" t="s">
        <v>558</v>
      </c>
      <c r="G2634" s="2" t="s">
        <v>23</v>
      </c>
      <c r="H2634" s="2" t="s">
        <v>109</v>
      </c>
      <c r="I2634" s="19">
        <v>2</v>
      </c>
      <c r="J2634" s="19">
        <v>30</v>
      </c>
      <c r="K2634" s="19">
        <v>260.72000000000003</v>
      </c>
      <c r="L2634" s="19">
        <v>7821.6</v>
      </c>
      <c r="M2634" s="19">
        <v>-601.48</v>
      </c>
      <c r="N2634" s="19">
        <v>0</v>
      </c>
      <c r="O2634" s="19">
        <v>938.61567400000001</v>
      </c>
      <c r="P2634" s="19">
        <v>8158.7356739999996</v>
      </c>
    </row>
    <row r="2635" spans="1:16" ht="15" x14ac:dyDescent="0.2">
      <c r="A2635" s="4" t="s">
        <v>582</v>
      </c>
      <c r="B2635" s="21" t="str">
        <f t="shared" si="82"/>
        <v>Feb-2026</v>
      </c>
      <c r="C2635" s="2" t="str">
        <f t="shared" si="83"/>
        <v>Q4</v>
      </c>
      <c r="D2635" s="2" t="s">
        <v>31</v>
      </c>
      <c r="E2635" s="16">
        <v>46080</v>
      </c>
      <c r="F2635" s="2" t="s">
        <v>558</v>
      </c>
      <c r="G2635" s="2" t="s">
        <v>23</v>
      </c>
      <c r="H2635" s="2" t="s">
        <v>77</v>
      </c>
      <c r="I2635" s="19">
        <v>3</v>
      </c>
      <c r="J2635" s="19">
        <v>72</v>
      </c>
      <c r="K2635" s="19">
        <v>204.85</v>
      </c>
      <c r="L2635" s="19">
        <v>14749.199999999999</v>
      </c>
      <c r="M2635" s="19">
        <v>-1134.21</v>
      </c>
      <c r="N2635" s="19">
        <v>0</v>
      </c>
      <c r="O2635" s="19">
        <v>1769.9488389999999</v>
      </c>
      <c r="P2635" s="19">
        <v>15384.938839</v>
      </c>
    </row>
    <row r="2636" spans="1:16" ht="15" x14ac:dyDescent="0.2">
      <c r="A2636" s="4" t="s">
        <v>576</v>
      </c>
      <c r="B2636" s="21" t="str">
        <f t="shared" si="82"/>
        <v>Feb-2026</v>
      </c>
      <c r="C2636" s="2" t="str">
        <f t="shared" si="83"/>
        <v>Q4</v>
      </c>
      <c r="D2636" s="2" t="s">
        <v>31</v>
      </c>
      <c r="E2636" s="16">
        <v>46080</v>
      </c>
      <c r="F2636" s="2" t="s">
        <v>558</v>
      </c>
      <c r="G2636" s="2" t="s">
        <v>23</v>
      </c>
      <c r="H2636" s="2" t="s">
        <v>123</v>
      </c>
      <c r="I2636" s="19">
        <v>5</v>
      </c>
      <c r="J2636" s="19">
        <v>100</v>
      </c>
      <c r="K2636" s="19">
        <v>175.05</v>
      </c>
      <c r="L2636" s="19">
        <v>17505</v>
      </c>
      <c r="M2636" s="19">
        <v>-1346.1299999999999</v>
      </c>
      <c r="N2636" s="19">
        <v>0</v>
      </c>
      <c r="O2636" s="19">
        <v>2100.6532649999999</v>
      </c>
      <c r="P2636" s="19">
        <v>18259.523265</v>
      </c>
    </row>
    <row r="2637" spans="1:16" ht="15" x14ac:dyDescent="0.2">
      <c r="A2637" s="4" t="s">
        <v>579</v>
      </c>
      <c r="B2637" s="21" t="str">
        <f t="shared" si="82"/>
        <v>Feb-2026</v>
      </c>
      <c r="C2637" s="2" t="str">
        <f t="shared" si="83"/>
        <v>Q4</v>
      </c>
      <c r="D2637" s="2" t="s">
        <v>31</v>
      </c>
      <c r="E2637" s="16">
        <v>46080</v>
      </c>
      <c r="F2637" s="2" t="s">
        <v>558</v>
      </c>
      <c r="G2637" s="2" t="s">
        <v>23</v>
      </c>
      <c r="H2637" s="2" t="s">
        <v>90</v>
      </c>
      <c r="I2637" s="19">
        <v>5</v>
      </c>
      <c r="J2637" s="19">
        <v>100</v>
      </c>
      <c r="K2637" s="19">
        <v>204.85</v>
      </c>
      <c r="L2637" s="19">
        <v>20485</v>
      </c>
      <c r="M2637" s="19">
        <v>-1575.3</v>
      </c>
      <c r="N2637" s="19">
        <v>0</v>
      </c>
      <c r="O2637" s="19">
        <v>2458.2611929999998</v>
      </c>
      <c r="P2637" s="19">
        <v>21367.961192999999</v>
      </c>
    </row>
    <row r="2638" spans="1:16" ht="15" x14ac:dyDescent="0.2">
      <c r="A2638" s="4" t="s">
        <v>584</v>
      </c>
      <c r="B2638" s="21" t="str">
        <f t="shared" si="82"/>
        <v>Feb-2026</v>
      </c>
      <c r="C2638" s="2" t="str">
        <f t="shared" si="83"/>
        <v>Q4</v>
      </c>
      <c r="D2638" s="2" t="s">
        <v>31</v>
      </c>
      <c r="E2638" s="16">
        <v>46080</v>
      </c>
      <c r="F2638" s="2" t="s">
        <v>558</v>
      </c>
      <c r="G2638" s="2" t="s">
        <v>23</v>
      </c>
      <c r="H2638" s="2" t="s">
        <v>99</v>
      </c>
      <c r="I2638" s="19">
        <v>10</v>
      </c>
      <c r="J2638" s="19">
        <v>400</v>
      </c>
      <c r="K2638" s="19">
        <v>81.94</v>
      </c>
      <c r="L2638" s="19">
        <v>32776</v>
      </c>
      <c r="M2638" s="19">
        <v>-2520.4700000000003</v>
      </c>
      <c r="N2638" s="19">
        <v>0</v>
      </c>
      <c r="O2638" s="19">
        <v>3933.2192090000003</v>
      </c>
      <c r="P2638" s="19">
        <v>34188.749209000001</v>
      </c>
    </row>
    <row r="2639" spans="1:16" ht="15" x14ac:dyDescent="0.2">
      <c r="A2639" s="4" t="s">
        <v>581</v>
      </c>
      <c r="B2639" s="21" t="str">
        <f t="shared" si="82"/>
        <v>Feb-2026</v>
      </c>
      <c r="C2639" s="2" t="str">
        <f t="shared" si="83"/>
        <v>Q4</v>
      </c>
      <c r="D2639" s="2" t="s">
        <v>31</v>
      </c>
      <c r="E2639" s="16">
        <v>46080</v>
      </c>
      <c r="F2639" s="2" t="s">
        <v>558</v>
      </c>
      <c r="G2639" s="2" t="s">
        <v>23</v>
      </c>
      <c r="H2639" s="2" t="s">
        <v>97</v>
      </c>
      <c r="I2639" s="19">
        <v>2</v>
      </c>
      <c r="J2639" s="19">
        <v>80</v>
      </c>
      <c r="K2639" s="19">
        <v>74.489999999999995</v>
      </c>
      <c r="L2639" s="19">
        <v>5959.2</v>
      </c>
      <c r="M2639" s="19">
        <v>-458.26</v>
      </c>
      <c r="N2639" s="19">
        <v>0</v>
      </c>
      <c r="O2639" s="19">
        <v>715.12225599999988</v>
      </c>
      <c r="P2639" s="19">
        <v>6216.0622560000002</v>
      </c>
    </row>
    <row r="2640" spans="1:16" ht="15" x14ac:dyDescent="0.2">
      <c r="A2640" s="4" t="s">
        <v>579</v>
      </c>
      <c r="B2640" s="21" t="str">
        <f t="shared" si="82"/>
        <v>Feb-2026</v>
      </c>
      <c r="C2640" s="2" t="str">
        <f t="shared" si="83"/>
        <v>Q4</v>
      </c>
      <c r="D2640" s="2" t="s">
        <v>31</v>
      </c>
      <c r="E2640" s="16">
        <v>46080</v>
      </c>
      <c r="F2640" s="2" t="s">
        <v>558</v>
      </c>
      <c r="G2640" s="2" t="s">
        <v>23</v>
      </c>
      <c r="H2640" s="2" t="s">
        <v>92</v>
      </c>
      <c r="I2640" s="19">
        <v>4</v>
      </c>
      <c r="J2640" s="19">
        <v>80</v>
      </c>
      <c r="K2640" s="19">
        <v>242.1</v>
      </c>
      <c r="L2640" s="19">
        <v>19367.999999999996</v>
      </c>
      <c r="M2640" s="19">
        <v>-1489.4</v>
      </c>
      <c r="N2640" s="19">
        <v>0</v>
      </c>
      <c r="O2640" s="19">
        <v>2324.218183</v>
      </c>
      <c r="P2640" s="19">
        <v>20202.818182999999</v>
      </c>
    </row>
    <row r="2641" spans="1:16" ht="15" x14ac:dyDescent="0.2">
      <c r="A2641" s="4" t="s">
        <v>593</v>
      </c>
      <c r="B2641" s="21" t="str">
        <f t="shared" si="82"/>
        <v>Feb-2026</v>
      </c>
      <c r="C2641" s="2" t="str">
        <f t="shared" si="83"/>
        <v>Q4</v>
      </c>
      <c r="D2641" s="2" t="s">
        <v>31</v>
      </c>
      <c r="E2641" s="16">
        <v>46080</v>
      </c>
      <c r="F2641" s="2" t="s">
        <v>558</v>
      </c>
      <c r="G2641" s="2" t="s">
        <v>23</v>
      </c>
      <c r="H2641" s="2" t="s">
        <v>117</v>
      </c>
      <c r="I2641" s="19">
        <v>5</v>
      </c>
      <c r="J2641" s="19">
        <v>20</v>
      </c>
      <c r="K2641" s="19">
        <v>595.92999999999995</v>
      </c>
      <c r="L2641" s="19">
        <v>11918.6</v>
      </c>
      <c r="M2641" s="19">
        <v>-916.54</v>
      </c>
      <c r="N2641" s="19">
        <v>0</v>
      </c>
      <c r="O2641" s="19">
        <v>1430.2679129999999</v>
      </c>
      <c r="P2641" s="19">
        <v>12432.327912999999</v>
      </c>
    </row>
    <row r="2642" spans="1:16" ht="15" x14ac:dyDescent="0.2">
      <c r="A2642" s="4" t="s">
        <v>579</v>
      </c>
      <c r="B2642" s="21" t="str">
        <f t="shared" si="82"/>
        <v>Feb-2026</v>
      </c>
      <c r="C2642" s="2" t="str">
        <f t="shared" si="83"/>
        <v>Q4</v>
      </c>
      <c r="D2642" s="2" t="s">
        <v>31</v>
      </c>
      <c r="E2642" s="16">
        <v>46080</v>
      </c>
      <c r="F2642" s="2" t="s">
        <v>558</v>
      </c>
      <c r="G2642" s="2" t="s">
        <v>23</v>
      </c>
      <c r="H2642" s="2" t="s">
        <v>140</v>
      </c>
      <c r="I2642" s="19">
        <v>4</v>
      </c>
      <c r="J2642" s="19">
        <v>80</v>
      </c>
      <c r="K2642" s="19">
        <v>204.85</v>
      </c>
      <c r="L2642" s="19">
        <v>16388</v>
      </c>
      <c r="M2642" s="19">
        <v>-1260.24</v>
      </c>
      <c r="N2642" s="19">
        <v>0</v>
      </c>
      <c r="O2642" s="19">
        <v>1966.6089550000002</v>
      </c>
      <c r="P2642" s="19">
        <v>17094.368955000002</v>
      </c>
    </row>
    <row r="2643" spans="1:16" ht="15" x14ac:dyDescent="0.2">
      <c r="A2643" s="4" t="s">
        <v>584</v>
      </c>
      <c r="B2643" s="21" t="str">
        <f t="shared" si="82"/>
        <v>Feb-2026</v>
      </c>
      <c r="C2643" s="2" t="str">
        <f t="shared" si="83"/>
        <v>Q4</v>
      </c>
      <c r="D2643" s="2" t="s">
        <v>31</v>
      </c>
      <c r="E2643" s="16">
        <v>46080</v>
      </c>
      <c r="F2643" s="2" t="s">
        <v>559</v>
      </c>
      <c r="G2643" s="2" t="s">
        <v>142</v>
      </c>
      <c r="H2643" s="2" t="s">
        <v>99</v>
      </c>
      <c r="I2643" s="19">
        <v>2</v>
      </c>
      <c r="J2643" s="19">
        <v>80</v>
      </c>
      <c r="K2643" s="19">
        <v>81.94</v>
      </c>
      <c r="L2643" s="19">
        <v>6555.2</v>
      </c>
      <c r="M2643" s="19">
        <v>-504.09</v>
      </c>
      <c r="N2643" s="19">
        <v>0</v>
      </c>
      <c r="O2643" s="19">
        <v>786.64406700000006</v>
      </c>
      <c r="P2643" s="19">
        <v>6837.7540669999998</v>
      </c>
    </row>
    <row r="2644" spans="1:16" ht="15" x14ac:dyDescent="0.2">
      <c r="A2644" s="4" t="s">
        <v>589</v>
      </c>
      <c r="B2644" s="21" t="str">
        <f t="shared" si="82"/>
        <v>Feb-2026</v>
      </c>
      <c r="C2644" s="2" t="str">
        <f t="shared" si="83"/>
        <v>Q4</v>
      </c>
      <c r="D2644" s="2" t="s">
        <v>31</v>
      </c>
      <c r="E2644" s="16">
        <v>46080</v>
      </c>
      <c r="F2644" s="2" t="s">
        <v>559</v>
      </c>
      <c r="G2644" s="2" t="s">
        <v>142</v>
      </c>
      <c r="H2644" s="2" t="s">
        <v>98</v>
      </c>
      <c r="I2644" s="19">
        <v>1</v>
      </c>
      <c r="J2644" s="19">
        <v>60</v>
      </c>
      <c r="K2644" s="19">
        <v>145.26</v>
      </c>
      <c r="L2644" s="19">
        <v>8715.6</v>
      </c>
      <c r="M2644" s="19">
        <v>-670.23</v>
      </c>
      <c r="N2644" s="19">
        <v>0</v>
      </c>
      <c r="O2644" s="19">
        <v>1045.89779</v>
      </c>
      <c r="P2644" s="19">
        <v>9091.2677899999999</v>
      </c>
    </row>
    <row r="2645" spans="1:16" ht="15" x14ac:dyDescent="0.2">
      <c r="A2645" s="4" t="s">
        <v>583</v>
      </c>
      <c r="B2645" s="21" t="str">
        <f t="shared" si="82"/>
        <v>Feb-2026</v>
      </c>
      <c r="C2645" s="2" t="str">
        <f t="shared" si="83"/>
        <v>Q4</v>
      </c>
      <c r="D2645" s="2" t="s">
        <v>31</v>
      </c>
      <c r="E2645" s="16">
        <v>46080</v>
      </c>
      <c r="F2645" s="2" t="s">
        <v>559</v>
      </c>
      <c r="G2645" s="2" t="s">
        <v>142</v>
      </c>
      <c r="H2645" s="2" t="s">
        <v>113</v>
      </c>
      <c r="I2645" s="19">
        <v>1</v>
      </c>
      <c r="J2645" s="19">
        <v>15</v>
      </c>
      <c r="K2645" s="19">
        <v>260.72000000000003</v>
      </c>
      <c r="L2645" s="19">
        <v>3910.8</v>
      </c>
      <c r="M2645" s="19">
        <v>-300.74</v>
      </c>
      <c r="N2645" s="19">
        <v>0</v>
      </c>
      <c r="O2645" s="19">
        <v>469.307661</v>
      </c>
      <c r="P2645" s="19">
        <v>4079.3676610000002</v>
      </c>
    </row>
    <row r="2646" spans="1:16" ht="15" x14ac:dyDescent="0.2">
      <c r="A2646" s="4" t="s">
        <v>579</v>
      </c>
      <c r="B2646" s="21" t="str">
        <f t="shared" si="82"/>
        <v>Feb-2026</v>
      </c>
      <c r="C2646" s="2" t="str">
        <f t="shared" si="83"/>
        <v>Q4</v>
      </c>
      <c r="D2646" s="2" t="s">
        <v>31</v>
      </c>
      <c r="E2646" s="16">
        <v>46080</v>
      </c>
      <c r="F2646" s="2" t="s">
        <v>559</v>
      </c>
      <c r="G2646" s="2" t="s">
        <v>142</v>
      </c>
      <c r="H2646" s="2" t="s">
        <v>91</v>
      </c>
      <c r="I2646" s="19">
        <v>1</v>
      </c>
      <c r="J2646" s="19">
        <v>20</v>
      </c>
      <c r="K2646" s="19">
        <v>204.85</v>
      </c>
      <c r="L2646" s="19">
        <v>4097</v>
      </c>
      <c r="M2646" s="19">
        <v>-315.06</v>
      </c>
      <c r="N2646" s="19">
        <v>0</v>
      </c>
      <c r="O2646" s="19">
        <v>491.65205399999996</v>
      </c>
      <c r="P2646" s="19">
        <v>4273.5920539999997</v>
      </c>
    </row>
    <row r="2647" spans="1:16" ht="15" x14ac:dyDescent="0.2">
      <c r="A2647" s="4" t="s">
        <v>579</v>
      </c>
      <c r="B2647" s="21" t="str">
        <f t="shared" si="82"/>
        <v>Feb-2026</v>
      </c>
      <c r="C2647" s="2" t="str">
        <f t="shared" si="83"/>
        <v>Q4</v>
      </c>
      <c r="D2647" s="2" t="s">
        <v>31</v>
      </c>
      <c r="E2647" s="16">
        <v>46080</v>
      </c>
      <c r="F2647" s="2" t="s">
        <v>559</v>
      </c>
      <c r="G2647" s="2" t="s">
        <v>142</v>
      </c>
      <c r="H2647" s="2" t="s">
        <v>90</v>
      </c>
      <c r="I2647" s="19">
        <v>1</v>
      </c>
      <c r="J2647" s="19">
        <v>20</v>
      </c>
      <c r="K2647" s="19">
        <v>204.85</v>
      </c>
      <c r="L2647" s="19">
        <v>4097</v>
      </c>
      <c r="M2647" s="19">
        <v>-315.06</v>
      </c>
      <c r="N2647" s="19">
        <v>0</v>
      </c>
      <c r="O2647" s="19">
        <v>491.65205399999996</v>
      </c>
      <c r="P2647" s="19">
        <v>4273.5920539999997</v>
      </c>
    </row>
    <row r="2648" spans="1:16" ht="15" x14ac:dyDescent="0.2">
      <c r="A2648" s="4" t="s">
        <v>581</v>
      </c>
      <c r="B2648" s="21" t="str">
        <f t="shared" si="82"/>
        <v>Feb-2026</v>
      </c>
      <c r="C2648" s="2" t="str">
        <f t="shared" si="83"/>
        <v>Q4</v>
      </c>
      <c r="D2648" s="2" t="s">
        <v>31</v>
      </c>
      <c r="E2648" s="16">
        <v>46080</v>
      </c>
      <c r="F2648" s="2" t="s">
        <v>559</v>
      </c>
      <c r="G2648" s="2" t="s">
        <v>142</v>
      </c>
      <c r="H2648" s="2" t="s">
        <v>96</v>
      </c>
      <c r="I2648" s="19">
        <v>1</v>
      </c>
      <c r="J2648" s="19">
        <v>40</v>
      </c>
      <c r="K2648" s="19">
        <v>74.489999999999995</v>
      </c>
      <c r="L2648" s="19">
        <v>2979.6</v>
      </c>
      <c r="M2648" s="19">
        <v>-229.13</v>
      </c>
      <c r="N2648" s="19">
        <v>0</v>
      </c>
      <c r="O2648" s="19">
        <v>357.56099399999999</v>
      </c>
      <c r="P2648" s="19">
        <v>3108.0309940000002</v>
      </c>
    </row>
    <row r="2649" spans="1:16" ht="15" x14ac:dyDescent="0.2">
      <c r="A2649" s="4" t="s">
        <v>589</v>
      </c>
      <c r="B2649" s="21" t="str">
        <f t="shared" si="82"/>
        <v>Feb-2026</v>
      </c>
      <c r="C2649" s="2" t="str">
        <f t="shared" si="83"/>
        <v>Q4</v>
      </c>
      <c r="D2649" s="2" t="s">
        <v>31</v>
      </c>
      <c r="E2649" s="16">
        <v>46080</v>
      </c>
      <c r="F2649" s="2" t="s">
        <v>559</v>
      </c>
      <c r="G2649" s="2" t="s">
        <v>142</v>
      </c>
      <c r="H2649" s="2" t="s">
        <v>105</v>
      </c>
      <c r="I2649" s="19">
        <v>3</v>
      </c>
      <c r="J2649" s="19">
        <v>90</v>
      </c>
      <c r="K2649" s="19">
        <v>316.58999999999997</v>
      </c>
      <c r="L2649" s="19">
        <v>28493.1</v>
      </c>
      <c r="M2649" s="19">
        <v>-2191.12</v>
      </c>
      <c r="N2649" s="19">
        <v>0</v>
      </c>
      <c r="O2649" s="19">
        <v>3419.256386</v>
      </c>
      <c r="P2649" s="19">
        <v>29721.236386</v>
      </c>
    </row>
    <row r="2650" spans="1:16" ht="15" x14ac:dyDescent="0.2">
      <c r="A2650" s="4" t="s">
        <v>582</v>
      </c>
      <c r="B2650" s="21" t="str">
        <f t="shared" si="82"/>
        <v>Feb-2026</v>
      </c>
      <c r="C2650" s="2" t="str">
        <f t="shared" si="83"/>
        <v>Q4</v>
      </c>
      <c r="D2650" s="2" t="s">
        <v>31</v>
      </c>
      <c r="E2650" s="16">
        <v>46080</v>
      </c>
      <c r="F2650" s="2" t="s">
        <v>559</v>
      </c>
      <c r="G2650" s="2" t="s">
        <v>142</v>
      </c>
      <c r="H2650" s="2" t="s">
        <v>108</v>
      </c>
      <c r="I2650" s="19">
        <v>2</v>
      </c>
      <c r="J2650" s="19">
        <v>48</v>
      </c>
      <c r="K2650" s="19">
        <v>186.23</v>
      </c>
      <c r="L2650" s="19">
        <v>8939.0400000000009</v>
      </c>
      <c r="M2650" s="19">
        <v>-687.41</v>
      </c>
      <c r="N2650" s="19">
        <v>0</v>
      </c>
      <c r="O2650" s="19">
        <v>1072.7115819999999</v>
      </c>
      <c r="P2650" s="19">
        <v>9324.3415819999991</v>
      </c>
    </row>
    <row r="2651" spans="1:16" ht="15" x14ac:dyDescent="0.2">
      <c r="A2651" s="4" t="s">
        <v>583</v>
      </c>
      <c r="B2651" s="21" t="str">
        <f t="shared" si="82"/>
        <v>Feb-2026</v>
      </c>
      <c r="C2651" s="2" t="str">
        <f t="shared" si="83"/>
        <v>Q4</v>
      </c>
      <c r="D2651" s="2" t="s">
        <v>31</v>
      </c>
      <c r="E2651" s="16">
        <v>46080</v>
      </c>
      <c r="F2651" s="2" t="s">
        <v>559</v>
      </c>
      <c r="G2651" s="2" t="s">
        <v>142</v>
      </c>
      <c r="H2651" s="2" t="s">
        <v>109</v>
      </c>
      <c r="I2651" s="19">
        <v>1</v>
      </c>
      <c r="J2651" s="19">
        <v>15</v>
      </c>
      <c r="K2651" s="19">
        <v>260.72000000000003</v>
      </c>
      <c r="L2651" s="19">
        <v>3910.8</v>
      </c>
      <c r="M2651" s="19">
        <v>-300.74</v>
      </c>
      <c r="N2651" s="19">
        <v>0</v>
      </c>
      <c r="O2651" s="19">
        <v>469.307661</v>
      </c>
      <c r="P2651" s="19">
        <v>4079.3676610000002</v>
      </c>
    </row>
    <row r="2652" spans="1:16" ht="15" x14ac:dyDescent="0.2">
      <c r="A2652" s="4" t="s">
        <v>580</v>
      </c>
      <c r="B2652" s="21" t="str">
        <f t="shared" si="82"/>
        <v>Feb-2026</v>
      </c>
      <c r="C2652" s="2" t="str">
        <f t="shared" si="83"/>
        <v>Q4</v>
      </c>
      <c r="D2652" s="2" t="s">
        <v>31</v>
      </c>
      <c r="E2652" s="16">
        <v>46080</v>
      </c>
      <c r="F2652" s="2" t="s">
        <v>559</v>
      </c>
      <c r="G2652" s="2" t="s">
        <v>142</v>
      </c>
      <c r="H2652" s="2" t="s">
        <v>89</v>
      </c>
      <c r="I2652" s="19">
        <v>10</v>
      </c>
      <c r="J2652" s="19">
        <v>700</v>
      </c>
      <c r="K2652" s="19">
        <v>37.25</v>
      </c>
      <c r="L2652" s="19">
        <v>26075</v>
      </c>
      <c r="M2652" s="19">
        <v>-2005.1699999999998</v>
      </c>
      <c r="N2652" s="19">
        <v>0</v>
      </c>
      <c r="O2652" s="19">
        <v>3129.0769719999998</v>
      </c>
      <c r="P2652" s="19">
        <v>27198.906972000001</v>
      </c>
    </row>
    <row r="2653" spans="1:16" ht="15" x14ac:dyDescent="0.2">
      <c r="A2653" s="4" t="s">
        <v>580</v>
      </c>
      <c r="B2653" s="21" t="str">
        <f t="shared" si="82"/>
        <v>Feb-2026</v>
      </c>
      <c r="C2653" s="2" t="str">
        <f t="shared" si="83"/>
        <v>Q4</v>
      </c>
      <c r="D2653" s="2" t="s">
        <v>31</v>
      </c>
      <c r="E2653" s="16">
        <v>46080</v>
      </c>
      <c r="F2653" s="2" t="s">
        <v>559</v>
      </c>
      <c r="G2653" s="2" t="s">
        <v>142</v>
      </c>
      <c r="H2653" s="2" t="s">
        <v>65</v>
      </c>
      <c r="I2653" s="19">
        <v>2</v>
      </c>
      <c r="J2653" s="19">
        <v>260</v>
      </c>
      <c r="K2653" s="19">
        <v>37.25</v>
      </c>
      <c r="L2653" s="19">
        <v>9685</v>
      </c>
      <c r="M2653" s="19">
        <v>-744.78</v>
      </c>
      <c r="N2653" s="19">
        <v>0</v>
      </c>
      <c r="O2653" s="19">
        <v>1162.228255</v>
      </c>
      <c r="P2653" s="19">
        <v>10102.448254999999</v>
      </c>
    </row>
    <row r="2654" spans="1:16" ht="15" x14ac:dyDescent="0.2">
      <c r="A2654" s="4" t="s">
        <v>590</v>
      </c>
      <c r="B2654" s="21" t="str">
        <f t="shared" si="82"/>
        <v>Feb-2026</v>
      </c>
      <c r="C2654" s="2" t="str">
        <f t="shared" si="83"/>
        <v>Q4</v>
      </c>
      <c r="D2654" s="2" t="s">
        <v>31</v>
      </c>
      <c r="E2654" s="16">
        <v>46080</v>
      </c>
      <c r="F2654" s="2" t="s">
        <v>559</v>
      </c>
      <c r="G2654" s="2" t="s">
        <v>142</v>
      </c>
      <c r="H2654" s="2" t="s">
        <v>102</v>
      </c>
      <c r="I2654" s="19">
        <v>1</v>
      </c>
      <c r="J2654" s="19">
        <v>20</v>
      </c>
      <c r="K2654" s="19">
        <v>249.55</v>
      </c>
      <c r="L2654" s="19">
        <v>4991</v>
      </c>
      <c r="M2654" s="19">
        <v>-383.81</v>
      </c>
      <c r="N2654" s="19">
        <v>0</v>
      </c>
      <c r="O2654" s="19">
        <v>598.93452200000002</v>
      </c>
      <c r="P2654" s="19">
        <v>5206.1245220000001</v>
      </c>
    </row>
    <row r="2655" spans="1:16" ht="15" x14ac:dyDescent="0.2">
      <c r="A2655" s="4" t="s">
        <v>592</v>
      </c>
      <c r="B2655" s="21" t="str">
        <f t="shared" si="82"/>
        <v>Feb-2026</v>
      </c>
      <c r="C2655" s="2" t="str">
        <f t="shared" si="83"/>
        <v>Q4</v>
      </c>
      <c r="D2655" s="2" t="s">
        <v>31</v>
      </c>
      <c r="E2655" s="16">
        <v>46080</v>
      </c>
      <c r="F2655" s="2" t="s">
        <v>560</v>
      </c>
      <c r="G2655" s="2" t="s">
        <v>142</v>
      </c>
      <c r="H2655" s="2" t="s">
        <v>115</v>
      </c>
      <c r="I2655" s="19">
        <v>2</v>
      </c>
      <c r="J2655" s="19">
        <v>100</v>
      </c>
      <c r="K2655" s="19">
        <v>89.39</v>
      </c>
      <c r="L2655" s="19">
        <v>8939</v>
      </c>
      <c r="M2655" s="19">
        <v>-687.41</v>
      </c>
      <c r="N2655" s="19">
        <v>0</v>
      </c>
      <c r="O2655" s="19">
        <v>1072.706248</v>
      </c>
      <c r="P2655" s="19">
        <v>9324.2962480000006</v>
      </c>
    </row>
    <row r="2656" spans="1:16" ht="15" x14ac:dyDescent="0.2">
      <c r="A2656" s="4" t="s">
        <v>586</v>
      </c>
      <c r="B2656" s="21" t="str">
        <f t="shared" si="82"/>
        <v>Feb-2026</v>
      </c>
      <c r="C2656" s="2" t="str">
        <f t="shared" si="83"/>
        <v>Q4</v>
      </c>
      <c r="D2656" s="2" t="s">
        <v>31</v>
      </c>
      <c r="E2656" s="16">
        <v>46080</v>
      </c>
      <c r="F2656" s="2" t="s">
        <v>560</v>
      </c>
      <c r="G2656" s="2" t="s">
        <v>142</v>
      </c>
      <c r="H2656" s="2" t="s">
        <v>103</v>
      </c>
      <c r="I2656" s="19">
        <v>1</v>
      </c>
      <c r="J2656" s="19">
        <v>600</v>
      </c>
      <c r="K2656" s="19">
        <v>7.45</v>
      </c>
      <c r="L2656" s="19">
        <v>4470</v>
      </c>
      <c r="M2656" s="19">
        <v>-343.74</v>
      </c>
      <c r="N2656" s="19">
        <v>0</v>
      </c>
      <c r="O2656" s="19">
        <v>536.41357399999993</v>
      </c>
      <c r="P2656" s="19">
        <v>4662.6735740000004</v>
      </c>
    </row>
    <row r="2657" spans="1:16" ht="15" x14ac:dyDescent="0.2">
      <c r="A2657" s="4" t="s">
        <v>581</v>
      </c>
      <c r="B2657" s="21" t="str">
        <f t="shared" si="82"/>
        <v>Feb-2026</v>
      </c>
      <c r="C2657" s="2" t="str">
        <f t="shared" si="83"/>
        <v>Q4</v>
      </c>
      <c r="D2657" s="2" t="s">
        <v>31</v>
      </c>
      <c r="E2657" s="16">
        <v>46080</v>
      </c>
      <c r="F2657" s="2" t="s">
        <v>560</v>
      </c>
      <c r="G2657" s="2" t="s">
        <v>142</v>
      </c>
      <c r="H2657" s="2" t="s">
        <v>104</v>
      </c>
      <c r="I2657" s="19">
        <v>1</v>
      </c>
      <c r="J2657" s="19">
        <v>40</v>
      </c>
      <c r="K2657" s="19">
        <v>74.489999999999995</v>
      </c>
      <c r="L2657" s="19">
        <v>2979.6</v>
      </c>
      <c r="M2657" s="19">
        <v>-229.13</v>
      </c>
      <c r="N2657" s="19">
        <v>0</v>
      </c>
      <c r="O2657" s="19">
        <v>357.56094899999999</v>
      </c>
      <c r="P2657" s="19">
        <v>3108.030949</v>
      </c>
    </row>
    <row r="2658" spans="1:16" ht="15" x14ac:dyDescent="0.2">
      <c r="A2658" s="4" t="s">
        <v>579</v>
      </c>
      <c r="B2658" s="21" t="str">
        <f t="shared" si="82"/>
        <v>Feb-2026</v>
      </c>
      <c r="C2658" s="2" t="str">
        <f t="shared" si="83"/>
        <v>Q4</v>
      </c>
      <c r="D2658" s="2" t="s">
        <v>31</v>
      </c>
      <c r="E2658" s="16">
        <v>46080</v>
      </c>
      <c r="F2658" s="2" t="s">
        <v>560</v>
      </c>
      <c r="G2658" s="2" t="s">
        <v>142</v>
      </c>
      <c r="H2658" s="2" t="s">
        <v>140</v>
      </c>
      <c r="I2658" s="19">
        <v>1</v>
      </c>
      <c r="J2658" s="19">
        <v>20</v>
      </c>
      <c r="K2658" s="19">
        <v>204.85</v>
      </c>
      <c r="L2658" s="19">
        <v>4097</v>
      </c>
      <c r="M2658" s="19">
        <v>-315.06</v>
      </c>
      <c r="N2658" s="19">
        <v>0</v>
      </c>
      <c r="O2658" s="19">
        <v>491.651993</v>
      </c>
      <c r="P2658" s="19">
        <v>4273.591993</v>
      </c>
    </row>
    <row r="2659" spans="1:16" ht="15" x14ac:dyDescent="0.2">
      <c r="A2659" s="4" t="s">
        <v>579</v>
      </c>
      <c r="B2659" s="21" t="str">
        <f t="shared" si="82"/>
        <v>Feb-2026</v>
      </c>
      <c r="C2659" s="2" t="str">
        <f t="shared" si="83"/>
        <v>Q4</v>
      </c>
      <c r="D2659" s="2" t="s">
        <v>31</v>
      </c>
      <c r="E2659" s="16">
        <v>46080</v>
      </c>
      <c r="F2659" s="2" t="s">
        <v>560</v>
      </c>
      <c r="G2659" s="2" t="s">
        <v>142</v>
      </c>
      <c r="H2659" s="2" t="s">
        <v>92</v>
      </c>
      <c r="I2659" s="19">
        <v>1</v>
      </c>
      <c r="J2659" s="19">
        <v>20</v>
      </c>
      <c r="K2659" s="19">
        <v>242.1</v>
      </c>
      <c r="L2659" s="19">
        <v>4841.9999999999991</v>
      </c>
      <c r="M2659" s="19">
        <v>-372.35</v>
      </c>
      <c r="N2659" s="19">
        <v>0</v>
      </c>
      <c r="O2659" s="19">
        <v>581.05425500000001</v>
      </c>
      <c r="P2659" s="19">
        <v>5050.7042549999996</v>
      </c>
    </row>
    <row r="2660" spans="1:16" ht="15" x14ac:dyDescent="0.2">
      <c r="A2660" s="4" t="s">
        <v>582</v>
      </c>
      <c r="B2660" s="21" t="str">
        <f t="shared" si="82"/>
        <v>Feb-2026</v>
      </c>
      <c r="C2660" s="2" t="str">
        <f t="shared" si="83"/>
        <v>Q4</v>
      </c>
      <c r="D2660" s="2" t="s">
        <v>31</v>
      </c>
      <c r="E2660" s="16">
        <v>46080</v>
      </c>
      <c r="F2660" s="2" t="s">
        <v>560</v>
      </c>
      <c r="G2660" s="2" t="s">
        <v>142</v>
      </c>
      <c r="H2660" s="2" t="s">
        <v>77</v>
      </c>
      <c r="I2660" s="19">
        <v>2</v>
      </c>
      <c r="J2660" s="19">
        <v>48</v>
      </c>
      <c r="K2660" s="19">
        <v>204.85</v>
      </c>
      <c r="L2660" s="19">
        <v>9832.8000000000011</v>
      </c>
      <c r="M2660" s="19">
        <v>-756.14</v>
      </c>
      <c r="N2660" s="19">
        <v>0</v>
      </c>
      <c r="O2660" s="19">
        <v>1179.9653029999999</v>
      </c>
      <c r="P2660" s="19">
        <v>10256.625303000001</v>
      </c>
    </row>
    <row r="2661" spans="1:16" ht="15" x14ac:dyDescent="0.2">
      <c r="A2661" s="4" t="s">
        <v>579</v>
      </c>
      <c r="B2661" s="21" t="str">
        <f t="shared" si="82"/>
        <v>Feb-2026</v>
      </c>
      <c r="C2661" s="2" t="str">
        <f t="shared" si="83"/>
        <v>Q4</v>
      </c>
      <c r="D2661" s="2" t="s">
        <v>31</v>
      </c>
      <c r="E2661" s="16">
        <v>46080</v>
      </c>
      <c r="F2661" s="2" t="s">
        <v>560</v>
      </c>
      <c r="G2661" s="2" t="s">
        <v>142</v>
      </c>
      <c r="H2661" s="2" t="s">
        <v>112</v>
      </c>
      <c r="I2661" s="19">
        <v>1</v>
      </c>
      <c r="J2661" s="19">
        <v>20</v>
      </c>
      <c r="K2661" s="19">
        <v>204.85</v>
      </c>
      <c r="L2661" s="19">
        <v>4097</v>
      </c>
      <c r="M2661" s="19">
        <v>-315.06</v>
      </c>
      <c r="N2661" s="19">
        <v>0</v>
      </c>
      <c r="O2661" s="19">
        <v>491.651993</v>
      </c>
      <c r="P2661" s="19">
        <v>4273.591993</v>
      </c>
    </row>
    <row r="2662" spans="1:16" ht="15" x14ac:dyDescent="0.2">
      <c r="A2662" s="4" t="s">
        <v>584</v>
      </c>
      <c r="B2662" s="21" t="str">
        <f t="shared" si="82"/>
        <v>Feb-2026</v>
      </c>
      <c r="C2662" s="2" t="str">
        <f t="shared" si="83"/>
        <v>Q4</v>
      </c>
      <c r="D2662" s="2" t="s">
        <v>31</v>
      </c>
      <c r="E2662" s="16">
        <v>46080</v>
      </c>
      <c r="F2662" s="2" t="s">
        <v>560</v>
      </c>
      <c r="G2662" s="2" t="s">
        <v>142</v>
      </c>
      <c r="H2662" s="2" t="s">
        <v>100</v>
      </c>
      <c r="I2662" s="19">
        <v>2</v>
      </c>
      <c r="J2662" s="19">
        <v>80</v>
      </c>
      <c r="K2662" s="19">
        <v>89.39</v>
      </c>
      <c r="L2662" s="19">
        <v>7151.2</v>
      </c>
      <c r="M2662" s="19">
        <v>-549.92999999999995</v>
      </c>
      <c r="N2662" s="19">
        <v>0</v>
      </c>
      <c r="O2662" s="19">
        <v>858.16473799999994</v>
      </c>
      <c r="P2662" s="19">
        <v>7459.4347379999999</v>
      </c>
    </row>
    <row r="2663" spans="1:16" ht="15" x14ac:dyDescent="0.2">
      <c r="A2663" s="4" t="s">
        <v>573</v>
      </c>
      <c r="B2663" s="21" t="str">
        <f t="shared" si="82"/>
        <v>Feb-2026</v>
      </c>
      <c r="C2663" s="2" t="str">
        <f t="shared" si="83"/>
        <v>Q4</v>
      </c>
      <c r="D2663" s="2" t="s">
        <v>31</v>
      </c>
      <c r="E2663" s="16">
        <v>46080</v>
      </c>
      <c r="F2663" s="2" t="s">
        <v>560</v>
      </c>
      <c r="G2663" s="2" t="s">
        <v>142</v>
      </c>
      <c r="H2663" s="2" t="s">
        <v>136</v>
      </c>
      <c r="I2663" s="19">
        <v>2</v>
      </c>
      <c r="J2663" s="19">
        <v>80</v>
      </c>
      <c r="K2663" s="19">
        <v>111.74</v>
      </c>
      <c r="L2663" s="19">
        <v>8939.2000000000007</v>
      </c>
      <c r="M2663" s="19">
        <v>-687.42</v>
      </c>
      <c r="N2663" s="19">
        <v>0</v>
      </c>
      <c r="O2663" s="19">
        <v>1072.7309479999999</v>
      </c>
      <c r="P2663" s="19">
        <v>9324.5109479999992</v>
      </c>
    </row>
    <row r="2664" spans="1:16" ht="15" x14ac:dyDescent="0.2">
      <c r="A2664" s="4" t="s">
        <v>573</v>
      </c>
      <c r="B2664" s="21" t="str">
        <f t="shared" si="82"/>
        <v>Feb-2026</v>
      </c>
      <c r="C2664" s="2" t="str">
        <f t="shared" si="83"/>
        <v>Q4</v>
      </c>
      <c r="D2664" s="2" t="s">
        <v>31</v>
      </c>
      <c r="E2664" s="16">
        <v>46080</v>
      </c>
      <c r="F2664" s="2" t="s">
        <v>561</v>
      </c>
      <c r="G2664" s="2" t="s">
        <v>187</v>
      </c>
      <c r="H2664" s="2" t="s">
        <v>136</v>
      </c>
      <c r="I2664" s="19">
        <v>1</v>
      </c>
      <c r="J2664" s="19">
        <v>40</v>
      </c>
      <c r="K2664" s="19">
        <v>111.74</v>
      </c>
      <c r="L2664" s="19">
        <v>4469.6000000000004</v>
      </c>
      <c r="M2664" s="19">
        <v>-343.71</v>
      </c>
      <c r="N2664" s="19">
        <v>0</v>
      </c>
      <c r="O2664" s="19">
        <v>536.36517300000003</v>
      </c>
      <c r="P2664" s="19">
        <v>4662.2551729999996</v>
      </c>
    </row>
    <row r="2665" spans="1:16" ht="15" x14ac:dyDescent="0.2">
      <c r="A2665" s="4" t="s">
        <v>580</v>
      </c>
      <c r="B2665" s="21" t="str">
        <f t="shared" si="82"/>
        <v>Feb-2026</v>
      </c>
      <c r="C2665" s="2" t="str">
        <f t="shared" si="83"/>
        <v>Q4</v>
      </c>
      <c r="D2665" s="2" t="s">
        <v>31</v>
      </c>
      <c r="E2665" s="16">
        <v>46080</v>
      </c>
      <c r="F2665" s="2" t="s">
        <v>561</v>
      </c>
      <c r="G2665" s="2" t="s">
        <v>187</v>
      </c>
      <c r="H2665" s="2" t="s">
        <v>89</v>
      </c>
      <c r="I2665" s="19">
        <v>10</v>
      </c>
      <c r="J2665" s="19">
        <v>700</v>
      </c>
      <c r="K2665" s="19">
        <v>37.25</v>
      </c>
      <c r="L2665" s="19">
        <v>26075</v>
      </c>
      <c r="M2665" s="19">
        <v>-2005.1699999999998</v>
      </c>
      <c r="N2665" s="19">
        <v>0</v>
      </c>
      <c r="O2665" s="19">
        <v>3129.0748269999999</v>
      </c>
      <c r="P2665" s="19">
        <v>27198.904826999998</v>
      </c>
    </row>
    <row r="2666" spans="1:16" ht="15" x14ac:dyDescent="0.2">
      <c r="A2666" s="4" t="s">
        <v>584</v>
      </c>
      <c r="B2666" s="21" t="str">
        <f t="shared" si="82"/>
        <v>Feb-2026</v>
      </c>
      <c r="C2666" s="2" t="str">
        <f t="shared" si="83"/>
        <v>Q4</v>
      </c>
      <c r="D2666" s="2" t="s">
        <v>31</v>
      </c>
      <c r="E2666" s="16">
        <v>46080</v>
      </c>
      <c r="F2666" s="2" t="s">
        <v>562</v>
      </c>
      <c r="G2666" s="2" t="s">
        <v>17</v>
      </c>
      <c r="H2666" s="2" t="s">
        <v>100</v>
      </c>
      <c r="I2666" s="19">
        <v>3</v>
      </c>
      <c r="J2666" s="19">
        <v>120</v>
      </c>
      <c r="K2666" s="19">
        <v>89.39</v>
      </c>
      <c r="L2666" s="19">
        <v>10726.8</v>
      </c>
      <c r="M2666" s="19">
        <v>-824.89</v>
      </c>
      <c r="N2666" s="19">
        <v>0</v>
      </c>
      <c r="O2666" s="19">
        <v>1287.2487509999999</v>
      </c>
      <c r="P2666" s="19">
        <v>11189.158751000001</v>
      </c>
    </row>
    <row r="2667" spans="1:16" ht="15" x14ac:dyDescent="0.2">
      <c r="A2667" s="4" t="s">
        <v>582</v>
      </c>
      <c r="B2667" s="21" t="str">
        <f t="shared" si="82"/>
        <v>Feb-2026</v>
      </c>
      <c r="C2667" s="2" t="str">
        <f t="shared" si="83"/>
        <v>Q4</v>
      </c>
      <c r="D2667" s="2" t="s">
        <v>31</v>
      </c>
      <c r="E2667" s="16">
        <v>46080</v>
      </c>
      <c r="F2667" s="2" t="s">
        <v>562</v>
      </c>
      <c r="G2667" s="2" t="s">
        <v>17</v>
      </c>
      <c r="H2667" s="2" t="s">
        <v>108</v>
      </c>
      <c r="I2667" s="19">
        <v>1</v>
      </c>
      <c r="J2667" s="19">
        <v>24</v>
      </c>
      <c r="K2667" s="19">
        <v>186.23</v>
      </c>
      <c r="L2667" s="19">
        <v>4469.5200000000004</v>
      </c>
      <c r="M2667" s="19">
        <v>-343.71</v>
      </c>
      <c r="N2667" s="19">
        <v>0</v>
      </c>
      <c r="O2667" s="19">
        <v>536.35548800000004</v>
      </c>
      <c r="P2667" s="19">
        <v>4662.1654879999996</v>
      </c>
    </row>
    <row r="2668" spans="1:16" ht="15" x14ac:dyDescent="0.2">
      <c r="A2668" s="4" t="s">
        <v>584</v>
      </c>
      <c r="B2668" s="21" t="str">
        <f t="shared" si="82"/>
        <v>Feb-2026</v>
      </c>
      <c r="C2668" s="2" t="str">
        <f t="shared" si="83"/>
        <v>Q4</v>
      </c>
      <c r="D2668" s="2" t="s">
        <v>31</v>
      </c>
      <c r="E2668" s="16">
        <v>46080</v>
      </c>
      <c r="F2668" s="2" t="s">
        <v>562</v>
      </c>
      <c r="G2668" s="2" t="s">
        <v>17</v>
      </c>
      <c r="H2668" s="2" t="s">
        <v>120</v>
      </c>
      <c r="I2668" s="19">
        <v>1</v>
      </c>
      <c r="J2668" s="19">
        <v>40</v>
      </c>
      <c r="K2668" s="19">
        <v>89.39</v>
      </c>
      <c r="L2668" s="19">
        <v>3575.6</v>
      </c>
      <c r="M2668" s="19">
        <v>-274.95999999999998</v>
      </c>
      <c r="N2668" s="19">
        <v>0</v>
      </c>
      <c r="O2668" s="19">
        <v>429.08335</v>
      </c>
      <c r="P2668" s="19">
        <v>3729.7233500000002</v>
      </c>
    </row>
    <row r="2669" spans="1:16" ht="15" x14ac:dyDescent="0.2">
      <c r="A2669" s="4" t="s">
        <v>575</v>
      </c>
      <c r="B2669" s="21" t="str">
        <f t="shared" si="82"/>
        <v>Feb-2026</v>
      </c>
      <c r="C2669" s="2" t="str">
        <f t="shared" si="83"/>
        <v>Q4</v>
      </c>
      <c r="D2669" s="2" t="s">
        <v>31</v>
      </c>
      <c r="E2669" s="16">
        <v>46080</v>
      </c>
      <c r="F2669" s="2" t="s">
        <v>562</v>
      </c>
      <c r="G2669" s="2" t="s">
        <v>17</v>
      </c>
      <c r="H2669" s="2" t="s">
        <v>55</v>
      </c>
      <c r="I2669" s="19">
        <v>10</v>
      </c>
      <c r="J2669" s="19">
        <v>200</v>
      </c>
      <c r="K2669" s="19">
        <v>186.22</v>
      </c>
      <c r="L2669" s="19">
        <v>37244</v>
      </c>
      <c r="M2669" s="19">
        <v>-2864.06</v>
      </c>
      <c r="N2669" s="19">
        <v>0</v>
      </c>
      <c r="O2669" s="19">
        <v>4469.3937660000001</v>
      </c>
      <c r="P2669" s="19">
        <v>38849.333766000003</v>
      </c>
    </row>
    <row r="2670" spans="1:16" ht="15" x14ac:dyDescent="0.2">
      <c r="A2670" s="4" t="s">
        <v>586</v>
      </c>
      <c r="B2670" s="21" t="str">
        <f t="shared" si="82"/>
        <v>Feb-2026</v>
      </c>
      <c r="C2670" s="2" t="str">
        <f t="shared" si="83"/>
        <v>Q4</v>
      </c>
      <c r="D2670" s="2" t="s">
        <v>31</v>
      </c>
      <c r="E2670" s="16">
        <v>46080</v>
      </c>
      <c r="F2670" s="2" t="s">
        <v>562</v>
      </c>
      <c r="G2670" s="2" t="s">
        <v>17</v>
      </c>
      <c r="H2670" s="2" t="s">
        <v>103</v>
      </c>
      <c r="I2670" s="19">
        <v>1</v>
      </c>
      <c r="J2670" s="19">
        <v>600</v>
      </c>
      <c r="K2670" s="19">
        <v>7.45</v>
      </c>
      <c r="L2670" s="19">
        <v>4470</v>
      </c>
      <c r="M2670" s="19">
        <v>-343.74</v>
      </c>
      <c r="N2670" s="19">
        <v>0</v>
      </c>
      <c r="O2670" s="19">
        <v>536.41398800000002</v>
      </c>
      <c r="P2670" s="19">
        <v>4662.6739879999996</v>
      </c>
    </row>
    <row r="2671" spans="1:16" ht="15" x14ac:dyDescent="0.2">
      <c r="A2671" s="4" t="s">
        <v>579</v>
      </c>
      <c r="B2671" s="21" t="str">
        <f t="shared" si="82"/>
        <v>Feb-2026</v>
      </c>
      <c r="C2671" s="2" t="str">
        <f t="shared" si="83"/>
        <v>Q4</v>
      </c>
      <c r="D2671" s="2" t="s">
        <v>31</v>
      </c>
      <c r="E2671" s="16">
        <v>46080</v>
      </c>
      <c r="F2671" s="2" t="s">
        <v>562</v>
      </c>
      <c r="G2671" s="2" t="s">
        <v>17</v>
      </c>
      <c r="H2671" s="2" t="s">
        <v>92</v>
      </c>
      <c r="I2671" s="19">
        <v>2</v>
      </c>
      <c r="J2671" s="19">
        <v>40</v>
      </c>
      <c r="K2671" s="19">
        <v>242.1</v>
      </c>
      <c r="L2671" s="19">
        <v>9683.9999999999982</v>
      </c>
      <c r="M2671" s="19">
        <v>-744.7</v>
      </c>
      <c r="N2671" s="19">
        <v>0</v>
      </c>
      <c r="O2671" s="19">
        <v>1162.1094069999999</v>
      </c>
      <c r="P2671" s="19">
        <v>10101.409406999999</v>
      </c>
    </row>
    <row r="2672" spans="1:16" ht="15" x14ac:dyDescent="0.2">
      <c r="A2672" s="4" t="s">
        <v>583</v>
      </c>
      <c r="B2672" s="21" t="str">
        <f t="shared" si="82"/>
        <v>Feb-2026</v>
      </c>
      <c r="C2672" s="2" t="str">
        <f t="shared" si="83"/>
        <v>Q4</v>
      </c>
      <c r="D2672" s="2" t="s">
        <v>31</v>
      </c>
      <c r="E2672" s="16">
        <v>46080</v>
      </c>
      <c r="F2672" s="2" t="s">
        <v>562</v>
      </c>
      <c r="G2672" s="2" t="s">
        <v>17</v>
      </c>
      <c r="H2672" s="2" t="s">
        <v>109</v>
      </c>
      <c r="I2672" s="19">
        <v>2</v>
      </c>
      <c r="J2672" s="19">
        <v>30</v>
      </c>
      <c r="K2672" s="19">
        <v>260.72000000000003</v>
      </c>
      <c r="L2672" s="19">
        <v>7821.6</v>
      </c>
      <c r="M2672" s="19">
        <v>-601.48</v>
      </c>
      <c r="N2672" s="19">
        <v>0</v>
      </c>
      <c r="O2672" s="19">
        <v>938.61592899999994</v>
      </c>
      <c r="P2672" s="19">
        <v>8158.7359290000004</v>
      </c>
    </row>
    <row r="2673" spans="1:16" ht="15" x14ac:dyDescent="0.2">
      <c r="A2673" s="4" t="s">
        <v>582</v>
      </c>
      <c r="B2673" s="21" t="str">
        <f t="shared" si="82"/>
        <v>Feb-2026</v>
      </c>
      <c r="C2673" s="2" t="str">
        <f t="shared" si="83"/>
        <v>Q4</v>
      </c>
      <c r="D2673" s="2" t="s">
        <v>31</v>
      </c>
      <c r="E2673" s="16">
        <v>46080</v>
      </c>
      <c r="F2673" s="2" t="s">
        <v>562</v>
      </c>
      <c r="G2673" s="2" t="s">
        <v>17</v>
      </c>
      <c r="H2673" s="2" t="s">
        <v>77</v>
      </c>
      <c r="I2673" s="19">
        <v>3</v>
      </c>
      <c r="J2673" s="19">
        <v>72</v>
      </c>
      <c r="K2673" s="19">
        <v>204.85</v>
      </c>
      <c r="L2673" s="19">
        <v>14749.199999999999</v>
      </c>
      <c r="M2673" s="19">
        <v>-1134.21</v>
      </c>
      <c r="N2673" s="19">
        <v>0</v>
      </c>
      <c r="O2673" s="19">
        <v>1769.9493199999999</v>
      </c>
      <c r="P2673" s="19">
        <v>15384.939319999999</v>
      </c>
    </row>
    <row r="2674" spans="1:16" ht="15" x14ac:dyDescent="0.2">
      <c r="A2674" s="4" t="s">
        <v>589</v>
      </c>
      <c r="B2674" s="21" t="str">
        <f t="shared" si="82"/>
        <v>Feb-2026</v>
      </c>
      <c r="C2674" s="2" t="str">
        <f t="shared" si="83"/>
        <v>Q4</v>
      </c>
      <c r="D2674" s="2" t="s">
        <v>31</v>
      </c>
      <c r="E2674" s="16">
        <v>46080</v>
      </c>
      <c r="F2674" s="2" t="s">
        <v>563</v>
      </c>
      <c r="G2674" s="2" t="s">
        <v>380</v>
      </c>
      <c r="H2674" s="2" t="s">
        <v>98</v>
      </c>
      <c r="I2674" s="19">
        <v>2</v>
      </c>
      <c r="J2674" s="19">
        <v>120</v>
      </c>
      <c r="K2674" s="19">
        <v>145.26</v>
      </c>
      <c r="L2674" s="19">
        <v>17431.2</v>
      </c>
      <c r="M2674" s="19">
        <v>-1340.46</v>
      </c>
      <c r="N2674" s="19">
        <v>0</v>
      </c>
      <c r="O2674" s="19">
        <v>2091.7968510000001</v>
      </c>
      <c r="P2674" s="19">
        <v>18182.536851000001</v>
      </c>
    </row>
    <row r="2675" spans="1:16" ht="15" x14ac:dyDescent="0.2">
      <c r="A2675" s="4" t="s">
        <v>575</v>
      </c>
      <c r="B2675" s="21" t="str">
        <f t="shared" si="82"/>
        <v>Feb-2026</v>
      </c>
      <c r="C2675" s="2" t="str">
        <f t="shared" si="83"/>
        <v>Q4</v>
      </c>
      <c r="D2675" s="2" t="s">
        <v>31</v>
      </c>
      <c r="E2675" s="16">
        <v>46080</v>
      </c>
      <c r="F2675" s="2" t="s">
        <v>563</v>
      </c>
      <c r="G2675" s="2" t="s">
        <v>380</v>
      </c>
      <c r="H2675" s="2" t="s">
        <v>55</v>
      </c>
      <c r="I2675" s="19">
        <v>2</v>
      </c>
      <c r="J2675" s="19">
        <v>40</v>
      </c>
      <c r="K2675" s="19">
        <v>186.22</v>
      </c>
      <c r="L2675" s="19">
        <v>7448.8</v>
      </c>
      <c r="M2675" s="19">
        <v>-572.80999999999995</v>
      </c>
      <c r="N2675" s="19">
        <v>0</v>
      </c>
      <c r="O2675" s="19">
        <v>893.87897799999996</v>
      </c>
      <c r="P2675" s="19">
        <v>7769.8689780000004</v>
      </c>
    </row>
    <row r="2676" spans="1:16" ht="15" x14ac:dyDescent="0.2">
      <c r="A2676" s="4" t="s">
        <v>580</v>
      </c>
      <c r="B2676" s="21" t="str">
        <f t="shared" si="82"/>
        <v>Feb-2026</v>
      </c>
      <c r="C2676" s="2" t="str">
        <f t="shared" si="83"/>
        <v>Q4</v>
      </c>
      <c r="D2676" s="2" t="s">
        <v>31</v>
      </c>
      <c r="E2676" s="16">
        <v>46080</v>
      </c>
      <c r="F2676" s="2" t="s">
        <v>563</v>
      </c>
      <c r="G2676" s="2" t="s">
        <v>380</v>
      </c>
      <c r="H2676" s="2" t="s">
        <v>65</v>
      </c>
      <c r="I2676" s="19">
        <v>2</v>
      </c>
      <c r="J2676" s="19">
        <v>260</v>
      </c>
      <c r="K2676" s="19">
        <v>37.25</v>
      </c>
      <c r="L2676" s="19">
        <v>9685</v>
      </c>
      <c r="M2676" s="19">
        <v>-744.78</v>
      </c>
      <c r="N2676" s="19">
        <v>0</v>
      </c>
      <c r="O2676" s="19">
        <v>1162.2289619999999</v>
      </c>
      <c r="P2676" s="19">
        <v>10102.448962</v>
      </c>
    </row>
    <row r="2677" spans="1:16" ht="15" x14ac:dyDescent="0.2">
      <c r="A2677" s="4" t="s">
        <v>589</v>
      </c>
      <c r="B2677" s="21" t="str">
        <f t="shared" si="82"/>
        <v>Feb-2026</v>
      </c>
      <c r="C2677" s="2" t="str">
        <f t="shared" si="83"/>
        <v>Q4</v>
      </c>
      <c r="D2677" s="2" t="s">
        <v>31</v>
      </c>
      <c r="E2677" s="16">
        <v>46080</v>
      </c>
      <c r="F2677" s="2" t="s">
        <v>563</v>
      </c>
      <c r="G2677" s="2" t="s">
        <v>380</v>
      </c>
      <c r="H2677" s="2" t="s">
        <v>105</v>
      </c>
      <c r="I2677" s="19">
        <v>2</v>
      </c>
      <c r="J2677" s="19">
        <v>60</v>
      </c>
      <c r="K2677" s="19">
        <v>316.58999999999997</v>
      </c>
      <c r="L2677" s="19">
        <v>18995.399999999998</v>
      </c>
      <c r="M2677" s="19">
        <v>-1460.75</v>
      </c>
      <c r="N2677" s="19">
        <v>0</v>
      </c>
      <c r="O2677" s="19">
        <v>2279.5052089999999</v>
      </c>
      <c r="P2677" s="19">
        <v>19814.155209</v>
      </c>
    </row>
    <row r="2678" spans="1:16" ht="15" x14ac:dyDescent="0.2">
      <c r="A2678" s="4" t="s">
        <v>574</v>
      </c>
      <c r="B2678" s="21" t="str">
        <f t="shared" si="82"/>
        <v>Feb-2026</v>
      </c>
      <c r="C2678" s="2" t="str">
        <f t="shared" si="83"/>
        <v>Q4</v>
      </c>
      <c r="D2678" s="2" t="s">
        <v>31</v>
      </c>
      <c r="E2678" s="16">
        <v>46080</v>
      </c>
      <c r="F2678" s="2" t="s">
        <v>564</v>
      </c>
      <c r="G2678" s="2" t="s">
        <v>51</v>
      </c>
      <c r="H2678" s="2" t="s">
        <v>84</v>
      </c>
      <c r="I2678" s="19">
        <v>65.66</v>
      </c>
      <c r="J2678" s="19">
        <v>1181.8800000000001</v>
      </c>
      <c r="K2678" s="19">
        <v>178.78</v>
      </c>
      <c r="L2678" s="19">
        <v>211296.50999999998</v>
      </c>
      <c r="M2678" s="19">
        <v>-16248.699999999999</v>
      </c>
      <c r="N2678" s="19">
        <v>0</v>
      </c>
      <c r="O2678" s="19">
        <v>25356.214807999997</v>
      </c>
      <c r="P2678" s="19">
        <v>220404.02480799999</v>
      </c>
    </row>
    <row r="2679" spans="1:16" ht="15" x14ac:dyDescent="0.2">
      <c r="A2679" s="4" t="s">
        <v>574</v>
      </c>
      <c r="B2679" s="21" t="str">
        <f t="shared" si="82"/>
        <v>Feb-2026</v>
      </c>
      <c r="C2679" s="2" t="str">
        <f t="shared" si="83"/>
        <v>Q4</v>
      </c>
      <c r="D2679" s="2" t="s">
        <v>31</v>
      </c>
      <c r="E2679" s="16">
        <v>46080</v>
      </c>
      <c r="F2679" s="2" t="s">
        <v>564</v>
      </c>
      <c r="G2679" s="2" t="s">
        <v>51</v>
      </c>
      <c r="H2679" s="2" t="s">
        <v>86</v>
      </c>
      <c r="I2679" s="19">
        <v>0.66</v>
      </c>
      <c r="J2679" s="19">
        <v>11.88</v>
      </c>
      <c r="K2679" s="19">
        <v>178.78</v>
      </c>
      <c r="L2679" s="19">
        <v>2123.91</v>
      </c>
      <c r="M2679" s="19">
        <v>-163.33000000000001</v>
      </c>
      <c r="N2679" s="19">
        <v>0</v>
      </c>
      <c r="O2679" s="19">
        <v>254.875395</v>
      </c>
      <c r="P2679" s="19">
        <v>2215.455395</v>
      </c>
    </row>
    <row r="2680" spans="1:16" ht="15" x14ac:dyDescent="0.2">
      <c r="A2680" s="4" t="s">
        <v>574</v>
      </c>
      <c r="B2680" s="21" t="str">
        <f t="shared" si="82"/>
        <v>Feb-2026</v>
      </c>
      <c r="C2680" s="2" t="str">
        <f t="shared" si="83"/>
        <v>Q4</v>
      </c>
      <c r="D2680" s="2" t="s">
        <v>31</v>
      </c>
      <c r="E2680" s="16">
        <v>46080</v>
      </c>
      <c r="F2680" s="2" t="s">
        <v>564</v>
      </c>
      <c r="G2680" s="2" t="s">
        <v>51</v>
      </c>
      <c r="H2680" s="2" t="s">
        <v>52</v>
      </c>
      <c r="I2680" s="19">
        <v>25</v>
      </c>
      <c r="J2680" s="19">
        <v>450</v>
      </c>
      <c r="K2680" s="19">
        <v>178.78</v>
      </c>
      <c r="L2680" s="19">
        <v>80451</v>
      </c>
      <c r="M2680" s="19">
        <v>-6186.68</v>
      </c>
      <c r="N2680" s="19">
        <v>0</v>
      </c>
      <c r="O2680" s="19">
        <v>9654.3614120000002</v>
      </c>
      <c r="P2680" s="19">
        <v>83918.681412000005</v>
      </c>
    </row>
    <row r="2681" spans="1:16" ht="15" x14ac:dyDescent="0.2">
      <c r="A2681" s="4" t="s">
        <v>574</v>
      </c>
      <c r="B2681" s="21" t="str">
        <f t="shared" si="82"/>
        <v>Feb-2026</v>
      </c>
      <c r="C2681" s="2" t="str">
        <f t="shared" si="83"/>
        <v>Q4</v>
      </c>
      <c r="D2681" s="2" t="s">
        <v>31</v>
      </c>
      <c r="E2681" s="16">
        <v>46080</v>
      </c>
      <c r="F2681" s="2" t="s">
        <v>564</v>
      </c>
      <c r="G2681" s="2" t="s">
        <v>51</v>
      </c>
      <c r="H2681" s="2" t="s">
        <v>85</v>
      </c>
      <c r="I2681" s="19">
        <v>10</v>
      </c>
      <c r="J2681" s="19">
        <v>180</v>
      </c>
      <c r="K2681" s="19">
        <v>178.78</v>
      </c>
      <c r="L2681" s="19">
        <v>32180.400000000001</v>
      </c>
      <c r="M2681" s="19">
        <v>-2474.6699999999996</v>
      </c>
      <c r="N2681" s="19">
        <v>0</v>
      </c>
      <c r="O2681" s="19">
        <v>3861.7448249999998</v>
      </c>
      <c r="P2681" s="19">
        <v>33567.474824999998</v>
      </c>
    </row>
    <row r="2682" spans="1:16" ht="15" x14ac:dyDescent="0.2">
      <c r="A2682" s="4" t="s">
        <v>574</v>
      </c>
      <c r="B2682" s="21" t="str">
        <f t="shared" si="82"/>
        <v>Feb-2026</v>
      </c>
      <c r="C2682" s="2" t="str">
        <f t="shared" si="83"/>
        <v>Q4</v>
      </c>
      <c r="D2682" s="2" t="s">
        <v>31</v>
      </c>
      <c r="E2682" s="16">
        <v>46080</v>
      </c>
      <c r="F2682" s="2" t="s">
        <v>564</v>
      </c>
      <c r="G2682" s="2" t="s">
        <v>51</v>
      </c>
      <c r="H2682" s="2" t="s">
        <v>86</v>
      </c>
      <c r="I2682" s="19">
        <v>0.24</v>
      </c>
      <c r="J2682" s="19">
        <v>4.32</v>
      </c>
      <c r="K2682" s="19">
        <v>178.78</v>
      </c>
      <c r="L2682" s="19">
        <v>772.32999999999993</v>
      </c>
      <c r="M2682" s="19">
        <v>-59.39</v>
      </c>
      <c r="N2682" s="19">
        <v>0</v>
      </c>
      <c r="O2682" s="19">
        <v>92.682198000000014</v>
      </c>
      <c r="P2682" s="19">
        <v>805.62219800000003</v>
      </c>
    </row>
    <row r="2683" spans="1:16" ht="15" x14ac:dyDescent="0.2">
      <c r="A2683" s="4" t="s">
        <v>574</v>
      </c>
      <c r="B2683" s="21" t="str">
        <f t="shared" si="82"/>
        <v>Feb-2026</v>
      </c>
      <c r="C2683" s="2" t="str">
        <f t="shared" si="83"/>
        <v>Q4</v>
      </c>
      <c r="D2683" s="2" t="s">
        <v>31</v>
      </c>
      <c r="E2683" s="16">
        <v>46080</v>
      </c>
      <c r="F2683" s="2" t="s">
        <v>564</v>
      </c>
      <c r="G2683" s="2" t="s">
        <v>51</v>
      </c>
      <c r="H2683" s="2" t="s">
        <v>84</v>
      </c>
      <c r="I2683" s="19">
        <v>74.34</v>
      </c>
      <c r="J2683" s="19">
        <v>1338.12</v>
      </c>
      <c r="K2683" s="19">
        <v>178.78</v>
      </c>
      <c r="L2683" s="19">
        <v>239229.09</v>
      </c>
      <c r="M2683" s="19">
        <v>-18396.72</v>
      </c>
      <c r="N2683" s="19">
        <v>0</v>
      </c>
      <c r="O2683" s="19">
        <v>28708.207542</v>
      </c>
      <c r="P2683" s="19">
        <v>249540.57754200001</v>
      </c>
    </row>
    <row r="2684" spans="1:16" ht="15" x14ac:dyDescent="0.2">
      <c r="A2684" s="4" t="s">
        <v>574</v>
      </c>
      <c r="B2684" s="21" t="str">
        <f t="shared" si="82"/>
        <v>Feb-2026</v>
      </c>
      <c r="C2684" s="2" t="str">
        <f t="shared" si="83"/>
        <v>Q4</v>
      </c>
      <c r="D2684" s="2" t="s">
        <v>31</v>
      </c>
      <c r="E2684" s="16">
        <v>46080</v>
      </c>
      <c r="F2684" s="2" t="s">
        <v>564</v>
      </c>
      <c r="G2684" s="2" t="s">
        <v>51</v>
      </c>
      <c r="H2684" s="2" t="s">
        <v>86</v>
      </c>
      <c r="I2684" s="19">
        <v>0.72</v>
      </c>
      <c r="J2684" s="19">
        <v>12.96</v>
      </c>
      <c r="K2684" s="19">
        <v>178.78</v>
      </c>
      <c r="L2684" s="19">
        <v>2316.9900000000002</v>
      </c>
      <c r="M2684" s="19">
        <v>-178.18</v>
      </c>
      <c r="N2684" s="19">
        <v>0</v>
      </c>
      <c r="O2684" s="19">
        <v>278.04529500000001</v>
      </c>
      <c r="P2684" s="19">
        <v>2416.8552949999998</v>
      </c>
    </row>
    <row r="2685" spans="1:16" ht="15" x14ac:dyDescent="0.2">
      <c r="A2685" s="4" t="s">
        <v>574</v>
      </c>
      <c r="B2685" s="21" t="str">
        <f t="shared" si="82"/>
        <v>Feb-2026</v>
      </c>
      <c r="C2685" s="2" t="str">
        <f t="shared" si="83"/>
        <v>Q4</v>
      </c>
      <c r="D2685" s="2" t="s">
        <v>31</v>
      </c>
      <c r="E2685" s="16">
        <v>46080</v>
      </c>
      <c r="F2685" s="2" t="s">
        <v>564</v>
      </c>
      <c r="G2685" s="2" t="s">
        <v>51</v>
      </c>
      <c r="H2685" s="2" t="s">
        <v>86</v>
      </c>
      <c r="I2685" s="19">
        <v>23.38</v>
      </c>
      <c r="J2685" s="19">
        <v>420.84</v>
      </c>
      <c r="K2685" s="19">
        <v>178.78</v>
      </c>
      <c r="L2685" s="19">
        <v>75237.78</v>
      </c>
      <c r="M2685" s="19">
        <v>-5785.79</v>
      </c>
      <c r="N2685" s="19">
        <v>0</v>
      </c>
      <c r="O2685" s="19">
        <v>9028.7585249999993</v>
      </c>
      <c r="P2685" s="19">
        <v>78480.748525000003</v>
      </c>
    </row>
    <row r="2686" spans="1:16" ht="15" x14ac:dyDescent="0.2">
      <c r="A2686" s="4" t="s">
        <v>574</v>
      </c>
      <c r="B2686" s="21" t="str">
        <f t="shared" si="82"/>
        <v>Feb-2026</v>
      </c>
      <c r="C2686" s="2" t="str">
        <f t="shared" si="83"/>
        <v>Q4</v>
      </c>
      <c r="D2686" s="2" t="s">
        <v>31</v>
      </c>
      <c r="E2686" s="16">
        <v>46080</v>
      </c>
      <c r="F2686" s="2" t="s">
        <v>565</v>
      </c>
      <c r="G2686" s="2" t="s">
        <v>523</v>
      </c>
      <c r="H2686" s="2" t="s">
        <v>84</v>
      </c>
      <c r="I2686" s="19">
        <v>100</v>
      </c>
      <c r="J2686" s="19">
        <v>1800</v>
      </c>
      <c r="K2686" s="19">
        <v>178.78</v>
      </c>
      <c r="L2686" s="19">
        <v>321804</v>
      </c>
      <c r="M2686" s="19">
        <v>-24746.73</v>
      </c>
      <c r="N2686" s="19">
        <v>0</v>
      </c>
      <c r="O2686" s="19">
        <v>38617.449999999997</v>
      </c>
      <c r="P2686" s="19">
        <v>335674.72</v>
      </c>
    </row>
    <row r="2687" spans="1:16" ht="15" x14ac:dyDescent="0.2">
      <c r="A2687" s="4" t="s">
        <v>590</v>
      </c>
      <c r="B2687" s="21" t="str">
        <f t="shared" si="82"/>
        <v>Feb-2026</v>
      </c>
      <c r="C2687" s="2" t="str">
        <f t="shared" si="83"/>
        <v>Q4</v>
      </c>
      <c r="D2687" s="2" t="s">
        <v>31</v>
      </c>
      <c r="E2687" s="16">
        <v>46081</v>
      </c>
      <c r="F2687" s="2" t="s">
        <v>566</v>
      </c>
      <c r="G2687" s="2" t="s">
        <v>567</v>
      </c>
      <c r="H2687" s="2" t="s">
        <v>102</v>
      </c>
      <c r="I2687" s="19">
        <v>1</v>
      </c>
      <c r="J2687" s="19">
        <v>20</v>
      </c>
      <c r="K2687" s="19">
        <v>249.55</v>
      </c>
      <c r="L2687" s="19">
        <v>4991</v>
      </c>
      <c r="M2687" s="19">
        <v>-383.81</v>
      </c>
      <c r="N2687" s="19">
        <v>0</v>
      </c>
      <c r="O2687" s="19">
        <v>598.93482900000004</v>
      </c>
      <c r="P2687" s="19">
        <v>5206.1248290000003</v>
      </c>
    </row>
    <row r="2688" spans="1:16" ht="15" x14ac:dyDescent="0.2">
      <c r="A2688" s="4" t="s">
        <v>580</v>
      </c>
      <c r="B2688" s="21" t="str">
        <f t="shared" si="82"/>
        <v>Feb-2026</v>
      </c>
      <c r="C2688" s="2" t="str">
        <f t="shared" si="83"/>
        <v>Q4</v>
      </c>
      <c r="D2688" s="2" t="s">
        <v>31</v>
      </c>
      <c r="E2688" s="16">
        <v>46081</v>
      </c>
      <c r="F2688" s="2" t="s">
        <v>566</v>
      </c>
      <c r="G2688" s="2" t="s">
        <v>567</v>
      </c>
      <c r="H2688" s="2" t="s">
        <v>89</v>
      </c>
      <c r="I2688" s="19">
        <v>1</v>
      </c>
      <c r="J2688" s="19">
        <v>70</v>
      </c>
      <c r="K2688" s="19">
        <v>37.25</v>
      </c>
      <c r="L2688" s="19">
        <v>2607.5</v>
      </c>
      <c r="M2688" s="19">
        <v>-200.52</v>
      </c>
      <c r="N2688" s="19">
        <v>0</v>
      </c>
      <c r="O2688" s="19">
        <v>312.90746799999999</v>
      </c>
      <c r="P2688" s="19">
        <v>2719.8874679999999</v>
      </c>
    </row>
    <row r="2689" spans="1:16" ht="15" x14ac:dyDescent="0.2">
      <c r="A2689" s="4" t="s">
        <v>584</v>
      </c>
      <c r="B2689" s="21" t="str">
        <f t="shared" si="82"/>
        <v>Feb-2026</v>
      </c>
      <c r="C2689" s="2" t="str">
        <f t="shared" si="83"/>
        <v>Q4</v>
      </c>
      <c r="D2689" s="2" t="s">
        <v>31</v>
      </c>
      <c r="E2689" s="16">
        <v>46081</v>
      </c>
      <c r="F2689" s="2" t="s">
        <v>566</v>
      </c>
      <c r="G2689" s="2" t="s">
        <v>567</v>
      </c>
      <c r="H2689" s="2" t="s">
        <v>100</v>
      </c>
      <c r="I2689" s="19">
        <v>1</v>
      </c>
      <c r="J2689" s="19">
        <v>40</v>
      </c>
      <c r="K2689" s="19">
        <v>89.39</v>
      </c>
      <c r="L2689" s="19">
        <v>3575.6</v>
      </c>
      <c r="M2689" s="19">
        <v>-274.95999999999998</v>
      </c>
      <c r="N2689" s="19">
        <v>0</v>
      </c>
      <c r="O2689" s="19">
        <v>429.08329300000003</v>
      </c>
      <c r="P2689" s="19">
        <v>3729.723293</v>
      </c>
    </row>
    <row r="2690" spans="1:16" ht="15" x14ac:dyDescent="0.2">
      <c r="A2690" s="4" t="s">
        <v>580</v>
      </c>
      <c r="B2690" s="21" t="str">
        <f t="shared" ref="B2690:B2707" si="84">+TEXT(E2690,"MMM-yyy")</f>
        <v>Feb-2026</v>
      </c>
      <c r="C2690" s="2" t="str">
        <f t="shared" ref="C2690:C2707" si="85">"Q" &amp; CHOOSE(MONTH(E2690),4,4,4,1,1,1,2,2,2,3,3,3)</f>
        <v>Q4</v>
      </c>
      <c r="D2690" s="2" t="s">
        <v>31</v>
      </c>
      <c r="E2690" s="16">
        <v>46081</v>
      </c>
      <c r="F2690" s="2" t="s">
        <v>566</v>
      </c>
      <c r="G2690" s="2" t="s">
        <v>567</v>
      </c>
      <c r="H2690" s="2" t="s">
        <v>65</v>
      </c>
      <c r="I2690" s="19">
        <v>2</v>
      </c>
      <c r="J2690" s="19">
        <v>260</v>
      </c>
      <c r="K2690" s="19">
        <v>37.25</v>
      </c>
      <c r="L2690" s="19">
        <v>9685</v>
      </c>
      <c r="M2690" s="19">
        <v>-744.78</v>
      </c>
      <c r="N2690" s="19">
        <v>0</v>
      </c>
      <c r="O2690" s="19">
        <v>1162.2288510000001</v>
      </c>
      <c r="P2690" s="19">
        <v>10102.448850999999</v>
      </c>
    </row>
    <row r="2691" spans="1:16" ht="15" x14ac:dyDescent="0.2">
      <c r="A2691" s="4" t="s">
        <v>579</v>
      </c>
      <c r="B2691" s="21" t="str">
        <f t="shared" si="84"/>
        <v>Feb-2026</v>
      </c>
      <c r="C2691" s="2" t="str">
        <f t="shared" si="85"/>
        <v>Q4</v>
      </c>
      <c r="D2691" s="2" t="s">
        <v>31</v>
      </c>
      <c r="E2691" s="16">
        <v>46081</v>
      </c>
      <c r="F2691" s="2" t="s">
        <v>566</v>
      </c>
      <c r="G2691" s="2" t="s">
        <v>567</v>
      </c>
      <c r="H2691" s="2" t="s">
        <v>90</v>
      </c>
      <c r="I2691" s="19">
        <v>1</v>
      </c>
      <c r="J2691" s="19">
        <v>20</v>
      </c>
      <c r="K2691" s="19">
        <v>204.85</v>
      </c>
      <c r="L2691" s="19">
        <v>4097</v>
      </c>
      <c r="M2691" s="19">
        <v>-315.06</v>
      </c>
      <c r="N2691" s="19">
        <v>0</v>
      </c>
      <c r="O2691" s="19">
        <v>491.65230600000001</v>
      </c>
      <c r="P2691" s="19">
        <v>4273.5923059999996</v>
      </c>
    </row>
    <row r="2692" spans="1:16" ht="15" x14ac:dyDescent="0.2">
      <c r="A2692" s="4" t="s">
        <v>581</v>
      </c>
      <c r="B2692" s="21" t="str">
        <f t="shared" si="84"/>
        <v>Feb-2026</v>
      </c>
      <c r="C2692" s="2" t="str">
        <f t="shared" si="85"/>
        <v>Q4</v>
      </c>
      <c r="D2692" s="2" t="s">
        <v>31</v>
      </c>
      <c r="E2692" s="16">
        <v>46081</v>
      </c>
      <c r="F2692" s="2" t="s">
        <v>566</v>
      </c>
      <c r="G2692" s="2" t="s">
        <v>567</v>
      </c>
      <c r="H2692" s="2" t="s">
        <v>104</v>
      </c>
      <c r="I2692" s="19">
        <v>1</v>
      </c>
      <c r="J2692" s="19">
        <v>40</v>
      </c>
      <c r="K2692" s="19">
        <v>74.5</v>
      </c>
      <c r="L2692" s="19">
        <v>2980</v>
      </c>
      <c r="M2692" s="19">
        <v>-229.16</v>
      </c>
      <c r="N2692" s="19">
        <v>0</v>
      </c>
      <c r="O2692" s="19">
        <v>357.60927700000002</v>
      </c>
      <c r="P2692" s="19">
        <v>3108.4492770000002</v>
      </c>
    </row>
    <row r="2693" spans="1:16" ht="15" x14ac:dyDescent="0.2">
      <c r="A2693" s="4" t="s">
        <v>589</v>
      </c>
      <c r="B2693" s="21" t="str">
        <f t="shared" si="84"/>
        <v>Feb-2026</v>
      </c>
      <c r="C2693" s="2" t="str">
        <f t="shared" si="85"/>
        <v>Q4</v>
      </c>
      <c r="D2693" s="2" t="s">
        <v>31</v>
      </c>
      <c r="E2693" s="16">
        <v>46081</v>
      </c>
      <c r="F2693" s="2" t="s">
        <v>566</v>
      </c>
      <c r="G2693" s="2" t="s">
        <v>567</v>
      </c>
      <c r="H2693" s="2" t="s">
        <v>105</v>
      </c>
      <c r="I2693" s="19">
        <v>2</v>
      </c>
      <c r="J2693" s="19">
        <v>60</v>
      </c>
      <c r="K2693" s="19">
        <v>316.58999999999997</v>
      </c>
      <c r="L2693" s="19">
        <v>18995.399999999998</v>
      </c>
      <c r="M2693" s="19">
        <v>-1460.75</v>
      </c>
      <c r="N2693" s="19">
        <v>0</v>
      </c>
      <c r="O2693" s="19">
        <v>2279.5049920000001</v>
      </c>
      <c r="P2693" s="19">
        <v>19814.154992</v>
      </c>
    </row>
    <row r="2694" spans="1:16" ht="15" x14ac:dyDescent="0.2">
      <c r="A2694" s="4" t="s">
        <v>592</v>
      </c>
      <c r="B2694" s="21" t="str">
        <f t="shared" si="84"/>
        <v>Feb-2026</v>
      </c>
      <c r="C2694" s="2" t="str">
        <f t="shared" si="85"/>
        <v>Q4</v>
      </c>
      <c r="D2694" s="2" t="s">
        <v>31</v>
      </c>
      <c r="E2694" s="16">
        <v>46081</v>
      </c>
      <c r="F2694" s="2" t="s">
        <v>566</v>
      </c>
      <c r="G2694" s="2" t="s">
        <v>567</v>
      </c>
      <c r="H2694" s="2" t="s">
        <v>115</v>
      </c>
      <c r="I2694" s="19">
        <v>2</v>
      </c>
      <c r="J2694" s="19">
        <v>100</v>
      </c>
      <c r="K2694" s="19">
        <v>89.39</v>
      </c>
      <c r="L2694" s="19">
        <v>8939</v>
      </c>
      <c r="M2694" s="19">
        <v>-687.41</v>
      </c>
      <c r="N2694" s="19">
        <v>0</v>
      </c>
      <c r="O2694" s="19">
        <v>1072.7069320000001</v>
      </c>
      <c r="P2694" s="19">
        <v>9324.2969319999993</v>
      </c>
    </row>
    <row r="2695" spans="1:16" ht="15" x14ac:dyDescent="0.2">
      <c r="A2695" s="4" t="s">
        <v>579</v>
      </c>
      <c r="B2695" s="21" t="str">
        <f t="shared" si="84"/>
        <v>Feb-2026</v>
      </c>
      <c r="C2695" s="2" t="str">
        <f t="shared" si="85"/>
        <v>Q4</v>
      </c>
      <c r="D2695" s="2" t="s">
        <v>31</v>
      </c>
      <c r="E2695" s="16">
        <v>46081</v>
      </c>
      <c r="F2695" s="2" t="s">
        <v>566</v>
      </c>
      <c r="G2695" s="2" t="s">
        <v>567</v>
      </c>
      <c r="H2695" s="2" t="s">
        <v>140</v>
      </c>
      <c r="I2695" s="19">
        <v>1</v>
      </c>
      <c r="J2695" s="19">
        <v>20</v>
      </c>
      <c r="K2695" s="19">
        <v>204.85</v>
      </c>
      <c r="L2695" s="19">
        <v>4097</v>
      </c>
      <c r="M2695" s="19">
        <v>-315.06</v>
      </c>
      <c r="N2695" s="19">
        <v>0</v>
      </c>
      <c r="O2695" s="19">
        <v>491.65230600000001</v>
      </c>
      <c r="P2695" s="19">
        <v>4273.5923059999996</v>
      </c>
    </row>
    <row r="2696" spans="1:16" ht="15" x14ac:dyDescent="0.2">
      <c r="A2696" s="4" t="s">
        <v>579</v>
      </c>
      <c r="B2696" s="21" t="str">
        <f t="shared" si="84"/>
        <v>Feb-2026</v>
      </c>
      <c r="C2696" s="2" t="str">
        <f t="shared" si="85"/>
        <v>Q4</v>
      </c>
      <c r="D2696" s="2" t="s">
        <v>31</v>
      </c>
      <c r="E2696" s="16">
        <v>46081</v>
      </c>
      <c r="F2696" s="2" t="s">
        <v>566</v>
      </c>
      <c r="G2696" s="2" t="s">
        <v>567</v>
      </c>
      <c r="H2696" s="2" t="s">
        <v>91</v>
      </c>
      <c r="I2696" s="19">
        <v>1</v>
      </c>
      <c r="J2696" s="19">
        <v>20</v>
      </c>
      <c r="K2696" s="19">
        <v>204.85</v>
      </c>
      <c r="L2696" s="19">
        <v>4097</v>
      </c>
      <c r="M2696" s="19">
        <v>-315.06</v>
      </c>
      <c r="N2696" s="19">
        <v>0</v>
      </c>
      <c r="O2696" s="19">
        <v>491.65230600000001</v>
      </c>
      <c r="P2696" s="19">
        <v>4273.5923059999996</v>
      </c>
    </row>
    <row r="2697" spans="1:16" ht="15" x14ac:dyDescent="0.2">
      <c r="A2697" s="4" t="s">
        <v>581</v>
      </c>
      <c r="B2697" s="21" t="str">
        <f t="shared" si="84"/>
        <v>Feb-2026</v>
      </c>
      <c r="C2697" s="2" t="str">
        <f t="shared" si="85"/>
        <v>Q4</v>
      </c>
      <c r="D2697" s="2" t="s">
        <v>31</v>
      </c>
      <c r="E2697" s="16">
        <v>46081</v>
      </c>
      <c r="F2697" s="2" t="s">
        <v>566</v>
      </c>
      <c r="G2697" s="2" t="s">
        <v>567</v>
      </c>
      <c r="H2697" s="2" t="s">
        <v>97</v>
      </c>
      <c r="I2697" s="19">
        <v>1</v>
      </c>
      <c r="J2697" s="19">
        <v>40</v>
      </c>
      <c r="K2697" s="19">
        <v>74.489999999999995</v>
      </c>
      <c r="L2697" s="19">
        <v>2979.6</v>
      </c>
      <c r="M2697" s="19">
        <v>-229.13</v>
      </c>
      <c r="N2697" s="19">
        <v>0</v>
      </c>
      <c r="O2697" s="19">
        <v>357.56117700000004</v>
      </c>
      <c r="P2697" s="19">
        <v>3108.0311769999998</v>
      </c>
    </row>
    <row r="2698" spans="1:16" ht="15" x14ac:dyDescent="0.2">
      <c r="A2698" s="4" t="s">
        <v>575</v>
      </c>
      <c r="B2698" s="21" t="str">
        <f t="shared" si="84"/>
        <v>Feb-2026</v>
      </c>
      <c r="C2698" s="2" t="str">
        <f t="shared" si="85"/>
        <v>Q4</v>
      </c>
      <c r="D2698" s="2" t="s">
        <v>31</v>
      </c>
      <c r="E2698" s="16">
        <v>46081</v>
      </c>
      <c r="F2698" s="2" t="s">
        <v>566</v>
      </c>
      <c r="G2698" s="2" t="s">
        <v>567</v>
      </c>
      <c r="H2698" s="2" t="s">
        <v>55</v>
      </c>
      <c r="I2698" s="19">
        <v>2</v>
      </c>
      <c r="J2698" s="19">
        <v>40</v>
      </c>
      <c r="K2698" s="19">
        <v>186.22</v>
      </c>
      <c r="L2698" s="19">
        <v>7448.8</v>
      </c>
      <c r="M2698" s="19">
        <v>-572.80999999999995</v>
      </c>
      <c r="N2698" s="19">
        <v>0</v>
      </c>
      <c r="O2698" s="19">
        <v>893.87889300000006</v>
      </c>
      <c r="P2698" s="19">
        <v>7769.8688929999998</v>
      </c>
    </row>
    <row r="2699" spans="1:16" ht="15" x14ac:dyDescent="0.2">
      <c r="A2699" s="4" t="s">
        <v>581</v>
      </c>
      <c r="B2699" s="21" t="str">
        <f t="shared" si="84"/>
        <v>Feb-2026</v>
      </c>
      <c r="C2699" s="2" t="str">
        <f t="shared" si="85"/>
        <v>Q4</v>
      </c>
      <c r="D2699" s="2" t="s">
        <v>31</v>
      </c>
      <c r="E2699" s="16">
        <v>46081</v>
      </c>
      <c r="F2699" s="2" t="s">
        <v>566</v>
      </c>
      <c r="G2699" s="2" t="s">
        <v>567</v>
      </c>
      <c r="H2699" s="2" t="s">
        <v>96</v>
      </c>
      <c r="I2699" s="19">
        <v>1</v>
      </c>
      <c r="J2699" s="19">
        <v>40</v>
      </c>
      <c r="K2699" s="19">
        <v>74.489999999999995</v>
      </c>
      <c r="L2699" s="19">
        <v>2979.6</v>
      </c>
      <c r="M2699" s="19">
        <v>-229.13</v>
      </c>
      <c r="N2699" s="19">
        <v>0</v>
      </c>
      <c r="O2699" s="19">
        <v>357.56117700000004</v>
      </c>
      <c r="P2699" s="19">
        <v>3108.0311769999998</v>
      </c>
    </row>
    <row r="2700" spans="1:16" ht="15" x14ac:dyDescent="0.2">
      <c r="A2700" s="4" t="s">
        <v>581</v>
      </c>
      <c r="B2700" s="21" t="str">
        <f t="shared" si="84"/>
        <v>Feb-2026</v>
      </c>
      <c r="C2700" s="2" t="str">
        <f t="shared" si="85"/>
        <v>Q4</v>
      </c>
      <c r="D2700" s="2" t="s">
        <v>31</v>
      </c>
      <c r="E2700" s="16">
        <v>46081</v>
      </c>
      <c r="F2700" s="2" t="s">
        <v>566</v>
      </c>
      <c r="G2700" s="2" t="s">
        <v>567</v>
      </c>
      <c r="H2700" s="2" t="s">
        <v>125</v>
      </c>
      <c r="I2700" s="19">
        <v>1</v>
      </c>
      <c r="J2700" s="19">
        <v>800</v>
      </c>
      <c r="K2700" s="19">
        <v>7.46</v>
      </c>
      <c r="L2700" s="19">
        <v>5968</v>
      </c>
      <c r="M2700" s="19">
        <v>-458.94</v>
      </c>
      <c r="N2700" s="19">
        <v>0</v>
      </c>
      <c r="O2700" s="19">
        <v>716.177955</v>
      </c>
      <c r="P2700" s="19">
        <v>6225.2379549999996</v>
      </c>
    </row>
    <row r="2701" spans="1:16" ht="15" x14ac:dyDescent="0.2">
      <c r="A2701" s="4" t="s">
        <v>584</v>
      </c>
      <c r="B2701" s="21" t="str">
        <f t="shared" si="84"/>
        <v>Feb-2026</v>
      </c>
      <c r="C2701" s="2" t="str">
        <f t="shared" si="85"/>
        <v>Q4</v>
      </c>
      <c r="D2701" s="2" t="s">
        <v>31</v>
      </c>
      <c r="E2701" s="16">
        <v>46081</v>
      </c>
      <c r="F2701" s="2" t="s">
        <v>566</v>
      </c>
      <c r="G2701" s="2" t="s">
        <v>567</v>
      </c>
      <c r="H2701" s="2" t="s">
        <v>99</v>
      </c>
      <c r="I2701" s="19">
        <v>1</v>
      </c>
      <c r="J2701" s="19">
        <v>40</v>
      </c>
      <c r="K2701" s="19">
        <v>81.94</v>
      </c>
      <c r="L2701" s="19">
        <v>3277.6</v>
      </c>
      <c r="M2701" s="19">
        <v>-252.05</v>
      </c>
      <c r="N2701" s="19">
        <v>0</v>
      </c>
      <c r="O2701" s="19">
        <v>393.32158499999997</v>
      </c>
      <c r="P2701" s="19">
        <v>3418.8715849999999</v>
      </c>
    </row>
    <row r="2702" spans="1:16" ht="15" x14ac:dyDescent="0.2">
      <c r="A2702" s="4" t="s">
        <v>589</v>
      </c>
      <c r="B2702" s="21" t="str">
        <f t="shared" si="84"/>
        <v>Feb-2026</v>
      </c>
      <c r="C2702" s="2" t="str">
        <f t="shared" si="85"/>
        <v>Q4</v>
      </c>
      <c r="D2702" s="2" t="s">
        <v>31</v>
      </c>
      <c r="E2702" s="16">
        <v>46081</v>
      </c>
      <c r="F2702" s="2" t="s">
        <v>566</v>
      </c>
      <c r="G2702" s="2" t="s">
        <v>567</v>
      </c>
      <c r="H2702" s="2" t="s">
        <v>98</v>
      </c>
      <c r="I2702" s="19">
        <v>2</v>
      </c>
      <c r="J2702" s="19">
        <v>120</v>
      </c>
      <c r="K2702" s="19">
        <v>145.26</v>
      </c>
      <c r="L2702" s="19">
        <v>17431.2</v>
      </c>
      <c r="M2702" s="19">
        <v>-1340.46</v>
      </c>
      <c r="N2702" s="19">
        <v>0</v>
      </c>
      <c r="O2702" s="19">
        <v>2091.796652</v>
      </c>
      <c r="P2702" s="19">
        <v>18182.536651999999</v>
      </c>
    </row>
    <row r="2703" spans="1:16" ht="15" x14ac:dyDescent="0.2">
      <c r="A2703" s="4" t="s">
        <v>584</v>
      </c>
      <c r="B2703" s="21" t="str">
        <f t="shared" si="84"/>
        <v>Feb-2026</v>
      </c>
      <c r="C2703" s="2" t="str">
        <f t="shared" si="85"/>
        <v>Q4</v>
      </c>
      <c r="D2703" s="2" t="s">
        <v>31</v>
      </c>
      <c r="E2703" s="16">
        <v>46081</v>
      </c>
      <c r="F2703" s="2" t="s">
        <v>568</v>
      </c>
      <c r="G2703" s="2" t="s">
        <v>505</v>
      </c>
      <c r="H2703" s="2" t="s">
        <v>99</v>
      </c>
      <c r="I2703" s="19">
        <v>1</v>
      </c>
      <c r="J2703" s="19">
        <v>40</v>
      </c>
      <c r="K2703" s="19">
        <v>81.94</v>
      </c>
      <c r="L2703" s="19">
        <v>3277.6</v>
      </c>
      <c r="M2703" s="19">
        <v>-252.05</v>
      </c>
      <c r="N2703" s="19">
        <v>0</v>
      </c>
      <c r="O2703" s="19">
        <v>393.32139699999999</v>
      </c>
      <c r="P2703" s="19">
        <v>3418.8713969999999</v>
      </c>
    </row>
    <row r="2704" spans="1:16" ht="15" x14ac:dyDescent="0.2">
      <c r="A2704" s="4" t="s">
        <v>575</v>
      </c>
      <c r="B2704" s="21" t="str">
        <f t="shared" si="84"/>
        <v>Feb-2026</v>
      </c>
      <c r="C2704" s="2" t="str">
        <f t="shared" si="85"/>
        <v>Q4</v>
      </c>
      <c r="D2704" s="2" t="s">
        <v>31</v>
      </c>
      <c r="E2704" s="16">
        <v>46081</v>
      </c>
      <c r="F2704" s="2" t="s">
        <v>568</v>
      </c>
      <c r="G2704" s="2" t="s">
        <v>505</v>
      </c>
      <c r="H2704" s="2" t="s">
        <v>55</v>
      </c>
      <c r="I2704" s="19">
        <v>5</v>
      </c>
      <c r="J2704" s="19">
        <v>100</v>
      </c>
      <c r="K2704" s="19">
        <v>186.22</v>
      </c>
      <c r="L2704" s="19">
        <v>18622</v>
      </c>
      <c r="M2704" s="19">
        <v>-1432.03</v>
      </c>
      <c r="N2704" s="19">
        <v>0</v>
      </c>
      <c r="O2704" s="19">
        <v>2234.6955149999999</v>
      </c>
      <c r="P2704" s="19">
        <v>19424.665515000001</v>
      </c>
    </row>
    <row r="2705" spans="1:16" ht="15" x14ac:dyDescent="0.2">
      <c r="A2705" s="4" t="s">
        <v>584</v>
      </c>
      <c r="B2705" s="21" t="str">
        <f t="shared" si="84"/>
        <v>Feb-2026</v>
      </c>
      <c r="C2705" s="2" t="str">
        <f t="shared" si="85"/>
        <v>Q4</v>
      </c>
      <c r="D2705" s="2" t="s">
        <v>31</v>
      </c>
      <c r="E2705" s="16">
        <v>46081</v>
      </c>
      <c r="F2705" s="2" t="s">
        <v>568</v>
      </c>
      <c r="G2705" s="2" t="s">
        <v>505</v>
      </c>
      <c r="H2705" s="2" t="s">
        <v>120</v>
      </c>
      <c r="I2705" s="19">
        <v>1</v>
      </c>
      <c r="J2705" s="19">
        <v>40</v>
      </c>
      <c r="K2705" s="19">
        <v>89.39</v>
      </c>
      <c r="L2705" s="19">
        <v>3575.6</v>
      </c>
      <c r="M2705" s="19">
        <v>-274.95999999999998</v>
      </c>
      <c r="N2705" s="19">
        <v>0</v>
      </c>
      <c r="O2705" s="19">
        <v>429.08308799999998</v>
      </c>
      <c r="P2705" s="19">
        <v>3729.7230880000002</v>
      </c>
    </row>
    <row r="2706" spans="1:16" ht="15" x14ac:dyDescent="0.2">
      <c r="A2706" s="4" t="s">
        <v>589</v>
      </c>
      <c r="B2706" s="21" t="str">
        <f t="shared" si="84"/>
        <v>Feb-2026</v>
      </c>
      <c r="C2706" s="2" t="str">
        <f t="shared" si="85"/>
        <v>Q4</v>
      </c>
      <c r="D2706" s="2" t="s">
        <v>31</v>
      </c>
      <c r="E2706" s="16">
        <v>46081</v>
      </c>
      <c r="F2706" s="2" t="s">
        <v>569</v>
      </c>
      <c r="G2706" s="2" t="s">
        <v>130</v>
      </c>
      <c r="H2706" s="2" t="s">
        <v>105</v>
      </c>
      <c r="I2706" s="19">
        <v>20</v>
      </c>
      <c r="J2706" s="19">
        <v>600</v>
      </c>
      <c r="K2706" s="19">
        <v>316.58999999999997</v>
      </c>
      <c r="L2706" s="19">
        <v>189954</v>
      </c>
      <c r="M2706" s="19">
        <v>-14607.46</v>
      </c>
      <c r="N2706" s="19">
        <v>0</v>
      </c>
      <c r="O2706" s="19">
        <v>22795.05</v>
      </c>
      <c r="P2706" s="19">
        <v>198141.59</v>
      </c>
    </row>
    <row r="2707" spans="1:16" ht="15" x14ac:dyDescent="0.2">
      <c r="A2707" s="4" t="s">
        <v>574</v>
      </c>
      <c r="B2707" s="21" t="str">
        <f t="shared" si="84"/>
        <v>Feb-2026</v>
      </c>
      <c r="C2707" s="2" t="str">
        <f t="shared" si="85"/>
        <v>Q4</v>
      </c>
      <c r="D2707" s="2" t="s">
        <v>31</v>
      </c>
      <c r="E2707" s="16">
        <v>46081</v>
      </c>
      <c r="F2707" s="2" t="s">
        <v>570</v>
      </c>
      <c r="G2707" s="2" t="s">
        <v>494</v>
      </c>
      <c r="H2707" s="2" t="s">
        <v>84</v>
      </c>
      <c r="I2707" s="19">
        <v>35</v>
      </c>
      <c r="J2707" s="19">
        <v>630</v>
      </c>
      <c r="K2707" s="19">
        <v>178.78</v>
      </c>
      <c r="L2707" s="19">
        <v>112631.40000000001</v>
      </c>
      <c r="M2707" s="19">
        <v>-8661.35</v>
      </c>
      <c r="N2707" s="19">
        <v>0</v>
      </c>
      <c r="O2707" s="19">
        <v>13516.11</v>
      </c>
      <c r="P2707" s="19">
        <v>117486.16</v>
      </c>
    </row>
  </sheetData>
  <autoFilter ref="A1:P1" xr:uid="{FEC82BD4-CAE9-4B30-8F8F-97B523EF7314}"/>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CASE</vt:lpstr>
      <vt:lpstr>In Value</vt:lpstr>
      <vt:lpstr>Sheet2</vt: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Nirajan Bhat</dc:creator>
  <cp:lastModifiedBy>user</cp:lastModifiedBy>
  <dcterms:created xsi:type="dcterms:W3CDTF">2025-12-01T06:21:58Z</dcterms:created>
  <dcterms:modified xsi:type="dcterms:W3CDTF">2026-03-10T08:27:42Z</dcterms:modified>
</cp:coreProperties>
</file>