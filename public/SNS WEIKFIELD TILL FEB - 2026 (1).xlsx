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jee\AppData\Local\Microsoft\Windows\INetCache\Content.Outlook\X86OISWQ\"/>
    </mc:Choice>
  </mc:AlternateContent>
  <xr:revisionPtr revIDLastSave="0" documentId="8_{0EB714B6-7F97-40C5-A019-57022A50F64C}" xr6:coauthVersionLast="47" xr6:coauthVersionMax="47" xr10:uidLastSave="{00000000-0000-0000-0000-000000000000}"/>
  <bookViews>
    <workbookView xWindow="-110" yWindow="-110" windowWidth="23260" windowHeight="14860" firstSheet="1" activeTab="1" xr2:uid="{00000000-000D-0000-FFFF-FFFF00000000}"/>
  </bookViews>
  <sheets>
    <sheet name="24-25" sheetId="1" state="hidden" r:id="rId1"/>
    <sheet name="25-26" sheetId="2" r:id="rId2"/>
    <sheet name="Sheet2" sheetId="3" state="hidden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'24-25'!$A$4:$CI$48</definedName>
    <definedName name="_xlnm._FilterDatabase" localSheetId="1" hidden="1">'25-26'!$A$4:$CN$69</definedName>
    <definedName name="_xlnm._FilterDatabase" localSheetId="2" hidden="1">Sheet2!$A$1:$CM$33</definedName>
  </definedNames>
  <calcPr calcId="191029"/>
</workbook>
</file>

<file path=xl/calcChain.xml><?xml version="1.0" encoding="utf-8"?>
<calcChain xmlns="http://schemas.openxmlformats.org/spreadsheetml/2006/main">
  <c r="CM3" i="2" l="1"/>
  <c r="CM59" i="2"/>
  <c r="CM58" i="2"/>
  <c r="CM57" i="2"/>
  <c r="CM56" i="2"/>
  <c r="CN3" i="2"/>
  <c r="CN68" i="2"/>
  <c r="CN69" i="2" s="1"/>
  <c r="CN55" i="2"/>
  <c r="CN46" i="2"/>
  <c r="CN43" i="2"/>
  <c r="CN40" i="2"/>
  <c r="CN34" i="2"/>
  <c r="CN28" i="2"/>
  <c r="CN23" i="2"/>
  <c r="CN17" i="2"/>
  <c r="CN14" i="2"/>
  <c r="CN11" i="2"/>
  <c r="CK68" i="2"/>
  <c r="CL67" i="2"/>
  <c r="CL66" i="2"/>
  <c r="CL65" i="2"/>
  <c r="CL64" i="2"/>
  <c r="CL63" i="2"/>
  <c r="CL62" i="2"/>
  <c r="CL61" i="2"/>
  <c r="CL60" i="2"/>
  <c r="CL22" i="2"/>
  <c r="CI68" i="2"/>
  <c r="CD68" i="2"/>
  <c r="CC68" i="2"/>
  <c r="CB68" i="2"/>
  <c r="BZ68" i="2"/>
  <c r="BX68" i="2"/>
  <c r="BW68" i="2"/>
  <c r="BV68" i="2"/>
  <c r="CK23" i="2"/>
  <c r="CI23" i="2"/>
  <c r="CD23" i="2"/>
  <c r="CG46" i="2"/>
  <c r="CF46" i="2"/>
  <c r="CG43" i="2"/>
  <c r="CI40" i="2"/>
  <c r="CG40" i="2"/>
  <c r="CG6" i="2"/>
  <c r="CG10" i="2"/>
  <c r="CG12" i="2"/>
  <c r="CG14" i="2" s="1"/>
  <c r="CG15" i="2"/>
  <c r="CG16" i="2"/>
  <c r="CG18" i="2"/>
  <c r="CG19" i="2"/>
  <c r="CG24" i="2"/>
  <c r="CG25" i="2"/>
  <c r="CG27" i="2"/>
  <c r="CG31" i="2"/>
  <c r="CG32" i="2"/>
  <c r="CG33" i="2"/>
  <c r="CG49" i="2"/>
  <c r="CG50" i="2"/>
  <c r="CG56" i="2"/>
  <c r="CG57" i="2"/>
  <c r="CG59" i="2"/>
  <c r="CG5" i="2"/>
  <c r="CF7" i="2"/>
  <c r="CF8" i="2"/>
  <c r="CF9" i="2"/>
  <c r="CF12" i="2"/>
  <c r="CF13" i="2"/>
  <c r="CF15" i="2"/>
  <c r="CF16" i="2"/>
  <c r="CF18" i="2"/>
  <c r="CF20" i="2"/>
  <c r="CF21" i="2"/>
  <c r="CF24" i="2"/>
  <c r="CF26" i="2"/>
  <c r="CF29" i="2"/>
  <c r="CF30" i="2"/>
  <c r="CF31" i="2"/>
  <c r="CF32" i="2"/>
  <c r="CF33" i="2"/>
  <c r="CF35" i="2"/>
  <c r="CF38" i="2"/>
  <c r="CF39" i="2"/>
  <c r="CF41" i="2"/>
  <c r="CF42" i="2"/>
  <c r="CF47" i="2"/>
  <c r="CF48" i="2"/>
  <c r="CF49" i="2"/>
  <c r="CF50" i="2"/>
  <c r="CF51" i="2"/>
  <c r="CF52" i="2"/>
  <c r="CF53" i="2"/>
  <c r="CF54" i="2"/>
  <c r="CF56" i="2"/>
  <c r="CF57" i="2"/>
  <c r="CF58" i="2"/>
  <c r="CF59" i="2"/>
  <c r="CF5" i="2"/>
  <c r="CK55" i="2"/>
  <c r="CI55" i="2"/>
  <c r="CE55" i="2"/>
  <c r="CD55" i="2"/>
  <c r="CC55" i="2"/>
  <c r="CB55" i="2"/>
  <c r="CK46" i="2"/>
  <c r="CI46" i="2"/>
  <c r="CE46" i="2"/>
  <c r="CD46" i="2"/>
  <c r="CC46" i="2"/>
  <c r="CB46" i="2"/>
  <c r="CK43" i="2"/>
  <c r="CI43" i="2"/>
  <c r="CD43" i="2"/>
  <c r="CC43" i="2"/>
  <c r="CB43" i="2"/>
  <c r="CK40" i="2"/>
  <c r="CE40" i="2"/>
  <c r="CD40" i="2"/>
  <c r="CC40" i="2"/>
  <c r="CB40" i="2"/>
  <c r="CK34" i="2"/>
  <c r="CI34" i="2"/>
  <c r="CD34" i="2"/>
  <c r="CC34" i="2"/>
  <c r="CB34" i="2"/>
  <c r="CK28" i="2"/>
  <c r="CI28" i="2"/>
  <c r="CD28" i="2"/>
  <c r="CC28" i="2"/>
  <c r="CB28" i="2"/>
  <c r="CC23" i="2"/>
  <c r="CB23" i="2"/>
  <c r="CK17" i="2"/>
  <c r="CI17" i="2"/>
  <c r="CD17" i="2"/>
  <c r="CC17" i="2"/>
  <c r="CB17" i="2"/>
  <c r="CK14" i="2"/>
  <c r="CI14" i="2"/>
  <c r="CD14" i="2"/>
  <c r="CC14" i="2"/>
  <c r="CB14" i="2"/>
  <c r="CK11" i="2"/>
  <c r="CI11" i="2"/>
  <c r="CD11" i="2"/>
  <c r="CE7" i="2"/>
  <c r="CE9" i="2"/>
  <c r="CE12" i="2"/>
  <c r="CE14" i="2" s="1"/>
  <c r="CE15" i="2"/>
  <c r="CE16" i="2"/>
  <c r="CE18" i="2"/>
  <c r="CE20" i="2"/>
  <c r="CE21" i="2"/>
  <c r="CE24" i="2"/>
  <c r="CE26" i="2"/>
  <c r="CE29" i="2"/>
  <c r="CE30" i="2"/>
  <c r="CE32" i="2"/>
  <c r="CE33" i="2"/>
  <c r="CE41" i="2"/>
  <c r="CE42" i="2"/>
  <c r="CE56" i="2"/>
  <c r="CE57" i="2"/>
  <c r="CE58" i="2"/>
  <c r="CE59" i="2"/>
  <c r="BV11" i="2"/>
  <c r="BV14" i="2"/>
  <c r="BV17" i="2"/>
  <c r="BV23" i="2"/>
  <c r="BV28" i="2"/>
  <c r="BV34" i="2"/>
  <c r="BV40" i="2"/>
  <c r="BV43" i="2"/>
  <c r="BV46" i="2"/>
  <c r="BV55" i="2"/>
  <c r="CB11" i="2"/>
  <c r="BY51" i="2"/>
  <c r="BY42" i="2"/>
  <c r="BY37" i="2"/>
  <c r="BY32" i="2"/>
  <c r="BY27" i="2"/>
  <c r="BY21" i="2"/>
  <c r="BY16" i="2"/>
  <c r="BY10" i="2"/>
  <c r="BY9" i="2"/>
  <c r="BY6" i="2"/>
  <c r="BY5" i="2"/>
  <c r="BY15" i="2"/>
  <c r="BY48" i="2"/>
  <c r="BY59" i="2"/>
  <c r="BY58" i="2"/>
  <c r="BY57" i="2"/>
  <c r="BY54" i="2"/>
  <c r="BY53" i="2"/>
  <c r="BY52" i="2"/>
  <c r="BY50" i="2"/>
  <c r="BY49" i="2"/>
  <c r="BY45" i="2"/>
  <c r="BY44" i="2"/>
  <c r="BY39" i="2"/>
  <c r="BY38" i="2"/>
  <c r="BY35" i="2"/>
  <c r="BY33" i="2"/>
  <c r="BY30" i="2"/>
  <c r="BY29" i="2"/>
  <c r="BY25" i="2"/>
  <c r="BY24" i="2"/>
  <c r="BY19" i="2"/>
  <c r="BY18" i="2"/>
  <c r="BY13" i="2"/>
  <c r="BY12" i="2"/>
  <c r="BZ11" i="2"/>
  <c r="BY8" i="2"/>
  <c r="BY7" i="2"/>
  <c r="BT54" i="2"/>
  <c r="BT53" i="2"/>
  <c r="BT11" i="2" s="1"/>
  <c r="BT52" i="2"/>
  <c r="BT51" i="2"/>
  <c r="BQ9" i="2"/>
  <c r="BI37" i="2"/>
  <c r="BI36" i="2"/>
  <c r="BI32" i="2"/>
  <c r="BI31" i="2"/>
  <c r="BI27" i="2"/>
  <c r="BI26" i="2"/>
  <c r="BI21" i="2"/>
  <c r="BI20" i="2"/>
  <c r="BI16" i="2"/>
  <c r="BI15" i="2"/>
  <c r="BI10" i="2"/>
  <c r="BI9" i="2"/>
  <c r="BI6" i="2"/>
  <c r="BI5" i="2"/>
  <c r="BI59" i="2"/>
  <c r="BI58" i="2"/>
  <c r="BI57" i="2"/>
  <c r="BI56" i="2"/>
  <c r="BI54" i="2"/>
  <c r="BI53" i="2"/>
  <c r="BI52" i="2"/>
  <c r="BI51" i="2"/>
  <c r="BI50" i="2"/>
  <c r="BI49" i="2"/>
  <c r="BI48" i="2"/>
  <c r="BI47" i="2"/>
  <c r="BI45" i="2"/>
  <c r="BI44" i="2"/>
  <c r="BI42" i="2"/>
  <c r="BI41" i="2"/>
  <c r="BI39" i="2"/>
  <c r="BI38" i="2"/>
  <c r="BI35" i="2"/>
  <c r="BI33" i="2"/>
  <c r="BI30" i="2"/>
  <c r="BI29" i="2"/>
  <c r="BI25" i="2"/>
  <c r="BI24" i="2"/>
  <c r="BI19" i="2"/>
  <c r="BI18" i="2"/>
  <c r="BI13" i="2"/>
  <c r="BI12" i="2"/>
  <c r="BI8" i="2"/>
  <c r="BI7" i="2"/>
  <c r="BQ58" i="2"/>
  <c r="BQ57" i="2"/>
  <c r="BQ56" i="2"/>
  <c r="BQ51" i="2"/>
  <c r="BQ47" i="2"/>
  <c r="BQ44" i="2"/>
  <c r="BQ42" i="2"/>
  <c r="BQ41" i="2"/>
  <c r="BQ38" i="2"/>
  <c r="BQ36" i="2"/>
  <c r="BQ33" i="2"/>
  <c r="BQ29" i="2"/>
  <c r="BQ27" i="2"/>
  <c r="BQ26" i="2"/>
  <c r="BQ24" i="2"/>
  <c r="BQ21" i="2"/>
  <c r="BQ18" i="2"/>
  <c r="BQ6" i="2"/>
  <c r="BQ59" i="2"/>
  <c r="BQ54" i="2"/>
  <c r="BQ53" i="2"/>
  <c r="BQ50" i="2"/>
  <c r="BQ49" i="2"/>
  <c r="BQ45" i="2"/>
  <c r="BQ39" i="2"/>
  <c r="BQ35" i="2"/>
  <c r="BQ30" i="2"/>
  <c r="BQ25" i="2"/>
  <c r="BQ19" i="2"/>
  <c r="BQ16" i="2"/>
  <c r="BQ15" i="2"/>
  <c r="BQ13" i="2"/>
  <c r="BQ12" i="2"/>
  <c r="BR11" i="2"/>
  <c r="BN11" i="2"/>
  <c r="BQ8" i="2"/>
  <c r="BQ7" i="2"/>
  <c r="BL54" i="2"/>
  <c r="BL53" i="2"/>
  <c r="BL52" i="2"/>
  <c r="BL51" i="2"/>
  <c r="CH33" i="2" l="1"/>
  <c r="CE68" i="2"/>
  <c r="CG11" i="2"/>
  <c r="CF11" i="2"/>
  <c r="CG68" i="2"/>
  <c r="CF68" i="2"/>
  <c r="CF23" i="2"/>
  <c r="CE23" i="2"/>
  <c r="CG23" i="2"/>
  <c r="CG17" i="2"/>
  <c r="CG34" i="2"/>
  <c r="CG69" i="2" s="1"/>
  <c r="CG55" i="2"/>
  <c r="CF14" i="2"/>
  <c r="CF17" i="2"/>
  <c r="CF28" i="2"/>
  <c r="CF34" i="2"/>
  <c r="CF40" i="2"/>
  <c r="CF43" i="2"/>
  <c r="CF55" i="2"/>
  <c r="CF69" i="2"/>
  <c r="CG28" i="2"/>
  <c r="CK69" i="2"/>
  <c r="CI69" i="2"/>
  <c r="CD69" i="2"/>
  <c r="CB69" i="2"/>
  <c r="CE11" i="2"/>
  <c r="CE17" i="2"/>
  <c r="CE28" i="2"/>
  <c r="CE34" i="2"/>
  <c r="CE43" i="2"/>
  <c r="CJ33" i="2"/>
  <c r="CL33" i="2" s="1"/>
  <c r="CH6" i="2"/>
  <c r="CJ6" i="2"/>
  <c r="CL6" i="2" s="1"/>
  <c r="CH7" i="2"/>
  <c r="CJ7" i="2"/>
  <c r="CL7" i="2" s="1"/>
  <c r="CH8" i="2"/>
  <c r="CJ8" i="2"/>
  <c r="CL8" i="2" s="1"/>
  <c r="CH9" i="2"/>
  <c r="CJ9" i="2"/>
  <c r="CL9" i="2" s="1"/>
  <c r="CH10" i="2"/>
  <c r="CJ10" i="2"/>
  <c r="CL10" i="2" s="1"/>
  <c r="CJ12" i="2"/>
  <c r="CL12" i="2" s="1"/>
  <c r="CH12" i="2"/>
  <c r="CH13" i="2"/>
  <c r="CJ13" i="2"/>
  <c r="CL13" i="2" s="1"/>
  <c r="CH15" i="2"/>
  <c r="CJ15" i="2"/>
  <c r="CL15" i="2" s="1"/>
  <c r="CL17" i="2" s="1"/>
  <c r="CH16" i="2"/>
  <c r="CJ16" i="2"/>
  <c r="CL16" i="2" s="1"/>
  <c r="CH18" i="2"/>
  <c r="CJ18" i="2"/>
  <c r="CL18" i="2" s="1"/>
  <c r="CH19" i="2"/>
  <c r="CJ19" i="2"/>
  <c r="CL19" i="2" s="1"/>
  <c r="CH20" i="2"/>
  <c r="CJ20" i="2"/>
  <c r="CL20" i="2" s="1"/>
  <c r="CH21" i="2"/>
  <c r="CJ21" i="2"/>
  <c r="CL21" i="2" s="1"/>
  <c r="CJ24" i="2"/>
  <c r="CL24" i="2" s="1"/>
  <c r="CL28" i="2" s="1"/>
  <c r="CH24" i="2"/>
  <c r="CJ25" i="2"/>
  <c r="CL25" i="2" s="1"/>
  <c r="CH25" i="2"/>
  <c r="CJ26" i="2"/>
  <c r="CL26" i="2" s="1"/>
  <c r="CH26" i="2"/>
  <c r="CJ27" i="2"/>
  <c r="CL27" i="2" s="1"/>
  <c r="CH27" i="2"/>
  <c r="CJ29" i="2"/>
  <c r="CL29" i="2" s="1"/>
  <c r="CH29" i="2"/>
  <c r="CJ30" i="2"/>
  <c r="CL30" i="2" s="1"/>
  <c r="CH30" i="2"/>
  <c r="CJ31" i="2"/>
  <c r="CL31" i="2" s="1"/>
  <c r="CH31" i="2"/>
  <c r="CJ32" i="2"/>
  <c r="CL32" i="2" s="1"/>
  <c r="CH32" i="2"/>
  <c r="CJ35" i="2"/>
  <c r="CL35" i="2" s="1"/>
  <c r="CH35" i="2"/>
  <c r="CJ36" i="2"/>
  <c r="CL36" i="2" s="1"/>
  <c r="CH36" i="2"/>
  <c r="CJ37" i="2"/>
  <c r="CL37" i="2" s="1"/>
  <c r="CH37" i="2"/>
  <c r="CJ38" i="2"/>
  <c r="CL38" i="2" s="1"/>
  <c r="CH38" i="2"/>
  <c r="CJ39" i="2"/>
  <c r="CL39" i="2" s="1"/>
  <c r="CH39" i="2"/>
  <c r="CJ41" i="2"/>
  <c r="CL41" i="2" s="1"/>
  <c r="CH41" i="2"/>
  <c r="CJ42" i="2"/>
  <c r="CL42" i="2" s="1"/>
  <c r="CH42" i="2"/>
  <c r="CJ44" i="2"/>
  <c r="CL44" i="2" s="1"/>
  <c r="CH44" i="2"/>
  <c r="CJ45" i="2"/>
  <c r="CL45" i="2" s="1"/>
  <c r="CH45" i="2"/>
  <c r="CJ47" i="2"/>
  <c r="CL47" i="2" s="1"/>
  <c r="CH47" i="2"/>
  <c r="CJ48" i="2"/>
  <c r="CL48" i="2" s="1"/>
  <c r="CH48" i="2"/>
  <c r="CJ49" i="2"/>
  <c r="CL49" i="2" s="1"/>
  <c r="CH49" i="2"/>
  <c r="CJ50" i="2"/>
  <c r="CL50" i="2" s="1"/>
  <c r="CH50" i="2"/>
  <c r="CJ51" i="2"/>
  <c r="CL51" i="2" s="1"/>
  <c r="CH51" i="2"/>
  <c r="CJ52" i="2"/>
  <c r="CL52" i="2" s="1"/>
  <c r="CH52" i="2"/>
  <c r="CJ53" i="2"/>
  <c r="CL53" i="2" s="1"/>
  <c r="CH53" i="2"/>
  <c r="CH54" i="2"/>
  <c r="CJ54" i="2"/>
  <c r="CL54" i="2" s="1"/>
  <c r="CH56" i="2"/>
  <c r="CJ56" i="2"/>
  <c r="CL56" i="2" s="1"/>
  <c r="CJ57" i="2"/>
  <c r="CL57" i="2" s="1"/>
  <c r="CH57" i="2"/>
  <c r="CH58" i="2"/>
  <c r="CJ58" i="2"/>
  <c r="CL58" i="2" s="1"/>
  <c r="CH59" i="2"/>
  <c r="CJ59" i="2"/>
  <c r="CL59" i="2" s="1"/>
  <c r="CH5" i="2"/>
  <c r="CJ5" i="2"/>
  <c r="CL5" i="2" s="1"/>
  <c r="BZ14" i="2"/>
  <c r="BT14" i="2"/>
  <c r="BT17" i="2"/>
  <c r="BT23" i="2"/>
  <c r="BT28" i="2" s="1"/>
  <c r="BR14" i="2"/>
  <c r="BN14" i="2"/>
  <c r="BV69" i="2"/>
  <c r="BY36" i="2"/>
  <c r="BY20" i="2"/>
  <c r="BX69" i="2"/>
  <c r="BY31" i="2"/>
  <c r="BY47" i="2"/>
  <c r="BY26" i="2"/>
  <c r="BY41" i="2"/>
  <c r="BY56" i="2"/>
  <c r="BY68" i="2" s="1"/>
  <c r="BY11" i="2"/>
  <c r="BY14" i="2" s="1"/>
  <c r="BO11" i="2"/>
  <c r="BP11" i="2"/>
  <c r="BP14" i="2" s="1"/>
  <c r="BQ10" i="2"/>
  <c r="BQ32" i="2"/>
  <c r="BQ48" i="2"/>
  <c r="BQ52" i="2"/>
  <c r="BQ20" i="2"/>
  <c r="BQ37" i="2"/>
  <c r="BQ31" i="2"/>
  <c r="BQ5" i="2"/>
  <c r="BG11" i="2"/>
  <c r="BH11" i="2"/>
  <c r="BH14" i="2" s="1"/>
  <c r="BG14" i="2"/>
  <c r="BL11" i="2"/>
  <c r="BB51" i="2"/>
  <c r="BC51" i="2"/>
  <c r="BE51" i="2" s="1"/>
  <c r="BK51" i="2" s="1"/>
  <c r="BB52" i="2"/>
  <c r="BC52" i="2"/>
  <c r="BE52" i="2" s="1"/>
  <c r="BK52" i="2" s="1"/>
  <c r="BB53" i="2"/>
  <c r="BC53" i="2"/>
  <c r="BE53" i="2" s="1"/>
  <c r="BK53" i="2" s="1"/>
  <c r="BB54" i="2"/>
  <c r="BC54" i="2"/>
  <c r="BE54" i="2" s="1"/>
  <c r="BK54" i="2" s="1"/>
  <c r="BB48" i="2"/>
  <c r="BB37" i="2"/>
  <c r="BB32" i="2"/>
  <c r="BB27" i="2"/>
  <c r="BB26" i="2"/>
  <c r="BB21" i="2"/>
  <c r="BB16" i="2"/>
  <c r="BB15" i="2"/>
  <c r="BB10" i="2"/>
  <c r="BB9" i="2"/>
  <c r="BB6" i="2"/>
  <c r="AZ11" i="2"/>
  <c r="BB30" i="2"/>
  <c r="AT30" i="2"/>
  <c r="AX30" i="2" s="1"/>
  <c r="BC30" i="2" s="1"/>
  <c r="BE30" i="2" s="1"/>
  <c r="BK30" i="2" s="1"/>
  <c r="D30" i="2"/>
  <c r="AS36" i="2"/>
  <c r="AS13" i="2"/>
  <c r="BB59" i="2"/>
  <c r="BB58" i="2"/>
  <c r="BB57" i="2"/>
  <c r="BB50" i="2"/>
  <c r="BB49" i="2"/>
  <c r="BB45" i="2"/>
  <c r="BB44" i="2"/>
  <c r="BB42" i="2"/>
  <c r="BB39" i="2"/>
  <c r="BB38" i="2"/>
  <c r="BB35" i="2"/>
  <c r="BB33" i="2"/>
  <c r="BB29" i="2"/>
  <c r="BB25" i="2"/>
  <c r="BB24" i="2"/>
  <c r="BB19" i="2"/>
  <c r="BB18" i="2"/>
  <c r="BB13" i="2"/>
  <c r="BB12" i="2"/>
  <c r="BD11" i="2"/>
  <c r="BA11" i="2"/>
  <c r="BB8" i="2"/>
  <c r="BB7" i="2"/>
  <c r="AU11" i="2"/>
  <c r="AS57" i="2"/>
  <c r="AS56" i="2"/>
  <c r="AS48" i="2"/>
  <c r="AS42" i="2"/>
  <c r="AG20" i="2"/>
  <c r="AS20" i="2"/>
  <c r="AK20" i="2"/>
  <c r="AS59" i="2"/>
  <c r="AS58" i="2"/>
  <c r="AS50" i="2"/>
  <c r="AS49" i="2"/>
  <c r="AS45" i="2"/>
  <c r="AS44" i="2"/>
  <c r="AS39" i="2"/>
  <c r="AS38" i="2"/>
  <c r="AS35" i="2"/>
  <c r="AS33" i="2"/>
  <c r="AS29" i="2"/>
  <c r="AS27" i="2"/>
  <c r="AS26" i="2"/>
  <c r="AS24" i="2"/>
  <c r="AS21" i="2"/>
  <c r="AS18" i="2"/>
  <c r="AS16" i="2"/>
  <c r="AS12" i="2"/>
  <c r="AW11" i="2"/>
  <c r="AV11" i="2"/>
  <c r="AS10" i="2"/>
  <c r="AS7" i="2"/>
  <c r="AS6" i="2"/>
  <c r="CL11" i="2" l="1"/>
  <c r="CL34" i="2"/>
  <c r="CL46" i="2"/>
  <c r="CL68" i="2"/>
  <c r="CL14" i="2"/>
  <c r="CL23" i="2"/>
  <c r="CL40" i="2"/>
  <c r="CL43" i="2"/>
  <c r="CL55" i="2"/>
  <c r="CJ68" i="2"/>
  <c r="CH68" i="2"/>
  <c r="CH14" i="2"/>
  <c r="CE69" i="2"/>
  <c r="CJ23" i="2"/>
  <c r="CH23" i="2"/>
  <c r="CH46" i="2"/>
  <c r="CH11" i="2"/>
  <c r="CH17" i="2"/>
  <c r="CH28" i="2"/>
  <c r="CH40" i="2"/>
  <c r="CH43" i="2"/>
  <c r="CH55" i="2"/>
  <c r="CH34" i="2"/>
  <c r="CJ46" i="2"/>
  <c r="CJ11" i="2"/>
  <c r="CJ14" i="2"/>
  <c r="CJ17" i="2"/>
  <c r="CJ40" i="2"/>
  <c r="CJ28" i="2"/>
  <c r="CJ34" i="2"/>
  <c r="CJ43" i="2"/>
  <c r="CJ55" i="2"/>
  <c r="BY17" i="2"/>
  <c r="BG17" i="2"/>
  <c r="BY23" i="2"/>
  <c r="BY28" i="2"/>
  <c r="BZ17" i="2"/>
  <c r="BR17" i="2"/>
  <c r="BN17" i="2"/>
  <c r="BO14" i="2"/>
  <c r="BP17" i="2"/>
  <c r="BH17" i="2"/>
  <c r="BL14" i="2"/>
  <c r="AZ14" i="2"/>
  <c r="BD14" i="2"/>
  <c r="BA14" i="2"/>
  <c r="AU14" i="2"/>
  <c r="AW14" i="2"/>
  <c r="AW17" i="2"/>
  <c r="AV14" i="2"/>
  <c r="AV17" i="2" s="1"/>
  <c r="BT34" i="2"/>
  <c r="BT40" i="2" s="1"/>
  <c r="BW69" i="2"/>
  <c r="BQ11" i="2"/>
  <c r="BM30" i="2"/>
  <c r="BS30" i="2" s="1"/>
  <c r="BU30" i="2" s="1"/>
  <c r="BM53" i="2"/>
  <c r="BS53" i="2" s="1"/>
  <c r="BU53" i="2" s="1"/>
  <c r="BM51" i="2"/>
  <c r="BS51" i="2" s="1"/>
  <c r="BU51" i="2" s="1"/>
  <c r="BM54" i="2"/>
  <c r="BS54" i="2" s="1"/>
  <c r="BU54" i="2" s="1"/>
  <c r="BM52" i="2"/>
  <c r="BS52" i="2" s="1"/>
  <c r="BU52" i="2" s="1"/>
  <c r="BF11" i="2"/>
  <c r="BG23" i="2"/>
  <c r="BH23" i="2"/>
  <c r="BB41" i="2"/>
  <c r="AZ17" i="2"/>
  <c r="BB31" i="2"/>
  <c r="BB47" i="2"/>
  <c r="BB20" i="2"/>
  <c r="BB36" i="2"/>
  <c r="BB56" i="2"/>
  <c r="BB5" i="2"/>
  <c r="BB11" i="2" s="1"/>
  <c r="AY11" i="2"/>
  <c r="AY14" i="2" s="1"/>
  <c r="AS47" i="2"/>
  <c r="AQ11" i="2"/>
  <c r="AS5" i="2"/>
  <c r="AL20" i="2"/>
  <c r="AO20" i="2" s="1"/>
  <c r="AT20" i="2" s="1"/>
  <c r="AX20" i="2" s="1"/>
  <c r="BC20" i="2" s="1"/>
  <c r="BE20" i="2" s="1"/>
  <c r="BK20" i="2" s="1"/>
  <c r="BB14" i="2"/>
  <c r="AS9" i="2"/>
  <c r="AS8" i="2"/>
  <c r="AS19" i="2"/>
  <c r="AS41" i="2"/>
  <c r="AS32" i="2"/>
  <c r="AS15" i="2"/>
  <c r="AS37" i="2"/>
  <c r="AS25" i="2"/>
  <c r="AS31" i="2"/>
  <c r="AR11" i="2"/>
  <c r="AP11" i="2"/>
  <c r="AK39" i="2"/>
  <c r="AK38" i="2"/>
  <c r="AK37" i="2"/>
  <c r="AK35" i="2"/>
  <c r="AK33" i="2"/>
  <c r="AK32" i="2"/>
  <c r="AK29" i="2"/>
  <c r="AK27" i="2"/>
  <c r="AK26" i="2"/>
  <c r="AK24" i="2"/>
  <c r="AK21" i="2"/>
  <c r="AK19" i="2"/>
  <c r="AK16" i="2"/>
  <c r="AK15" i="2"/>
  <c r="AK8" i="2"/>
  <c r="AK6" i="2"/>
  <c r="AK5" i="2"/>
  <c r="AA16" i="2"/>
  <c r="AC16" i="2" s="1"/>
  <c r="AF16" i="2" s="1"/>
  <c r="AA15" i="2"/>
  <c r="AC15" i="2" s="1"/>
  <c r="AF15" i="2" s="1"/>
  <c r="AA25" i="2"/>
  <c r="AC25" i="2" s="1"/>
  <c r="AF25" i="2" s="1"/>
  <c r="AA58" i="2"/>
  <c r="AC58" i="2" s="1"/>
  <c r="AF58" i="2" s="1"/>
  <c r="AA45" i="2"/>
  <c r="AC45" i="2" s="1"/>
  <c r="AF45" i="2" s="1"/>
  <c r="AK59" i="2"/>
  <c r="AK58" i="2"/>
  <c r="AK57" i="2"/>
  <c r="AK56" i="2"/>
  <c r="AK50" i="2"/>
  <c r="AK49" i="2"/>
  <c r="AK48" i="2"/>
  <c r="AK47" i="2"/>
  <c r="AK45" i="2"/>
  <c r="AK42" i="2"/>
  <c r="AK41" i="2"/>
  <c r="AK36" i="2"/>
  <c r="AK31" i="2"/>
  <c r="AK25" i="2"/>
  <c r="AK18" i="2"/>
  <c r="AK12" i="2"/>
  <c r="AM11" i="2"/>
  <c r="AJ11" i="2"/>
  <c r="AK10" i="2"/>
  <c r="AK9" i="2"/>
  <c r="AK7" i="2"/>
  <c r="AC59" i="2"/>
  <c r="AF59" i="2" s="1"/>
  <c r="AC57" i="2"/>
  <c r="AF57" i="2" s="1"/>
  <c r="AC56" i="2"/>
  <c r="AF56" i="2" s="1"/>
  <c r="AC50" i="2"/>
  <c r="AF50" i="2" s="1"/>
  <c r="AC49" i="2"/>
  <c r="AF49" i="2" s="1"/>
  <c r="AC48" i="2"/>
  <c r="AF48" i="2" s="1"/>
  <c r="AC47" i="2"/>
  <c r="AF47" i="2" s="1"/>
  <c r="AC44" i="2"/>
  <c r="AF44" i="2" s="1"/>
  <c r="AC42" i="2"/>
  <c r="AF42" i="2" s="1"/>
  <c r="AC41" i="2"/>
  <c r="AF41" i="2" s="1"/>
  <c r="AC39" i="2"/>
  <c r="AF39" i="2" s="1"/>
  <c r="AC38" i="2"/>
  <c r="AF38" i="2" s="1"/>
  <c r="AC37" i="2"/>
  <c r="AF37" i="2" s="1"/>
  <c r="AC36" i="2"/>
  <c r="AF36" i="2" s="1"/>
  <c r="AC35" i="2"/>
  <c r="AF35" i="2" s="1"/>
  <c r="AC33" i="2"/>
  <c r="AF33" i="2" s="1"/>
  <c r="AC32" i="2"/>
  <c r="AF32" i="2" s="1"/>
  <c r="AC31" i="2"/>
  <c r="AF31" i="2" s="1"/>
  <c r="AC29" i="2"/>
  <c r="AC27" i="2"/>
  <c r="AF27" i="2" s="1"/>
  <c r="AC26" i="2"/>
  <c r="AF26" i="2" s="1"/>
  <c r="AC24" i="2"/>
  <c r="AC21" i="2"/>
  <c r="AF21" i="2" s="1"/>
  <c r="AC19" i="2"/>
  <c r="AF19" i="2" s="1"/>
  <c r="AC18" i="2"/>
  <c r="AF18" i="2" s="1"/>
  <c r="AC13" i="2"/>
  <c r="AF13" i="2" s="1"/>
  <c r="AC12" i="2"/>
  <c r="AC10" i="2"/>
  <c r="AF10" i="2" s="1"/>
  <c r="AC9" i="2"/>
  <c r="AF9" i="2" s="1"/>
  <c r="AC8" i="2"/>
  <c r="AF8" i="2" s="1"/>
  <c r="AC7" i="2"/>
  <c r="AF7" i="2" s="1"/>
  <c r="AC6" i="2"/>
  <c r="AF6" i="2" s="1"/>
  <c r="AC5" i="2"/>
  <c r="AF5" i="2" s="1"/>
  <c r="AE11" i="2"/>
  <c r="AE14" i="2"/>
  <c r="AE17" i="2"/>
  <c r="AE23" i="2"/>
  <c r="AE28" i="2"/>
  <c r="AE34" i="2"/>
  <c r="AE40" i="2"/>
  <c r="AE43" i="2"/>
  <c r="AE46" i="2"/>
  <c r="AE55" i="2"/>
  <c r="AE68" i="2"/>
  <c r="CL69" i="2" l="1"/>
  <c r="CJ69" i="2"/>
  <c r="CH69" i="2"/>
  <c r="BO17" i="2"/>
  <c r="BT43" i="2"/>
  <c r="BY34" i="2"/>
  <c r="BZ23" i="2"/>
  <c r="BZ28" i="2"/>
  <c r="BZ34" i="2"/>
  <c r="BZ40" i="2"/>
  <c r="BR23" i="2"/>
  <c r="BN23" i="2"/>
  <c r="BP23" i="2"/>
  <c r="BP28" i="2"/>
  <c r="BH28" i="2"/>
  <c r="BH34" i="2" s="1"/>
  <c r="BL17" i="2"/>
  <c r="BD17" i="2"/>
  <c r="BA17" i="2"/>
  <c r="AU17" i="2"/>
  <c r="AU23" i="2"/>
  <c r="AU28" i="2" s="1"/>
  <c r="AW23" i="2"/>
  <c r="AV23" i="2"/>
  <c r="AV28" i="2"/>
  <c r="AV34" i="2"/>
  <c r="BQ14" i="2"/>
  <c r="BQ17" i="2"/>
  <c r="BF14" i="2"/>
  <c r="BG28" i="2"/>
  <c r="BG34" i="2"/>
  <c r="AZ23" i="2"/>
  <c r="AZ28" i="2"/>
  <c r="AY17" i="2"/>
  <c r="AY23" i="2" s="1"/>
  <c r="AQ14" i="2"/>
  <c r="AQ17" i="2"/>
  <c r="BB17" i="2"/>
  <c r="AR14" i="2"/>
  <c r="AP14" i="2"/>
  <c r="AM14" i="2"/>
  <c r="AM17" i="2"/>
  <c r="AJ14" i="2"/>
  <c r="AJ17" i="2"/>
  <c r="CA51" i="2"/>
  <c r="CA54" i="2"/>
  <c r="CA53" i="2"/>
  <c r="CA52" i="2"/>
  <c r="CA30" i="2"/>
  <c r="BM20" i="2"/>
  <c r="BS20" i="2" s="1"/>
  <c r="BU20" i="2" s="1"/>
  <c r="BJ11" i="2"/>
  <c r="BI11" i="2"/>
  <c r="AS11" i="2"/>
  <c r="AK44" i="2"/>
  <c r="AI11" i="2"/>
  <c r="AK13" i="2"/>
  <c r="AH11" i="2"/>
  <c r="AK11" i="2"/>
  <c r="AF12" i="2"/>
  <c r="AN11" i="2"/>
  <c r="AF11" i="2"/>
  <c r="AF24" i="2"/>
  <c r="AF29" i="2"/>
  <c r="AC11" i="2"/>
  <c r="AD58" i="2"/>
  <c r="AG58" i="2" s="1"/>
  <c r="AL58" i="2" s="1"/>
  <c r="AD13" i="2"/>
  <c r="AG13" i="2" s="1"/>
  <c r="AL13" i="2" s="1"/>
  <c r="AD9" i="2"/>
  <c r="AG9" i="2" s="1"/>
  <c r="AL9" i="2" s="1"/>
  <c r="AD8" i="2"/>
  <c r="AG8" i="2" s="1"/>
  <c r="AL8" i="2" s="1"/>
  <c r="AD7" i="2"/>
  <c r="AG7" i="2" s="1"/>
  <c r="AL7" i="2" s="1"/>
  <c r="AA11" i="2"/>
  <c r="BP34" i="2" l="1"/>
  <c r="BY40" i="2"/>
  <c r="BY43" i="2"/>
  <c r="BF17" i="2"/>
  <c r="AQ23" i="2"/>
  <c r="BZ43" i="2"/>
  <c r="AU34" i="2"/>
  <c r="AU40" i="2" s="1"/>
  <c r="AK14" i="2"/>
  <c r="AF14" i="2"/>
  <c r="BO23" i="2"/>
  <c r="BO28" i="2" s="1"/>
  <c r="BO34" i="2" s="1"/>
  <c r="BT46" i="2"/>
  <c r="BT55" i="2"/>
  <c r="BR28" i="2"/>
  <c r="BN28" i="2"/>
  <c r="BP40" i="2"/>
  <c r="BP43" i="2"/>
  <c r="BH40" i="2"/>
  <c r="BH43" i="2"/>
  <c r="BL23" i="2"/>
  <c r="BD23" i="2"/>
  <c r="BA23" i="2"/>
  <c r="AU55" i="2"/>
  <c r="AW28" i="2"/>
  <c r="AW55" i="2"/>
  <c r="AW34" i="2"/>
  <c r="AW40" i="2" s="1"/>
  <c r="AW43" i="2" s="1"/>
  <c r="AV40" i="2"/>
  <c r="AV55" i="2"/>
  <c r="BQ23" i="2"/>
  <c r="BG40" i="2"/>
  <c r="AZ34" i="2"/>
  <c r="AZ40" i="2" s="1"/>
  <c r="AY28" i="2"/>
  <c r="AY34" i="2"/>
  <c r="BB23" i="2"/>
  <c r="BB28" i="2"/>
  <c r="AR17" i="2"/>
  <c r="AP17" i="2"/>
  <c r="AP23" i="2"/>
  <c r="AP28" i="2" s="1"/>
  <c r="AM23" i="2"/>
  <c r="AJ23" i="2"/>
  <c r="BJ14" i="2"/>
  <c r="BJ17" i="2"/>
  <c r="BI14" i="2"/>
  <c r="AS14" i="2"/>
  <c r="AI14" i="2"/>
  <c r="AI17" i="2"/>
  <c r="AH14" i="2"/>
  <c r="AN14" i="2"/>
  <c r="AC14" i="2"/>
  <c r="AA14" i="2"/>
  <c r="AA17" i="2" s="1"/>
  <c r="CA20" i="2"/>
  <c r="AO13" i="2"/>
  <c r="AT13" i="2" s="1"/>
  <c r="AX13" i="2" s="1"/>
  <c r="BC13" i="2" s="1"/>
  <c r="BE13" i="2" s="1"/>
  <c r="BK13" i="2" s="1"/>
  <c r="AO7" i="2"/>
  <c r="AT7" i="2" s="1"/>
  <c r="AX7" i="2" s="1"/>
  <c r="BC7" i="2" s="1"/>
  <c r="BE7" i="2" s="1"/>
  <c r="BK7" i="2" s="1"/>
  <c r="BM7" i="2" s="1"/>
  <c r="AO58" i="2"/>
  <c r="AT58" i="2" s="1"/>
  <c r="AX58" i="2" s="1"/>
  <c r="BC58" i="2" s="1"/>
  <c r="BE58" i="2" s="1"/>
  <c r="BK58" i="2" s="1"/>
  <c r="AO9" i="2"/>
  <c r="AT9" i="2" s="1"/>
  <c r="AX9" i="2" s="1"/>
  <c r="BC9" i="2" s="1"/>
  <c r="BE9" i="2" s="1"/>
  <c r="BK9" i="2" s="1"/>
  <c r="BM9" i="2" s="1"/>
  <c r="AO8" i="2"/>
  <c r="AT8" i="2" s="1"/>
  <c r="AX8" i="2" s="1"/>
  <c r="BC8" i="2" s="1"/>
  <c r="BE8" i="2" s="1"/>
  <c r="BK8" i="2" s="1"/>
  <c r="BM8" i="2" s="1"/>
  <c r="Y26" i="2"/>
  <c r="AD26" i="2" s="1"/>
  <c r="AG26" i="2" s="1"/>
  <c r="AL26" i="2" s="1"/>
  <c r="BT68" i="2" l="1"/>
  <c r="BT69" i="2" s="1"/>
  <c r="BY46" i="2"/>
  <c r="AQ28" i="2"/>
  <c r="AQ34" i="2" s="1"/>
  <c r="AK17" i="2"/>
  <c r="AK23" i="2"/>
  <c r="AK28" i="2"/>
  <c r="AK34" i="2"/>
  <c r="BO40" i="2"/>
  <c r="BO43" i="2" s="1"/>
  <c r="BP46" i="2"/>
  <c r="BH46" i="2"/>
  <c r="BL28" i="2"/>
  <c r="AU46" i="2"/>
  <c r="AU68" i="2" s="1"/>
  <c r="AW46" i="2"/>
  <c r="AW68" i="2" s="1"/>
  <c r="AW69" i="2" s="1"/>
  <c r="AV43" i="2"/>
  <c r="BG43" i="2"/>
  <c r="AZ43" i="2"/>
  <c r="AA23" i="2"/>
  <c r="AA28" i="2"/>
  <c r="AU43" i="2"/>
  <c r="AP34" i="2"/>
  <c r="AP40" i="2" s="1"/>
  <c r="BF23" i="2"/>
  <c r="BZ46" i="2"/>
  <c r="AF17" i="2"/>
  <c r="AF23" i="2"/>
  <c r="BR34" i="2"/>
  <c r="BR40" i="2"/>
  <c r="BN34" i="2"/>
  <c r="BN40" i="2" s="1"/>
  <c r="BN43" i="2" s="1"/>
  <c r="BD28" i="2"/>
  <c r="BD34" i="2"/>
  <c r="BA28" i="2"/>
  <c r="BQ28" i="2"/>
  <c r="BQ34" i="2"/>
  <c r="AY40" i="2"/>
  <c r="BB34" i="2"/>
  <c r="BB40" i="2" s="1"/>
  <c r="AR23" i="2"/>
  <c r="AR28" i="2" s="1"/>
  <c r="AP55" i="2"/>
  <c r="AM28" i="2"/>
  <c r="AM55" i="2" s="1"/>
  <c r="AM34" i="2"/>
  <c r="AJ28" i="2"/>
  <c r="AJ55" i="2" s="1"/>
  <c r="AJ34" i="2"/>
  <c r="BJ23" i="2"/>
  <c r="BI17" i="2"/>
  <c r="AS17" i="2"/>
  <c r="AS23" i="2" s="1"/>
  <c r="AI23" i="2"/>
  <c r="AH17" i="2"/>
  <c r="AN17" i="2"/>
  <c r="AC17" i="2"/>
  <c r="AC23" i="2"/>
  <c r="BM13" i="2"/>
  <c r="BS13" i="2" s="1"/>
  <c r="BU13" i="2" s="1"/>
  <c r="BM58" i="2"/>
  <c r="BS58" i="2" s="1"/>
  <c r="BU58" i="2" s="1"/>
  <c r="BS8" i="2"/>
  <c r="BU8" i="2" s="1"/>
  <c r="BS9" i="2"/>
  <c r="BU9" i="2" s="1"/>
  <c r="BS7" i="2"/>
  <c r="BU7" i="2" s="1"/>
  <c r="AO26" i="2"/>
  <c r="AT26" i="2" s="1"/>
  <c r="AX26" i="2" s="1"/>
  <c r="BC26" i="2" s="1"/>
  <c r="BE26" i="2" s="1"/>
  <c r="BK26" i="2" s="1"/>
  <c r="W13" i="2"/>
  <c r="W8" i="2"/>
  <c r="AU69" i="2" l="1"/>
  <c r="BD40" i="2"/>
  <c r="BA34" i="2"/>
  <c r="BA43" i="2" s="1"/>
  <c r="BA40" i="2"/>
  <c r="AF28" i="2"/>
  <c r="AF55" i="2"/>
  <c r="AF34" i="2"/>
  <c r="AF40" i="2" s="1"/>
  <c r="AF43" i="2" s="1"/>
  <c r="AN23" i="2"/>
  <c r="AN28" i="2"/>
  <c r="AN34" i="2"/>
  <c r="AQ55" i="2"/>
  <c r="AQ40" i="2"/>
  <c r="AF46" i="2"/>
  <c r="AF68" i="2" s="1"/>
  <c r="BO46" i="2"/>
  <c r="BO55" i="2" s="1"/>
  <c r="BO68" i="2" s="1"/>
  <c r="BO69" i="2" s="1"/>
  <c r="BN46" i="2"/>
  <c r="BD43" i="2"/>
  <c r="BD46" i="2" s="1"/>
  <c r="AY43" i="2"/>
  <c r="AR55" i="2"/>
  <c r="AR34" i="2"/>
  <c r="AR40" i="2" s="1"/>
  <c r="AR43" i="2" s="1"/>
  <c r="AM40" i="2"/>
  <c r="AM43" i="2"/>
  <c r="AJ40" i="2"/>
  <c r="AJ43" i="2"/>
  <c r="BI23" i="2"/>
  <c r="BI28" i="2" s="1"/>
  <c r="AP43" i="2"/>
  <c r="BR43" i="2"/>
  <c r="BY55" i="2"/>
  <c r="BY69" i="2"/>
  <c r="AK40" i="2"/>
  <c r="AK55" i="2"/>
  <c r="BP55" i="2"/>
  <c r="BP68" i="2"/>
  <c r="BP69" i="2" s="1"/>
  <c r="BH55" i="2"/>
  <c r="BH68" i="2"/>
  <c r="BH69" i="2" s="1"/>
  <c r="BL34" i="2"/>
  <c r="BL40" i="2" s="1"/>
  <c r="AV46" i="2"/>
  <c r="AV68" i="2" s="1"/>
  <c r="AV69" i="2" s="1"/>
  <c r="BG46" i="2"/>
  <c r="AZ46" i="2"/>
  <c r="AA55" i="2"/>
  <c r="AA34" i="2"/>
  <c r="AA40" i="2" s="1"/>
  <c r="AA43" i="2" s="1"/>
  <c r="BF28" i="2"/>
  <c r="BZ55" i="2"/>
  <c r="BZ69" i="2" s="1"/>
  <c r="BQ40" i="2"/>
  <c r="BB43" i="2"/>
  <c r="BJ28" i="2"/>
  <c r="AS28" i="2"/>
  <c r="AI28" i="2"/>
  <c r="AI34" i="2" s="1"/>
  <c r="AH23" i="2"/>
  <c r="AH28" i="2" s="1"/>
  <c r="AH34" i="2" s="1"/>
  <c r="AC28" i="2"/>
  <c r="AC34" i="2" s="1"/>
  <c r="CA7" i="2"/>
  <c r="CA9" i="2"/>
  <c r="CA8" i="2"/>
  <c r="CA58" i="2"/>
  <c r="CA13" i="2"/>
  <c r="BM26" i="2"/>
  <c r="BS26" i="2" s="1"/>
  <c r="BU26" i="2" s="1"/>
  <c r="AB11" i="2"/>
  <c r="Z11" i="2"/>
  <c r="AF69" i="2" l="1"/>
  <c r="BD55" i="2"/>
  <c r="BD68" i="2" s="1"/>
  <c r="BD69" i="2" s="1"/>
  <c r="BI34" i="2"/>
  <c r="BI40" i="2" s="1"/>
  <c r="BI43" i="2" s="1"/>
  <c r="AN55" i="2"/>
  <c r="AN40" i="2"/>
  <c r="AS55" i="2"/>
  <c r="AS34" i="2"/>
  <c r="AS40" i="2" s="1"/>
  <c r="AQ43" i="2"/>
  <c r="AQ46" i="2"/>
  <c r="AQ68" i="2" s="1"/>
  <c r="AQ69" i="2" s="1"/>
  <c r="AR46" i="2"/>
  <c r="AR68" i="2" s="1"/>
  <c r="AR69" i="2" s="1"/>
  <c r="AM46" i="2"/>
  <c r="AM68" i="2" s="1"/>
  <c r="AM69" i="2" s="1"/>
  <c r="AJ46" i="2"/>
  <c r="AJ68" i="2" s="1"/>
  <c r="AJ69" i="2" s="1"/>
  <c r="AK43" i="2"/>
  <c r="AA46" i="2"/>
  <c r="AA68" i="2"/>
  <c r="BQ43" i="2"/>
  <c r="AI55" i="2"/>
  <c r="AI40" i="2"/>
  <c r="AH40" i="2"/>
  <c r="AH55" i="2"/>
  <c r="AC40" i="2"/>
  <c r="AC55" i="2"/>
  <c r="BL43" i="2"/>
  <c r="BN55" i="2"/>
  <c r="BN68" i="2"/>
  <c r="AY46" i="2"/>
  <c r="AY55" i="2" s="1"/>
  <c r="AY68" i="2"/>
  <c r="AY69" i="2" s="1"/>
  <c r="AP46" i="2"/>
  <c r="AP68" i="2"/>
  <c r="AP69" i="2" s="1"/>
  <c r="BR46" i="2"/>
  <c r="BA46" i="2"/>
  <c r="BA55" i="2" s="1"/>
  <c r="BA68" i="2"/>
  <c r="BA69" i="2" s="1"/>
  <c r="BG55" i="2"/>
  <c r="BG68" i="2"/>
  <c r="AZ55" i="2"/>
  <c r="AZ68" i="2"/>
  <c r="AZ69" i="2" s="1"/>
  <c r="BF34" i="2"/>
  <c r="BF40" i="2"/>
  <c r="BB46" i="2"/>
  <c r="BJ34" i="2"/>
  <c r="BJ40" i="2"/>
  <c r="AB14" i="2"/>
  <c r="Z14" i="2"/>
  <c r="CA26" i="2"/>
  <c r="AE69" i="2"/>
  <c r="BN69" i="2" l="1"/>
  <c r="BG69" i="2"/>
  <c r="AN43" i="2"/>
  <c r="AN46" i="2" s="1"/>
  <c r="AN68" i="2" s="1"/>
  <c r="AN69" i="2" s="1"/>
  <c r="AS43" i="2"/>
  <c r="AS46" i="2"/>
  <c r="AS68" i="2"/>
  <c r="AS69" i="2" s="1"/>
  <c r="AI43" i="2"/>
  <c r="AI46" i="2"/>
  <c r="AI68" i="2"/>
  <c r="AI69" i="2" s="1"/>
  <c r="AH43" i="2"/>
  <c r="AH46" i="2" s="1"/>
  <c r="AC43" i="2"/>
  <c r="AC46" i="2"/>
  <c r="AC68" i="2"/>
  <c r="BI46" i="2"/>
  <c r="BI55" i="2" s="1"/>
  <c r="BI68" i="2" s="1"/>
  <c r="BI69" i="2" s="1"/>
  <c r="BF43" i="2"/>
  <c r="BF46" i="2" s="1"/>
  <c r="BJ43" i="2"/>
  <c r="BJ46" i="2" s="1"/>
  <c r="AK46" i="2"/>
  <c r="AK68" i="2" s="1"/>
  <c r="AK69" i="2" s="1"/>
  <c r="BQ46" i="2"/>
  <c r="BL46" i="2"/>
  <c r="BR55" i="2"/>
  <c r="BR68" i="2" s="1"/>
  <c r="BR69" i="2" s="1"/>
  <c r="BB55" i="2"/>
  <c r="BB68" i="2" s="1"/>
  <c r="BB69" i="2" s="1"/>
  <c r="AB17" i="2"/>
  <c r="Z17" i="2"/>
  <c r="O39" i="2"/>
  <c r="O38" i="2"/>
  <c r="O32" i="2"/>
  <c r="O16" i="2"/>
  <c r="O15" i="2"/>
  <c r="O31" i="2"/>
  <c r="T14" i="2"/>
  <c r="X11" i="2"/>
  <c r="AC69" i="2" l="1"/>
  <c r="AH68" i="2"/>
  <c r="AH69" i="2" s="1"/>
  <c r="BJ55" i="2"/>
  <c r="BJ68" i="2" s="1"/>
  <c r="BJ69" i="2" s="1"/>
  <c r="BF55" i="2"/>
  <c r="BF68" i="2" s="1"/>
  <c r="BF69" i="2" s="1"/>
  <c r="BQ55" i="2"/>
  <c r="BQ68" i="2"/>
  <c r="BQ69" i="2" s="1"/>
  <c r="BL55" i="2"/>
  <c r="BL68" i="2"/>
  <c r="AB23" i="2"/>
  <c r="Z23" i="2"/>
  <c r="Z28" i="2" s="1"/>
  <c r="X14" i="2"/>
  <c r="V11" i="2"/>
  <c r="T11" i="2"/>
  <c r="N14" i="2"/>
  <c r="R44" i="2"/>
  <c r="J25" i="2"/>
  <c r="R14" i="2"/>
  <c r="P14" i="2"/>
  <c r="O14" i="2"/>
  <c r="R11" i="2"/>
  <c r="BL69" i="2" l="1"/>
  <c r="AB28" i="2"/>
  <c r="Z34" i="2"/>
  <c r="Z40" i="2" s="1"/>
  <c r="Z43" i="2" s="1"/>
  <c r="Z55" i="2"/>
  <c r="X17" i="2"/>
  <c r="V14" i="2"/>
  <c r="V17" i="2" s="1"/>
  <c r="T17" i="2"/>
  <c r="T23" i="2" s="1"/>
  <c r="R17" i="2"/>
  <c r="R23" i="2" s="1"/>
  <c r="M25" i="2"/>
  <c r="Q25" i="2" s="1"/>
  <c r="S25" i="2" s="1"/>
  <c r="W25" i="2" s="1"/>
  <c r="P11" i="2"/>
  <c r="O11" i="2"/>
  <c r="N11" i="2"/>
  <c r="AC32" i="3"/>
  <c r="AC31" i="3"/>
  <c r="AC30" i="3"/>
  <c r="AC29" i="3"/>
  <c r="AC28" i="3"/>
  <c r="AC27" i="3"/>
  <c r="AC26" i="3"/>
  <c r="AC25" i="3"/>
  <c r="AC24" i="3"/>
  <c r="AC21" i="3"/>
  <c r="AC20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20" i="3"/>
  <c r="AB21" i="3"/>
  <c r="AB24" i="3"/>
  <c r="AB25" i="3"/>
  <c r="AB26" i="3"/>
  <c r="AB27" i="3"/>
  <c r="AB28" i="3"/>
  <c r="AB29" i="3"/>
  <c r="AB30" i="3"/>
  <c r="AB31" i="3"/>
  <c r="AB32" i="3"/>
  <c r="AB2" i="3"/>
  <c r="Z3" i="3"/>
  <c r="AA3" i="3"/>
  <c r="Z4" i="3"/>
  <c r="AA4" i="3"/>
  <c r="AA33" i="3" s="1"/>
  <c r="Z5" i="3"/>
  <c r="AA5" i="3"/>
  <c r="Z6" i="3"/>
  <c r="AA6" i="3"/>
  <c r="Z7" i="3"/>
  <c r="AA7" i="3"/>
  <c r="Z8" i="3"/>
  <c r="AA8" i="3"/>
  <c r="Z9" i="3"/>
  <c r="AA9" i="3"/>
  <c r="Z10" i="3"/>
  <c r="AA10" i="3"/>
  <c r="Z11" i="3"/>
  <c r="AA11" i="3"/>
  <c r="Z12" i="3"/>
  <c r="AA12" i="3"/>
  <c r="Z13" i="3"/>
  <c r="AA13" i="3"/>
  <c r="Z14" i="3"/>
  <c r="AA14" i="3"/>
  <c r="Z15" i="3"/>
  <c r="AA15" i="3"/>
  <c r="Z16" i="3"/>
  <c r="AA16" i="3"/>
  <c r="AA17" i="3"/>
  <c r="AA18" i="3"/>
  <c r="AA19" i="3"/>
  <c r="Z20" i="3"/>
  <c r="AA20" i="3"/>
  <c r="Z21" i="3"/>
  <c r="AA21" i="3"/>
  <c r="AA22" i="3"/>
  <c r="AA23" i="3"/>
  <c r="Z24" i="3"/>
  <c r="AA24" i="3"/>
  <c r="Z25" i="3"/>
  <c r="AA25" i="3"/>
  <c r="Z26" i="3"/>
  <c r="AA26" i="3"/>
  <c r="Z27" i="3"/>
  <c r="AA27" i="3"/>
  <c r="Z28" i="3"/>
  <c r="AA28" i="3"/>
  <c r="Z29" i="3"/>
  <c r="AA29" i="3"/>
  <c r="Z30" i="3"/>
  <c r="AA30" i="3"/>
  <c r="Z31" i="3"/>
  <c r="AA31" i="3"/>
  <c r="Z32" i="3"/>
  <c r="AA32" i="3"/>
  <c r="AA2" i="3"/>
  <c r="Z2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C33" i="3"/>
  <c r="B33" i="3"/>
  <c r="Y33" i="3"/>
  <c r="X27" i="3"/>
  <c r="X26" i="3"/>
  <c r="D23" i="3"/>
  <c r="Z23" i="3" s="1"/>
  <c r="AB23" i="3" s="1"/>
  <c r="AC23" i="3" s="1"/>
  <c r="D22" i="3"/>
  <c r="Z22" i="3" s="1"/>
  <c r="AB22" i="3" s="1"/>
  <c r="AC22" i="3" s="1"/>
  <c r="D19" i="3"/>
  <c r="Z19" i="3" s="1"/>
  <c r="AB19" i="3" s="1"/>
  <c r="AC19" i="3" s="1"/>
  <c r="D18" i="3"/>
  <c r="Z18" i="3" s="1"/>
  <c r="AB18" i="3" s="1"/>
  <c r="AC18" i="3" s="1"/>
  <c r="D17" i="3"/>
  <c r="X16" i="3"/>
  <c r="L11" i="2"/>
  <c r="AB34" i="2" l="1"/>
  <c r="AB40" i="2" s="1"/>
  <c r="AB43" i="2" s="1"/>
  <c r="AB55" i="2"/>
  <c r="Z46" i="2"/>
  <c r="Z68" i="2" s="1"/>
  <c r="Z69" i="2" s="1"/>
  <c r="V23" i="2"/>
  <c r="X23" i="2"/>
  <c r="X28" i="2"/>
  <c r="X34" i="2"/>
  <c r="T28" i="2"/>
  <c r="R28" i="2"/>
  <c r="P17" i="2"/>
  <c r="O17" i="2"/>
  <c r="N17" i="2"/>
  <c r="Y25" i="2"/>
  <c r="AD25" i="2" s="1"/>
  <c r="AG25" i="2" s="1"/>
  <c r="AL25" i="2" s="1"/>
  <c r="D33" i="3"/>
  <c r="Z17" i="3"/>
  <c r="AB17" i="3" s="1"/>
  <c r="T55" i="2" l="1"/>
  <c r="T34" i="2"/>
  <c r="T40" i="2" s="1"/>
  <c r="R55" i="2"/>
  <c r="R34" i="2"/>
  <c r="R40" i="2" s="1"/>
  <c r="AB46" i="2"/>
  <c r="AB68" i="2" s="1"/>
  <c r="AB69" i="2" s="1"/>
  <c r="V28" i="2"/>
  <c r="V34" i="2" s="1"/>
  <c r="X40" i="2"/>
  <c r="X55" i="2"/>
  <c r="P23" i="2"/>
  <c r="O23" i="2"/>
  <c r="O28" i="2"/>
  <c r="O34" i="2"/>
  <c r="N23" i="2"/>
  <c r="N28" i="2" s="1"/>
  <c r="AO25" i="2"/>
  <c r="AT25" i="2" s="1"/>
  <c r="AX25" i="2" s="1"/>
  <c r="BC25" i="2" s="1"/>
  <c r="BE25" i="2" s="1"/>
  <c r="BK25" i="2" s="1"/>
  <c r="Z33" i="3"/>
  <c r="AC17" i="3"/>
  <c r="AB33" i="3"/>
  <c r="R43" i="2" l="1"/>
  <c r="R46" i="2"/>
  <c r="T43" i="2"/>
  <c r="T46" i="2"/>
  <c r="T68" i="2" s="1"/>
  <c r="T69" i="2" s="1"/>
  <c r="P28" i="2"/>
  <c r="P34" i="2" s="1"/>
  <c r="P55" i="2"/>
  <c r="V55" i="2"/>
  <c r="V40" i="2"/>
  <c r="X43" i="2"/>
  <c r="O40" i="2"/>
  <c r="O55" i="2"/>
  <c r="N55" i="2"/>
  <c r="N34" i="2"/>
  <c r="N40" i="2" s="1"/>
  <c r="N43" i="2" s="1"/>
  <c r="BM25" i="2"/>
  <c r="BS25" i="2" s="1"/>
  <c r="BU25" i="2" s="1"/>
  <c r="AC33" i="3"/>
  <c r="F59" i="2"/>
  <c r="J59" i="2" s="1"/>
  <c r="F57" i="2"/>
  <c r="J57" i="2" s="1"/>
  <c r="F56" i="2"/>
  <c r="F50" i="2"/>
  <c r="J50" i="2" s="1"/>
  <c r="M50" i="2" s="1"/>
  <c r="Q50" i="2" s="1"/>
  <c r="S50" i="2" s="1"/>
  <c r="W50" i="2" s="1"/>
  <c r="F49" i="2"/>
  <c r="J49" i="2" s="1"/>
  <c r="M49" i="2" s="1"/>
  <c r="Q49" i="2" s="1"/>
  <c r="S49" i="2" s="1"/>
  <c r="F48" i="2"/>
  <c r="J48" i="2" s="1"/>
  <c r="M48" i="2" s="1"/>
  <c r="Q48" i="2" s="1"/>
  <c r="S48" i="2" s="1"/>
  <c r="W48" i="2" s="1"/>
  <c r="F47" i="2"/>
  <c r="F45" i="2"/>
  <c r="J45" i="2" s="1"/>
  <c r="F44" i="2"/>
  <c r="F39" i="2"/>
  <c r="J39" i="2" s="1"/>
  <c r="F38" i="2"/>
  <c r="J38" i="2" s="1"/>
  <c r="F33" i="2"/>
  <c r="J33" i="2" s="1"/>
  <c r="F32" i="2"/>
  <c r="J32" i="2" s="1"/>
  <c r="F31" i="2"/>
  <c r="J31" i="2" s="1"/>
  <c r="F29" i="2"/>
  <c r="F27" i="2"/>
  <c r="J27" i="2" s="1"/>
  <c r="F24" i="2"/>
  <c r="F21" i="2"/>
  <c r="J21" i="2" s="1"/>
  <c r="F19" i="2"/>
  <c r="F18" i="2"/>
  <c r="F16" i="2"/>
  <c r="J16" i="2" s="1"/>
  <c r="F15" i="2"/>
  <c r="F12" i="2"/>
  <c r="F10" i="2"/>
  <c r="J10" i="2" s="1"/>
  <c r="F6" i="2"/>
  <c r="J6" i="2" s="1"/>
  <c r="F5" i="2"/>
  <c r="L14" i="2"/>
  <c r="K14" i="2"/>
  <c r="I14" i="2"/>
  <c r="H14" i="2"/>
  <c r="G14" i="2"/>
  <c r="K11" i="2"/>
  <c r="I11" i="2"/>
  <c r="H11" i="2"/>
  <c r="G11" i="2"/>
  <c r="CG39" i="1"/>
  <c r="CG38" i="1"/>
  <c r="CG24" i="1"/>
  <c r="R68" i="2" l="1"/>
  <c r="R69" i="2" s="1"/>
  <c r="P40" i="2"/>
  <c r="P43" i="2" s="1"/>
  <c r="P46" i="2" s="1"/>
  <c r="P68" i="2" s="1"/>
  <c r="P69" i="2" s="1"/>
  <c r="V43" i="2"/>
  <c r="V46" i="2" s="1"/>
  <c r="V68" i="2" s="1"/>
  <c r="V69" i="2" s="1"/>
  <c r="O43" i="2"/>
  <c r="N46" i="2"/>
  <c r="N68" i="2" s="1"/>
  <c r="N69" i="2" s="1"/>
  <c r="X46" i="2"/>
  <c r="X68" i="2"/>
  <c r="X69" i="2" s="1"/>
  <c r="L17" i="2"/>
  <c r="K17" i="2"/>
  <c r="I17" i="2"/>
  <c r="H17" i="2"/>
  <c r="G17" i="2"/>
  <c r="CA25" i="2"/>
  <c r="M38" i="2"/>
  <c r="Q38" i="2" s="1"/>
  <c r="S38" i="2" s="1"/>
  <c r="W38" i="2" s="1"/>
  <c r="Y38" i="2" s="1"/>
  <c r="AD38" i="2" s="1"/>
  <c r="AG38" i="2" s="1"/>
  <c r="AL38" i="2" s="1"/>
  <c r="M31" i="2"/>
  <c r="Q31" i="2" s="1"/>
  <c r="S31" i="2" s="1"/>
  <c r="W31" i="2" s="1"/>
  <c r="Y31" i="2" s="1"/>
  <c r="AD31" i="2" s="1"/>
  <c r="AG31" i="2" s="1"/>
  <c r="AL31" i="2" s="1"/>
  <c r="M39" i="2"/>
  <c r="Q39" i="2" s="1"/>
  <c r="S39" i="2" s="1"/>
  <c r="W39" i="2" s="1"/>
  <c r="Y39" i="2" s="1"/>
  <c r="AD39" i="2" s="1"/>
  <c r="AG39" i="2" s="1"/>
  <c r="AL39" i="2" s="1"/>
  <c r="M57" i="2"/>
  <c r="Q57" i="2" s="1"/>
  <c r="S57" i="2" s="1"/>
  <c r="W57" i="2" s="1"/>
  <c r="Y57" i="2" s="1"/>
  <c r="AD57" i="2" s="1"/>
  <c r="AG57" i="2" s="1"/>
  <c r="AL57" i="2" s="1"/>
  <c r="M6" i="2"/>
  <c r="Q6" i="2" s="1"/>
  <c r="S6" i="2" s="1"/>
  <c r="W6" i="2" s="1"/>
  <c r="M16" i="2"/>
  <c r="Q16" i="2" s="1"/>
  <c r="S16" i="2" s="1"/>
  <c r="W16" i="2" s="1"/>
  <c r="Y16" i="2" s="1"/>
  <c r="AD16" i="2" s="1"/>
  <c r="AG16" i="2" s="1"/>
  <c r="AL16" i="2" s="1"/>
  <c r="M32" i="2"/>
  <c r="Q32" i="2" s="1"/>
  <c r="S32" i="2" s="1"/>
  <c r="W32" i="2" s="1"/>
  <c r="Y32" i="2" s="1"/>
  <c r="AD32" i="2" s="1"/>
  <c r="AG32" i="2" s="1"/>
  <c r="AL32" i="2" s="1"/>
  <c r="M59" i="2"/>
  <c r="Q59" i="2" s="1"/>
  <c r="S59" i="2" s="1"/>
  <c r="W59" i="2" s="1"/>
  <c r="Y59" i="2" s="1"/>
  <c r="AD59" i="2" s="1"/>
  <c r="AG59" i="2" s="1"/>
  <c r="AL59" i="2" s="1"/>
  <c r="M21" i="2"/>
  <c r="Q21" i="2" s="1"/>
  <c r="S21" i="2" s="1"/>
  <c r="W21" i="2" s="1"/>
  <c r="Y21" i="2" s="1"/>
  <c r="AD21" i="2" s="1"/>
  <c r="AG21" i="2" s="1"/>
  <c r="AL21" i="2" s="1"/>
  <c r="M10" i="2"/>
  <c r="Q10" i="2" s="1"/>
  <c r="S10" i="2" s="1"/>
  <c r="W10" i="2" s="1"/>
  <c r="Y10" i="2" s="1"/>
  <c r="AD10" i="2" s="1"/>
  <c r="AG10" i="2" s="1"/>
  <c r="AL10" i="2" s="1"/>
  <c r="M27" i="2"/>
  <c r="Q27" i="2" s="1"/>
  <c r="S27" i="2" s="1"/>
  <c r="W27" i="2" s="1"/>
  <c r="Y27" i="2" s="1"/>
  <c r="AD27" i="2" s="1"/>
  <c r="AG27" i="2" s="1"/>
  <c r="AL27" i="2" s="1"/>
  <c r="M33" i="2"/>
  <c r="Q33" i="2" s="1"/>
  <c r="S33" i="2" s="1"/>
  <c r="W33" i="2" s="1"/>
  <c r="M45" i="2"/>
  <c r="Q45" i="2" s="1"/>
  <c r="S45" i="2" s="1"/>
  <c r="W45" i="2" s="1"/>
  <c r="Y45" i="2" s="1"/>
  <c r="AD45" i="2" s="1"/>
  <c r="AG45" i="2" s="1"/>
  <c r="AL45" i="2" s="1"/>
  <c r="Y48" i="2"/>
  <c r="AD48" i="2" s="1"/>
  <c r="AG48" i="2" s="1"/>
  <c r="AL48" i="2" s="1"/>
  <c r="W49" i="2"/>
  <c r="Y49" i="2" s="1"/>
  <c r="AD49" i="2" s="1"/>
  <c r="AG49" i="2" s="1"/>
  <c r="AL49" i="2" s="1"/>
  <c r="Y50" i="2"/>
  <c r="AD50" i="2" s="1"/>
  <c r="AG50" i="2" s="1"/>
  <c r="AL50" i="2" s="1"/>
  <c r="J19" i="2"/>
  <c r="CE22" i="1"/>
  <c r="CH20" i="1"/>
  <c r="CH13" i="1"/>
  <c r="CH10" i="1"/>
  <c r="CG46" i="1"/>
  <c r="CG34" i="1"/>
  <c r="CG20" i="1"/>
  <c r="CG13" i="1"/>
  <c r="CG10" i="1"/>
  <c r="CF37" i="1"/>
  <c r="CF34" i="1"/>
  <c r="CF20" i="1"/>
  <c r="CF13" i="1"/>
  <c r="CF10" i="1"/>
  <c r="BZ25" i="1"/>
  <c r="BY37" i="1"/>
  <c r="BZ34" i="1"/>
  <c r="CA42" i="1"/>
  <c r="CA37" i="1"/>
  <c r="CA31" i="1"/>
  <c r="CA20" i="1"/>
  <c r="CA13" i="1"/>
  <c r="BZ37" i="1"/>
  <c r="BZ17" i="1"/>
  <c r="BZ10" i="1"/>
  <c r="BY34" i="1"/>
  <c r="BY25" i="1"/>
  <c r="BY13" i="1"/>
  <c r="BY10" i="1"/>
  <c r="BY17" i="1"/>
  <c r="CD46" i="1"/>
  <c r="CC46" i="1"/>
  <c r="CA46" i="1"/>
  <c r="BY46" i="1"/>
  <c r="CD42" i="1"/>
  <c r="CC42" i="1"/>
  <c r="CD37" i="1"/>
  <c r="CC37" i="1"/>
  <c r="CD34" i="1"/>
  <c r="CC34" i="1"/>
  <c r="CA34" i="1"/>
  <c r="CD31" i="1"/>
  <c r="CC31" i="1"/>
  <c r="CD25" i="1"/>
  <c r="CC25" i="1"/>
  <c r="CA25" i="1"/>
  <c r="CD20" i="1"/>
  <c r="CC20" i="1"/>
  <c r="CD17" i="1"/>
  <c r="CC17" i="1"/>
  <c r="CA17" i="1"/>
  <c r="CD13" i="1"/>
  <c r="CC13" i="1"/>
  <c r="CD10" i="1"/>
  <c r="CC10" i="1"/>
  <c r="CA10" i="1"/>
  <c r="CD8" i="1"/>
  <c r="CC8" i="1"/>
  <c r="BT20" i="1"/>
  <c r="BT17" i="1"/>
  <c r="BS46" i="1"/>
  <c r="BS42" i="1"/>
  <c r="BS37" i="1"/>
  <c r="BS34" i="1"/>
  <c r="BS31" i="1"/>
  <c r="BS17" i="1"/>
  <c r="BS10" i="1"/>
  <c r="BW46" i="1"/>
  <c r="BV46" i="1"/>
  <c r="BT46" i="1"/>
  <c r="BR46" i="1"/>
  <c r="BW42" i="1"/>
  <c r="BV42" i="1"/>
  <c r="BT42" i="1"/>
  <c r="BR42" i="1"/>
  <c r="BW37" i="1"/>
  <c r="BV37" i="1"/>
  <c r="BT37" i="1"/>
  <c r="BR37" i="1"/>
  <c r="BW34" i="1"/>
  <c r="BV34" i="1"/>
  <c r="BT34" i="1"/>
  <c r="BR34" i="1"/>
  <c r="BW31" i="1"/>
  <c r="BV31" i="1"/>
  <c r="BT31" i="1"/>
  <c r="BR31" i="1"/>
  <c r="BW25" i="1"/>
  <c r="BV25" i="1"/>
  <c r="BT25" i="1"/>
  <c r="BS25" i="1"/>
  <c r="BR25" i="1"/>
  <c r="BW20" i="1"/>
  <c r="BV20" i="1"/>
  <c r="BS20" i="1"/>
  <c r="BR20" i="1"/>
  <c r="BW17" i="1"/>
  <c r="BV17" i="1"/>
  <c r="BR17" i="1"/>
  <c r="BW13" i="1"/>
  <c r="BV13" i="1"/>
  <c r="BS13" i="1"/>
  <c r="BR13" i="1"/>
  <c r="BW10" i="1"/>
  <c r="BV10" i="1"/>
  <c r="BT10" i="1"/>
  <c r="BR10" i="1"/>
  <c r="BW8" i="1"/>
  <c r="BV8" i="1"/>
  <c r="BR8" i="1"/>
  <c r="BM42" i="1"/>
  <c r="BM37" i="1"/>
  <c r="BM34" i="1"/>
  <c r="BM31" i="1"/>
  <c r="BM25" i="1"/>
  <c r="BM20" i="1"/>
  <c r="BM17" i="1"/>
  <c r="BM13" i="1"/>
  <c r="BM10" i="1"/>
  <c r="BL42" i="1"/>
  <c r="BL37" i="1"/>
  <c r="BL31" i="1"/>
  <c r="BL20" i="1"/>
  <c r="BL13" i="1"/>
  <c r="BK42" i="1"/>
  <c r="BK37" i="1"/>
  <c r="BK31" i="1"/>
  <c r="BK20" i="1"/>
  <c r="BK13" i="1"/>
  <c r="BP46" i="1"/>
  <c r="BO46" i="1"/>
  <c r="BM46" i="1"/>
  <c r="BL46" i="1"/>
  <c r="BK46" i="1"/>
  <c r="BP42" i="1"/>
  <c r="BO42" i="1"/>
  <c r="BP37" i="1"/>
  <c r="BO37" i="1"/>
  <c r="BP34" i="1"/>
  <c r="BO34" i="1"/>
  <c r="BL34" i="1"/>
  <c r="BK34" i="1"/>
  <c r="BP31" i="1"/>
  <c r="BO31" i="1"/>
  <c r="BP25" i="1"/>
  <c r="BO25" i="1"/>
  <c r="BL25" i="1"/>
  <c r="BK25" i="1"/>
  <c r="BP20" i="1"/>
  <c r="BO20" i="1"/>
  <c r="BP17" i="1"/>
  <c r="BO17" i="1"/>
  <c r="BL17" i="1"/>
  <c r="BK17" i="1"/>
  <c r="BP13" i="1"/>
  <c r="BO13" i="1"/>
  <c r="BP10" i="1"/>
  <c r="BO10" i="1"/>
  <c r="BL10" i="1"/>
  <c r="BK10" i="1"/>
  <c r="BP8" i="1"/>
  <c r="BO8" i="1"/>
  <c r="O46" i="2" l="1"/>
  <c r="O68" i="2" s="1"/>
  <c r="O69" i="2" s="1"/>
  <c r="L23" i="2"/>
  <c r="K23" i="2"/>
  <c r="I23" i="2"/>
  <c r="H23" i="2"/>
  <c r="G23" i="2"/>
  <c r="G28" i="2" s="1"/>
  <c r="M19" i="2"/>
  <c r="Q19" i="2" s="1"/>
  <c r="S19" i="2" s="1"/>
  <c r="W19" i="2" s="1"/>
  <c r="AO50" i="2"/>
  <c r="AT50" i="2" s="1"/>
  <c r="AX50" i="2" s="1"/>
  <c r="BC50" i="2" s="1"/>
  <c r="AO59" i="2"/>
  <c r="AT59" i="2" s="1"/>
  <c r="AX59" i="2" s="1"/>
  <c r="BC59" i="2" s="1"/>
  <c r="BE59" i="2" s="1"/>
  <c r="BK59" i="2" s="1"/>
  <c r="AO31" i="2"/>
  <c r="AT31" i="2" s="1"/>
  <c r="AX31" i="2" s="1"/>
  <c r="BC31" i="2" s="1"/>
  <c r="BE31" i="2" s="1"/>
  <c r="BK31" i="2" s="1"/>
  <c r="AO45" i="2"/>
  <c r="AT45" i="2" s="1"/>
  <c r="AX45" i="2" s="1"/>
  <c r="BC45" i="2" s="1"/>
  <c r="BE45" i="2" s="1"/>
  <c r="BK45" i="2" s="1"/>
  <c r="AO49" i="2"/>
  <c r="AT49" i="2" s="1"/>
  <c r="AX49" i="2" s="1"/>
  <c r="BC49" i="2" s="1"/>
  <c r="AO57" i="2"/>
  <c r="AT57" i="2" s="1"/>
  <c r="AX57" i="2" s="1"/>
  <c r="BC57" i="2" s="1"/>
  <c r="BE57" i="2" s="1"/>
  <c r="BK57" i="2" s="1"/>
  <c r="AO21" i="2"/>
  <c r="AT21" i="2" s="1"/>
  <c r="AX21" i="2" s="1"/>
  <c r="BC21" i="2" s="1"/>
  <c r="BE21" i="2" s="1"/>
  <c r="BK21" i="2" s="1"/>
  <c r="AO32" i="2"/>
  <c r="AT32" i="2" s="1"/>
  <c r="AX32" i="2" s="1"/>
  <c r="BC32" i="2" s="1"/>
  <c r="BE32" i="2" s="1"/>
  <c r="BK32" i="2" s="1"/>
  <c r="AO48" i="2"/>
  <c r="AT48" i="2" s="1"/>
  <c r="AX48" i="2" s="1"/>
  <c r="BC48" i="2" s="1"/>
  <c r="AO27" i="2"/>
  <c r="AT27" i="2" s="1"/>
  <c r="AX27" i="2" s="1"/>
  <c r="BC27" i="2" s="1"/>
  <c r="BE27" i="2" s="1"/>
  <c r="BK27" i="2" s="1"/>
  <c r="AO10" i="2"/>
  <c r="AT10" i="2" s="1"/>
  <c r="AX10" i="2" s="1"/>
  <c r="BC10" i="2" s="1"/>
  <c r="BE10" i="2" s="1"/>
  <c r="BK10" i="2" s="1"/>
  <c r="BM10" i="2" s="1"/>
  <c r="AO16" i="2"/>
  <c r="AT16" i="2" s="1"/>
  <c r="AX16" i="2" s="1"/>
  <c r="BC16" i="2" s="1"/>
  <c r="BE16" i="2" s="1"/>
  <c r="BK16" i="2" s="1"/>
  <c r="AO39" i="2"/>
  <c r="AT39" i="2" s="1"/>
  <c r="AX39" i="2" s="1"/>
  <c r="BC39" i="2" s="1"/>
  <c r="BE39" i="2" s="1"/>
  <c r="BK39" i="2" s="1"/>
  <c r="AO38" i="2"/>
  <c r="AT38" i="2" s="1"/>
  <c r="AX38" i="2" s="1"/>
  <c r="BC38" i="2" s="1"/>
  <c r="BE38" i="2" s="1"/>
  <c r="BK38" i="2" s="1"/>
  <c r="Y33" i="2"/>
  <c r="AD33" i="2" s="1"/>
  <c r="AG33" i="2" s="1"/>
  <c r="AL33" i="2" s="1"/>
  <c r="Y6" i="2"/>
  <c r="AD6" i="2" s="1"/>
  <c r="AG6" i="2" s="1"/>
  <c r="AL6" i="2" s="1"/>
  <c r="CH37" i="1"/>
  <c r="CF31" i="1"/>
  <c r="CH46" i="1"/>
  <c r="CH34" i="1"/>
  <c r="CH42" i="1"/>
  <c r="CI22" i="1"/>
  <c r="CH31" i="1"/>
  <c r="CF17" i="1"/>
  <c r="CH17" i="1"/>
  <c r="CF25" i="1"/>
  <c r="CG25" i="1"/>
  <c r="CH25" i="1"/>
  <c r="CG37" i="1"/>
  <c r="CG17" i="1"/>
  <c r="CF8" i="1"/>
  <c r="CG31" i="1"/>
  <c r="CF42" i="1"/>
  <c r="CF46" i="1"/>
  <c r="CH8" i="1"/>
  <c r="CG8" i="1"/>
  <c r="CG42" i="1"/>
  <c r="BZ46" i="1"/>
  <c r="BZ13" i="1"/>
  <c r="BZ20" i="1"/>
  <c r="BZ31" i="1"/>
  <c r="BY20" i="1"/>
  <c r="BY31" i="1"/>
  <c r="BY42" i="1"/>
  <c r="BZ8" i="1"/>
  <c r="BZ42" i="1"/>
  <c r="CA8" i="1"/>
  <c r="CA47" i="1" s="1"/>
  <c r="BY8" i="1"/>
  <c r="CC47" i="1"/>
  <c r="CD47" i="1"/>
  <c r="BV47" i="1"/>
  <c r="BT13" i="1"/>
  <c r="BT8" i="1"/>
  <c r="BS8" i="1"/>
  <c r="BS47" i="1" s="1"/>
  <c r="BR47" i="1"/>
  <c r="BW47" i="1"/>
  <c r="BM8" i="1"/>
  <c r="BM47" i="1" s="1"/>
  <c r="BL8" i="1"/>
  <c r="BL47" i="1" s="1"/>
  <c r="BK8" i="1"/>
  <c r="BK47" i="1" s="1"/>
  <c r="BO47" i="1"/>
  <c r="BP47" i="1"/>
  <c r="BF42" i="1"/>
  <c r="BF34" i="1"/>
  <c r="BF31" i="1"/>
  <c r="BF20" i="1"/>
  <c r="BF17" i="1"/>
  <c r="BF10" i="1"/>
  <c r="BE46" i="1"/>
  <c r="BE34" i="1"/>
  <c r="BE31" i="1"/>
  <c r="BE20" i="1"/>
  <c r="BE17" i="1"/>
  <c r="BI46" i="1"/>
  <c r="BH46" i="1"/>
  <c r="BF46" i="1"/>
  <c r="BD46" i="1"/>
  <c r="BI42" i="1"/>
  <c r="BH42" i="1"/>
  <c r="BD42" i="1"/>
  <c r="BI37" i="1"/>
  <c r="BH37" i="1"/>
  <c r="BF37" i="1"/>
  <c r="BE37" i="1"/>
  <c r="BD37" i="1"/>
  <c r="BI34" i="1"/>
  <c r="BH34" i="1"/>
  <c r="BD34" i="1"/>
  <c r="BI31" i="1"/>
  <c r="BH31" i="1"/>
  <c r="BD31" i="1"/>
  <c r="BI25" i="1"/>
  <c r="BH25" i="1"/>
  <c r="BF25" i="1"/>
  <c r="BD25" i="1"/>
  <c r="BI20" i="1"/>
  <c r="BH20" i="1"/>
  <c r="BD20" i="1"/>
  <c r="BI17" i="1"/>
  <c r="BH17" i="1"/>
  <c r="BD17" i="1"/>
  <c r="BI13" i="1"/>
  <c r="BH13" i="1"/>
  <c r="BF13" i="1"/>
  <c r="BD13" i="1"/>
  <c r="BI10" i="1"/>
  <c r="BH10" i="1"/>
  <c r="BE10" i="1"/>
  <c r="BD10" i="1"/>
  <c r="BI8" i="1"/>
  <c r="BH8" i="1"/>
  <c r="BD8" i="1"/>
  <c r="AX42" i="1"/>
  <c r="AX37" i="1"/>
  <c r="AX31" i="1"/>
  <c r="AX20" i="1"/>
  <c r="AX13" i="1"/>
  <c r="BB46" i="1"/>
  <c r="BA46" i="1"/>
  <c r="AY46" i="1"/>
  <c r="AX46" i="1"/>
  <c r="AW46" i="1"/>
  <c r="BB42" i="1"/>
  <c r="BA42" i="1"/>
  <c r="AY42" i="1"/>
  <c r="AW42" i="1"/>
  <c r="BB37" i="1"/>
  <c r="BA37" i="1"/>
  <c r="AY37" i="1"/>
  <c r="AW37" i="1"/>
  <c r="BB34" i="1"/>
  <c r="BA34" i="1"/>
  <c r="AY34" i="1"/>
  <c r="AX34" i="1"/>
  <c r="AW34" i="1"/>
  <c r="BB31" i="1"/>
  <c r="BA31" i="1"/>
  <c r="AY31" i="1"/>
  <c r="AW31" i="1"/>
  <c r="BB25" i="1"/>
  <c r="BA25" i="1"/>
  <c r="AY25" i="1"/>
  <c r="AX25" i="1"/>
  <c r="AW25" i="1"/>
  <c r="BB20" i="1"/>
  <c r="BA20" i="1"/>
  <c r="AY20" i="1"/>
  <c r="AW20" i="1"/>
  <c r="BB17" i="1"/>
  <c r="BA17" i="1"/>
  <c r="AY17" i="1"/>
  <c r="AX17" i="1"/>
  <c r="AW17" i="1"/>
  <c r="BB13" i="1"/>
  <c r="BA13" i="1"/>
  <c r="AY13" i="1"/>
  <c r="AW13" i="1"/>
  <c r="BB10" i="1"/>
  <c r="BA10" i="1"/>
  <c r="AY10" i="1"/>
  <c r="AX10" i="1"/>
  <c r="AW10" i="1"/>
  <c r="BB8" i="1"/>
  <c r="BA8" i="1"/>
  <c r="AY8" i="1"/>
  <c r="AW8" i="1"/>
  <c r="AP46" i="1"/>
  <c r="AP42" i="1"/>
  <c r="AP37" i="1"/>
  <c r="AP34" i="1"/>
  <c r="AP31" i="1"/>
  <c r="AP25" i="1"/>
  <c r="AP20" i="1"/>
  <c r="AP17" i="1"/>
  <c r="AP13" i="1"/>
  <c r="AQ42" i="1"/>
  <c r="AQ31" i="1"/>
  <c r="AQ25" i="1"/>
  <c r="AQ20" i="1"/>
  <c r="AQ17" i="1"/>
  <c r="AQ13" i="1"/>
  <c r="AU46" i="1"/>
  <c r="AT46" i="1"/>
  <c r="AR46" i="1"/>
  <c r="AQ46" i="1"/>
  <c r="AU42" i="1"/>
  <c r="AT42" i="1"/>
  <c r="AR42" i="1"/>
  <c r="AU37" i="1"/>
  <c r="AT37" i="1"/>
  <c r="AR37" i="1"/>
  <c r="AQ37" i="1"/>
  <c r="AU34" i="1"/>
  <c r="AT34" i="1"/>
  <c r="AR34" i="1"/>
  <c r="AQ34" i="1"/>
  <c r="AU31" i="1"/>
  <c r="AT31" i="1"/>
  <c r="AR31" i="1"/>
  <c r="AU25" i="1"/>
  <c r="AT25" i="1"/>
  <c r="AR25" i="1"/>
  <c r="AU20" i="1"/>
  <c r="AT20" i="1"/>
  <c r="AR20" i="1"/>
  <c r="AU17" i="1"/>
  <c r="AT17" i="1"/>
  <c r="AR17" i="1"/>
  <c r="AU13" i="1"/>
  <c r="AT13" i="1"/>
  <c r="AR13" i="1"/>
  <c r="AU10" i="1"/>
  <c r="AT10" i="1"/>
  <c r="AR10" i="1"/>
  <c r="AQ10" i="1"/>
  <c r="AP10" i="1"/>
  <c r="AU8" i="1"/>
  <c r="AT8" i="1"/>
  <c r="AR8" i="1"/>
  <c r="AK42" i="1"/>
  <c r="AK37" i="1"/>
  <c r="AK31" i="1"/>
  <c r="AK25" i="1"/>
  <c r="AK20" i="1"/>
  <c r="AK13" i="1"/>
  <c r="AI13" i="1"/>
  <c r="AG13" i="1"/>
  <c r="AF13" i="1"/>
  <c r="AD13" i="1"/>
  <c r="AC13" i="1"/>
  <c r="AB13" i="1"/>
  <c r="Z13" i="1"/>
  <c r="Y13" i="1"/>
  <c r="W13" i="1"/>
  <c r="V13" i="1"/>
  <c r="U13" i="1"/>
  <c r="S13" i="1"/>
  <c r="R13" i="1"/>
  <c r="P13" i="1"/>
  <c r="O13" i="1"/>
  <c r="N13" i="1"/>
  <c r="L13" i="1"/>
  <c r="K13" i="1"/>
  <c r="I13" i="1"/>
  <c r="H13" i="1"/>
  <c r="G13" i="1"/>
  <c r="F13" i="1"/>
  <c r="AN13" i="1"/>
  <c r="AM13" i="1"/>
  <c r="AJ46" i="1"/>
  <c r="AJ37" i="1"/>
  <c r="AJ34" i="1"/>
  <c r="AJ13" i="1"/>
  <c r="AJ10" i="1"/>
  <c r="AN46" i="1"/>
  <c r="AM46" i="1"/>
  <c r="AK46" i="1"/>
  <c r="AI46" i="1"/>
  <c r="AN42" i="1"/>
  <c r="AM42" i="1"/>
  <c r="AI42" i="1"/>
  <c r="AN37" i="1"/>
  <c r="AM37" i="1"/>
  <c r="AI37" i="1"/>
  <c r="AN34" i="1"/>
  <c r="AM34" i="1"/>
  <c r="AK34" i="1"/>
  <c r="AI34" i="1"/>
  <c r="AN31" i="1"/>
  <c r="AM31" i="1"/>
  <c r="AJ31" i="1"/>
  <c r="AI31" i="1"/>
  <c r="AN25" i="1"/>
  <c r="AM25" i="1"/>
  <c r="AI25" i="1"/>
  <c r="AN20" i="1"/>
  <c r="AM20" i="1"/>
  <c r="AJ20" i="1"/>
  <c r="AI20" i="1"/>
  <c r="AN17" i="1"/>
  <c r="AM17" i="1"/>
  <c r="AK17" i="1"/>
  <c r="AI17" i="1"/>
  <c r="AN10" i="1"/>
  <c r="AM10" i="1"/>
  <c r="AK10" i="1"/>
  <c r="AI10" i="1"/>
  <c r="AN8" i="1"/>
  <c r="AM8" i="1"/>
  <c r="AI8" i="1"/>
  <c r="AD31" i="1"/>
  <c r="AC46" i="1"/>
  <c r="AC42" i="1"/>
  <c r="AC37" i="1"/>
  <c r="AB37" i="1"/>
  <c r="AC34" i="1"/>
  <c r="AC31" i="1"/>
  <c r="AC25" i="1"/>
  <c r="AC20" i="1"/>
  <c r="AC17" i="1"/>
  <c r="AC10" i="1"/>
  <c r="AC8" i="1"/>
  <c r="AG46" i="1"/>
  <c r="AF46" i="1"/>
  <c r="AD46" i="1"/>
  <c r="AB46" i="1"/>
  <c r="AG42" i="1"/>
  <c r="AF42" i="1"/>
  <c r="AB42" i="1"/>
  <c r="AG37" i="1"/>
  <c r="AF37" i="1"/>
  <c r="AG34" i="1"/>
  <c r="AF34" i="1"/>
  <c r="AD34" i="1"/>
  <c r="AB34" i="1"/>
  <c r="AG31" i="1"/>
  <c r="AF31" i="1"/>
  <c r="AB31" i="1"/>
  <c r="AG25" i="1"/>
  <c r="AF25" i="1"/>
  <c r="AD25" i="1"/>
  <c r="AB25" i="1"/>
  <c r="AG20" i="1"/>
  <c r="AF20" i="1"/>
  <c r="AB20" i="1"/>
  <c r="AG17" i="1"/>
  <c r="AF17" i="1"/>
  <c r="AD17" i="1"/>
  <c r="AB17" i="1"/>
  <c r="AG10" i="1"/>
  <c r="AF10" i="1"/>
  <c r="AD10" i="1"/>
  <c r="AB10" i="1"/>
  <c r="AG8" i="1"/>
  <c r="AF8" i="1"/>
  <c r="AB8" i="1"/>
  <c r="U8" i="1"/>
  <c r="U46" i="1"/>
  <c r="U20" i="1"/>
  <c r="U17" i="1"/>
  <c r="V10" i="1"/>
  <c r="T41" i="1"/>
  <c r="T40" i="1"/>
  <c r="Z46" i="1"/>
  <c r="Y46" i="1"/>
  <c r="W46" i="1"/>
  <c r="Z42" i="1"/>
  <c r="Y42" i="1"/>
  <c r="W42" i="1"/>
  <c r="Z37" i="1"/>
  <c r="Y37" i="1"/>
  <c r="W37" i="1"/>
  <c r="V37" i="1"/>
  <c r="U37" i="1"/>
  <c r="Z34" i="1"/>
  <c r="Y34" i="1"/>
  <c r="W34" i="1"/>
  <c r="U34" i="1"/>
  <c r="Z31" i="1"/>
  <c r="Y31" i="1"/>
  <c r="W31" i="1"/>
  <c r="U31" i="1"/>
  <c r="V31" i="1"/>
  <c r="Z25" i="1"/>
  <c r="Y25" i="1"/>
  <c r="W25" i="1"/>
  <c r="V25" i="1"/>
  <c r="U25" i="1"/>
  <c r="Z20" i="1"/>
  <c r="Y20" i="1"/>
  <c r="W20" i="1"/>
  <c r="V20" i="1"/>
  <c r="Z17" i="1"/>
  <c r="Y17" i="1"/>
  <c r="W17" i="1"/>
  <c r="Z10" i="1"/>
  <c r="Y10" i="1"/>
  <c r="W10" i="1"/>
  <c r="U10" i="1"/>
  <c r="Z8" i="1"/>
  <c r="Y8" i="1"/>
  <c r="W8" i="1"/>
  <c r="K46" i="1"/>
  <c r="K42" i="1"/>
  <c r="K37" i="1"/>
  <c r="K34" i="1"/>
  <c r="K31" i="1"/>
  <c r="K25" i="1"/>
  <c r="K20" i="1"/>
  <c r="K17" i="1"/>
  <c r="K10" i="1"/>
  <c r="K8" i="1"/>
  <c r="S42" i="1"/>
  <c r="S46" i="1"/>
  <c r="S37" i="1"/>
  <c r="S34" i="1"/>
  <c r="S31" i="1"/>
  <c r="S25" i="1"/>
  <c r="S20" i="1"/>
  <c r="S17" i="1"/>
  <c r="S10" i="1"/>
  <c r="S8" i="1"/>
  <c r="R42" i="1"/>
  <c r="P42" i="1"/>
  <c r="O42" i="1"/>
  <c r="N42" i="1"/>
  <c r="I42" i="1"/>
  <c r="H42" i="1"/>
  <c r="G42" i="1"/>
  <c r="F42" i="1"/>
  <c r="L28" i="2" l="1"/>
  <c r="L34" i="2"/>
  <c r="L40" i="2"/>
  <c r="L55" i="2"/>
  <c r="K28" i="2"/>
  <c r="I28" i="2"/>
  <c r="H28" i="2"/>
  <c r="H55" i="2"/>
  <c r="H34" i="2"/>
  <c r="H40" i="2"/>
  <c r="G34" i="2"/>
  <c r="G55" i="2"/>
  <c r="G40" i="2"/>
  <c r="BM45" i="2"/>
  <c r="BS45" i="2" s="1"/>
  <c r="BU45" i="2" s="1"/>
  <c r="BM38" i="2"/>
  <c r="BS38" i="2" s="1"/>
  <c r="BU38" i="2" s="1"/>
  <c r="BM27" i="2"/>
  <c r="BS27" i="2" s="1"/>
  <c r="BU27" i="2" s="1"/>
  <c r="BM57" i="2"/>
  <c r="BS57" i="2" s="1"/>
  <c r="BU57" i="2" s="1"/>
  <c r="BM59" i="2"/>
  <c r="BS59" i="2" s="1"/>
  <c r="BU59" i="2" s="1"/>
  <c r="BM16" i="2"/>
  <c r="BS16" i="2" s="1"/>
  <c r="BU16" i="2" s="1"/>
  <c r="BM39" i="2"/>
  <c r="BS39" i="2" s="1"/>
  <c r="BU39" i="2" s="1"/>
  <c r="BM32" i="2"/>
  <c r="BS32" i="2" s="1"/>
  <c r="BU32" i="2" s="1"/>
  <c r="BM21" i="2"/>
  <c r="BS21" i="2" s="1"/>
  <c r="BU21" i="2" s="1"/>
  <c r="BM31" i="2"/>
  <c r="BS31" i="2" s="1"/>
  <c r="BU31" i="2" s="1"/>
  <c r="BS10" i="2"/>
  <c r="BU10" i="2" s="1"/>
  <c r="BE48" i="2"/>
  <c r="BK48" i="2" s="1"/>
  <c r="BE49" i="2"/>
  <c r="BK49" i="2" s="1"/>
  <c r="BE50" i="2"/>
  <c r="BK50" i="2" s="1"/>
  <c r="AO6" i="2"/>
  <c r="AT6" i="2" s="1"/>
  <c r="AX6" i="2" s="1"/>
  <c r="BC6" i="2" s="1"/>
  <c r="BE6" i="2" s="1"/>
  <c r="BK6" i="2" s="1"/>
  <c r="BM6" i="2" s="1"/>
  <c r="AO33" i="2"/>
  <c r="AT33" i="2" s="1"/>
  <c r="AX33" i="2" s="1"/>
  <c r="BC33" i="2" s="1"/>
  <c r="BE33" i="2" s="1"/>
  <c r="BK33" i="2" s="1"/>
  <c r="Y19" i="2"/>
  <c r="AD19" i="2" s="1"/>
  <c r="AG19" i="2" s="1"/>
  <c r="AL19" i="2" s="1"/>
  <c r="CH47" i="1"/>
  <c r="CF47" i="1"/>
  <c r="CG47" i="1"/>
  <c r="BY47" i="1"/>
  <c r="BZ47" i="1"/>
  <c r="BT47" i="1"/>
  <c r="BF8" i="1"/>
  <c r="BF47" i="1" s="1"/>
  <c r="BE13" i="1"/>
  <c r="BE42" i="1"/>
  <c r="BE25" i="1"/>
  <c r="BE8" i="1"/>
  <c r="BI47" i="1"/>
  <c r="BH47" i="1"/>
  <c r="BD47" i="1"/>
  <c r="AX8" i="1"/>
  <c r="AX47" i="1" s="1"/>
  <c r="AW47" i="1"/>
  <c r="AY47" i="1"/>
  <c r="BA47" i="1"/>
  <c r="BB47" i="1"/>
  <c r="AP8" i="1"/>
  <c r="AQ8" i="1"/>
  <c r="AQ47" i="1" s="1"/>
  <c r="AR47" i="1"/>
  <c r="AT47" i="1"/>
  <c r="AP47" i="1"/>
  <c r="AU47" i="1"/>
  <c r="AJ42" i="1"/>
  <c r="AK8" i="1"/>
  <c r="AK47" i="1" s="1"/>
  <c r="AJ17" i="1"/>
  <c r="AJ25" i="1"/>
  <c r="AJ8" i="1"/>
  <c r="AM47" i="1"/>
  <c r="AI47" i="1"/>
  <c r="AN47" i="1"/>
  <c r="AD37" i="1"/>
  <c r="AD42" i="1"/>
  <c r="AD20" i="1"/>
  <c r="AB47" i="1"/>
  <c r="AD8" i="1"/>
  <c r="AC47" i="1"/>
  <c r="AF47" i="1"/>
  <c r="AG47" i="1"/>
  <c r="V34" i="1"/>
  <c r="V8" i="1"/>
  <c r="X40" i="1"/>
  <c r="AA40" i="1" s="1"/>
  <c r="AE40" i="1" s="1"/>
  <c r="AH40" i="1" s="1"/>
  <c r="AL40" i="1" s="1"/>
  <c r="AO40" i="1" s="1"/>
  <c r="X41" i="1"/>
  <c r="AA41" i="1" s="1"/>
  <c r="AE41" i="1" s="1"/>
  <c r="AH41" i="1" s="1"/>
  <c r="AL41" i="1" s="1"/>
  <c r="AO41" i="1" s="1"/>
  <c r="U42" i="1"/>
  <c r="V17" i="1"/>
  <c r="V42" i="1"/>
  <c r="V46" i="1"/>
  <c r="U47" i="1"/>
  <c r="W47" i="1"/>
  <c r="Y47" i="1"/>
  <c r="Z47" i="1"/>
  <c r="K47" i="1"/>
  <c r="S47" i="1"/>
  <c r="J21" i="1"/>
  <c r="M21" i="1" s="1"/>
  <c r="P25" i="1"/>
  <c r="O33" i="1"/>
  <c r="O32" i="1"/>
  <c r="O28" i="1"/>
  <c r="O27" i="1"/>
  <c r="O26" i="1"/>
  <c r="O17" i="1"/>
  <c r="O10" i="1"/>
  <c r="O8" i="1"/>
  <c r="N37" i="1"/>
  <c r="N31" i="1"/>
  <c r="N25" i="1"/>
  <c r="N17" i="1"/>
  <c r="N10" i="1"/>
  <c r="P46" i="1"/>
  <c r="O46" i="1"/>
  <c r="P37" i="1"/>
  <c r="O37" i="1"/>
  <c r="P34" i="1"/>
  <c r="N34" i="1"/>
  <c r="P31" i="1"/>
  <c r="P20" i="1"/>
  <c r="P17" i="1"/>
  <c r="P10" i="1"/>
  <c r="P8" i="1"/>
  <c r="H46" i="1"/>
  <c r="H37" i="1"/>
  <c r="H34" i="1"/>
  <c r="H31" i="1"/>
  <c r="H25" i="1"/>
  <c r="H20" i="1"/>
  <c r="H17" i="1"/>
  <c r="H10" i="1"/>
  <c r="H8" i="1"/>
  <c r="J36" i="1"/>
  <c r="J24" i="1"/>
  <c r="J39" i="1"/>
  <c r="J35" i="1"/>
  <c r="J30" i="1"/>
  <c r="J29" i="1"/>
  <c r="J28" i="1"/>
  <c r="J27" i="1"/>
  <c r="J26" i="1"/>
  <c r="J12" i="1"/>
  <c r="J11" i="1"/>
  <c r="I10" i="1"/>
  <c r="J43" i="1"/>
  <c r="J23" i="1"/>
  <c r="J16" i="1"/>
  <c r="L43" i="2" l="1"/>
  <c r="H43" i="2"/>
  <c r="G43" i="2"/>
  <c r="K55" i="2"/>
  <c r="K34" i="2"/>
  <c r="K40" i="2" s="1"/>
  <c r="I34" i="2"/>
  <c r="I55" i="2"/>
  <c r="I40" i="2"/>
  <c r="CA32" i="2"/>
  <c r="CA10" i="2"/>
  <c r="CA39" i="2"/>
  <c r="CA27" i="2"/>
  <c r="CA57" i="2"/>
  <c r="CA31" i="2"/>
  <c r="CA16" i="2"/>
  <c r="CA59" i="2"/>
  <c r="CA45" i="2"/>
  <c r="CA38" i="2"/>
  <c r="CA21" i="2"/>
  <c r="BM49" i="2"/>
  <c r="BS49" i="2" s="1"/>
  <c r="BU49" i="2" s="1"/>
  <c r="BM50" i="2"/>
  <c r="BS50" i="2" s="1"/>
  <c r="BU50" i="2" s="1"/>
  <c r="BM33" i="2"/>
  <c r="BS33" i="2" s="1"/>
  <c r="BU33" i="2" s="1"/>
  <c r="BM48" i="2"/>
  <c r="BS48" i="2" s="1"/>
  <c r="BU48" i="2" s="1"/>
  <c r="BS6" i="2"/>
  <c r="BU6" i="2" s="1"/>
  <c r="AO19" i="2"/>
  <c r="AT19" i="2" s="1"/>
  <c r="AX19" i="2" s="1"/>
  <c r="BC19" i="2" s="1"/>
  <c r="BE19" i="2" s="1"/>
  <c r="BK19" i="2" s="1"/>
  <c r="CG48" i="1"/>
  <c r="AS41" i="1"/>
  <c r="AV41" i="1" s="1"/>
  <c r="AZ41" i="1" s="1"/>
  <c r="BC41" i="1" s="1"/>
  <c r="BG41" i="1" s="1"/>
  <c r="BJ41" i="1" s="1"/>
  <c r="BN41" i="1" s="1"/>
  <c r="BQ41" i="1" s="1"/>
  <c r="BU41" i="1" s="1"/>
  <c r="BX41" i="1" s="1"/>
  <c r="CB41" i="1" s="1"/>
  <c r="CE41" i="1" s="1"/>
  <c r="CI41" i="1" s="1"/>
  <c r="Q21" i="1"/>
  <c r="T21" i="1" s="1"/>
  <c r="X21" i="1" s="1"/>
  <c r="AA21" i="1" s="1"/>
  <c r="AE21" i="1" s="1"/>
  <c r="AH21" i="1" s="1"/>
  <c r="AL21" i="1" s="1"/>
  <c r="AO21" i="1" s="1"/>
  <c r="AS21" i="1" s="1"/>
  <c r="AV21" i="1" s="1"/>
  <c r="AS40" i="1"/>
  <c r="AV40" i="1" s="1"/>
  <c r="AZ40" i="1" s="1"/>
  <c r="BC40" i="1" s="1"/>
  <c r="BG40" i="1" s="1"/>
  <c r="BJ40" i="1" s="1"/>
  <c r="BN40" i="1" s="1"/>
  <c r="BQ40" i="1" s="1"/>
  <c r="BU40" i="1" s="1"/>
  <c r="BX40" i="1" s="1"/>
  <c r="CB40" i="1" s="1"/>
  <c r="CE40" i="1" s="1"/>
  <c r="CI40" i="1" s="1"/>
  <c r="BE47" i="1"/>
  <c r="J13" i="1"/>
  <c r="AJ47" i="1"/>
  <c r="AD47" i="1"/>
  <c r="V47" i="1"/>
  <c r="M28" i="1"/>
  <c r="M39" i="1"/>
  <c r="M16" i="1"/>
  <c r="M11" i="1"/>
  <c r="M29" i="1"/>
  <c r="M23" i="1"/>
  <c r="L25" i="1"/>
  <c r="M12" i="1"/>
  <c r="M26" i="1"/>
  <c r="L31" i="1"/>
  <c r="M30" i="1"/>
  <c r="M24" i="1"/>
  <c r="M43" i="1"/>
  <c r="M27" i="1"/>
  <c r="M35" i="1"/>
  <c r="M36" i="1"/>
  <c r="O34" i="1"/>
  <c r="O25" i="1"/>
  <c r="O31" i="1"/>
  <c r="O20" i="1"/>
  <c r="N20" i="1"/>
  <c r="N8" i="1"/>
  <c r="N46" i="1"/>
  <c r="P47" i="1"/>
  <c r="H47" i="1"/>
  <c r="J18" i="1"/>
  <c r="J14" i="1"/>
  <c r="J38" i="1"/>
  <c r="L42" i="1" s="1"/>
  <c r="J6" i="1"/>
  <c r="J15" i="1"/>
  <c r="J44" i="1"/>
  <c r="J7" i="1"/>
  <c r="J19" i="1"/>
  <c r="J33" i="1"/>
  <c r="J45" i="1"/>
  <c r="J9" i="1"/>
  <c r="J5" i="1"/>
  <c r="I34" i="1"/>
  <c r="J32" i="1"/>
  <c r="I17" i="1"/>
  <c r="I8" i="1"/>
  <c r="I20" i="1"/>
  <c r="I31" i="1"/>
  <c r="I37" i="1"/>
  <c r="I46" i="1"/>
  <c r="I25" i="1"/>
  <c r="G46" i="1"/>
  <c r="G20" i="1"/>
  <c r="G10" i="1"/>
  <c r="F10" i="1"/>
  <c r="G37" i="1"/>
  <c r="K43" i="2" l="1"/>
  <c r="I43" i="2"/>
  <c r="L46" i="2"/>
  <c r="L68" i="2" s="1"/>
  <c r="L69" i="2" s="1"/>
  <c r="H46" i="2"/>
  <c r="H68" i="2" s="1"/>
  <c r="H69" i="2" s="1"/>
  <c r="G46" i="2"/>
  <c r="G68" i="2" s="1"/>
  <c r="G69" i="2" s="1"/>
  <c r="CA48" i="2"/>
  <c r="CA33" i="2"/>
  <c r="CA49" i="2"/>
  <c r="CA50" i="2"/>
  <c r="CA6" i="2"/>
  <c r="BM19" i="2"/>
  <c r="BS19" i="2" s="1"/>
  <c r="BU19" i="2" s="1"/>
  <c r="Q36" i="1"/>
  <c r="T36" i="1" s="1"/>
  <c r="X36" i="1" s="1"/>
  <c r="AA36" i="1" s="1"/>
  <c r="AE36" i="1" s="1"/>
  <c r="AH36" i="1" s="1"/>
  <c r="AL36" i="1" s="1"/>
  <c r="AO36" i="1" s="1"/>
  <c r="AS36" i="1" s="1"/>
  <c r="AV36" i="1" s="1"/>
  <c r="AZ36" i="1" s="1"/>
  <c r="BC36" i="1" s="1"/>
  <c r="BG36" i="1" s="1"/>
  <c r="BJ36" i="1" s="1"/>
  <c r="BN36" i="1" s="1"/>
  <c r="BQ36" i="1" s="1"/>
  <c r="BU36" i="1" s="1"/>
  <c r="BX36" i="1" s="1"/>
  <c r="CB36" i="1" s="1"/>
  <c r="CE36" i="1" s="1"/>
  <c r="CI36" i="1" s="1"/>
  <c r="Q24" i="1"/>
  <c r="T24" i="1" s="1"/>
  <c r="X24" i="1" s="1"/>
  <c r="AA24" i="1" s="1"/>
  <c r="AE24" i="1" s="1"/>
  <c r="AH24" i="1" s="1"/>
  <c r="AL24" i="1" s="1"/>
  <c r="AO24" i="1" s="1"/>
  <c r="Q12" i="1"/>
  <c r="Q30" i="1"/>
  <c r="T30" i="1" s="1"/>
  <c r="X30" i="1" s="1"/>
  <c r="AA30" i="1" s="1"/>
  <c r="AE30" i="1" s="1"/>
  <c r="AH30" i="1" s="1"/>
  <c r="AL30" i="1" s="1"/>
  <c r="AO30" i="1" s="1"/>
  <c r="AS30" i="1" s="1"/>
  <c r="AV30" i="1" s="1"/>
  <c r="AZ30" i="1" s="1"/>
  <c r="BC30" i="1" s="1"/>
  <c r="BG30" i="1" s="1"/>
  <c r="BJ30" i="1" s="1"/>
  <c r="BN30" i="1" s="1"/>
  <c r="BQ30" i="1" s="1"/>
  <c r="BU30" i="1" s="1"/>
  <c r="BX30" i="1" s="1"/>
  <c r="CB30" i="1" s="1"/>
  <c r="CE30" i="1" s="1"/>
  <c r="CI30" i="1" s="1"/>
  <c r="Q16" i="1"/>
  <c r="T16" i="1" s="1"/>
  <c r="X16" i="1" s="1"/>
  <c r="AA16" i="1" s="1"/>
  <c r="AE16" i="1" s="1"/>
  <c r="AH16" i="1" s="1"/>
  <c r="AL16" i="1" s="1"/>
  <c r="AO16" i="1" s="1"/>
  <c r="Q27" i="1"/>
  <c r="T27" i="1" s="1"/>
  <c r="X27" i="1" s="1"/>
  <c r="AA27" i="1" s="1"/>
  <c r="AE27" i="1" s="1"/>
  <c r="AH27" i="1" s="1"/>
  <c r="AL27" i="1" s="1"/>
  <c r="AO27" i="1" s="1"/>
  <c r="AS27" i="1" s="1"/>
  <c r="AV27" i="1" s="1"/>
  <c r="AZ27" i="1" s="1"/>
  <c r="BC27" i="1" s="1"/>
  <c r="BG27" i="1" s="1"/>
  <c r="BJ27" i="1" s="1"/>
  <c r="BN27" i="1" s="1"/>
  <c r="BQ27" i="1" s="1"/>
  <c r="Q39" i="1"/>
  <c r="T39" i="1" s="1"/>
  <c r="X39" i="1" s="1"/>
  <c r="AA39" i="1" s="1"/>
  <c r="AE39" i="1" s="1"/>
  <c r="AH39" i="1" s="1"/>
  <c r="AL39" i="1" s="1"/>
  <c r="AO39" i="1" s="1"/>
  <c r="AS39" i="1" s="1"/>
  <c r="AV39" i="1" s="1"/>
  <c r="AZ39" i="1" s="1"/>
  <c r="BC39" i="1" s="1"/>
  <c r="BG39" i="1" s="1"/>
  <c r="BJ39" i="1" s="1"/>
  <c r="BN39" i="1" s="1"/>
  <c r="BQ39" i="1" s="1"/>
  <c r="BU39" i="1" s="1"/>
  <c r="BX39" i="1" s="1"/>
  <c r="CB39" i="1" s="1"/>
  <c r="CE39" i="1" s="1"/>
  <c r="CI39" i="1" s="1"/>
  <c r="Q29" i="1"/>
  <c r="T29" i="1" s="1"/>
  <c r="X29" i="1" s="1"/>
  <c r="AA29" i="1" s="1"/>
  <c r="AE29" i="1" s="1"/>
  <c r="AH29" i="1" s="1"/>
  <c r="AL29" i="1" s="1"/>
  <c r="AO29" i="1" s="1"/>
  <c r="AS29" i="1" s="1"/>
  <c r="AV29" i="1" s="1"/>
  <c r="AZ29" i="1" s="1"/>
  <c r="BC29" i="1" s="1"/>
  <c r="BG29" i="1" s="1"/>
  <c r="BJ29" i="1" s="1"/>
  <c r="BN29" i="1" s="1"/>
  <c r="BQ29" i="1" s="1"/>
  <c r="BU29" i="1" s="1"/>
  <c r="BX29" i="1" s="1"/>
  <c r="CB29" i="1" s="1"/>
  <c r="CE29" i="1" s="1"/>
  <c r="CI29" i="1" s="1"/>
  <c r="Q28" i="1"/>
  <c r="T28" i="1" s="1"/>
  <c r="X28" i="1" s="1"/>
  <c r="AA28" i="1" s="1"/>
  <c r="AE28" i="1" s="1"/>
  <c r="AH28" i="1" s="1"/>
  <c r="AL28" i="1" s="1"/>
  <c r="AO28" i="1" s="1"/>
  <c r="AS28" i="1" s="1"/>
  <c r="AV28" i="1" s="1"/>
  <c r="AZ28" i="1" s="1"/>
  <c r="BC28" i="1" s="1"/>
  <c r="BG28" i="1" s="1"/>
  <c r="BJ28" i="1" s="1"/>
  <c r="BN28" i="1" s="1"/>
  <c r="BQ28" i="1" s="1"/>
  <c r="BU28" i="1" s="1"/>
  <c r="BX28" i="1" s="1"/>
  <c r="CB28" i="1" s="1"/>
  <c r="CE28" i="1" s="1"/>
  <c r="CI28" i="1" s="1"/>
  <c r="F37" i="2" s="1"/>
  <c r="J37" i="2" s="1"/>
  <c r="AZ21" i="1"/>
  <c r="BC21" i="1" s="1"/>
  <c r="BG21" i="1" s="1"/>
  <c r="BJ21" i="1" s="1"/>
  <c r="M13" i="1"/>
  <c r="T12" i="1"/>
  <c r="X12" i="1" s="1"/>
  <c r="AA12" i="1" s="1"/>
  <c r="AE12" i="1" s="1"/>
  <c r="AH12" i="1" s="1"/>
  <c r="AL12" i="1" s="1"/>
  <c r="AO12" i="1" s="1"/>
  <c r="AS12" i="1" s="1"/>
  <c r="AV12" i="1" s="1"/>
  <c r="AZ12" i="1" s="1"/>
  <c r="BC12" i="1" s="1"/>
  <c r="BG12" i="1" s="1"/>
  <c r="BJ12" i="1" s="1"/>
  <c r="BN12" i="1" s="1"/>
  <c r="BQ12" i="1" s="1"/>
  <c r="BU12" i="1" s="1"/>
  <c r="BX12" i="1" s="1"/>
  <c r="CB12" i="1" s="1"/>
  <c r="CE12" i="1" s="1"/>
  <c r="CI12" i="1" s="1"/>
  <c r="M31" i="1"/>
  <c r="M25" i="1"/>
  <c r="Q11" i="1"/>
  <c r="R46" i="1"/>
  <c r="Q43" i="1"/>
  <c r="T43" i="1" s="1"/>
  <c r="M37" i="1"/>
  <c r="M9" i="1"/>
  <c r="L10" i="1"/>
  <c r="M7" i="1"/>
  <c r="M32" i="1"/>
  <c r="L34" i="1"/>
  <c r="M45" i="1"/>
  <c r="M44" i="1"/>
  <c r="M14" i="1"/>
  <c r="L17" i="1"/>
  <c r="Q35" i="1"/>
  <c r="T35" i="1" s="1"/>
  <c r="L46" i="1"/>
  <c r="M33" i="1"/>
  <c r="M15" i="1"/>
  <c r="M18" i="1"/>
  <c r="Q23" i="1"/>
  <c r="T23" i="1" s="1"/>
  <c r="Q26" i="1"/>
  <c r="T26" i="1" s="1"/>
  <c r="M5" i="1"/>
  <c r="M19" i="1"/>
  <c r="M6" i="1"/>
  <c r="L37" i="1"/>
  <c r="L20" i="1"/>
  <c r="M38" i="1"/>
  <c r="J42" i="1"/>
  <c r="R37" i="1"/>
  <c r="R25" i="1"/>
  <c r="R31" i="1"/>
  <c r="O47" i="1"/>
  <c r="N47" i="1"/>
  <c r="I47" i="1"/>
  <c r="F37" i="1"/>
  <c r="F8" i="1"/>
  <c r="F17" i="1"/>
  <c r="F25" i="1"/>
  <c r="F34" i="1"/>
  <c r="F46" i="1"/>
  <c r="F31" i="1"/>
  <c r="F20" i="1"/>
  <c r="G8" i="1"/>
  <c r="K46" i="2" l="1"/>
  <c r="K68" i="2"/>
  <c r="K69" i="2" s="1"/>
  <c r="I46" i="2"/>
  <c r="I68" i="2" s="1"/>
  <c r="I69" i="2" s="1"/>
  <c r="CA19" i="2"/>
  <c r="M37" i="2"/>
  <c r="Q37" i="2" s="1"/>
  <c r="S37" i="2" s="1"/>
  <c r="W37" i="2" s="1"/>
  <c r="Y37" i="2" s="1"/>
  <c r="AD37" i="2" s="1"/>
  <c r="AG37" i="2" s="1"/>
  <c r="AL37" i="2" s="1"/>
  <c r="AO37" i="2" s="1"/>
  <c r="AT37" i="2" s="1"/>
  <c r="AX37" i="2" s="1"/>
  <c r="BC37" i="2" s="1"/>
  <c r="BE37" i="2" s="1"/>
  <c r="BK37" i="2" s="1"/>
  <c r="BU27" i="1"/>
  <c r="BX27" i="1" s="1"/>
  <c r="AS16" i="1"/>
  <c r="AV16" i="1" s="1"/>
  <c r="AZ16" i="1" s="1"/>
  <c r="BC16" i="1" s="1"/>
  <c r="BG16" i="1" s="1"/>
  <c r="BJ16" i="1" s="1"/>
  <c r="BN16" i="1" s="1"/>
  <c r="BQ16" i="1" s="1"/>
  <c r="BU16" i="1" s="1"/>
  <c r="BX16" i="1" s="1"/>
  <c r="CB16" i="1" s="1"/>
  <c r="CE16" i="1" s="1"/>
  <c r="CI16" i="1" s="1"/>
  <c r="AS24" i="1"/>
  <c r="AV24" i="1" s="1"/>
  <c r="AZ24" i="1" s="1"/>
  <c r="BC24" i="1" s="1"/>
  <c r="BG24" i="1" s="1"/>
  <c r="BJ24" i="1" s="1"/>
  <c r="BN24" i="1" s="1"/>
  <c r="BQ24" i="1" s="1"/>
  <c r="BU24" i="1" s="1"/>
  <c r="BX24" i="1" s="1"/>
  <c r="CB24" i="1" s="1"/>
  <c r="CE24" i="1" s="1"/>
  <c r="CI24" i="1" s="1"/>
  <c r="Q44" i="1"/>
  <c r="T44" i="1" s="1"/>
  <c r="Q7" i="1"/>
  <c r="Q19" i="1"/>
  <c r="T19" i="1" s="1"/>
  <c r="X19" i="1" s="1"/>
  <c r="AA19" i="1" s="1"/>
  <c r="AE19" i="1" s="1"/>
  <c r="Q18" i="1"/>
  <c r="T18" i="1" s="1"/>
  <c r="Q45" i="1"/>
  <c r="T45" i="1" s="1"/>
  <c r="X45" i="1" s="1"/>
  <c r="AA45" i="1" s="1"/>
  <c r="AE45" i="1" s="1"/>
  <c r="AH45" i="1" s="1"/>
  <c r="AL45" i="1" s="1"/>
  <c r="AO45" i="1" s="1"/>
  <c r="AS45" i="1" s="1"/>
  <c r="AV45" i="1" s="1"/>
  <c r="AZ45" i="1" s="1"/>
  <c r="BC45" i="1" s="1"/>
  <c r="BG45" i="1" s="1"/>
  <c r="BJ45" i="1" s="1"/>
  <c r="BN45" i="1" s="1"/>
  <c r="BQ45" i="1" s="1"/>
  <c r="Q15" i="1"/>
  <c r="T15" i="1" s="1"/>
  <c r="X15" i="1" s="1"/>
  <c r="AA15" i="1" s="1"/>
  <c r="AE15" i="1" s="1"/>
  <c r="AH15" i="1" s="1"/>
  <c r="AL15" i="1" s="1"/>
  <c r="AO15" i="1" s="1"/>
  <c r="M10" i="1"/>
  <c r="Q6" i="1"/>
  <c r="T6" i="1" s="1"/>
  <c r="X6" i="1" s="1"/>
  <c r="AA6" i="1" s="1"/>
  <c r="AE6" i="1" s="1"/>
  <c r="AH6" i="1" s="1"/>
  <c r="M34" i="1"/>
  <c r="Q14" i="1"/>
  <c r="T14" i="1" s="1"/>
  <c r="X14" i="1" s="1"/>
  <c r="AA14" i="1" s="1"/>
  <c r="AE14" i="1" s="1"/>
  <c r="AH14" i="1" s="1"/>
  <c r="Q32" i="1"/>
  <c r="T32" i="1" s="1"/>
  <c r="X32" i="1" s="1"/>
  <c r="AA32" i="1" s="1"/>
  <c r="AE32" i="1" s="1"/>
  <c r="Q5" i="1"/>
  <c r="T5" i="1" s="1"/>
  <c r="BN21" i="1"/>
  <c r="BQ21" i="1" s="1"/>
  <c r="BU21" i="1" s="1"/>
  <c r="BX21" i="1" s="1"/>
  <c r="T11" i="1"/>
  <c r="T13" i="1" s="1"/>
  <c r="Q13" i="1"/>
  <c r="Q37" i="1"/>
  <c r="Q25" i="1"/>
  <c r="X43" i="1"/>
  <c r="AA43" i="1" s="1"/>
  <c r="AE43" i="1" s="1"/>
  <c r="AH43" i="1" s="1"/>
  <c r="R20" i="1"/>
  <c r="X35" i="1"/>
  <c r="T37" i="1"/>
  <c r="R8" i="1"/>
  <c r="Q31" i="1"/>
  <c r="Q9" i="1"/>
  <c r="T9" i="1" s="1"/>
  <c r="Q33" i="1"/>
  <c r="T33" i="1" s="1"/>
  <c r="M8" i="1"/>
  <c r="M46" i="1"/>
  <c r="M20" i="1"/>
  <c r="M17" i="1"/>
  <c r="L8" i="1"/>
  <c r="L47" i="1" s="1"/>
  <c r="Q38" i="1"/>
  <c r="T38" i="1" s="1"/>
  <c r="M42" i="1"/>
  <c r="R34" i="1"/>
  <c r="R17" i="1"/>
  <c r="R10" i="1"/>
  <c r="F47" i="1"/>
  <c r="G34" i="1"/>
  <c r="G17" i="1"/>
  <c r="G25" i="1"/>
  <c r="G31" i="1"/>
  <c r="J37" i="1"/>
  <c r="BM37" i="2" l="1"/>
  <c r="BS37" i="2" s="1"/>
  <c r="BU37" i="2" s="1"/>
  <c r="BU45" i="1"/>
  <c r="BX45" i="1" s="1"/>
  <c r="CB45" i="1" s="1"/>
  <c r="CE45" i="1" s="1"/>
  <c r="CI45" i="1" s="1"/>
  <c r="T46" i="1"/>
  <c r="CB21" i="1"/>
  <c r="CE21" i="1" s="1"/>
  <c r="CB27" i="1"/>
  <c r="CE27" i="1" s="1"/>
  <c r="CI27" i="1" s="1"/>
  <c r="F36" i="2" s="1"/>
  <c r="J36" i="2" s="1"/>
  <c r="Q8" i="1"/>
  <c r="Q46" i="1"/>
  <c r="T7" i="1"/>
  <c r="X7" i="1" s="1"/>
  <c r="AA7" i="1" s="1"/>
  <c r="AE7" i="1" s="1"/>
  <c r="AH7" i="1" s="1"/>
  <c r="AL7" i="1" s="1"/>
  <c r="AO7" i="1" s="1"/>
  <c r="AS7" i="1" s="1"/>
  <c r="AV7" i="1" s="1"/>
  <c r="AZ7" i="1" s="1"/>
  <c r="BC7" i="1" s="1"/>
  <c r="BG7" i="1" s="1"/>
  <c r="BJ7" i="1" s="1"/>
  <c r="BN7" i="1" s="1"/>
  <c r="BQ7" i="1" s="1"/>
  <c r="BU7" i="1" s="1"/>
  <c r="BX7" i="1" s="1"/>
  <c r="CB7" i="1" s="1"/>
  <c r="CE7" i="1" s="1"/>
  <c r="CI7" i="1" s="1"/>
  <c r="Q20" i="1"/>
  <c r="AS15" i="1"/>
  <c r="AV15" i="1" s="1"/>
  <c r="AZ15" i="1" s="1"/>
  <c r="BC15" i="1" s="1"/>
  <c r="BG15" i="1" s="1"/>
  <c r="BJ15" i="1" s="1"/>
  <c r="BN15" i="1" s="1"/>
  <c r="BQ15" i="1" s="1"/>
  <c r="BU15" i="1" s="1"/>
  <c r="BX15" i="1" s="1"/>
  <c r="CB15" i="1" s="1"/>
  <c r="CE15" i="1" s="1"/>
  <c r="CI15" i="1" s="1"/>
  <c r="Q17" i="1"/>
  <c r="AH17" i="1"/>
  <c r="AL14" i="1"/>
  <c r="AH19" i="1"/>
  <c r="AL19" i="1" s="1"/>
  <c r="AO19" i="1" s="1"/>
  <c r="AL6" i="1"/>
  <c r="AO6" i="1" s="1"/>
  <c r="AH32" i="1"/>
  <c r="AL43" i="1"/>
  <c r="AO43" i="1" s="1"/>
  <c r="AE17" i="1"/>
  <c r="T17" i="1"/>
  <c r="AA17" i="1"/>
  <c r="X44" i="1"/>
  <c r="AA44" i="1" s="1"/>
  <c r="X37" i="1"/>
  <c r="AA35" i="1"/>
  <c r="AE35" i="1" s="1"/>
  <c r="T8" i="1"/>
  <c r="X17" i="1"/>
  <c r="Q42" i="1"/>
  <c r="Q10" i="1"/>
  <c r="X26" i="1"/>
  <c r="T31" i="1"/>
  <c r="X5" i="1"/>
  <c r="X9" i="1"/>
  <c r="T10" i="1"/>
  <c r="X18" i="1"/>
  <c r="T20" i="1"/>
  <c r="X23" i="1"/>
  <c r="T25" i="1"/>
  <c r="Q34" i="1"/>
  <c r="X11" i="1"/>
  <c r="X13" i="1" s="1"/>
  <c r="M47" i="1"/>
  <c r="R47" i="1"/>
  <c r="G47" i="1"/>
  <c r="CA37" i="2" l="1"/>
  <c r="M36" i="2"/>
  <c r="Q36" i="2" s="1"/>
  <c r="S36" i="2" s="1"/>
  <c r="W36" i="2" s="1"/>
  <c r="Y36" i="2" s="1"/>
  <c r="AD36" i="2" s="1"/>
  <c r="AG36" i="2" s="1"/>
  <c r="AL36" i="2" s="1"/>
  <c r="CI21" i="1"/>
  <c r="AS6" i="1"/>
  <c r="AV6" i="1" s="1"/>
  <c r="AZ6" i="1" s="1"/>
  <c r="BC6" i="1" s="1"/>
  <c r="BG6" i="1" s="1"/>
  <c r="BJ6" i="1" s="1"/>
  <c r="BN6" i="1" s="1"/>
  <c r="BQ6" i="1" s="1"/>
  <c r="BU6" i="1" s="1"/>
  <c r="BX6" i="1" s="1"/>
  <c r="CB6" i="1" s="1"/>
  <c r="CE6" i="1" s="1"/>
  <c r="CI6" i="1" s="1"/>
  <c r="AS19" i="1"/>
  <c r="AV19" i="1" s="1"/>
  <c r="AZ19" i="1" s="1"/>
  <c r="BC19" i="1" s="1"/>
  <c r="BG19" i="1" s="1"/>
  <c r="BJ19" i="1" s="1"/>
  <c r="BN19" i="1" s="1"/>
  <c r="BQ19" i="1" s="1"/>
  <c r="BU19" i="1" s="1"/>
  <c r="BX19" i="1" s="1"/>
  <c r="CB19" i="1" s="1"/>
  <c r="CE19" i="1" s="1"/>
  <c r="CI19" i="1" s="1"/>
  <c r="AS43" i="1"/>
  <c r="AV43" i="1" s="1"/>
  <c r="AZ43" i="1" s="1"/>
  <c r="BC43" i="1" s="1"/>
  <c r="BG43" i="1" s="1"/>
  <c r="BJ43" i="1" s="1"/>
  <c r="AL17" i="1"/>
  <c r="AO14" i="1"/>
  <c r="AE37" i="1"/>
  <c r="AH35" i="1"/>
  <c r="AL32" i="1"/>
  <c r="AO32" i="1" s="1"/>
  <c r="AA46" i="1"/>
  <c r="AE44" i="1"/>
  <c r="X46" i="1"/>
  <c r="X31" i="1"/>
  <c r="AA26" i="1"/>
  <c r="AE26" i="1" s="1"/>
  <c r="X25" i="1"/>
  <c r="AA23" i="1"/>
  <c r="AA11" i="1"/>
  <c r="X8" i="1"/>
  <c r="AA5" i="1"/>
  <c r="AA37" i="1"/>
  <c r="X10" i="1"/>
  <c r="AA9" i="1"/>
  <c r="Q47" i="1"/>
  <c r="X20" i="1"/>
  <c r="AA18" i="1"/>
  <c r="X33" i="1"/>
  <c r="T34" i="1"/>
  <c r="X38" i="1"/>
  <c r="T42" i="1"/>
  <c r="J46" i="1"/>
  <c r="J34" i="1"/>
  <c r="AO36" i="2" l="1"/>
  <c r="AT36" i="2" s="1"/>
  <c r="AX36" i="2" s="1"/>
  <c r="BC36" i="2" s="1"/>
  <c r="BE36" i="2" s="1"/>
  <c r="BK36" i="2" s="1"/>
  <c r="BN43" i="1"/>
  <c r="BQ43" i="1" s="1"/>
  <c r="AO17" i="1"/>
  <c r="AS14" i="1"/>
  <c r="AS32" i="1"/>
  <c r="AV32" i="1" s="1"/>
  <c r="AE11" i="1"/>
  <c r="AE13" i="1" s="1"/>
  <c r="AA13" i="1"/>
  <c r="AL35" i="1"/>
  <c r="AH37" i="1"/>
  <c r="AA8" i="1"/>
  <c r="AE5" i="1"/>
  <c r="AA10" i="1"/>
  <c r="AE9" i="1"/>
  <c r="AE46" i="1"/>
  <c r="AH44" i="1"/>
  <c r="AA20" i="1"/>
  <c r="AE18" i="1"/>
  <c r="AH11" i="1"/>
  <c r="AH13" i="1" s="1"/>
  <c r="AE31" i="1"/>
  <c r="AH26" i="1"/>
  <c r="AA25" i="1"/>
  <c r="AE23" i="1"/>
  <c r="X34" i="1"/>
  <c r="AA33" i="1"/>
  <c r="AE33" i="1" s="1"/>
  <c r="AA31" i="1"/>
  <c r="X42" i="1"/>
  <c r="AA38" i="1"/>
  <c r="AE38" i="1" s="1"/>
  <c r="T47" i="1"/>
  <c r="J8" i="1"/>
  <c r="J25" i="1"/>
  <c r="J31" i="1"/>
  <c r="BM36" i="2" l="1"/>
  <c r="BS36" i="2" s="1"/>
  <c r="BU36" i="2" s="1"/>
  <c r="BU43" i="1"/>
  <c r="BX43" i="1" s="1"/>
  <c r="CB43" i="1" s="1"/>
  <c r="CE43" i="1" s="1"/>
  <c r="AZ32" i="1"/>
  <c r="BC32" i="1" s="1"/>
  <c r="BG32" i="1" s="1"/>
  <c r="BJ32" i="1" s="1"/>
  <c r="AS17" i="1"/>
  <c r="AV14" i="1"/>
  <c r="AL37" i="1"/>
  <c r="AO35" i="1"/>
  <c r="AL11" i="1"/>
  <c r="AH38" i="1"/>
  <c r="AE42" i="1"/>
  <c r="AL26" i="1"/>
  <c r="AH31" i="1"/>
  <c r="AH18" i="1"/>
  <c r="AE20" i="1"/>
  <c r="AL44" i="1"/>
  <c r="AH46" i="1"/>
  <c r="AE10" i="1"/>
  <c r="AH9" i="1"/>
  <c r="AH33" i="1"/>
  <c r="AE34" i="1"/>
  <c r="AH5" i="1"/>
  <c r="AE8" i="1"/>
  <c r="AE25" i="1"/>
  <c r="AH23" i="1"/>
  <c r="X47" i="1"/>
  <c r="AA34" i="1"/>
  <c r="AA42" i="1"/>
  <c r="J20" i="1"/>
  <c r="J10" i="1"/>
  <c r="J17" i="1"/>
  <c r="CA36" i="2" l="1"/>
  <c r="CI43" i="1"/>
  <c r="BN32" i="1"/>
  <c r="BQ32" i="1" s="1"/>
  <c r="AZ14" i="1"/>
  <c r="AV17" i="1"/>
  <c r="AL13" i="1"/>
  <c r="AO11" i="1"/>
  <c r="AL46" i="1"/>
  <c r="AO44" i="1"/>
  <c r="AL31" i="1"/>
  <c r="AO26" i="1"/>
  <c r="AO37" i="1"/>
  <c r="AS35" i="1"/>
  <c r="AH25" i="1"/>
  <c r="AL23" i="1"/>
  <c r="AE47" i="1"/>
  <c r="AL33" i="1"/>
  <c r="AH34" i="1"/>
  <c r="AH10" i="1"/>
  <c r="AL9" i="1"/>
  <c r="AL5" i="1"/>
  <c r="AH8" i="1"/>
  <c r="AH20" i="1"/>
  <c r="AL18" i="1"/>
  <c r="AH42" i="1"/>
  <c r="AL38" i="1"/>
  <c r="AA47" i="1"/>
  <c r="J47" i="1"/>
  <c r="BU32" i="1" l="1"/>
  <c r="BX32" i="1" s="1"/>
  <c r="AZ17" i="1"/>
  <c r="BC14" i="1"/>
  <c r="BG14" i="1" s="1"/>
  <c r="BJ14" i="1" s="1"/>
  <c r="AS37" i="1"/>
  <c r="AV35" i="1"/>
  <c r="AL8" i="1"/>
  <c r="AO5" i="1"/>
  <c r="AL34" i="1"/>
  <c r="AO33" i="1"/>
  <c r="AO46" i="1"/>
  <c r="AS44" i="1"/>
  <c r="AL20" i="1"/>
  <c r="AO18" i="1"/>
  <c r="AL10" i="1"/>
  <c r="AO9" i="1"/>
  <c r="AL25" i="1"/>
  <c r="AO23" i="1"/>
  <c r="AO31" i="1"/>
  <c r="AS26" i="1"/>
  <c r="AO13" i="1"/>
  <c r="AS11" i="1"/>
  <c r="AL42" i="1"/>
  <c r="AO38" i="1"/>
  <c r="AH47" i="1"/>
  <c r="CB32" i="1" l="1"/>
  <c r="CE32" i="1" s="1"/>
  <c r="BJ17" i="1"/>
  <c r="BN14" i="1"/>
  <c r="BG17" i="1"/>
  <c r="BC17" i="1"/>
  <c r="AS46" i="1"/>
  <c r="AV44" i="1"/>
  <c r="AZ35" i="1"/>
  <c r="AV37" i="1"/>
  <c r="AS31" i="1"/>
  <c r="AV26" i="1"/>
  <c r="AS13" i="1"/>
  <c r="AV11" i="1"/>
  <c r="AL47" i="1"/>
  <c r="AO25" i="1"/>
  <c r="AS23" i="1"/>
  <c r="AS18" i="1"/>
  <c r="AO20" i="1"/>
  <c r="AS33" i="1"/>
  <c r="AO34" i="1"/>
  <c r="AS38" i="1"/>
  <c r="AO42" i="1"/>
  <c r="AO10" i="1"/>
  <c r="AS9" i="1"/>
  <c r="AO8" i="1"/>
  <c r="AS5" i="1"/>
  <c r="CI32" i="1" l="1"/>
  <c r="F41" i="2" s="1"/>
  <c r="BN17" i="1"/>
  <c r="BQ14" i="1"/>
  <c r="AZ37" i="1"/>
  <c r="BC35" i="1"/>
  <c r="BG35" i="1" s="1"/>
  <c r="BJ35" i="1" s="1"/>
  <c r="AS20" i="1"/>
  <c r="AV18" i="1"/>
  <c r="AS10" i="1"/>
  <c r="AV9" i="1"/>
  <c r="AS25" i="1"/>
  <c r="AV23" i="1"/>
  <c r="AS34" i="1"/>
  <c r="AV33" i="1"/>
  <c r="AZ26" i="1"/>
  <c r="AV31" i="1"/>
  <c r="AZ44" i="1"/>
  <c r="AV46" i="1"/>
  <c r="AS42" i="1"/>
  <c r="AV38" i="1"/>
  <c r="AZ11" i="1"/>
  <c r="AV13" i="1"/>
  <c r="AS8" i="1"/>
  <c r="AV5" i="1"/>
  <c r="AO47" i="1"/>
  <c r="BU14" i="1" l="1"/>
  <c r="BQ17" i="1"/>
  <c r="BJ37" i="1"/>
  <c r="BN35" i="1"/>
  <c r="AS47" i="1"/>
  <c r="AZ31" i="1"/>
  <c r="BC26" i="1"/>
  <c r="BG26" i="1" s="1"/>
  <c r="BJ26" i="1" s="1"/>
  <c r="BC37" i="1"/>
  <c r="BG37" i="1"/>
  <c r="AZ13" i="1"/>
  <c r="BC11" i="1"/>
  <c r="BG11" i="1" s="1"/>
  <c r="BJ11" i="1" s="1"/>
  <c r="AZ46" i="1"/>
  <c r="BC44" i="1"/>
  <c r="BG44" i="1" s="1"/>
  <c r="BJ44" i="1" s="1"/>
  <c r="AZ33" i="1"/>
  <c r="AV34" i="1"/>
  <c r="AZ9" i="1"/>
  <c r="AV10" i="1"/>
  <c r="AZ23" i="1"/>
  <c r="AV25" i="1"/>
  <c r="AV20" i="1"/>
  <c r="AZ18" i="1"/>
  <c r="AZ5" i="1"/>
  <c r="AV8" i="1"/>
  <c r="AZ38" i="1"/>
  <c r="AV42" i="1"/>
  <c r="BU17" i="1" l="1"/>
  <c r="BX14" i="1"/>
  <c r="BN37" i="1"/>
  <c r="BQ35" i="1"/>
  <c r="BN44" i="1"/>
  <c r="BJ46" i="1"/>
  <c r="BN11" i="1"/>
  <c r="BJ13" i="1"/>
  <c r="BJ31" i="1"/>
  <c r="BN26" i="1"/>
  <c r="BG46" i="1"/>
  <c r="BC46" i="1"/>
  <c r="AZ42" i="1"/>
  <c r="BC38" i="1"/>
  <c r="BG38" i="1" s="1"/>
  <c r="BJ38" i="1" s="1"/>
  <c r="BC13" i="1"/>
  <c r="BG13" i="1"/>
  <c r="BG31" i="1"/>
  <c r="BC31" i="1"/>
  <c r="AZ20" i="1"/>
  <c r="BC18" i="1"/>
  <c r="BG18" i="1" s="1"/>
  <c r="BJ18" i="1" s="1"/>
  <c r="AZ10" i="1"/>
  <c r="BC9" i="1"/>
  <c r="BG9" i="1" s="1"/>
  <c r="BJ9" i="1" s="1"/>
  <c r="AZ8" i="1"/>
  <c r="BC5" i="1"/>
  <c r="BG5" i="1" s="1"/>
  <c r="BJ5" i="1" s="1"/>
  <c r="AZ25" i="1"/>
  <c r="BC23" i="1"/>
  <c r="BG23" i="1" s="1"/>
  <c r="BJ23" i="1" s="1"/>
  <c r="AZ34" i="1"/>
  <c r="BC33" i="1"/>
  <c r="BG33" i="1" s="1"/>
  <c r="BJ33" i="1" s="1"/>
  <c r="AV47" i="1"/>
  <c r="BX17" i="1" l="1"/>
  <c r="CB14" i="1"/>
  <c r="CE14" i="1" s="1"/>
  <c r="BN13" i="1"/>
  <c r="BQ11" i="1"/>
  <c r="BN46" i="1"/>
  <c r="BQ44" i="1"/>
  <c r="BN31" i="1"/>
  <c r="BQ26" i="1"/>
  <c r="BU35" i="1"/>
  <c r="BX35" i="1" s="1"/>
  <c r="BQ37" i="1"/>
  <c r="BN5" i="1"/>
  <c r="BJ8" i="1"/>
  <c r="BN9" i="1"/>
  <c r="BJ10" i="1"/>
  <c r="BN33" i="1"/>
  <c r="BJ34" i="1"/>
  <c r="BJ20" i="1"/>
  <c r="BN18" i="1"/>
  <c r="BN23" i="1"/>
  <c r="BJ25" i="1"/>
  <c r="BN38" i="1"/>
  <c r="BJ42" i="1"/>
  <c r="AZ47" i="1"/>
  <c r="BC10" i="1"/>
  <c r="BG10" i="1"/>
  <c r="BG42" i="1"/>
  <c r="BC42" i="1"/>
  <c r="BG34" i="1"/>
  <c r="BC34" i="1"/>
  <c r="BG8" i="1"/>
  <c r="BC8" i="1"/>
  <c r="BC20" i="1"/>
  <c r="BG20" i="1"/>
  <c r="BC25" i="1"/>
  <c r="BG25" i="1"/>
  <c r="CI14" i="1" l="1"/>
  <c r="CE17" i="1"/>
  <c r="CB17" i="1"/>
  <c r="BU37" i="1"/>
  <c r="BN42" i="1"/>
  <c r="BQ38" i="1"/>
  <c r="BN10" i="1"/>
  <c r="BQ9" i="1"/>
  <c r="BU26" i="1"/>
  <c r="BQ31" i="1"/>
  <c r="BQ13" i="1"/>
  <c r="BU11" i="1"/>
  <c r="BN20" i="1"/>
  <c r="BQ18" i="1"/>
  <c r="BU44" i="1"/>
  <c r="BQ46" i="1"/>
  <c r="BN25" i="1"/>
  <c r="BQ23" i="1"/>
  <c r="BN34" i="1"/>
  <c r="BQ33" i="1"/>
  <c r="BN8" i="1"/>
  <c r="BQ5" i="1"/>
  <c r="BJ47" i="1"/>
  <c r="BG47" i="1"/>
  <c r="BC47" i="1"/>
  <c r="CI17" i="1" l="1"/>
  <c r="BN47" i="1"/>
  <c r="BU13" i="1"/>
  <c r="BX11" i="1"/>
  <c r="CB35" i="1"/>
  <c r="CE35" i="1" s="1"/>
  <c r="BX37" i="1"/>
  <c r="BU31" i="1"/>
  <c r="BX26" i="1"/>
  <c r="BU46" i="1"/>
  <c r="BX44" i="1"/>
  <c r="BQ8" i="1"/>
  <c r="BU5" i="1"/>
  <c r="BQ25" i="1"/>
  <c r="BU23" i="1"/>
  <c r="BQ20" i="1"/>
  <c r="BU18" i="1"/>
  <c r="BU38" i="1"/>
  <c r="BQ42" i="1"/>
  <c r="BU33" i="1"/>
  <c r="BQ34" i="1"/>
  <c r="BU9" i="1"/>
  <c r="BQ10" i="1"/>
  <c r="CE37" i="1" l="1"/>
  <c r="CI35" i="1"/>
  <c r="CB37" i="1"/>
  <c r="CB44" i="1"/>
  <c r="CE44" i="1" s="1"/>
  <c r="BX46" i="1"/>
  <c r="BU10" i="1"/>
  <c r="BX9" i="1"/>
  <c r="CB26" i="1"/>
  <c r="CE26" i="1" s="1"/>
  <c r="BX31" i="1"/>
  <c r="BU25" i="1"/>
  <c r="BX23" i="1"/>
  <c r="BU42" i="1"/>
  <c r="BX38" i="1"/>
  <c r="BX42" i="1" s="1"/>
  <c r="BU20" i="1"/>
  <c r="BX18" i="1"/>
  <c r="BU8" i="1"/>
  <c r="BX5" i="1"/>
  <c r="BX13" i="1"/>
  <c r="CB11" i="1"/>
  <c r="CE11" i="1" s="1"/>
  <c r="BU34" i="1"/>
  <c r="BX33" i="1"/>
  <c r="BQ47" i="1"/>
  <c r="J44" i="2" l="1"/>
  <c r="J29" i="2"/>
  <c r="J15" i="2"/>
  <c r="M15" i="2" s="1"/>
  <c r="CI37" i="1"/>
  <c r="CI44" i="1"/>
  <c r="CE46" i="1"/>
  <c r="CE13" i="1"/>
  <c r="CI11" i="1"/>
  <c r="CE31" i="1"/>
  <c r="CI26" i="1"/>
  <c r="F35" i="2" s="1"/>
  <c r="BU47" i="1"/>
  <c r="CB31" i="1"/>
  <c r="CB46" i="1"/>
  <c r="CB13" i="1"/>
  <c r="BX20" i="1"/>
  <c r="CB18" i="1"/>
  <c r="CE18" i="1" s="1"/>
  <c r="BX10" i="1"/>
  <c r="CB9" i="1"/>
  <c r="CE9" i="1" s="1"/>
  <c r="CB33" i="1"/>
  <c r="CE33" i="1" s="1"/>
  <c r="BX34" i="1"/>
  <c r="BX8" i="1"/>
  <c r="CB5" i="1"/>
  <c r="CE5" i="1" s="1"/>
  <c r="CB38" i="1"/>
  <c r="CB23" i="1"/>
  <c r="CE23" i="1" s="1"/>
  <c r="BX25" i="1"/>
  <c r="M29" i="2" l="1"/>
  <c r="Q29" i="2" s="1"/>
  <c r="M44" i="2"/>
  <c r="Q44" i="2" s="1"/>
  <c r="Q15" i="2"/>
  <c r="J18" i="2"/>
  <c r="J5" i="2"/>
  <c r="F11" i="2"/>
  <c r="CI46" i="1"/>
  <c r="CI31" i="1"/>
  <c r="CI13" i="1"/>
  <c r="CE20" i="1"/>
  <c r="CI18" i="1"/>
  <c r="CB42" i="1"/>
  <c r="CE38" i="1"/>
  <c r="CI33" i="1"/>
  <c r="F42" i="2" s="1"/>
  <c r="J42" i="2" s="1"/>
  <c r="CE34" i="1"/>
  <c r="CI23" i="1"/>
  <c r="CE25" i="1"/>
  <c r="CE8" i="1"/>
  <c r="CI5" i="1"/>
  <c r="CI9" i="1"/>
  <c r="CE10" i="1"/>
  <c r="CB25" i="1"/>
  <c r="CB20" i="1"/>
  <c r="CB34" i="1"/>
  <c r="CB8" i="1"/>
  <c r="CB10" i="1"/>
  <c r="BX47" i="1"/>
  <c r="M5" i="2" l="1"/>
  <c r="CC11" i="2"/>
  <c r="CC69" i="2" s="1"/>
  <c r="M18" i="2"/>
  <c r="M42" i="2"/>
  <c r="Q42" i="2" s="1"/>
  <c r="S42" i="2" s="1"/>
  <c r="W42" i="2" s="1"/>
  <c r="Y42" i="2" s="1"/>
  <c r="AD42" i="2" s="1"/>
  <c r="AG42" i="2" s="1"/>
  <c r="AL42" i="2" s="1"/>
  <c r="AO42" i="2" s="1"/>
  <c r="S29" i="2"/>
  <c r="S15" i="2"/>
  <c r="S44" i="2"/>
  <c r="J56" i="2"/>
  <c r="J11" i="2" s="1"/>
  <c r="CI34" i="1"/>
  <c r="CI25" i="1"/>
  <c r="CI20" i="1"/>
  <c r="CI10" i="1"/>
  <c r="CI8" i="1"/>
  <c r="CE42" i="1"/>
  <c r="CE47" i="1" s="1"/>
  <c r="CI38" i="1"/>
  <c r="CB47" i="1"/>
  <c r="Q18" i="2" l="1"/>
  <c r="Q5" i="2"/>
  <c r="M56" i="2"/>
  <c r="M11" i="2" s="1"/>
  <c r="AT42" i="2"/>
  <c r="AX42" i="2" s="1"/>
  <c r="BC42" i="2" s="1"/>
  <c r="BE42" i="2" s="1"/>
  <c r="BK42" i="2" s="1"/>
  <c r="W15" i="2"/>
  <c r="W29" i="2"/>
  <c r="W44" i="2"/>
  <c r="J35" i="2"/>
  <c r="J24" i="2"/>
  <c r="J41" i="2"/>
  <c r="F14" i="2"/>
  <c r="J12" i="2"/>
  <c r="J47" i="2"/>
  <c r="M47" i="2" s="1"/>
  <c r="CI42" i="1"/>
  <c r="CI47" i="1" s="1"/>
  <c r="F17" i="2" l="1"/>
  <c r="F23" i="2" s="1"/>
  <c r="Q11" i="2"/>
  <c r="S5" i="2"/>
  <c r="W5" i="2" s="1"/>
  <c r="Y5" i="2" s="1"/>
  <c r="S18" i="2"/>
  <c r="W18" i="2" s="1"/>
  <c r="Q56" i="2"/>
  <c r="BM42" i="2"/>
  <c r="BS42" i="2" s="1"/>
  <c r="BU42" i="2" s="1"/>
  <c r="M12" i="2"/>
  <c r="Q12" i="2" s="1"/>
  <c r="Q14" i="2" s="1"/>
  <c r="M24" i="2"/>
  <c r="M41" i="2"/>
  <c r="Q41" i="2" s="1"/>
  <c r="M35" i="2"/>
  <c r="Y29" i="2"/>
  <c r="AD29" i="2" s="1"/>
  <c r="AG29" i="2" s="1"/>
  <c r="Y44" i="2"/>
  <c r="AD44" i="2" s="1"/>
  <c r="AG44" i="2" s="1"/>
  <c r="Y15" i="2"/>
  <c r="U11" i="2"/>
  <c r="Q47" i="2"/>
  <c r="J14" i="2"/>
  <c r="F28" i="2" l="1"/>
  <c r="Q17" i="2"/>
  <c r="Q23" i="2"/>
  <c r="J17" i="2"/>
  <c r="Y18" i="2"/>
  <c r="AD18" i="2" s="1"/>
  <c r="AG18" i="2" s="1"/>
  <c r="CA42" i="2"/>
  <c r="S56" i="2"/>
  <c r="Q24" i="2"/>
  <c r="Q35" i="2"/>
  <c r="M14" i="2"/>
  <c r="AL44" i="2"/>
  <c r="AO44" i="2" s="1"/>
  <c r="AL29" i="2"/>
  <c r="AO29" i="2" s="1"/>
  <c r="AD15" i="2"/>
  <c r="S12" i="2"/>
  <c r="S41" i="2"/>
  <c r="S47" i="2"/>
  <c r="F34" i="2" l="1"/>
  <c r="F40" i="2"/>
  <c r="F55" i="2"/>
  <c r="J23" i="2"/>
  <c r="J28" i="2" s="1"/>
  <c r="J34" i="2" s="1"/>
  <c r="W56" i="2"/>
  <c r="S11" i="2"/>
  <c r="M17" i="2"/>
  <c r="M23" i="2" s="1"/>
  <c r="S24" i="2"/>
  <c r="W24" i="2" s="1"/>
  <c r="Q28" i="2"/>
  <c r="AL18" i="2"/>
  <c r="S35" i="2"/>
  <c r="AG15" i="2"/>
  <c r="U14" i="2"/>
  <c r="W12" i="2"/>
  <c r="W47" i="2"/>
  <c r="W41" i="2"/>
  <c r="S14" i="2"/>
  <c r="J55" i="2" l="1"/>
  <c r="M28" i="2"/>
  <c r="M55" i="2" s="1"/>
  <c r="M34" i="2"/>
  <c r="W11" i="2"/>
  <c r="Y56" i="2"/>
  <c r="F43" i="2"/>
  <c r="S17" i="2"/>
  <c r="J40" i="2"/>
  <c r="J43" i="2"/>
  <c r="Q55" i="2"/>
  <c r="Q34" i="2"/>
  <c r="Q40" i="2" s="1"/>
  <c r="Q43" i="2" s="1"/>
  <c r="U17" i="2"/>
  <c r="U23" i="2" s="1"/>
  <c r="AO18" i="2"/>
  <c r="AT18" i="2" s="1"/>
  <c r="W35" i="2"/>
  <c r="AT29" i="2"/>
  <c r="AT44" i="2"/>
  <c r="AL15" i="2"/>
  <c r="AO15" i="2" s="1"/>
  <c r="Y47" i="2"/>
  <c r="AD47" i="2" s="1"/>
  <c r="AG47" i="2" s="1"/>
  <c r="Y24" i="2"/>
  <c r="AD24" i="2" s="1"/>
  <c r="AG24" i="2" s="1"/>
  <c r="Y12" i="2"/>
  <c r="Y41" i="2"/>
  <c r="AD41" i="2" s="1"/>
  <c r="AG41" i="2" s="1"/>
  <c r="M40" i="2" l="1"/>
  <c r="M43" i="2"/>
  <c r="M46" i="2" s="1"/>
  <c r="M68" i="2" s="1"/>
  <c r="M69" i="2" s="1"/>
  <c r="W14" i="2"/>
  <c r="AD56" i="2"/>
  <c r="AG56" i="2" s="1"/>
  <c r="AL56" i="2" s="1"/>
  <c r="AO56" i="2" s="1"/>
  <c r="Y11" i="2"/>
  <c r="Y14" i="2" s="1"/>
  <c r="J46" i="2"/>
  <c r="J68" i="2" s="1"/>
  <c r="J69" i="2" s="1"/>
  <c r="Q46" i="2"/>
  <c r="Q68" i="2" s="1"/>
  <c r="Q69" i="2" s="1"/>
  <c r="U28" i="2"/>
  <c r="F46" i="2"/>
  <c r="F68" i="2"/>
  <c r="F69" i="2" s="1"/>
  <c r="S23" i="2"/>
  <c r="S28" i="2" s="1"/>
  <c r="Y35" i="2"/>
  <c r="AD35" i="2" s="1"/>
  <c r="AX44" i="2"/>
  <c r="AX18" i="2"/>
  <c r="AX29" i="2"/>
  <c r="AL41" i="2"/>
  <c r="AO41" i="2" s="1"/>
  <c r="AL24" i="2"/>
  <c r="AO24" i="2" s="1"/>
  <c r="AL47" i="2"/>
  <c r="AO47" i="2" s="1"/>
  <c r="AD12" i="2"/>
  <c r="W17" i="2" l="1"/>
  <c r="W34" i="2" s="1"/>
  <c r="W23" i="2"/>
  <c r="U34" i="2"/>
  <c r="U40" i="2" s="1"/>
  <c r="U43" i="2" s="1"/>
  <c r="U55" i="2"/>
  <c r="S55" i="2"/>
  <c r="S34" i="2"/>
  <c r="Y17" i="2"/>
  <c r="AG35" i="2"/>
  <c r="AL35" i="2" s="1"/>
  <c r="BC18" i="2"/>
  <c r="BE18" i="2" s="1"/>
  <c r="BK18" i="2" s="1"/>
  <c r="BM18" i="2" s="1"/>
  <c r="BC29" i="2"/>
  <c r="BE29" i="2" s="1"/>
  <c r="BC44" i="2"/>
  <c r="BE44" i="2" s="1"/>
  <c r="AT15" i="2"/>
  <c r="AT56" i="2"/>
  <c r="AG12" i="2"/>
  <c r="W28" i="2" l="1"/>
  <c r="W55" i="2" s="1"/>
  <c r="W40" i="2"/>
  <c r="S40" i="2"/>
  <c r="S43" i="2"/>
  <c r="W43" i="2"/>
  <c r="W46" i="2"/>
  <c r="W68" i="2"/>
  <c r="U46" i="2"/>
  <c r="U68" i="2" s="1"/>
  <c r="U69" i="2" s="1"/>
  <c r="Y23" i="2"/>
  <c r="Y28" i="2" s="1"/>
  <c r="AO35" i="2"/>
  <c r="AT35" i="2" s="1"/>
  <c r="AX35" i="2" s="1"/>
  <c r="BS18" i="2"/>
  <c r="BU18" i="2" s="1"/>
  <c r="BK29" i="2"/>
  <c r="BM29" i="2" s="1"/>
  <c r="BK44" i="2"/>
  <c r="BM44" i="2" s="1"/>
  <c r="AX15" i="2"/>
  <c r="AX56" i="2"/>
  <c r="AT24" i="2"/>
  <c r="AT41" i="2"/>
  <c r="AX41" i="2" s="1"/>
  <c r="AT47" i="2"/>
  <c r="AL12" i="2"/>
  <c r="AO12" i="2" s="1"/>
  <c r="AD5" i="2"/>
  <c r="AG5" i="2" s="1"/>
  <c r="AL5" i="2" s="1"/>
  <c r="AA69" i="2"/>
  <c r="W69" i="2" l="1"/>
  <c r="Y34" i="2"/>
  <c r="S46" i="2"/>
  <c r="S68" i="2" s="1"/>
  <c r="S69" i="2" s="1"/>
  <c r="Y40" i="2"/>
  <c r="Y55" i="2"/>
  <c r="CA18" i="2"/>
  <c r="BS29" i="2"/>
  <c r="BU29" i="2" s="1"/>
  <c r="BS44" i="2"/>
  <c r="BU44" i="2" s="1"/>
  <c r="BC56" i="2"/>
  <c r="BE56" i="2" s="1"/>
  <c r="BK56" i="2" s="1"/>
  <c r="AX47" i="2"/>
  <c r="BC41" i="2"/>
  <c r="BE41" i="2" s="1"/>
  <c r="BK41" i="2" s="1"/>
  <c r="BM41" i="2" s="1"/>
  <c r="BC35" i="2"/>
  <c r="BE35" i="2" s="1"/>
  <c r="AX24" i="2"/>
  <c r="BC15" i="2"/>
  <c r="BE15" i="2" s="1"/>
  <c r="BK15" i="2" s="1"/>
  <c r="BM15" i="2" s="1"/>
  <c r="AO5" i="2"/>
  <c r="AG11" i="2"/>
  <c r="AD11" i="2"/>
  <c r="BM56" i="2" l="1"/>
  <c r="BK68" i="2"/>
  <c r="Y43" i="2"/>
  <c r="AG14" i="2"/>
  <c r="AD14" i="2"/>
  <c r="CA29" i="2"/>
  <c r="BS15" i="2"/>
  <c r="BU15" i="2" s="1"/>
  <c r="BS56" i="2"/>
  <c r="BU56" i="2" s="1"/>
  <c r="BU68" i="2" s="1"/>
  <c r="BS41" i="2"/>
  <c r="BU41" i="2" s="1"/>
  <c r="BK35" i="2"/>
  <c r="BM35" i="2" s="1"/>
  <c r="BC47" i="2"/>
  <c r="BE47" i="2" s="1"/>
  <c r="BC24" i="2"/>
  <c r="BE24" i="2" s="1"/>
  <c r="BK24" i="2" s="1"/>
  <c r="BM24" i="2" s="1"/>
  <c r="AT12" i="2"/>
  <c r="AL11" i="2"/>
  <c r="Y46" i="2" l="1"/>
  <c r="Y68" i="2" s="1"/>
  <c r="Y69" i="2" s="1"/>
  <c r="AG23" i="2"/>
  <c r="AG28" i="2" s="1"/>
  <c r="AG17" i="2"/>
  <c r="AD17" i="2"/>
  <c r="AL14" i="2"/>
  <c r="CA56" i="2"/>
  <c r="CA68" i="2" s="1"/>
  <c r="CA44" i="2"/>
  <c r="BS24" i="2"/>
  <c r="BU24" i="2" s="1"/>
  <c r="BK47" i="2"/>
  <c r="BM47" i="2" s="1"/>
  <c r="AX12" i="2"/>
  <c r="AO11" i="2"/>
  <c r="AT5" i="2"/>
  <c r="AG55" i="2" l="1"/>
  <c r="AG34" i="2"/>
  <c r="AG40" i="2" s="1"/>
  <c r="AG43" i="2" s="1"/>
  <c r="AD23" i="2"/>
  <c r="AL17" i="2"/>
  <c r="AO14" i="2"/>
  <c r="CA41" i="2"/>
  <c r="CA24" i="2"/>
  <c r="CA15" i="2"/>
  <c r="BS35" i="2"/>
  <c r="BU35" i="2" s="1"/>
  <c r="BC12" i="2"/>
  <c r="BE12" i="2" s="1"/>
  <c r="BK12" i="2" s="1"/>
  <c r="BM12" i="2" s="1"/>
  <c r="AT11" i="2"/>
  <c r="AX5" i="2"/>
  <c r="AG46" i="2" l="1"/>
  <c r="AG68" i="2"/>
  <c r="AD28" i="2"/>
  <c r="AL23" i="2"/>
  <c r="AO17" i="2"/>
  <c r="AT14" i="2"/>
  <c r="CA35" i="2"/>
  <c r="BS12" i="2"/>
  <c r="BU12" i="2" s="1"/>
  <c r="BS47" i="2"/>
  <c r="BU47" i="2" s="1"/>
  <c r="BC5" i="2"/>
  <c r="BE5" i="2" s="1"/>
  <c r="BK5" i="2" s="1"/>
  <c r="BM5" i="2" s="1"/>
  <c r="BS5" i="2" s="1"/>
  <c r="BU5" i="2" s="1"/>
  <c r="AX11" i="2"/>
  <c r="AG69" i="2" l="1"/>
  <c r="AL28" i="2"/>
  <c r="AL34" i="2" s="1"/>
  <c r="AD34" i="2"/>
  <c r="AD40" i="2" s="1"/>
  <c r="AD55" i="2"/>
  <c r="AO23" i="2"/>
  <c r="AT17" i="2"/>
  <c r="AX14" i="2"/>
  <c r="CA5" i="2"/>
  <c r="CA11" i="2" s="1"/>
  <c r="BU11" i="2"/>
  <c r="CA47" i="2"/>
  <c r="BS11" i="2"/>
  <c r="BM11" i="2"/>
  <c r="BE11" i="2"/>
  <c r="BK11" i="2"/>
  <c r="BC11" i="2"/>
  <c r="AL55" i="2" l="1"/>
  <c r="AL40" i="2"/>
  <c r="AD43" i="2"/>
  <c r="AO28" i="2"/>
  <c r="AT23" i="2"/>
  <c r="AX17" i="2"/>
  <c r="BS14" i="2"/>
  <c r="BM14" i="2"/>
  <c r="BE14" i="2"/>
  <c r="BK14" i="2"/>
  <c r="BC14" i="2"/>
  <c r="CA12" i="2"/>
  <c r="CA14" i="2" s="1"/>
  <c r="BU14" i="2"/>
  <c r="AL43" i="2" l="1"/>
  <c r="AL46" i="2"/>
  <c r="AL68" i="2" s="1"/>
  <c r="AD46" i="2"/>
  <c r="AD68" i="2" s="1"/>
  <c r="AD69" i="2" s="1"/>
  <c r="AO34" i="2"/>
  <c r="AO55" i="2"/>
  <c r="AO40" i="2"/>
  <c r="AT28" i="2"/>
  <c r="AX23" i="2"/>
  <c r="BS17" i="2"/>
  <c r="BS23" i="2"/>
  <c r="BS28" i="2" s="1"/>
  <c r="BM17" i="2"/>
  <c r="BE17" i="2"/>
  <c r="BK17" i="2"/>
  <c r="BC17" i="2"/>
  <c r="CA17" i="2"/>
  <c r="CA23" i="2"/>
  <c r="BU17" i="2"/>
  <c r="AL69" i="2" l="1"/>
  <c r="AT55" i="2"/>
  <c r="AT34" i="2"/>
  <c r="AT40" i="2" s="1"/>
  <c r="AT43" i="2" s="1"/>
  <c r="AO43" i="2"/>
  <c r="AX28" i="2"/>
  <c r="AX34" i="2" s="1"/>
  <c r="AX40" i="2"/>
  <c r="BS34" i="2"/>
  <c r="BM23" i="2"/>
  <c r="BM28" i="2" s="1"/>
  <c r="BM34" i="2" s="1"/>
  <c r="BE23" i="2"/>
  <c r="BK23" i="2"/>
  <c r="BK28" i="2" s="1"/>
  <c r="BC23" i="2"/>
  <c r="CA28" i="2"/>
  <c r="CA34" i="2"/>
  <c r="BU23" i="2"/>
  <c r="BK34" i="2" l="1"/>
  <c r="BK40" i="2" s="1"/>
  <c r="BM40" i="2"/>
  <c r="CA40" i="2"/>
  <c r="BU28" i="2"/>
  <c r="AX43" i="2"/>
  <c r="AX46" i="2" s="1"/>
  <c r="AO46" i="2"/>
  <c r="AO68" i="2" s="1"/>
  <c r="AO69" i="2" s="1"/>
  <c r="AT46" i="2"/>
  <c r="AT68" i="2" s="1"/>
  <c r="AT69" i="2" s="1"/>
  <c r="BS40" i="2"/>
  <c r="BE28" i="2"/>
  <c r="BE34" i="2" s="1"/>
  <c r="BC28" i="2"/>
  <c r="BC34" i="2"/>
  <c r="BK43" i="2" l="1"/>
  <c r="BK46" i="2" s="1"/>
  <c r="BK55" i="2" s="1"/>
  <c r="BK69" i="2" s="1"/>
  <c r="BM43" i="2"/>
  <c r="BM46" i="2"/>
  <c r="CA43" i="2"/>
  <c r="BS43" i="2"/>
  <c r="BC40" i="2"/>
  <c r="BC43" i="2" s="1"/>
  <c r="AX55" i="2"/>
  <c r="AX68" i="2"/>
  <c r="AX69" i="2" s="1"/>
  <c r="BU34" i="2"/>
  <c r="BU40" i="2"/>
  <c r="BE40" i="2"/>
  <c r="BE43" i="2"/>
  <c r="BC46" i="2" l="1"/>
  <c r="BC55" i="2" s="1"/>
  <c r="BC68" i="2" s="1"/>
  <c r="BC69" i="2" s="1"/>
  <c r="BU43" i="2"/>
  <c r="BU46" i="2" s="1"/>
  <c r="BU55" i="2" s="1"/>
  <c r="BE46" i="2"/>
  <c r="BM55" i="2"/>
  <c r="BM68" i="2" s="1"/>
  <c r="BM69" i="2" s="1"/>
  <c r="BP71" i="2" s="1"/>
  <c r="CA46" i="2"/>
  <c r="BS46" i="2"/>
  <c r="BU69" i="2" l="1"/>
  <c r="BE55" i="2"/>
  <c r="BE68" i="2"/>
  <c r="CA55" i="2"/>
  <c r="BS55" i="2"/>
  <c r="BS68" i="2"/>
  <c r="BS69" i="2" s="1"/>
  <c r="BE69" i="2" l="1"/>
  <c r="CA69" i="2"/>
</calcChain>
</file>

<file path=xl/sharedStrings.xml><?xml version="1.0" encoding="utf-8"?>
<sst xmlns="http://schemas.openxmlformats.org/spreadsheetml/2006/main" count="434" uniqueCount="183">
  <si>
    <t>Product Description</t>
  </si>
  <si>
    <t>BAKING POWDER</t>
  </si>
  <si>
    <t>WKFLD. BAKING POWDER 100*100GM</t>
  </si>
  <si>
    <t>WKFLD. BAKING POWDER 30*400GM</t>
  </si>
  <si>
    <t>WKFLD. BAKING POWDER 4*3KG</t>
  </si>
  <si>
    <t>BAKING SODA</t>
  </si>
  <si>
    <t>WKFLD. BAKING SODA 100*100GM</t>
  </si>
  <si>
    <t>COCOA POWDER</t>
  </si>
  <si>
    <t>WKFLD. COCOA POWDER 40*150GM</t>
  </si>
  <si>
    <t>WKFLD. COCOA POWDER 96*50GM</t>
  </si>
  <si>
    <t>CORNFLOUR</t>
  </si>
  <si>
    <t>WKFLD. CORNFLOUR 100*100GM</t>
  </si>
  <si>
    <t>WKFLD. CORNFLOUR 20*500GM</t>
  </si>
  <si>
    <t>WKFLD. CORNFLOUR 25*1000GM</t>
  </si>
  <si>
    <t>CUSTARD POWDER</t>
  </si>
  <si>
    <t>DRINKING CHOCOLATE</t>
  </si>
  <si>
    <t>WKFLD. DRINKING CHOCOLATE 20*500GM</t>
  </si>
  <si>
    <t>WKFLD. DRINKING CHOCOLATE 96*100GM</t>
  </si>
  <si>
    <t>JELLY CRYSTALS</t>
  </si>
  <si>
    <t>MUSTARD POWDER</t>
  </si>
  <si>
    <t>WKFLD. MUSTARD POWDER 20*500GM</t>
  </si>
  <si>
    <t>WKFLD. MUSTARD POWDER 50*100GM</t>
  </si>
  <si>
    <t>Pack Size</t>
  </si>
  <si>
    <t>Category</t>
  </si>
  <si>
    <t>PURCHASES OF APRIL</t>
  </si>
  <si>
    <t>CLOSING</t>
  </si>
  <si>
    <t>WKFLD. DRINKING CHOCOLATE 40*200GM</t>
  </si>
  <si>
    <t>WKFLD. JELLY CRYSTALS MANGO 100*90GM</t>
  </si>
  <si>
    <t>WKFLD. JELLY CRYSTALS ORANGE 100*90GM</t>
  </si>
  <si>
    <t>WKFLD. JELLY CRYSTALS PINEAPPLE 100*90GM</t>
  </si>
  <si>
    <t>WKFLD. JELLY CRYSTALS RASPBERRY 100*90GM</t>
  </si>
  <si>
    <t>WKFLD. JELLY CRYSTALS STRAWBERRY 100*90GM</t>
  </si>
  <si>
    <t>April-24 Opening</t>
  </si>
  <si>
    <t>Baking Powder Total</t>
  </si>
  <si>
    <t>Baking Soda Total</t>
  </si>
  <si>
    <t>Cocoa Powder Total</t>
  </si>
  <si>
    <t>Corn Flour Total</t>
  </si>
  <si>
    <t>Custard Powder Total</t>
  </si>
  <si>
    <t>Drinking Chocolate Total</t>
  </si>
  <si>
    <t>Jelly Crystals Total</t>
  </si>
  <si>
    <t>Mustard Powder Total</t>
  </si>
  <si>
    <t>Pasta Sauce Total</t>
  </si>
  <si>
    <t>Total Total</t>
  </si>
  <si>
    <t>WKFLD. CHEFS BASKET PASTA ELBOW 24*500GM</t>
  </si>
  <si>
    <t>WKFLD. CHEFS BASKET PASTA FUSILLI 24*500GM</t>
  </si>
  <si>
    <t>WKFLD. CHEFS BASKET PASTA PENNE 24*500GM</t>
  </si>
  <si>
    <t>PASTA</t>
  </si>
  <si>
    <t>SAUCE</t>
  </si>
  <si>
    <t>WKFLD. MUSTARD SAUCE 24*225GM</t>
  </si>
  <si>
    <t>WKFLD. PEPRICO SAUCE 90GM*36</t>
  </si>
  <si>
    <t>WKFLD. CUSTARD POWDER VANILLA 100*100GM</t>
  </si>
  <si>
    <t>WKFLD. CUSTARD POWDER VANILLA 20*500GM</t>
  </si>
  <si>
    <t>WKFLD.PEANUT BUTTER CREAMY 24*340GM</t>
  </si>
  <si>
    <t>WKFLD.PEANUT BUTTER CRUNCHY 24*340GM</t>
  </si>
  <si>
    <t>PEANUT BUTTER</t>
  </si>
  <si>
    <t>SALES RETURN</t>
  </si>
  <si>
    <t>PRIMARY TILL 31-04-2024</t>
  </si>
  <si>
    <t>PRIMARY TILL 31-05-2024</t>
  </si>
  <si>
    <t>May-24 Opening</t>
  </si>
  <si>
    <t>PURCHASES OF May</t>
  </si>
  <si>
    <t>WKFLD.PEANUT BUTTER CREAMY 24*510GM</t>
  </si>
  <si>
    <t>WKFLD.PEANUT BUTTER CRUNCHY 24*510GM</t>
  </si>
  <si>
    <t>April Transit</t>
  </si>
  <si>
    <t>May Transit</t>
  </si>
  <si>
    <t>June PI Plan</t>
  </si>
  <si>
    <t>March Transit</t>
  </si>
  <si>
    <t>June-24 Opening</t>
  </si>
  <si>
    <t>PURCHASES OF June</t>
  </si>
  <si>
    <t>PRIMARY TILL 30-06-2024</t>
  </si>
  <si>
    <t>June Transit</t>
  </si>
  <si>
    <t>July PI Plan</t>
  </si>
  <si>
    <t>July-24 Opening</t>
  </si>
  <si>
    <t>PURCHASES OF July</t>
  </si>
  <si>
    <t>PRIMARY TILL 31-07-2024</t>
  </si>
  <si>
    <t>July Transit</t>
  </si>
  <si>
    <t>Aug PI Plan</t>
  </si>
  <si>
    <t>Aug-24 Opening</t>
  </si>
  <si>
    <t>PURCHASES OF Aug</t>
  </si>
  <si>
    <t>PRIMARY TILL 31-08-2024</t>
  </si>
  <si>
    <t>Aug Transit</t>
  </si>
  <si>
    <t>Sept PI Plan</t>
  </si>
  <si>
    <t>Sept-24 Opening</t>
  </si>
  <si>
    <t>PURCHASES OF Sept</t>
  </si>
  <si>
    <t>PRIMARY TILL 30-09-2024</t>
  </si>
  <si>
    <t>Sept Transit</t>
  </si>
  <si>
    <t>Oct PI Plan</t>
  </si>
  <si>
    <t>Oct-24 Opening</t>
  </si>
  <si>
    <t>PURCHASES OF OCT</t>
  </si>
  <si>
    <t>PRIMARY TILL 30-10-2024</t>
  </si>
  <si>
    <t>Oct Transit</t>
  </si>
  <si>
    <t>Nov-24 Opening</t>
  </si>
  <si>
    <t>PURCHASES OF Nov</t>
  </si>
  <si>
    <t>Nov Transit</t>
  </si>
  <si>
    <t>Dec PI Plan</t>
  </si>
  <si>
    <t>PRIMARY TILL 30-11-2024</t>
  </si>
  <si>
    <t>CIF Rate</t>
  </si>
  <si>
    <t>Dec-24 Opening</t>
  </si>
  <si>
    <t>PURCHASES OF DEC</t>
  </si>
  <si>
    <t>PRIMARY TILL 30-12-2024</t>
  </si>
  <si>
    <t>Dec Transit</t>
  </si>
  <si>
    <t>Jan-025 PI Plan</t>
  </si>
  <si>
    <t>NPR CASE RATE</t>
  </si>
  <si>
    <t>PURCHASES OF Jan</t>
  </si>
  <si>
    <t>PRIMARY TILL 31-01-2025</t>
  </si>
  <si>
    <t>Jan Transit</t>
  </si>
  <si>
    <t>Feb-025 PI Plan</t>
  </si>
  <si>
    <t>Jan-25 Opening</t>
  </si>
  <si>
    <t>Feb-25 Opening</t>
  </si>
  <si>
    <t>PRIMARY TILL 28-02-2025</t>
  </si>
  <si>
    <t>Feb Transit</t>
  </si>
  <si>
    <t>March-025 PI Plan</t>
  </si>
  <si>
    <t>PURCHASES OF FEB'</t>
  </si>
  <si>
    <t>WKFLD. DRINKING CHOCOLATE 20*500GM+100GM</t>
  </si>
  <si>
    <t>PURCHASES OF MARCH'</t>
  </si>
  <si>
    <t>PRIMARY TILL 31-03-2025</t>
  </si>
  <si>
    <t>March-25 Opening</t>
  </si>
  <si>
    <t>May-025 PI Plan</t>
  </si>
  <si>
    <t>PRIMARY TILL 30-04-2025</t>
  </si>
  <si>
    <t>April-25 Opening</t>
  </si>
  <si>
    <t>Total Primary</t>
  </si>
  <si>
    <t>Sales Return</t>
  </si>
  <si>
    <t>Net Sales</t>
  </si>
  <si>
    <t xml:space="preserve">Avg </t>
  </si>
  <si>
    <t>May-25 Opening</t>
  </si>
  <si>
    <t>PRIMARY TILL 30-05-2025</t>
  </si>
  <si>
    <t>June-25 Opening</t>
  </si>
  <si>
    <t>PRIMARY TILL 30-06-2025</t>
  </si>
  <si>
    <t>WKFLD. BAKING POWDER 25*1KG</t>
  </si>
  <si>
    <t>WKFLD. BAKING SODA 40*400GM</t>
  </si>
  <si>
    <t>WKFLD. CHEFS BASKET PASTA SHELL 24*500GM</t>
  </si>
  <si>
    <t>Peanut Butter Total</t>
  </si>
  <si>
    <t>Sauce Total</t>
  </si>
  <si>
    <t>July-25 Opening</t>
  </si>
  <si>
    <t>PRIMARY TILL 31-07-2025</t>
  </si>
  <si>
    <t>WKFLD. READY TO EAT CUSTARD 30*200ML</t>
  </si>
  <si>
    <t>WKFLD. CUSTARD POWDER VANILLA 30*500GM</t>
  </si>
  <si>
    <t>WKFLD. BAKING POWDER 6*3KG</t>
  </si>
  <si>
    <t>WKFLD. BAKING POWDER 40*400GM</t>
  </si>
  <si>
    <t>July 25 Tgt</t>
  </si>
  <si>
    <t>Shrtfall</t>
  </si>
  <si>
    <t>Net sales</t>
  </si>
  <si>
    <t>Aug25 Tgt</t>
  </si>
  <si>
    <t>Aug-25 Opening</t>
  </si>
  <si>
    <t>PRIMARY TILL 31-08-2025</t>
  </si>
  <si>
    <t>Sept-25 Opening</t>
  </si>
  <si>
    <t>PRIMARY TILL 31-09-2025</t>
  </si>
  <si>
    <t>WKFLD. CORNFLOUR 30*500GM</t>
  </si>
  <si>
    <t>Sept25 Tgt</t>
  </si>
  <si>
    <t>Transit</t>
  </si>
  <si>
    <t>Oct-25 Opening</t>
  </si>
  <si>
    <t>PRIMARY TILL 30-10-2025</t>
  </si>
  <si>
    <t>WKFLD. DRINKING CHOCOLATE 30*500GM</t>
  </si>
  <si>
    <t>WKFLD.PEANUT BUTTER CREAMY 36*225GM</t>
  </si>
  <si>
    <t>WKFLD.PEANUT BUTTER CRUNCHY 36*225GM</t>
  </si>
  <si>
    <t>WKFLD.PEANUT BUTTER CREAMY 12*1KG</t>
  </si>
  <si>
    <t>WKFLD.PEANUT BUTTER CRUNCHY 12*1KG</t>
  </si>
  <si>
    <t>NOV-25 Opening</t>
  </si>
  <si>
    <t>PURCHASES OF NOV</t>
  </si>
  <si>
    <t>PRIMARY TILL 30-11-2025</t>
  </si>
  <si>
    <t>PO Dec Plan</t>
  </si>
  <si>
    <t>KG Stock</t>
  </si>
  <si>
    <t>CLOSING Exact</t>
  </si>
  <si>
    <t>PRIMARY TILL 31-12-2025</t>
  </si>
  <si>
    <t>DEC-25 Opening</t>
  </si>
  <si>
    <t>JAN-26 Opening</t>
  </si>
  <si>
    <t>PRIMARY TILL 31-01-2026</t>
  </si>
  <si>
    <t>PURCHASE OF JAN</t>
  </si>
  <si>
    <t>PO Jan FEB</t>
  </si>
  <si>
    <t>PRIMARY TILL 28-02-2026</t>
  </si>
  <si>
    <t>WKFLD. CORNFLOUR 25*800GM</t>
  </si>
  <si>
    <t>WKFLD. CHEFS BASKET PASTA ELBOW 36*350GM</t>
  </si>
  <si>
    <t>WKFLD. CHEFS BASKET PASTA FUSILLI 36*350GM</t>
  </si>
  <si>
    <t>WKFLD. CHEFS BASKET PASTA SHELL 36*350GM</t>
  </si>
  <si>
    <t>WKFLD. CHEFS BASKET PASTA PENNE 36*350GM</t>
  </si>
  <si>
    <t>WKFLD. CHEFS BASKET PASTA ELBOW 18*700GM</t>
  </si>
  <si>
    <t>WKFLD. CHEFS BASKET PASTA FUSILLI 18*700GM</t>
  </si>
  <si>
    <t>WKFLD. CHEFS BASKET PASTA SHELL 18*700GM</t>
  </si>
  <si>
    <t>WKFLD. CHEFS BASKET PASTA PENNE 18*700GM</t>
  </si>
  <si>
    <t>Total</t>
  </si>
  <si>
    <t>March Plan</t>
  </si>
  <si>
    <t>PO of Feb + March 2026</t>
  </si>
  <si>
    <t>CIF INR</t>
  </si>
  <si>
    <t>Primary NPR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</si>
</sst>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##,###,###,###,###,##0.00"/>
  </numFmts>
  <fonts count="24" x14ac:knownFonts="1">
    <font>
      <sz val="9"/>
      <color theme="1"/>
      <name val="Arial"/>
      <family val="2"/>
    </font>
    <font>
      <sz val="9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9"/>
      <color rgb="FF006100"/>
      <name val="Arial"/>
      <family val="2"/>
    </font>
    <font>
      <sz val="9"/>
      <color rgb="FF9C0006"/>
      <name val="Arial"/>
      <family val="2"/>
    </font>
    <font>
      <sz val="9"/>
      <color rgb="FF9C5700"/>
      <name val="Arial"/>
      <family val="2"/>
    </font>
    <font>
      <sz val="9"/>
      <color rgb="FF3F3F76"/>
      <name val="Arial"/>
      <family val="2"/>
    </font>
    <font>
      <b/>
      <sz val="9"/>
      <color rgb="FF3F3F3F"/>
      <name val="Arial"/>
      <family val="2"/>
    </font>
    <font>
      <b/>
      <sz val="9"/>
      <color rgb="FFFA7D00"/>
      <name val="Arial"/>
      <family val="2"/>
    </font>
    <font>
      <sz val="9"/>
      <color rgb="FFFA7D0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i/>
      <sz val="9"/>
      <color rgb="FF7F7F7F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0" fontId="21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33" borderId="10" xfId="0" applyFont="1" applyFill="1" applyBorder="1" applyAlignment="1">
      <alignment vertical="center"/>
    </xf>
    <xf numFmtId="0" fontId="18" fillId="33" borderId="10" xfId="0" applyFont="1" applyFill="1" applyBorder="1" applyAlignment="1">
      <alignment horizontal="left"/>
    </xf>
    <xf numFmtId="0" fontId="18" fillId="33" borderId="10" xfId="0" applyFont="1" applyFill="1" applyBorder="1" applyAlignment="1">
      <alignment horizontal="center"/>
    </xf>
    <xf numFmtId="0" fontId="19" fillId="35" borderId="10" xfId="0" applyFont="1" applyFill="1" applyBorder="1" applyAlignment="1">
      <alignment horizontal="left" vertical="center"/>
    </xf>
    <xf numFmtId="0" fontId="19" fillId="35" borderId="10" xfId="0" applyFont="1" applyFill="1" applyBorder="1" applyAlignment="1">
      <alignment horizontal="left"/>
    </xf>
    <xf numFmtId="0" fontId="18" fillId="35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horizontal="right"/>
    </xf>
    <xf numFmtId="0" fontId="18" fillId="34" borderId="10" xfId="0" applyFont="1" applyFill="1" applyBorder="1" applyAlignment="1">
      <alignment horizontal="center"/>
    </xf>
    <xf numFmtId="164" fontId="18" fillId="0" borderId="0" xfId="42" applyFont="1"/>
    <xf numFmtId="164" fontId="0" fillId="0" borderId="0" xfId="42" applyFont="1"/>
    <xf numFmtId="164" fontId="19" fillId="37" borderId="10" xfId="42" applyFont="1" applyFill="1" applyBorder="1" applyAlignment="1">
      <alignment horizontal="center" wrapText="1"/>
    </xf>
    <xf numFmtId="164" fontId="19" fillId="37" borderId="10" xfId="42" applyFont="1" applyFill="1" applyBorder="1" applyAlignment="1">
      <alignment horizontal="center"/>
    </xf>
    <xf numFmtId="164" fontId="0" fillId="0" borderId="10" xfId="42" applyFont="1" applyBorder="1"/>
    <xf numFmtId="164" fontId="0" fillId="0" borderId="10" xfId="42" applyFont="1" applyBorder="1" applyAlignment="1">
      <alignment horizontal="center"/>
    </xf>
    <xf numFmtId="164" fontId="19" fillId="35" borderId="10" xfId="42" applyFont="1" applyFill="1" applyBorder="1" applyAlignment="1">
      <alignment horizontal="center"/>
    </xf>
    <xf numFmtId="164" fontId="19" fillId="34" borderId="10" xfId="42" applyFont="1" applyFill="1" applyBorder="1" applyAlignment="1">
      <alignment horizontal="center"/>
    </xf>
    <xf numFmtId="14" fontId="16" fillId="36" borderId="10" xfId="42" applyNumberFormat="1" applyFont="1" applyFill="1" applyBorder="1" applyAlignment="1">
      <alignment horizontal="center" wrapText="1"/>
    </xf>
    <xf numFmtId="164" fontId="0" fillId="0" borderId="10" xfId="42" applyFont="1" applyFill="1" applyBorder="1" applyAlignment="1">
      <alignment horizontal="center"/>
    </xf>
    <xf numFmtId="0" fontId="19" fillId="0" borderId="10" xfId="0" applyFont="1" applyBorder="1" applyAlignment="1">
      <alignment horizontal="left" wrapText="1"/>
    </xf>
    <xf numFmtId="164" fontId="18" fillId="33" borderId="10" xfId="42" applyFont="1" applyFill="1" applyBorder="1" applyAlignment="1">
      <alignment horizontal="left"/>
    </xf>
    <xf numFmtId="164" fontId="0" fillId="0" borderId="0" xfId="0" applyNumberFormat="1"/>
    <xf numFmtId="164" fontId="0" fillId="0" borderId="11" xfId="42" applyFont="1" applyFill="1" applyBorder="1" applyAlignment="1">
      <alignment horizontal="center"/>
    </xf>
    <xf numFmtId="164" fontId="0" fillId="38" borderId="10" xfId="42" applyFont="1" applyFill="1" applyBorder="1" applyAlignment="1">
      <alignment horizontal="center"/>
    </xf>
    <xf numFmtId="0" fontId="19" fillId="0" borderId="12" xfId="0" applyFont="1" applyBorder="1" applyAlignment="1">
      <alignment wrapText="1"/>
    </xf>
    <xf numFmtId="0" fontId="19" fillId="0" borderId="10" xfId="0" applyFont="1" applyBorder="1"/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wrapText="1"/>
    </xf>
    <xf numFmtId="0" fontId="19" fillId="0" borderId="10" xfId="0" applyFont="1" applyBorder="1" applyAlignment="1">
      <alignment horizontal="center"/>
    </xf>
    <xf numFmtId="164" fontId="0" fillId="38" borderId="10" xfId="42" applyFont="1" applyFill="1" applyBorder="1"/>
    <xf numFmtId="164" fontId="0" fillId="0" borderId="10" xfId="42" applyFont="1" applyFill="1" applyBorder="1"/>
    <xf numFmtId="164" fontId="0" fillId="0" borderId="10" xfId="0" applyNumberFormat="1" applyBorder="1"/>
    <xf numFmtId="14" fontId="16" fillId="36" borderId="13" xfId="42" applyNumberFormat="1" applyFont="1" applyFill="1" applyBorder="1" applyAlignment="1">
      <alignment horizontal="centerContinuous" wrapText="1"/>
    </xf>
    <xf numFmtId="14" fontId="16" fillId="36" borderId="14" xfId="42" applyNumberFormat="1" applyFont="1" applyFill="1" applyBorder="1" applyAlignment="1">
      <alignment horizontal="centerContinuous" wrapText="1"/>
    </xf>
    <xf numFmtId="165" fontId="22" fillId="0" borderId="15" xfId="0" applyNumberFormat="1" applyFont="1" applyBorder="1" applyAlignment="1">
      <alignment horizontal="right" vertical="center"/>
    </xf>
    <xf numFmtId="14" fontId="16" fillId="36" borderId="10" xfId="42" applyNumberFormat="1" applyFont="1" applyFill="1" applyBorder="1" applyAlignment="1">
      <alignment horizontal="centerContinuous" wrapText="1"/>
    </xf>
    <xf numFmtId="165" fontId="22" fillId="0" borderId="0" xfId="0" applyNumberFormat="1" applyFont="1" applyAlignment="1">
      <alignment horizontal="right" vertical="center"/>
    </xf>
    <xf numFmtId="164" fontId="0" fillId="0" borderId="0" xfId="42" applyFont="1" applyBorder="1" applyAlignment="1">
      <alignment horizontal="center"/>
    </xf>
    <xf numFmtId="0" fontId="16" fillId="0" borderId="10" xfId="0" applyFont="1" applyBorder="1" applyAlignment="1">
      <alignment horizontal="center" vertical="top" wrapText="1"/>
    </xf>
    <xf numFmtId="164" fontId="19" fillId="37" borderId="10" xfId="42" applyFont="1" applyFill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4" fontId="16" fillId="36" borderId="10" xfId="42" applyNumberFormat="1" applyFont="1" applyFill="1" applyBorder="1" applyAlignment="1">
      <alignment horizontal="center" wrapText="1"/>
    </xf>
    <xf numFmtId="43" fontId="0" fillId="0" borderId="0" xfId="0" applyNumberFormat="1"/>
    <xf numFmtId="0" fontId="23" fillId="38" borderId="0" xfId="0" applyFont="1" applyFill="1"/>
    <xf numFmtId="43" fontId="23" fillId="38" borderId="0" xfId="0" applyNumberFormat="1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1BCE8B0E-DC19-4A0A-AA87-22CE25801A6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OWNLOAD\31-05-2024%20SALES%20REPORT%20-%20WKFLD.xlsx" TargetMode="External"/><Relationship Id="rId1" Type="http://schemas.openxmlformats.org/officeDocument/2006/relationships/externalLinkPath" Target="file:///E:\DOWNLOAD\31-05-2024%20SALES%20REPORT%20-%20WKFL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ale%20of%20WFD.xlsx" TargetMode="External"/><Relationship Id="rId1" Type="http://schemas.openxmlformats.org/officeDocument/2006/relationships/externalLinkPath" Target="file:///E:\sale%20of%20WF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return%20WFD.xlsx" TargetMode="External"/><Relationship Id="rId1" Type="http://schemas.openxmlformats.org/officeDocument/2006/relationships/externalLinkPath" Target="file:///E:\return%20WFD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urchase%20register%20feb%20WFD.xlsx" TargetMode="External"/><Relationship Id="rId1" Type="http://schemas.openxmlformats.org/officeDocument/2006/relationships/externalLinkPath" Target="file:///E:\purchase%20register%20feb%20WFD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OWNLOAD\Product_List.xlsx" TargetMode="External"/><Relationship Id="rId1" Type="http://schemas.openxmlformats.org/officeDocument/2006/relationships/externalLinkPath" Target="file:///E:\DOWNLOAD\Product_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"/>
    </sheetNames>
    <sheetDataSet>
      <sheetData sheetId="0">
        <row r="3">
          <cell r="A3" t="str">
            <v>Row Labels</v>
          </cell>
          <cell r="B3" t="str">
            <v>Sum of Alt Qty</v>
          </cell>
        </row>
        <row r="4">
          <cell r="A4" t="str">
            <v>WKFLD. BAKING POWDER 100*100GM</v>
          </cell>
          <cell r="B4">
            <v>102.65</v>
          </cell>
        </row>
        <row r="5">
          <cell r="A5" t="str">
            <v>WKFLD. BAKING POWDER 30*400GM</v>
          </cell>
          <cell r="B5">
            <v>294.43</v>
          </cell>
        </row>
        <row r="6">
          <cell r="A6" t="str">
            <v>WKFLD. BAKING POWDER 4*3KG</v>
          </cell>
          <cell r="B6">
            <v>234.5</v>
          </cell>
        </row>
        <row r="7">
          <cell r="A7" t="str">
            <v>WKFLD. BAKING SODA 100*100GM</v>
          </cell>
          <cell r="B7">
            <v>60.1</v>
          </cell>
        </row>
        <row r="8">
          <cell r="A8" t="str">
            <v>WKFLD. CHEFS BASKET PASTA ELBOW 24*500GM</v>
          </cell>
          <cell r="B8">
            <v>194.67000000000002</v>
          </cell>
        </row>
        <row r="9">
          <cell r="A9" t="str">
            <v>WKFLD. CHEFS BASKET PASTA FUSILLI 24*500GM</v>
          </cell>
          <cell r="B9">
            <v>189.07999999999998</v>
          </cell>
        </row>
        <row r="10">
          <cell r="A10" t="str">
            <v>WKFLD. CHEFS BASKET PASTA PENNE 24*500GM</v>
          </cell>
          <cell r="B10">
            <v>255.63</v>
          </cell>
        </row>
        <row r="11">
          <cell r="A11" t="str">
            <v>WKFLD. COCOA POWDER 96*50GM</v>
          </cell>
          <cell r="B11">
            <v>22.92</v>
          </cell>
        </row>
        <row r="12">
          <cell r="A12" t="str">
            <v>WKFLD. CORNFLOUR 100*100GM</v>
          </cell>
          <cell r="B12">
            <v>35.379999999999995</v>
          </cell>
        </row>
        <row r="13">
          <cell r="A13" t="str">
            <v>WKFLD. CORNFLOUR 20*500GM</v>
          </cell>
          <cell r="B13">
            <v>71.400000000000006</v>
          </cell>
        </row>
        <row r="14">
          <cell r="A14" t="str">
            <v>WKFLD. CORNFLOUR 25*1000GM</v>
          </cell>
          <cell r="B14">
            <v>92.44</v>
          </cell>
        </row>
        <row r="15">
          <cell r="A15" t="str">
            <v>WKFLD. CUSTARD POWDER BUTTERSCOTCH 100*75GM</v>
          </cell>
          <cell r="B15">
            <v>0.6</v>
          </cell>
        </row>
        <row r="16">
          <cell r="A16" t="str">
            <v>WKFLD. CUSTARD POWDER KESAR PISTA 100*75GM</v>
          </cell>
          <cell r="B16">
            <v>2.94</v>
          </cell>
        </row>
        <row r="17">
          <cell r="A17" t="str">
            <v>WKFLD. CUSTARD POWDER MANGO 100*75GM</v>
          </cell>
          <cell r="B17">
            <v>0.13</v>
          </cell>
        </row>
        <row r="18">
          <cell r="A18" t="str">
            <v>WKFLD. CUSTARD POWDER VANILLA 100*100GM</v>
          </cell>
          <cell r="B18">
            <v>60.580000000000005</v>
          </cell>
        </row>
        <row r="19">
          <cell r="A19" t="str">
            <v>WKFLD. CUSTARD POWDER VANILLA 20*500GM</v>
          </cell>
          <cell r="B19">
            <v>78.95</v>
          </cell>
        </row>
        <row r="20">
          <cell r="A20" t="str">
            <v>WKFLD. DRINKING CHOCOLATE 20*500GM</v>
          </cell>
          <cell r="B20">
            <v>181.55</v>
          </cell>
        </row>
        <row r="21">
          <cell r="A21" t="str">
            <v>WKFLD. DRINKING CHOCOLATE 40*200GM</v>
          </cell>
          <cell r="B21">
            <v>26.31</v>
          </cell>
        </row>
        <row r="22">
          <cell r="A22" t="str">
            <v>WKFLD. DRINKING CHOCOLATE 96*100GM</v>
          </cell>
          <cell r="B22">
            <v>45.84</v>
          </cell>
        </row>
        <row r="23">
          <cell r="A23" t="str">
            <v>WKFLD. JELLY CRYSTALS MANGO 100*90GM</v>
          </cell>
          <cell r="B23">
            <v>17.060000000000002</v>
          </cell>
        </row>
        <row r="24">
          <cell r="A24" t="str">
            <v>WKFLD. JELLY CRYSTALS ORANGE 100*90GM</v>
          </cell>
          <cell r="B24">
            <v>21.89</v>
          </cell>
        </row>
        <row r="25">
          <cell r="A25" t="str">
            <v>WKFLD. JELLY CRYSTALS PINEAPPLE 100*90GM</v>
          </cell>
          <cell r="B25">
            <v>0.36</v>
          </cell>
        </row>
        <row r="26">
          <cell r="A26" t="str">
            <v>WKFLD. JELLY CRYSTALS RASPBERRY 100*90GM</v>
          </cell>
          <cell r="B26">
            <v>19.8</v>
          </cell>
        </row>
        <row r="27">
          <cell r="A27" t="str">
            <v>WKFLD. JELLY CRYSTALS STRAWBERRY 100*90GM</v>
          </cell>
          <cell r="B27">
            <v>10.43</v>
          </cell>
        </row>
        <row r="28">
          <cell r="A28" t="str">
            <v>WKFLD. MUSTARD POWDER 20*500GM</v>
          </cell>
          <cell r="B28">
            <v>22.9</v>
          </cell>
        </row>
        <row r="29">
          <cell r="A29" t="str">
            <v>WKFLD. MUSTARD POWDER 50*100GM</v>
          </cell>
          <cell r="B29">
            <v>19.079999999999998</v>
          </cell>
        </row>
        <row r="30">
          <cell r="A30" t="str">
            <v>WKFLD. MUSTARD SAUCE 24*225GM</v>
          </cell>
          <cell r="B30">
            <v>3</v>
          </cell>
        </row>
        <row r="31">
          <cell r="A31" t="str">
            <v>WKFLD. PEPRICO SAUCE 90GM*36</v>
          </cell>
          <cell r="B31">
            <v>2</v>
          </cell>
        </row>
        <row r="32">
          <cell r="A32" t="str">
            <v>WKFLD.PEANUT BUTTER CREAMY 24*340GM</v>
          </cell>
          <cell r="B32">
            <v>79.210000000000008</v>
          </cell>
        </row>
        <row r="33">
          <cell r="A33" t="str">
            <v>WKFLD.PEANUT BUTTER CRUNCHY 24*340GM</v>
          </cell>
          <cell r="B33">
            <v>73.289999999999992</v>
          </cell>
        </row>
        <row r="34">
          <cell r="A34" t="str">
            <v>Grand Total</v>
          </cell>
          <cell r="B34">
            <v>2219.1200000000003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"/>
    </sheetNames>
    <sheetDataSet>
      <sheetData sheetId="0">
        <row r="4">
          <cell r="A4" t="str">
            <v>WKFLD. BAKING POWDER 100*100GM</v>
          </cell>
          <cell r="B4">
            <v>84.25</v>
          </cell>
        </row>
        <row r="5">
          <cell r="A5" t="str">
            <v>WKFLD. BAKING POWDER 25*1KG</v>
          </cell>
          <cell r="B5">
            <v>2</v>
          </cell>
        </row>
        <row r="6">
          <cell r="A6" t="str">
            <v>WKFLD. BAKING POWDER 40*400GM</v>
          </cell>
          <cell r="B6">
            <v>366.07499999999999</v>
          </cell>
        </row>
        <row r="7">
          <cell r="A7" t="str">
            <v>WKFLD. BAKING POWDER 6*3KG</v>
          </cell>
          <cell r="B7">
            <v>150</v>
          </cell>
        </row>
        <row r="8">
          <cell r="A8" t="str">
            <v>WKFLD. BAKING SODA 100*100GM</v>
          </cell>
          <cell r="B8">
            <v>61.43</v>
          </cell>
        </row>
        <row r="9">
          <cell r="A9" t="str">
            <v>WKFLD. BAKING SODA 40*400GM</v>
          </cell>
          <cell r="B9">
            <v>40</v>
          </cell>
        </row>
        <row r="10">
          <cell r="A10" t="str">
            <v>WKFLD. CHEFS BASKET PASTA ELBOW 24*500GM</v>
          </cell>
          <cell r="B10">
            <v>128.75</v>
          </cell>
        </row>
        <row r="11">
          <cell r="A11" t="str">
            <v>WKFLD. CHEFS BASKET PASTA FUSILLI 24*500GM</v>
          </cell>
          <cell r="B11">
            <v>100.79169999999999</v>
          </cell>
        </row>
        <row r="12">
          <cell r="A12" t="str">
            <v>WKFLD. CHEFS BASKET PASTA PENNE 24*500GM</v>
          </cell>
          <cell r="B12">
            <v>217.54169999999999</v>
          </cell>
        </row>
        <row r="13">
          <cell r="A13" t="str">
            <v>WKFLD. CHEFS BASKET PASTA SHELL 24*500GM</v>
          </cell>
          <cell r="B13">
            <v>66</v>
          </cell>
        </row>
        <row r="14">
          <cell r="A14" t="str">
            <v>WKFLD. COCOA POWDER 40*150GM</v>
          </cell>
          <cell r="B14">
            <v>26</v>
          </cell>
        </row>
        <row r="15">
          <cell r="A15" t="str">
            <v>WKFLD. COCOA POWDER 96*50GM</v>
          </cell>
          <cell r="B15">
            <v>17</v>
          </cell>
        </row>
        <row r="16">
          <cell r="A16" t="str">
            <v>WKFLD. CORNFLOUR 100*100GM</v>
          </cell>
          <cell r="B16">
            <v>61</v>
          </cell>
        </row>
        <row r="17">
          <cell r="A17" t="str">
            <v>WKFLD. CORNFLOUR 25*1000GM</v>
          </cell>
          <cell r="B17">
            <v>55</v>
          </cell>
        </row>
        <row r="18">
          <cell r="A18" t="str">
            <v>WKFLD. CORNFLOUR 30*500GM</v>
          </cell>
          <cell r="B18">
            <v>108.2333</v>
          </cell>
        </row>
        <row r="19">
          <cell r="A19" t="str">
            <v>WKFLD. CUSTARD POWDER VANILLA 100*100GM</v>
          </cell>
          <cell r="B19">
            <v>18</v>
          </cell>
        </row>
        <row r="20">
          <cell r="A20" t="str">
            <v>WKFLD. CUSTARD POWDER VANILLA 30*500GM</v>
          </cell>
          <cell r="B20">
            <v>26</v>
          </cell>
        </row>
        <row r="21">
          <cell r="A21" t="str">
            <v>WKFLD. DRINKING CHOCOLATE 20*500GM</v>
          </cell>
          <cell r="B21">
            <v>22</v>
          </cell>
        </row>
        <row r="22">
          <cell r="A22" t="str">
            <v>WKFLD. DRINKING CHOCOLATE 20*500GM+100GM</v>
          </cell>
          <cell r="B22">
            <v>8</v>
          </cell>
        </row>
        <row r="23">
          <cell r="A23" t="str">
            <v>WKFLD. DRINKING CHOCOLATE 30*500GM</v>
          </cell>
          <cell r="B23">
            <v>105.33340000000001</v>
          </cell>
        </row>
        <row r="24">
          <cell r="A24" t="str">
            <v>WKFLD. DRINKING CHOCOLATE 40*200GM</v>
          </cell>
          <cell r="B24">
            <v>33.274999999999999</v>
          </cell>
        </row>
        <row r="25">
          <cell r="A25" t="str">
            <v>WKFLD. DRINKING CHOCOLATE 96*100GM</v>
          </cell>
          <cell r="B25">
            <v>19</v>
          </cell>
        </row>
        <row r="26">
          <cell r="A26" t="str">
            <v>WKFLD. JELLY CRYSTALS MANGO 100*90GM</v>
          </cell>
          <cell r="B26">
            <v>1</v>
          </cell>
        </row>
        <row r="27">
          <cell r="A27" t="str">
            <v>WKFLD. JELLY CRYSTALS RASPBERRY 100*90GM</v>
          </cell>
          <cell r="B27">
            <v>2</v>
          </cell>
        </row>
        <row r="28">
          <cell r="A28" t="str">
            <v>WKFLD. JELLY CRYSTALS STRAWBERRY 100*90GM</v>
          </cell>
          <cell r="B28">
            <v>3</v>
          </cell>
        </row>
        <row r="29">
          <cell r="A29" t="str">
            <v>WKFLD. MUSTARD POWDER 20*500GM</v>
          </cell>
          <cell r="B29">
            <v>16</v>
          </cell>
        </row>
        <row r="30">
          <cell r="A30" t="str">
            <v>WKFLD. MUSTARD POWDER 50*100GM</v>
          </cell>
          <cell r="B30">
            <v>1</v>
          </cell>
        </row>
        <row r="31">
          <cell r="A31" t="str">
            <v>WKFLD.PEANUT BUTTER CREAMY 12*1KG</v>
          </cell>
          <cell r="B31">
            <v>5</v>
          </cell>
        </row>
        <row r="32">
          <cell r="A32" t="str">
            <v>WKFLD.PEANUT BUTTER CREAMY 24*340GM</v>
          </cell>
          <cell r="B32">
            <v>27</v>
          </cell>
        </row>
        <row r="33">
          <cell r="A33" t="str">
            <v>WKFLD.PEANUT BUTTER CREAMY 24*510GM</v>
          </cell>
          <cell r="B33">
            <v>16</v>
          </cell>
        </row>
        <row r="34">
          <cell r="A34" t="str">
            <v>WKFLD.PEANUT BUTTER CREAMY 36*225GM</v>
          </cell>
          <cell r="B34">
            <v>8</v>
          </cell>
        </row>
        <row r="35">
          <cell r="A35" t="str">
            <v>WKFLD.PEANUT BUTTER CRUNCHY 12*1KG</v>
          </cell>
          <cell r="B35">
            <v>5</v>
          </cell>
        </row>
        <row r="36">
          <cell r="A36" t="str">
            <v>WKFLD.PEANUT BUTTER CRUNCHY 24*340GM</v>
          </cell>
          <cell r="B36">
            <v>27</v>
          </cell>
        </row>
        <row r="37">
          <cell r="A37" t="str">
            <v>WKFLD.PEANUT BUTTER CRUNCHY 24*510GM</v>
          </cell>
          <cell r="B37">
            <v>12.9999</v>
          </cell>
        </row>
        <row r="38">
          <cell r="A38" t="str">
            <v>WKFLD.PEANUT BUTTER CRUNCHY 36*225GM</v>
          </cell>
          <cell r="B38">
            <v>8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"/>
    </sheetNames>
    <sheetDataSet>
      <sheetData sheetId="0">
        <row r="4">
          <cell r="A4" t="str">
            <v>WKFLD. BAKING POWDER 100*100GM</v>
          </cell>
          <cell r="B4">
            <v>0.76</v>
          </cell>
        </row>
        <row r="5">
          <cell r="A5" t="str">
            <v>WKFLD. BAKING POWDER 30*400GM</v>
          </cell>
          <cell r="B5">
            <v>12.433299999999999</v>
          </cell>
        </row>
        <row r="6">
          <cell r="A6" t="str">
            <v>WKFLD. BAKING POWDER 4*3KG</v>
          </cell>
          <cell r="B6">
            <v>5</v>
          </cell>
        </row>
        <row r="7">
          <cell r="A7" t="str">
            <v>WKFLD. BAKING SODA 100*100GM</v>
          </cell>
          <cell r="B7">
            <v>1.65</v>
          </cell>
        </row>
        <row r="8">
          <cell r="A8" t="str">
            <v>WKFLD. CHEFS BASKET PASTA ELBOW 24*500GM</v>
          </cell>
          <cell r="B8">
            <v>2.875</v>
          </cell>
        </row>
        <row r="9">
          <cell r="A9" t="str">
            <v>WKFLD. CHEFS BASKET PASTA FUSILLI 24*500GM</v>
          </cell>
          <cell r="B9">
            <v>2.9167000000000001</v>
          </cell>
        </row>
        <row r="10">
          <cell r="A10" t="str">
            <v>WKFLD. CHEFS BASKET PASTA PENNE 24*500GM</v>
          </cell>
          <cell r="B10">
            <v>4.6667000000000005</v>
          </cell>
        </row>
        <row r="11">
          <cell r="A11" t="str">
            <v>WKFLD. COCOA POWDER 40*150GM</v>
          </cell>
          <cell r="B11">
            <v>0.625</v>
          </cell>
        </row>
        <row r="12">
          <cell r="A12" t="str">
            <v>WKFLD. COCOA POWDER 96*50GM</v>
          </cell>
          <cell r="B12">
            <v>0.80210000000000004</v>
          </cell>
        </row>
        <row r="13">
          <cell r="A13" t="str">
            <v>WKFLD. CORNFLOUR 100*100GM</v>
          </cell>
          <cell r="B13">
            <v>1.86</v>
          </cell>
        </row>
        <row r="14">
          <cell r="A14" t="str">
            <v>WKFLD. CORNFLOUR 20*500GM</v>
          </cell>
          <cell r="B14">
            <v>4.8499999999999996</v>
          </cell>
        </row>
        <row r="15">
          <cell r="A15" t="str">
            <v>WKFLD. CUSTARD POWDER VANILLA 100*100GM</v>
          </cell>
          <cell r="B15">
            <v>1.66</v>
          </cell>
        </row>
        <row r="16">
          <cell r="A16" t="str">
            <v>WKFLD. CUSTARD POWDER VANILLA 20*500GM</v>
          </cell>
          <cell r="B16">
            <v>1</v>
          </cell>
        </row>
        <row r="17">
          <cell r="A17" t="str">
            <v>WKFLD. DRINKING CHOCOLATE 20*500GM+100GM</v>
          </cell>
          <cell r="B17">
            <v>1.45</v>
          </cell>
        </row>
        <row r="18">
          <cell r="A18" t="str">
            <v>WKFLD. DRINKING CHOCOLATE 40*200GM</v>
          </cell>
          <cell r="B18">
            <v>1.9000000000000001</v>
          </cell>
        </row>
        <row r="19">
          <cell r="A19" t="str">
            <v>WKFLD. DRINKING CHOCOLATE 96*100GM</v>
          </cell>
          <cell r="B19">
            <v>0.67710000000000004</v>
          </cell>
        </row>
        <row r="20">
          <cell r="A20" t="str">
            <v>WKFLD. READY TO EAT CUSTARD 30*200ML</v>
          </cell>
          <cell r="B20">
            <v>11.333299999999999</v>
          </cell>
        </row>
        <row r="21">
          <cell r="A21" t="str">
            <v>WKFLD.PEANUT BUTTER CREAMY 24*510GM</v>
          </cell>
          <cell r="B21">
            <v>8.875</v>
          </cell>
        </row>
        <row r="22">
          <cell r="A22" t="str">
            <v>WKFLD.PEANUT BUTTER CRUNCHY 24*510GM</v>
          </cell>
          <cell r="B22">
            <v>3.2082999999999999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"/>
      <sheetName val="Sheet1"/>
    </sheetNames>
    <sheetDataSet>
      <sheetData sheetId="0">
        <row r="5">
          <cell r="A5" t="str">
            <v>WKFLD. BAKING POWDER 40*400GM</v>
          </cell>
          <cell r="B5">
            <v>250</v>
          </cell>
        </row>
        <row r="6">
          <cell r="A6" t="str">
            <v>WKFLD. BAKING POWDER 6*3KG</v>
          </cell>
          <cell r="B6">
            <v>150</v>
          </cell>
        </row>
        <row r="7">
          <cell r="A7" t="str">
            <v>WKFLD. BAKING SODA 100*100GM</v>
          </cell>
          <cell r="B7">
            <v>100</v>
          </cell>
        </row>
        <row r="8">
          <cell r="A8" t="str">
            <v>WKFLD. CHEFS BASKET PASTA ELBOW 24*500GM</v>
          </cell>
          <cell r="B8">
            <v>200</v>
          </cell>
        </row>
        <row r="9">
          <cell r="A9" t="str">
            <v>WKFLD. CHEFS BASKET PASTA FUSILLI 24*500GM</v>
          </cell>
          <cell r="B9">
            <v>200</v>
          </cell>
        </row>
        <row r="10">
          <cell r="A10" t="str">
            <v>WKFLD. CHEFS BASKET PASTA PENNE 24*500GM</v>
          </cell>
          <cell r="B10">
            <v>300</v>
          </cell>
        </row>
        <row r="11">
          <cell r="A11" t="str">
            <v>WKFLD. CHEFS BASKET PASTA SHELL 24*500GM</v>
          </cell>
          <cell r="B11">
            <v>200</v>
          </cell>
        </row>
        <row r="12">
          <cell r="A12" t="str">
            <v>WKFLD. COCOA POWDER 40*150GM</v>
          </cell>
          <cell r="B12">
            <v>50</v>
          </cell>
        </row>
        <row r="13">
          <cell r="A13" t="str">
            <v>WKFLD. COCOA POWDER 96*50GM</v>
          </cell>
          <cell r="B13">
            <v>40</v>
          </cell>
        </row>
        <row r="14">
          <cell r="A14" t="str">
            <v>WKFLD. CORNFLOUR 100*100GM</v>
          </cell>
          <cell r="B14">
            <v>75</v>
          </cell>
        </row>
        <row r="15">
          <cell r="A15" t="str">
            <v>WKFLD. CORNFLOUR 25*1000GM</v>
          </cell>
          <cell r="B15">
            <v>50</v>
          </cell>
        </row>
        <row r="16">
          <cell r="A16" t="str">
            <v>WKFLD. CORNFLOUR 30*500GM</v>
          </cell>
          <cell r="B16">
            <v>100</v>
          </cell>
        </row>
        <row r="17">
          <cell r="A17" t="str">
            <v>WKFLD. CUSTARD POWDER VANILLA 100*100GM</v>
          </cell>
          <cell r="B17">
            <v>25</v>
          </cell>
        </row>
        <row r="18">
          <cell r="A18" t="str">
            <v>WKFLD. CUSTARD POWDER VANILLA 30*500GM</v>
          </cell>
          <cell r="B18">
            <v>50</v>
          </cell>
        </row>
        <row r="19">
          <cell r="A19" t="str">
            <v>WKFLD. DRINKING CHOCOLATE 20*500GM</v>
          </cell>
          <cell r="B19">
            <v>477</v>
          </cell>
        </row>
        <row r="20">
          <cell r="A20" t="str">
            <v>WKFLD. DRINKING CHOCOLATE 30*500GM</v>
          </cell>
          <cell r="B20">
            <v>500</v>
          </cell>
        </row>
        <row r="21">
          <cell r="A21" t="str">
            <v>WKFLD. DRINKING CHOCOLATE 40*200GM</v>
          </cell>
          <cell r="B21">
            <v>40</v>
          </cell>
        </row>
        <row r="22">
          <cell r="A22" t="str">
            <v>WKFLD. DRINKING CHOCOLATE 96*100GM</v>
          </cell>
          <cell r="B22">
            <v>25</v>
          </cell>
        </row>
        <row r="23">
          <cell r="A23" t="str">
            <v>WKFLD. MUSTARD POWDER 20*500GM</v>
          </cell>
          <cell r="B23">
            <v>20</v>
          </cell>
        </row>
        <row r="24">
          <cell r="A24" t="str">
            <v>WKFLD. MUSTARD POWDER 50*100GM</v>
          </cell>
          <cell r="B24">
            <v>10</v>
          </cell>
        </row>
        <row r="25">
          <cell r="A25" t="str">
            <v>Grand Total</v>
          </cell>
          <cell r="B25">
            <v>2962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 List"/>
    </sheetNames>
    <sheetDataSet>
      <sheetData sheetId="0">
        <row r="1">
          <cell r="A1" t="str">
            <v>Product</v>
          </cell>
          <cell r="B1" t="str">
            <v>Amount</v>
          </cell>
        </row>
        <row r="2">
          <cell r="A2" t="str">
            <v>WKFLD. BAKING POWDER 100*100GM</v>
          </cell>
          <cell r="B2">
            <v>100</v>
          </cell>
        </row>
        <row r="3">
          <cell r="A3" t="str">
            <v>WKFLD. BAKING POWDER 40*400GM</v>
          </cell>
          <cell r="B3">
            <v>250</v>
          </cell>
        </row>
        <row r="4">
          <cell r="A4" t="str">
            <v>WKFLD. BAKING POWDER 6*3KG</v>
          </cell>
          <cell r="B4">
            <v>100</v>
          </cell>
        </row>
        <row r="5">
          <cell r="A5" t="str">
            <v>WKFLD. BAKING SODA 100*100GM</v>
          </cell>
          <cell r="B5">
            <v>100</v>
          </cell>
        </row>
        <row r="6">
          <cell r="A6" t="str">
            <v>WKFLD. CHEFS BASKET PASTA ELBOW 24*500GM</v>
          </cell>
          <cell r="B6">
            <v>200</v>
          </cell>
        </row>
        <row r="7">
          <cell r="A7" t="str">
            <v>WKFLD. CHEFS BASKET PASTA FUSILLI 24*500GM</v>
          </cell>
          <cell r="B7">
            <v>100</v>
          </cell>
        </row>
        <row r="8">
          <cell r="A8" t="str">
            <v>WKFLD. CHEFS BASKET PASTA PENNE 24*500GM</v>
          </cell>
          <cell r="B8">
            <v>200</v>
          </cell>
        </row>
        <row r="9">
          <cell r="A9" t="str">
            <v>WKFLD. CHEFS BASKET PASTA SHELL 24*500GM</v>
          </cell>
          <cell r="B9">
            <v>200</v>
          </cell>
        </row>
        <row r="10">
          <cell r="A10" t="str">
            <v>WKFLD. COCOA POWDER 40*150GM</v>
          </cell>
          <cell r="B10">
            <v>25</v>
          </cell>
        </row>
        <row r="11">
          <cell r="A11" t="str">
            <v>WKFLD. COCOA POWDER 96*50GM</v>
          </cell>
          <cell r="B11">
            <v>40</v>
          </cell>
        </row>
        <row r="12">
          <cell r="A12" t="str">
            <v>WKFLD. CORNFLOUR 100*100GM</v>
          </cell>
          <cell r="B12">
            <v>50</v>
          </cell>
        </row>
        <row r="13">
          <cell r="A13" t="str">
            <v>WKFLD. CORNFLOUR 25*1000GM</v>
          </cell>
          <cell r="B13">
            <v>50</v>
          </cell>
        </row>
        <row r="14">
          <cell r="A14" t="str">
            <v>WKFLD. CORNFLOUR 30*500GM</v>
          </cell>
          <cell r="B14">
            <v>150</v>
          </cell>
        </row>
        <row r="15">
          <cell r="A15" t="str">
            <v>WKFLD. DRINKING CHOCOLATE 40*200GM</v>
          </cell>
          <cell r="B15">
            <v>50</v>
          </cell>
        </row>
        <row r="16">
          <cell r="A16" t="str">
            <v>WKFLD. DRINKING CHOCOLATE 96*100GM</v>
          </cell>
          <cell r="B16">
            <v>25</v>
          </cell>
        </row>
        <row r="17">
          <cell r="A17" t="str">
            <v>WKFLD. MUSTARD SAUCE 24*225GM</v>
          </cell>
          <cell r="B17">
            <v>25</v>
          </cell>
        </row>
        <row r="18">
          <cell r="A18" t="str">
            <v>WKFLD. PEANUT BUTTER CREAMY 24*340GM</v>
          </cell>
          <cell r="B18">
            <v>150</v>
          </cell>
        </row>
        <row r="19">
          <cell r="A19" t="str">
            <v>WKFLD. PEANUT BUTTER CREAMY 24*510GM</v>
          </cell>
          <cell r="B19">
            <v>50</v>
          </cell>
        </row>
        <row r="20">
          <cell r="A20" t="str">
            <v>WKFLD. PEANUT BUTTER CRUNCHY 24*340GM</v>
          </cell>
          <cell r="B20">
            <v>150</v>
          </cell>
        </row>
        <row r="21">
          <cell r="A21" t="str">
            <v>WKFLD. PEANUT BUTTER CRUNCHY 24*510GM</v>
          </cell>
          <cell r="B21">
            <v>50</v>
          </cell>
        </row>
        <row r="22">
          <cell r="A22" t="str">
            <v>Total</v>
          </cell>
          <cell r="B22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I52"/>
  <sheetViews>
    <sheetView showGridLines="0" workbookViewId="0">
      <pane xSplit="5" ySplit="4" topLeftCell="CC30" activePane="bottomRight" state="frozen"/>
      <selection pane="topRight" activeCell="D1" sqref="D1"/>
      <selection pane="bottomLeft" activeCell="A5" sqref="A5"/>
      <selection pane="bottomRight" activeCell="B4" sqref="B4:CI47"/>
    </sheetView>
  </sheetViews>
  <sheetFormatPr defaultRowHeight="11.5" x14ac:dyDescent="0.25"/>
  <cols>
    <col min="1" max="1" width="18.296875" style="2" bestFit="1" customWidth="1"/>
    <col min="2" max="2" width="41.296875" bestFit="1" customWidth="1"/>
    <col min="3" max="3" width="12.69921875" bestFit="1" customWidth="1"/>
    <col min="4" max="4" width="11.296875" customWidth="1"/>
    <col min="5" max="5" width="12.69921875" style="1" bestFit="1" customWidth="1"/>
    <col min="6" max="6" width="9.59765625" style="16" customWidth="1"/>
    <col min="7" max="12" width="11.09765625" style="16" customWidth="1"/>
    <col min="13" max="13" width="11.8984375" customWidth="1"/>
    <col min="14" max="14" width="13.3984375" customWidth="1"/>
    <col min="15" max="17" width="9.09765625" customWidth="1"/>
    <col min="18" max="19" width="13.8984375" customWidth="1"/>
    <col min="20" max="20" width="11.8984375" customWidth="1"/>
    <col min="21" max="21" width="13.3984375" customWidth="1"/>
    <col min="22" max="24" width="9.09765625" customWidth="1"/>
    <col min="25" max="26" width="13.8984375" customWidth="1"/>
    <col min="27" max="27" width="11.8984375" customWidth="1"/>
    <col min="28" max="28" width="13.3984375" customWidth="1"/>
    <col min="29" max="31" width="9.09765625" customWidth="1"/>
    <col min="32" max="33" width="13.8984375" customWidth="1"/>
    <col min="34" max="34" width="11.8984375" customWidth="1"/>
    <col min="35" max="35" width="13.3984375" customWidth="1"/>
    <col min="36" max="38" width="9.09765625" customWidth="1"/>
    <col min="39" max="40" width="13.8984375" customWidth="1"/>
    <col min="41" max="41" width="11.8984375" customWidth="1"/>
    <col min="42" max="42" width="13.3984375" customWidth="1"/>
    <col min="43" max="45" width="9.09765625" customWidth="1"/>
    <col min="46" max="47" width="13.8984375" customWidth="1"/>
    <col min="48" max="48" width="11.8984375" customWidth="1"/>
    <col min="49" max="49" width="13.3984375" customWidth="1"/>
    <col min="50" max="52" width="9.09765625" customWidth="1"/>
    <col min="53" max="54" width="13.8984375" customWidth="1"/>
    <col min="55" max="55" width="11.8984375" customWidth="1"/>
    <col min="56" max="56" width="13.3984375" customWidth="1"/>
    <col min="57" max="59" width="9.09765625" customWidth="1"/>
    <col min="60" max="61" width="13.8984375" customWidth="1"/>
    <col min="62" max="62" width="11.8984375" customWidth="1"/>
    <col min="63" max="63" width="17.3984375" customWidth="1"/>
    <col min="64" max="64" width="13.09765625" customWidth="1"/>
    <col min="65" max="65" width="11.09765625" customWidth="1"/>
    <col min="66" max="66" width="13.296875" customWidth="1"/>
    <col min="67" max="67" width="15.296875" customWidth="1"/>
    <col min="68" max="68" width="18" customWidth="1"/>
    <col min="69" max="69" width="11.8984375" customWidth="1"/>
    <col min="70" max="70" width="17.3984375" customWidth="1"/>
    <col min="71" max="71" width="13.09765625" customWidth="1"/>
    <col min="72" max="72" width="11.09765625" customWidth="1"/>
    <col min="73" max="73" width="13.296875" customWidth="1"/>
    <col min="74" max="74" width="15.09765625" customWidth="1"/>
    <col min="75" max="75" width="18.09765625" customWidth="1"/>
    <col min="76" max="76" width="11.8984375" customWidth="1"/>
    <col min="77" max="77" width="17.3984375" customWidth="1"/>
    <col min="78" max="78" width="13.09765625" customWidth="1"/>
    <col min="79" max="79" width="11.09765625" customWidth="1"/>
    <col min="80" max="80" width="13.296875" customWidth="1"/>
    <col min="81" max="81" width="15.296875" customWidth="1"/>
    <col min="82" max="82" width="20.09765625" customWidth="1"/>
    <col min="83" max="83" width="11.8984375" customWidth="1"/>
    <col min="84" max="84" width="13.3984375" customWidth="1"/>
    <col min="85" max="86" width="9.09765625" customWidth="1"/>
    <col min="87" max="87" width="13.296875" bestFit="1" customWidth="1"/>
  </cols>
  <sheetData>
    <row r="2" spans="1:87" x14ac:dyDescent="0.25">
      <c r="A2" s="3"/>
      <c r="B2" s="4"/>
      <c r="D2" s="4"/>
      <c r="E2" s="5"/>
      <c r="F2" s="15"/>
    </row>
    <row r="3" spans="1:87" ht="18.75" customHeight="1" x14ac:dyDescent="0.25">
      <c r="A3" s="32"/>
      <c r="B3" s="31"/>
      <c r="D3" s="25"/>
      <c r="E3" s="30"/>
      <c r="F3" s="48">
        <v>45383</v>
      </c>
      <c r="G3" s="48"/>
      <c r="H3" s="48"/>
      <c r="I3" s="48"/>
      <c r="J3" s="48"/>
      <c r="K3" s="23"/>
      <c r="L3" s="23"/>
      <c r="M3" s="48">
        <v>45413</v>
      </c>
      <c r="N3" s="48"/>
      <c r="O3" s="48"/>
      <c r="P3" s="48"/>
      <c r="Q3" s="48"/>
      <c r="T3" s="48">
        <v>45444</v>
      </c>
      <c r="U3" s="48"/>
      <c r="V3" s="48"/>
      <c r="W3" s="48"/>
      <c r="X3" s="48"/>
      <c r="AA3" s="48">
        <v>45474</v>
      </c>
      <c r="AB3" s="48"/>
      <c r="AC3" s="48"/>
      <c r="AD3" s="48"/>
      <c r="AE3" s="48"/>
      <c r="AH3" s="48">
        <v>45505</v>
      </c>
      <c r="AI3" s="48"/>
      <c r="AJ3" s="48"/>
      <c r="AK3" s="48"/>
      <c r="AL3" s="48"/>
      <c r="AO3" s="48">
        <v>45536</v>
      </c>
      <c r="AP3" s="48"/>
      <c r="AQ3" s="48"/>
      <c r="AR3" s="48"/>
      <c r="AS3" s="48"/>
      <c r="AV3" s="48">
        <v>45566</v>
      </c>
      <c r="AW3" s="48"/>
      <c r="AX3" s="48"/>
      <c r="AY3" s="48"/>
      <c r="AZ3" s="48"/>
      <c r="BC3" s="48">
        <v>45597</v>
      </c>
      <c r="BD3" s="48"/>
      <c r="BE3" s="48"/>
      <c r="BF3" s="48"/>
      <c r="BG3" s="48"/>
      <c r="BJ3" s="48">
        <v>45627</v>
      </c>
      <c r="BK3" s="48"/>
      <c r="BL3" s="48"/>
      <c r="BM3" s="48"/>
      <c r="BN3" s="48"/>
      <c r="BQ3" s="48">
        <v>45658</v>
      </c>
      <c r="BR3" s="48"/>
      <c r="BS3" s="48"/>
      <c r="BT3" s="48"/>
      <c r="BU3" s="48"/>
      <c r="BX3" s="48">
        <v>45689</v>
      </c>
      <c r="BY3" s="48"/>
      <c r="BZ3" s="48"/>
      <c r="CA3" s="48"/>
      <c r="CB3" s="48"/>
      <c r="CE3" s="48">
        <v>45717</v>
      </c>
      <c r="CF3" s="48"/>
      <c r="CG3" s="48"/>
      <c r="CH3" s="48"/>
      <c r="CI3" s="48"/>
    </row>
    <row r="4" spans="1:87" s="1" customFormat="1" ht="31.5" x14ac:dyDescent="0.25">
      <c r="A4" s="33" t="s">
        <v>23</v>
      </c>
      <c r="B4" s="34" t="s">
        <v>0</v>
      </c>
      <c r="C4" s="18" t="s">
        <v>95</v>
      </c>
      <c r="D4" s="17" t="s">
        <v>101</v>
      </c>
      <c r="E4" s="18" t="s">
        <v>22</v>
      </c>
      <c r="F4" s="17" t="s">
        <v>32</v>
      </c>
      <c r="G4" s="17" t="s">
        <v>24</v>
      </c>
      <c r="H4" s="17" t="s">
        <v>56</v>
      </c>
      <c r="I4" s="17" t="s">
        <v>55</v>
      </c>
      <c r="J4" s="18" t="s">
        <v>25</v>
      </c>
      <c r="K4" s="18" t="s">
        <v>65</v>
      </c>
      <c r="L4" s="18" t="s">
        <v>62</v>
      </c>
      <c r="M4" s="17" t="s">
        <v>58</v>
      </c>
      <c r="N4" s="17" t="s">
        <v>59</v>
      </c>
      <c r="O4" s="17" t="s">
        <v>57</v>
      </c>
      <c r="P4" s="17" t="s">
        <v>55</v>
      </c>
      <c r="Q4" s="18" t="s">
        <v>25</v>
      </c>
      <c r="R4" s="18" t="s">
        <v>63</v>
      </c>
      <c r="S4" s="18" t="s">
        <v>64</v>
      </c>
      <c r="T4" s="17" t="s">
        <v>66</v>
      </c>
      <c r="U4" s="17" t="s">
        <v>67</v>
      </c>
      <c r="V4" s="17" t="s">
        <v>68</v>
      </c>
      <c r="W4" s="17" t="s">
        <v>55</v>
      </c>
      <c r="X4" s="18" t="s">
        <v>25</v>
      </c>
      <c r="Y4" s="18" t="s">
        <v>69</v>
      </c>
      <c r="Z4" s="18" t="s">
        <v>70</v>
      </c>
      <c r="AA4" s="17" t="s">
        <v>71</v>
      </c>
      <c r="AB4" s="17" t="s">
        <v>72</v>
      </c>
      <c r="AC4" s="17" t="s">
        <v>73</v>
      </c>
      <c r="AD4" s="17" t="s">
        <v>55</v>
      </c>
      <c r="AE4" s="18" t="s">
        <v>25</v>
      </c>
      <c r="AF4" s="18" t="s">
        <v>74</v>
      </c>
      <c r="AG4" s="18" t="s">
        <v>75</v>
      </c>
      <c r="AH4" s="17" t="s">
        <v>76</v>
      </c>
      <c r="AI4" s="17" t="s">
        <v>77</v>
      </c>
      <c r="AJ4" s="17" t="s">
        <v>78</v>
      </c>
      <c r="AK4" s="17" t="s">
        <v>55</v>
      </c>
      <c r="AL4" s="18" t="s">
        <v>25</v>
      </c>
      <c r="AM4" s="18" t="s">
        <v>79</v>
      </c>
      <c r="AN4" s="18" t="s">
        <v>80</v>
      </c>
      <c r="AO4" s="17" t="s">
        <v>81</v>
      </c>
      <c r="AP4" s="17" t="s">
        <v>82</v>
      </c>
      <c r="AQ4" s="17" t="s">
        <v>83</v>
      </c>
      <c r="AR4" s="17" t="s">
        <v>55</v>
      </c>
      <c r="AS4" s="18" t="s">
        <v>25</v>
      </c>
      <c r="AT4" s="18" t="s">
        <v>84</v>
      </c>
      <c r="AU4" s="18" t="s">
        <v>85</v>
      </c>
      <c r="AV4" s="17" t="s">
        <v>86</v>
      </c>
      <c r="AW4" s="17" t="s">
        <v>87</v>
      </c>
      <c r="AX4" s="17" t="s">
        <v>88</v>
      </c>
      <c r="AY4" s="17" t="s">
        <v>55</v>
      </c>
      <c r="AZ4" s="18" t="s">
        <v>25</v>
      </c>
      <c r="BA4" s="18" t="s">
        <v>89</v>
      </c>
      <c r="BB4" s="18" t="s">
        <v>80</v>
      </c>
      <c r="BC4" s="17" t="s">
        <v>90</v>
      </c>
      <c r="BD4" s="17" t="s">
        <v>91</v>
      </c>
      <c r="BE4" s="17" t="s">
        <v>94</v>
      </c>
      <c r="BF4" s="17" t="s">
        <v>55</v>
      </c>
      <c r="BG4" s="18" t="s">
        <v>25</v>
      </c>
      <c r="BH4" s="18" t="s">
        <v>92</v>
      </c>
      <c r="BI4" s="18" t="s">
        <v>93</v>
      </c>
      <c r="BJ4" s="17" t="s">
        <v>96</v>
      </c>
      <c r="BK4" s="17" t="s">
        <v>97</v>
      </c>
      <c r="BL4" s="17" t="s">
        <v>98</v>
      </c>
      <c r="BM4" s="17" t="s">
        <v>55</v>
      </c>
      <c r="BN4" s="18" t="s">
        <v>25</v>
      </c>
      <c r="BO4" s="18" t="s">
        <v>99</v>
      </c>
      <c r="BP4" s="18" t="s">
        <v>100</v>
      </c>
      <c r="BQ4" s="17" t="s">
        <v>106</v>
      </c>
      <c r="BR4" s="17" t="s">
        <v>102</v>
      </c>
      <c r="BS4" s="17" t="s">
        <v>103</v>
      </c>
      <c r="BT4" s="17" t="s">
        <v>55</v>
      </c>
      <c r="BU4" s="18" t="s">
        <v>25</v>
      </c>
      <c r="BV4" s="18" t="s">
        <v>104</v>
      </c>
      <c r="BW4" s="18" t="s">
        <v>105</v>
      </c>
      <c r="BX4" s="17" t="s">
        <v>107</v>
      </c>
      <c r="BY4" s="17" t="s">
        <v>111</v>
      </c>
      <c r="BZ4" s="17" t="s">
        <v>108</v>
      </c>
      <c r="CA4" s="17" t="s">
        <v>55</v>
      </c>
      <c r="CB4" s="18" t="s">
        <v>25</v>
      </c>
      <c r="CC4" s="18" t="s">
        <v>109</v>
      </c>
      <c r="CD4" s="18" t="s">
        <v>110</v>
      </c>
      <c r="CE4" s="17" t="s">
        <v>115</v>
      </c>
      <c r="CF4" s="17" t="s">
        <v>113</v>
      </c>
      <c r="CG4" s="17" t="s">
        <v>114</v>
      </c>
      <c r="CH4" s="17" t="s">
        <v>55</v>
      </c>
      <c r="CI4" s="18" t="s">
        <v>25</v>
      </c>
    </row>
    <row r="5" spans="1:87" ht="17.149999999999999" customHeight="1" x14ac:dyDescent="0.25">
      <c r="A5" s="6" t="s">
        <v>1</v>
      </c>
      <c r="B5" s="7" t="s">
        <v>2</v>
      </c>
      <c r="C5" s="20">
        <v>1204</v>
      </c>
      <c r="D5" s="26">
        <v>3885.1010101010106</v>
      </c>
      <c r="E5" s="8">
        <v>100</v>
      </c>
      <c r="F5" s="19">
        <v>5.65</v>
      </c>
      <c r="G5" s="20">
        <v>0</v>
      </c>
      <c r="H5" s="20">
        <v>3.27</v>
      </c>
      <c r="I5" s="20">
        <v>2.27</v>
      </c>
      <c r="J5" s="20">
        <f>F5+G5+I5-H5</f>
        <v>4.6500000000000004</v>
      </c>
      <c r="K5" s="20"/>
      <c r="L5" s="24">
        <v>100</v>
      </c>
      <c r="M5" s="19">
        <f>J5</f>
        <v>4.6500000000000004</v>
      </c>
      <c r="N5" s="20">
        <v>100</v>
      </c>
      <c r="O5" s="20">
        <v>102.65</v>
      </c>
      <c r="P5" s="20">
        <v>6</v>
      </c>
      <c r="Q5" s="20">
        <f>M5+N5+P5-O5</f>
        <v>8</v>
      </c>
      <c r="R5" s="20">
        <v>100</v>
      </c>
      <c r="S5" s="20">
        <v>50</v>
      </c>
      <c r="T5" s="19">
        <f>Q5</f>
        <v>8</v>
      </c>
      <c r="U5" s="20">
        <v>100</v>
      </c>
      <c r="V5" s="20">
        <v>65</v>
      </c>
      <c r="W5" s="20"/>
      <c r="X5" s="20">
        <f>T5+U5+W5-V5</f>
        <v>43</v>
      </c>
      <c r="Y5" s="20"/>
      <c r="Z5" s="20"/>
      <c r="AA5" s="19">
        <f>X5</f>
        <v>43</v>
      </c>
      <c r="AB5" s="20">
        <v>125</v>
      </c>
      <c r="AC5" s="20">
        <v>91.4</v>
      </c>
      <c r="AD5" s="20">
        <v>4.4000000000000004</v>
      </c>
      <c r="AE5" s="20">
        <f>AA5+AB5+AD5-AC5</f>
        <v>81</v>
      </c>
      <c r="AF5" s="20"/>
      <c r="AG5" s="20"/>
      <c r="AH5" s="19">
        <f>AE5</f>
        <v>81</v>
      </c>
      <c r="AI5" s="20"/>
      <c r="AJ5" s="20">
        <v>88.690000000000012</v>
      </c>
      <c r="AK5" s="20">
        <v>7.6899999999999995</v>
      </c>
      <c r="AL5" s="20">
        <f>AH5+AI5+AK5-AJ5</f>
        <v>0</v>
      </c>
      <c r="AM5" s="20">
        <v>50</v>
      </c>
      <c r="AN5" s="20">
        <v>100</v>
      </c>
      <c r="AO5" s="19">
        <f>AL5</f>
        <v>0</v>
      </c>
      <c r="AP5" s="20">
        <v>150</v>
      </c>
      <c r="AQ5" s="20">
        <v>81</v>
      </c>
      <c r="AR5" s="20"/>
      <c r="AS5" s="20">
        <f>AO5+AP5+AR5-AQ5</f>
        <v>69</v>
      </c>
      <c r="AT5" s="20"/>
      <c r="AU5" s="20"/>
      <c r="AV5" s="19">
        <f>AS5</f>
        <v>69</v>
      </c>
      <c r="AW5" s="20"/>
      <c r="AX5" s="20">
        <v>28</v>
      </c>
      <c r="AY5" s="20"/>
      <c r="AZ5" s="20">
        <f>AV5+AW5+AY5-AX5</f>
        <v>41</v>
      </c>
      <c r="BA5" s="20"/>
      <c r="BB5" s="20"/>
      <c r="BC5" s="19">
        <f>AZ5</f>
        <v>41</v>
      </c>
      <c r="BD5" s="20">
        <v>75</v>
      </c>
      <c r="BE5" s="20">
        <v>67</v>
      </c>
      <c r="BF5" s="20">
        <v>5</v>
      </c>
      <c r="BG5" s="20">
        <f>BC5+BD5+BF5-BE5</f>
        <v>54</v>
      </c>
      <c r="BH5" s="20"/>
      <c r="BI5" s="20"/>
      <c r="BJ5" s="19">
        <f>BG5</f>
        <v>54</v>
      </c>
      <c r="BK5" s="20">
        <v>50</v>
      </c>
      <c r="BL5" s="20">
        <v>41.4</v>
      </c>
      <c r="BM5" s="20">
        <v>14.1</v>
      </c>
      <c r="BN5" s="20">
        <f>BJ5+BK5+BM5-BL5</f>
        <v>76.699999999999989</v>
      </c>
      <c r="BO5" s="20"/>
      <c r="BP5" s="20"/>
      <c r="BQ5" s="19">
        <f>BN5</f>
        <v>76.699999999999989</v>
      </c>
      <c r="BR5" s="20"/>
      <c r="BS5" s="20">
        <v>77</v>
      </c>
      <c r="BT5" s="20">
        <v>4.92</v>
      </c>
      <c r="BU5" s="20">
        <f>BQ5+BR5+BT5-BS5</f>
        <v>4.6199999999999903</v>
      </c>
      <c r="BV5" s="20">
        <v>25</v>
      </c>
      <c r="BW5" s="20"/>
      <c r="BX5" s="19">
        <f>BU5</f>
        <v>4.6199999999999903</v>
      </c>
      <c r="BY5" s="20">
        <v>25</v>
      </c>
      <c r="BZ5" s="20">
        <v>34.36</v>
      </c>
      <c r="CA5" s="20">
        <v>4.74</v>
      </c>
      <c r="CB5" s="20">
        <f>BX5+BY5+CA5-BZ5</f>
        <v>0</v>
      </c>
      <c r="CC5" s="20"/>
      <c r="CD5" s="20"/>
      <c r="CE5" s="19">
        <f>CB5</f>
        <v>0</v>
      </c>
      <c r="CF5" s="20">
        <v>125</v>
      </c>
      <c r="CG5" s="20">
        <v>65</v>
      </c>
      <c r="CH5" s="20">
        <v>6.34</v>
      </c>
      <c r="CI5" s="20">
        <f>CE5+CF5+CH5-CG5</f>
        <v>66.34</v>
      </c>
    </row>
    <row r="6" spans="1:87" ht="17.149999999999999" customHeight="1" x14ac:dyDescent="0.25">
      <c r="A6" s="6" t="s">
        <v>1</v>
      </c>
      <c r="B6" s="7" t="s">
        <v>3</v>
      </c>
      <c r="C6" s="20">
        <v>1178</v>
      </c>
      <c r="D6" s="26">
        <v>3118.6868686868688</v>
      </c>
      <c r="E6" s="8">
        <v>30</v>
      </c>
      <c r="F6" s="19">
        <v>265.8</v>
      </c>
      <c r="G6" s="20">
        <v>0</v>
      </c>
      <c r="H6" s="20">
        <v>171.1</v>
      </c>
      <c r="I6" s="20">
        <v>19.2</v>
      </c>
      <c r="J6" s="20">
        <f t="shared" ref="J6:J7" si="0">F6+G6+I6-H6</f>
        <v>113.9</v>
      </c>
      <c r="K6" s="20"/>
      <c r="L6" s="24">
        <v>330</v>
      </c>
      <c r="M6" s="19">
        <f>J6</f>
        <v>113.9</v>
      </c>
      <c r="N6" s="20">
        <v>330</v>
      </c>
      <c r="O6" s="20">
        <v>294.43</v>
      </c>
      <c r="P6" s="20">
        <v>10</v>
      </c>
      <c r="Q6" s="20">
        <f t="shared" ref="Q6:Q7" si="1">M6+N6+P6-O6</f>
        <v>159.46999999999997</v>
      </c>
      <c r="R6" s="20">
        <v>250</v>
      </c>
      <c r="S6" s="20">
        <v>250</v>
      </c>
      <c r="T6" s="19">
        <f t="shared" ref="T6:T7" si="2">Q6</f>
        <v>159.46999999999997</v>
      </c>
      <c r="U6" s="20">
        <v>250</v>
      </c>
      <c r="V6" s="20">
        <v>229</v>
      </c>
      <c r="W6" s="20">
        <v>2</v>
      </c>
      <c r="X6" s="20">
        <f>T6+U6+W6-V6</f>
        <v>182.46999999999997</v>
      </c>
      <c r="Y6" s="20"/>
      <c r="Z6" s="20"/>
      <c r="AA6" s="19">
        <f t="shared" ref="AA6:AA7" si="3">X6</f>
        <v>182.46999999999997</v>
      </c>
      <c r="AB6" s="20">
        <v>350</v>
      </c>
      <c r="AC6" s="20">
        <v>214.6</v>
      </c>
      <c r="AD6" s="20">
        <v>9</v>
      </c>
      <c r="AE6" s="20">
        <f>AA6+AB6+AD6-AC6</f>
        <v>326.87</v>
      </c>
      <c r="AF6" s="20"/>
      <c r="AG6" s="20"/>
      <c r="AH6" s="19">
        <f t="shared" ref="AH6:AH7" si="4">AE6</f>
        <v>326.87</v>
      </c>
      <c r="AI6" s="20"/>
      <c r="AJ6" s="20">
        <v>212.5333</v>
      </c>
      <c r="AK6" s="20">
        <v>6.73</v>
      </c>
      <c r="AL6" s="20">
        <f>AH6+AI6+AK6-AJ6</f>
        <v>121.06670000000003</v>
      </c>
      <c r="AM6" s="20">
        <v>250</v>
      </c>
      <c r="AN6" s="20">
        <v>250</v>
      </c>
      <c r="AO6" s="19">
        <f t="shared" ref="AO6:AO7" si="5">AL6</f>
        <v>121.06670000000003</v>
      </c>
      <c r="AP6" s="20">
        <v>500</v>
      </c>
      <c r="AQ6" s="20">
        <v>363.13329999999996</v>
      </c>
      <c r="AR6" s="20"/>
      <c r="AS6" s="20">
        <f>AO6+AP6+AR6-AQ6</f>
        <v>257.93340000000012</v>
      </c>
      <c r="AT6" s="20"/>
      <c r="AU6" s="20"/>
      <c r="AV6" s="19">
        <f t="shared" ref="AV6:AV7" si="6">AS6</f>
        <v>257.93340000000012</v>
      </c>
      <c r="AW6" s="20"/>
      <c r="AX6" s="20">
        <v>86</v>
      </c>
      <c r="AY6" s="20"/>
      <c r="AZ6" s="20">
        <f>AV6+AW6+AY6-AX6</f>
        <v>171.93340000000012</v>
      </c>
      <c r="BA6" s="20"/>
      <c r="BB6" s="20"/>
      <c r="BC6" s="19">
        <f>AZ6</f>
        <v>171.93340000000012</v>
      </c>
      <c r="BD6" s="20">
        <v>200</v>
      </c>
      <c r="BE6" s="20">
        <v>285</v>
      </c>
      <c r="BF6" s="20">
        <v>0</v>
      </c>
      <c r="BG6" s="20">
        <f t="shared" ref="BG6:BG7" si="7">BC6+BD6+BF6-BE6</f>
        <v>86.93340000000012</v>
      </c>
      <c r="BH6" s="20">
        <v>250</v>
      </c>
      <c r="BI6" s="20"/>
      <c r="BJ6" s="19">
        <f>BG6</f>
        <v>86.93340000000012</v>
      </c>
      <c r="BK6" s="20">
        <v>450</v>
      </c>
      <c r="BL6" s="20">
        <v>316.8</v>
      </c>
      <c r="BM6" s="20">
        <v>41.566699999999997</v>
      </c>
      <c r="BN6" s="20">
        <f t="shared" ref="BN6:BN7" si="8">BJ6+BK6+BM6-BL6</f>
        <v>261.70010000000008</v>
      </c>
      <c r="BO6" s="20"/>
      <c r="BP6" s="20"/>
      <c r="BQ6" s="19">
        <f>BN6</f>
        <v>261.70010000000008</v>
      </c>
      <c r="BR6" s="20"/>
      <c r="BS6" s="20">
        <v>268.03333300000003</v>
      </c>
      <c r="BT6" s="20">
        <v>36.799999999999997</v>
      </c>
      <c r="BU6" s="20">
        <f t="shared" ref="BU6:BU7" si="9">BQ6+BR6+BT6-BS6</f>
        <v>30.466767000000061</v>
      </c>
      <c r="BV6" s="20">
        <v>450</v>
      </c>
      <c r="BW6" s="20"/>
      <c r="BX6" s="19">
        <f>BU6</f>
        <v>30.466767000000061</v>
      </c>
      <c r="BY6" s="20">
        <v>390</v>
      </c>
      <c r="BZ6" s="20">
        <v>392</v>
      </c>
      <c r="CA6" s="20">
        <v>8.5333000000000006</v>
      </c>
      <c r="CB6" s="20">
        <f t="shared" ref="CB6:CB7" si="10">BX6+BY6+CA6-BZ6</f>
        <v>37.000067000000058</v>
      </c>
      <c r="CC6" s="20"/>
      <c r="CD6" s="20"/>
      <c r="CE6" s="19">
        <f>CB6</f>
        <v>37.000067000000058</v>
      </c>
      <c r="CF6" s="20">
        <v>350.00003300000003</v>
      </c>
      <c r="CG6" s="20">
        <v>349.2</v>
      </c>
      <c r="CH6" s="20">
        <v>12.033300000000001</v>
      </c>
      <c r="CI6" s="20">
        <f t="shared" ref="CI6:CI7" si="11">CE6+CF6+CH6-CG6</f>
        <v>49.833400000000097</v>
      </c>
    </row>
    <row r="7" spans="1:87" ht="17.149999999999999" customHeight="1" x14ac:dyDescent="0.25">
      <c r="A7" s="6" t="s">
        <v>1</v>
      </c>
      <c r="B7" s="7" t="s">
        <v>4</v>
      </c>
      <c r="C7" s="20">
        <v>832</v>
      </c>
      <c r="D7" s="26">
        <v>2239.0572390572388</v>
      </c>
      <c r="E7" s="8">
        <v>4</v>
      </c>
      <c r="F7" s="19">
        <v>240</v>
      </c>
      <c r="G7" s="20">
        <v>0</v>
      </c>
      <c r="H7" s="20">
        <v>108.5</v>
      </c>
      <c r="I7" s="20">
        <v>3</v>
      </c>
      <c r="J7" s="20">
        <f t="shared" si="0"/>
        <v>134.5</v>
      </c>
      <c r="K7" s="20"/>
      <c r="L7" s="24">
        <v>100</v>
      </c>
      <c r="M7" s="19">
        <f>J7</f>
        <v>134.5</v>
      </c>
      <c r="N7" s="20">
        <v>100</v>
      </c>
      <c r="O7" s="20">
        <v>234.5</v>
      </c>
      <c r="P7" s="20">
        <v>0</v>
      </c>
      <c r="Q7" s="20">
        <f t="shared" si="1"/>
        <v>0</v>
      </c>
      <c r="R7" s="20">
        <v>100</v>
      </c>
      <c r="S7" s="20">
        <v>100</v>
      </c>
      <c r="T7" s="19">
        <f t="shared" si="2"/>
        <v>0</v>
      </c>
      <c r="U7" s="20">
        <v>100</v>
      </c>
      <c r="V7" s="20">
        <v>100</v>
      </c>
      <c r="W7" s="20"/>
      <c r="X7" s="20">
        <f t="shared" ref="X7" si="12">T7+U7+W7-V7</f>
        <v>0</v>
      </c>
      <c r="Y7" s="20"/>
      <c r="Z7" s="20"/>
      <c r="AA7" s="19">
        <f t="shared" si="3"/>
        <v>0</v>
      </c>
      <c r="AB7" s="20">
        <v>450</v>
      </c>
      <c r="AC7" s="20">
        <v>220.5</v>
      </c>
      <c r="AD7" s="20">
        <v>0</v>
      </c>
      <c r="AE7" s="20">
        <f t="shared" ref="AE7" si="13">AA7+AB7+AD7-AC7</f>
        <v>229.5</v>
      </c>
      <c r="AF7" s="20"/>
      <c r="AG7" s="20"/>
      <c r="AH7" s="19">
        <f t="shared" si="4"/>
        <v>229.5</v>
      </c>
      <c r="AI7" s="20"/>
      <c r="AJ7" s="20">
        <v>220</v>
      </c>
      <c r="AK7" s="20">
        <v>0</v>
      </c>
      <c r="AL7" s="20">
        <f t="shared" ref="AL7" si="14">AH7+AI7+AK7-AJ7</f>
        <v>9.5</v>
      </c>
      <c r="AM7" s="20">
        <v>250</v>
      </c>
      <c r="AN7" s="20">
        <v>300</v>
      </c>
      <c r="AO7" s="19">
        <f t="shared" si="5"/>
        <v>9.5</v>
      </c>
      <c r="AP7" s="20">
        <v>510</v>
      </c>
      <c r="AQ7" s="20">
        <v>216.5</v>
      </c>
      <c r="AR7" s="20"/>
      <c r="AS7" s="20">
        <f t="shared" ref="AS7" si="15">AO7+AP7+AR7-AQ7</f>
        <v>303</v>
      </c>
      <c r="AT7" s="20"/>
      <c r="AU7" s="20"/>
      <c r="AV7" s="19">
        <f t="shared" si="6"/>
        <v>303</v>
      </c>
      <c r="AW7" s="20"/>
      <c r="AX7" s="20">
        <v>126</v>
      </c>
      <c r="AY7" s="20"/>
      <c r="AZ7" s="20">
        <f t="shared" ref="AZ7" si="16">AV7+AW7+AY7-AX7</f>
        <v>177</v>
      </c>
      <c r="BA7" s="20"/>
      <c r="BB7" s="20"/>
      <c r="BC7" s="19">
        <f>AZ7</f>
        <v>177</v>
      </c>
      <c r="BD7" s="20">
        <v>40</v>
      </c>
      <c r="BE7" s="20">
        <v>120</v>
      </c>
      <c r="BF7" s="20">
        <v>0</v>
      </c>
      <c r="BG7" s="20">
        <f t="shared" si="7"/>
        <v>97</v>
      </c>
      <c r="BH7" s="20">
        <v>200</v>
      </c>
      <c r="BI7" s="20"/>
      <c r="BJ7" s="19">
        <f>BG7</f>
        <v>97</v>
      </c>
      <c r="BK7" s="20">
        <v>350</v>
      </c>
      <c r="BL7" s="20">
        <v>238</v>
      </c>
      <c r="BM7" s="20">
        <v>58</v>
      </c>
      <c r="BN7" s="20">
        <f t="shared" si="8"/>
        <v>267</v>
      </c>
      <c r="BO7" s="20"/>
      <c r="BP7" s="20"/>
      <c r="BQ7" s="19">
        <f>BN7</f>
        <v>267</v>
      </c>
      <c r="BR7" s="20"/>
      <c r="BS7" s="20">
        <v>225</v>
      </c>
      <c r="BT7" s="20">
        <v>22.5</v>
      </c>
      <c r="BU7" s="20">
        <f t="shared" si="9"/>
        <v>64.5</v>
      </c>
      <c r="BV7" s="20">
        <v>100</v>
      </c>
      <c r="BW7" s="20"/>
      <c r="BX7" s="19">
        <f>BU7</f>
        <v>64.5</v>
      </c>
      <c r="BY7" s="20">
        <v>100</v>
      </c>
      <c r="BZ7" s="20">
        <v>115</v>
      </c>
      <c r="CA7" s="20">
        <v>8</v>
      </c>
      <c r="CB7" s="20">
        <f t="shared" si="10"/>
        <v>57.5</v>
      </c>
      <c r="CC7" s="20"/>
      <c r="CD7" s="20"/>
      <c r="CE7" s="19">
        <f>CB7</f>
        <v>57.5</v>
      </c>
      <c r="CF7" s="20">
        <v>450</v>
      </c>
      <c r="CG7" s="20">
        <v>165.5</v>
      </c>
      <c r="CH7" s="20">
        <v>65.5</v>
      </c>
      <c r="CI7" s="20">
        <f t="shared" si="11"/>
        <v>407.5</v>
      </c>
    </row>
    <row r="8" spans="1:87" ht="17.149999999999999" customHeight="1" x14ac:dyDescent="0.25">
      <c r="A8" s="9"/>
      <c r="B8" s="10" t="s">
        <v>33</v>
      </c>
      <c r="C8" s="21"/>
      <c r="D8" s="10"/>
      <c r="E8" s="11"/>
      <c r="F8" s="21">
        <f>SUM(F5:F7)</f>
        <v>511.45</v>
      </c>
      <c r="G8" s="21">
        <f>SUM(G5:G7)</f>
        <v>0</v>
      </c>
      <c r="H8" s="21">
        <f t="shared" ref="H8:J8" si="17">SUM(H5:H7)</f>
        <v>282.87</v>
      </c>
      <c r="I8" s="21">
        <f t="shared" si="17"/>
        <v>24.47</v>
      </c>
      <c r="J8" s="21">
        <f t="shared" si="17"/>
        <v>253.05</v>
      </c>
      <c r="K8" s="21">
        <f>SUM(K5:K7)</f>
        <v>0</v>
      </c>
      <c r="L8" s="21">
        <f t="shared" ref="L8" si="18">SUM(L5:L7)</f>
        <v>530</v>
      </c>
      <c r="M8" s="21">
        <f>SUM(M5:M7)</f>
        <v>253.05</v>
      </c>
      <c r="N8" s="21">
        <f>SUM(N5:N7)</f>
        <v>530</v>
      </c>
      <c r="O8" s="21">
        <f t="shared" ref="O8:Q8" si="19">SUM(O5:O7)</f>
        <v>631.58000000000004</v>
      </c>
      <c r="P8" s="21">
        <f t="shared" si="19"/>
        <v>16</v>
      </c>
      <c r="Q8" s="21">
        <f t="shared" si="19"/>
        <v>167.46999999999997</v>
      </c>
      <c r="R8" s="21">
        <f t="shared" ref="R8:S8" si="20">SUM(R5:R7)</f>
        <v>450</v>
      </c>
      <c r="S8" s="21">
        <f t="shared" si="20"/>
        <v>400</v>
      </c>
      <c r="T8" s="21">
        <f>SUM(T5:T7)</f>
        <v>167.46999999999997</v>
      </c>
      <c r="U8" s="21">
        <f>SUM(U5:U7)</f>
        <v>450</v>
      </c>
      <c r="V8" s="21">
        <f t="shared" ref="V8:Z8" si="21">SUM(V5:V7)</f>
        <v>394</v>
      </c>
      <c r="W8" s="21">
        <f t="shared" si="21"/>
        <v>2</v>
      </c>
      <c r="X8" s="21">
        <f t="shared" si="21"/>
        <v>225.46999999999997</v>
      </c>
      <c r="Y8" s="21">
        <f t="shared" si="21"/>
        <v>0</v>
      </c>
      <c r="Z8" s="21">
        <f t="shared" si="21"/>
        <v>0</v>
      </c>
      <c r="AA8" s="21">
        <f>SUM(AA5:AA7)</f>
        <v>225.46999999999997</v>
      </c>
      <c r="AB8" s="21">
        <f>SUM(AB5:AB7)</f>
        <v>925</v>
      </c>
      <c r="AC8" s="21">
        <f>SUM(AC5:AC7)</f>
        <v>526.5</v>
      </c>
      <c r="AD8" s="21">
        <f t="shared" ref="AD8:AG8" si="22">SUM(AD5:AD7)</f>
        <v>13.4</v>
      </c>
      <c r="AE8" s="21">
        <f t="shared" si="22"/>
        <v>637.37</v>
      </c>
      <c r="AF8" s="21">
        <f t="shared" si="22"/>
        <v>0</v>
      </c>
      <c r="AG8" s="21">
        <f t="shared" si="22"/>
        <v>0</v>
      </c>
      <c r="AH8" s="21">
        <f>SUM(AH5:AH7)</f>
        <v>637.37</v>
      </c>
      <c r="AI8" s="21">
        <f>SUM(AI5:AI7)</f>
        <v>0</v>
      </c>
      <c r="AJ8" s="21">
        <f>SUM(AJ5:AJ7)</f>
        <v>521.22329999999999</v>
      </c>
      <c r="AK8" s="21">
        <f t="shared" ref="AK8:AN8" si="23">SUM(AK5:AK7)</f>
        <v>14.42</v>
      </c>
      <c r="AL8" s="21">
        <f>SUM(AL5:AL7)</f>
        <v>130.56670000000003</v>
      </c>
      <c r="AM8" s="21">
        <f t="shared" si="23"/>
        <v>550</v>
      </c>
      <c r="AN8" s="21">
        <f t="shared" si="23"/>
        <v>650</v>
      </c>
      <c r="AO8" s="21">
        <f>SUM(AO5:AO7)</f>
        <v>130.56670000000003</v>
      </c>
      <c r="AP8" s="21">
        <f>SUM(AP5:AP7)</f>
        <v>1160</v>
      </c>
      <c r="AQ8" s="21">
        <f>SUM(AQ5:AQ7)</f>
        <v>660.63329999999996</v>
      </c>
      <c r="AR8" s="21">
        <f t="shared" ref="AR8" si="24">SUM(AR5:AR7)</f>
        <v>0</v>
      </c>
      <c r="AS8" s="21">
        <f>SUM(AS5:AS7)</f>
        <v>629.93340000000012</v>
      </c>
      <c r="AT8" s="21">
        <f t="shared" ref="AT8:AU8" si="25">SUM(AT5:AT7)</f>
        <v>0</v>
      </c>
      <c r="AU8" s="21">
        <f t="shared" si="25"/>
        <v>0</v>
      </c>
      <c r="AV8" s="21">
        <f>SUM(AV5:AV7)</f>
        <v>629.93340000000012</v>
      </c>
      <c r="AW8" s="21">
        <f>SUM(AW5:AW7)</f>
        <v>0</v>
      </c>
      <c r="AX8" s="21">
        <f>SUM(AX5:AX7)</f>
        <v>240</v>
      </c>
      <c r="AY8" s="21">
        <f t="shared" ref="AY8" si="26">SUM(AY5:AY7)</f>
        <v>0</v>
      </c>
      <c r="AZ8" s="21">
        <f>SUM(AZ5:AZ7)</f>
        <v>389.93340000000012</v>
      </c>
      <c r="BA8" s="21">
        <f t="shared" ref="BA8:BB8" si="27">SUM(BA5:BA7)</f>
        <v>0</v>
      </c>
      <c r="BB8" s="21">
        <f t="shared" si="27"/>
        <v>0</v>
      </c>
      <c r="BC8" s="21">
        <f>SUM(BC5:BC7)</f>
        <v>389.93340000000012</v>
      </c>
      <c r="BD8" s="21">
        <f>SUM(BD5:BD7)</f>
        <v>315</v>
      </c>
      <c r="BE8" s="21">
        <f>SUM(BE5:BE7)</f>
        <v>472</v>
      </c>
      <c r="BF8" s="21">
        <f t="shared" ref="BF8" si="28">SUM(BF5:BF7)</f>
        <v>5</v>
      </c>
      <c r="BG8" s="21">
        <f>SUM(BG5:BG7)</f>
        <v>237.93340000000012</v>
      </c>
      <c r="BH8" s="21">
        <f t="shared" ref="BH8:BI8" si="29">SUM(BH5:BH7)</f>
        <v>450</v>
      </c>
      <c r="BI8" s="21">
        <f t="shared" si="29"/>
        <v>0</v>
      </c>
      <c r="BJ8" s="21">
        <f>SUM(BJ5:BJ7)</f>
        <v>237.93340000000012</v>
      </c>
      <c r="BK8" s="21">
        <f>SUM(BK5:BK7)</f>
        <v>850</v>
      </c>
      <c r="BL8" s="21">
        <f>SUM(BL5:BL7)</f>
        <v>596.20000000000005</v>
      </c>
      <c r="BM8" s="21">
        <f t="shared" ref="BM8" si="30">SUM(BM5:BM7)</f>
        <v>113.66669999999999</v>
      </c>
      <c r="BN8" s="21">
        <f>SUM(BN5:BN7)</f>
        <v>605.40010000000007</v>
      </c>
      <c r="BO8" s="21">
        <f t="shared" ref="BO8:BP8" si="31">SUM(BO5:BO7)</f>
        <v>0</v>
      </c>
      <c r="BP8" s="21">
        <f t="shared" si="31"/>
        <v>0</v>
      </c>
      <c r="BQ8" s="21">
        <f>SUM(BQ5:BQ7)</f>
        <v>605.40010000000007</v>
      </c>
      <c r="BR8" s="21">
        <f>SUM(BR5:BR7)</f>
        <v>0</v>
      </c>
      <c r="BS8" s="21">
        <f>SUM(BS5:BS7)</f>
        <v>570.03333300000008</v>
      </c>
      <c r="BT8" s="21">
        <f t="shared" ref="BT8" si="32">SUM(BT5:BT7)</f>
        <v>64.22</v>
      </c>
      <c r="BU8" s="21">
        <f>SUM(BU5:BU7)</f>
        <v>99.586767000000052</v>
      </c>
      <c r="BV8" s="21">
        <f t="shared" ref="BV8:BW8" si="33">SUM(BV5:BV7)</f>
        <v>575</v>
      </c>
      <c r="BW8" s="21">
        <f t="shared" si="33"/>
        <v>0</v>
      </c>
      <c r="BX8" s="21">
        <f>SUM(BX5:BX7)</f>
        <v>99.586767000000052</v>
      </c>
      <c r="BY8" s="21">
        <f>SUM(BY5:BY7)</f>
        <v>515</v>
      </c>
      <c r="BZ8" s="21">
        <f>SUM(BZ5:BZ7)</f>
        <v>541.36</v>
      </c>
      <c r="CA8" s="21">
        <f t="shared" ref="CA8" si="34">SUM(CA5:CA7)</f>
        <v>21.273299999999999</v>
      </c>
      <c r="CB8" s="21">
        <f>SUM(CB5:CB7)</f>
        <v>94.500067000000058</v>
      </c>
      <c r="CC8" s="21">
        <f t="shared" ref="CC8:CD8" si="35">SUM(CC5:CC7)</f>
        <v>0</v>
      </c>
      <c r="CD8" s="21">
        <f t="shared" si="35"/>
        <v>0</v>
      </c>
      <c r="CE8" s="21">
        <f>SUM(CE5:CE7)</f>
        <v>94.500067000000058</v>
      </c>
      <c r="CF8" s="21">
        <f>SUM(CF5:CF7)</f>
        <v>925.00003300000003</v>
      </c>
      <c r="CG8" s="21">
        <f>SUM(CG5:CG7)</f>
        <v>579.70000000000005</v>
      </c>
      <c r="CH8" s="21">
        <f t="shared" ref="CH8" si="36">SUM(CH5:CH7)</f>
        <v>83.8733</v>
      </c>
      <c r="CI8" s="21">
        <f>SUM(CI5:CI7)</f>
        <v>523.67340000000013</v>
      </c>
    </row>
    <row r="9" spans="1:87" ht="17.149999999999999" customHeight="1" x14ac:dyDescent="0.25">
      <c r="A9" s="6" t="s">
        <v>5</v>
      </c>
      <c r="B9" s="7" t="s">
        <v>6</v>
      </c>
      <c r="C9" s="20">
        <v>1160</v>
      </c>
      <c r="D9" s="26">
        <v>3885.003885003885</v>
      </c>
      <c r="E9" s="8">
        <v>100</v>
      </c>
      <c r="F9" s="19">
        <v>51.5</v>
      </c>
      <c r="G9" s="20">
        <v>0</v>
      </c>
      <c r="H9" s="20">
        <v>52.62</v>
      </c>
      <c r="I9" s="20">
        <v>1.22</v>
      </c>
      <c r="J9" s="20">
        <f>F9+G9+I9-H9</f>
        <v>0.10000000000000142</v>
      </c>
      <c r="K9" s="20"/>
      <c r="L9" s="20">
        <v>50</v>
      </c>
      <c r="M9" s="19">
        <f>J9</f>
        <v>0.10000000000000142</v>
      </c>
      <c r="N9" s="20">
        <v>50</v>
      </c>
      <c r="O9" s="20">
        <v>60.1</v>
      </c>
      <c r="P9" s="20">
        <v>10</v>
      </c>
      <c r="Q9" s="20">
        <f>M9+N9+P9-O9</f>
        <v>0</v>
      </c>
      <c r="R9" s="20">
        <v>100</v>
      </c>
      <c r="S9" s="20">
        <v>50</v>
      </c>
      <c r="T9" s="19">
        <f>Q9</f>
        <v>0</v>
      </c>
      <c r="U9" s="20">
        <v>100</v>
      </c>
      <c r="V9" s="20">
        <v>56</v>
      </c>
      <c r="W9" s="20"/>
      <c r="X9" s="20">
        <f>T9+U9+W9-V9</f>
        <v>44</v>
      </c>
      <c r="Y9" s="20"/>
      <c r="Z9" s="20"/>
      <c r="AA9" s="19">
        <f>X9</f>
        <v>44</v>
      </c>
      <c r="AB9" s="20">
        <v>100</v>
      </c>
      <c r="AC9" s="20">
        <v>82.27</v>
      </c>
      <c r="AD9" s="20">
        <v>4.2699999999999996</v>
      </c>
      <c r="AE9" s="20">
        <f>AA9+AB9+AD9-AC9</f>
        <v>66.000000000000014</v>
      </c>
      <c r="AF9" s="20"/>
      <c r="AG9" s="20"/>
      <c r="AH9" s="19">
        <f>AE9</f>
        <v>66.000000000000014</v>
      </c>
      <c r="AI9" s="20"/>
      <c r="AJ9" s="20">
        <v>70.92</v>
      </c>
      <c r="AK9" s="20">
        <v>4.92</v>
      </c>
      <c r="AL9" s="20">
        <f>AH9+AI9+AK9-AJ9</f>
        <v>0</v>
      </c>
      <c r="AM9" s="20">
        <v>50</v>
      </c>
      <c r="AN9" s="20">
        <v>125</v>
      </c>
      <c r="AO9" s="19">
        <f>AL9</f>
        <v>0</v>
      </c>
      <c r="AP9" s="20">
        <v>175</v>
      </c>
      <c r="AQ9" s="20">
        <v>69.02</v>
      </c>
      <c r="AR9" s="20"/>
      <c r="AS9" s="20">
        <f>AO9+AP9+AR9-AQ9</f>
        <v>105.98</v>
      </c>
      <c r="AT9" s="20"/>
      <c r="AU9" s="20"/>
      <c r="AV9" s="19">
        <f>AS9</f>
        <v>105.98</v>
      </c>
      <c r="AW9" s="20"/>
      <c r="AX9" s="20">
        <v>26</v>
      </c>
      <c r="AY9" s="20"/>
      <c r="AZ9" s="20">
        <f>AV9+AW9+AY9-AX9</f>
        <v>79.98</v>
      </c>
      <c r="BA9" s="20"/>
      <c r="BB9" s="20"/>
      <c r="BC9" s="19">
        <f>AZ9</f>
        <v>79.98</v>
      </c>
      <c r="BD9" s="20">
        <v>25</v>
      </c>
      <c r="BE9" s="20">
        <v>73</v>
      </c>
      <c r="BF9" s="20">
        <v>0</v>
      </c>
      <c r="BG9" s="20">
        <f>BC9+BD9+BF9-BE9</f>
        <v>31.980000000000004</v>
      </c>
      <c r="BH9" s="20"/>
      <c r="BI9" s="20"/>
      <c r="BJ9" s="19">
        <f>BG9</f>
        <v>31.980000000000004</v>
      </c>
      <c r="BK9" s="20">
        <v>75</v>
      </c>
      <c r="BL9" s="20">
        <v>43.38</v>
      </c>
      <c r="BM9" s="20">
        <v>7.76</v>
      </c>
      <c r="BN9" s="20">
        <f>BJ9+BK9+BM9-BL9</f>
        <v>71.360000000000014</v>
      </c>
      <c r="BO9" s="20"/>
      <c r="BP9" s="20"/>
      <c r="BQ9" s="19">
        <f>BN9</f>
        <v>71.360000000000014</v>
      </c>
      <c r="BR9" s="20"/>
      <c r="BS9" s="20">
        <v>54.01</v>
      </c>
      <c r="BT9" s="20">
        <v>0</v>
      </c>
      <c r="BU9" s="20">
        <f>BQ9+BR9+BT9-BS9</f>
        <v>17.350000000000016</v>
      </c>
      <c r="BV9" s="20">
        <v>25</v>
      </c>
      <c r="BW9" s="20"/>
      <c r="BX9" s="19">
        <f>BU9</f>
        <v>17.350000000000016</v>
      </c>
      <c r="BY9" s="20">
        <v>25</v>
      </c>
      <c r="BZ9" s="20">
        <v>39</v>
      </c>
      <c r="CA9" s="20">
        <v>3.6</v>
      </c>
      <c r="CB9" s="20">
        <f>BX9+BY9+CA9-BZ9</f>
        <v>6.9500000000000171</v>
      </c>
      <c r="CC9" s="20"/>
      <c r="CD9" s="20"/>
      <c r="CE9" s="19">
        <f>CB9</f>
        <v>6.9500000000000171</v>
      </c>
      <c r="CF9" s="20">
        <v>110</v>
      </c>
      <c r="CG9" s="20">
        <v>56</v>
      </c>
      <c r="CH9" s="20">
        <v>3.87</v>
      </c>
      <c r="CI9" s="20">
        <f>CE9+CF9+CH9-CG9</f>
        <v>64.820000000000022</v>
      </c>
    </row>
    <row r="10" spans="1:87" ht="17.149999999999999" customHeight="1" x14ac:dyDescent="0.25">
      <c r="A10" s="9"/>
      <c r="B10" s="10" t="s">
        <v>34</v>
      </c>
      <c r="C10" s="21"/>
      <c r="D10" s="10"/>
      <c r="E10" s="11"/>
      <c r="F10" s="21">
        <f>SUM(F9)</f>
        <v>51.5</v>
      </c>
      <c r="G10" s="21">
        <f>SUM(G9)</f>
        <v>0</v>
      </c>
      <c r="H10" s="21">
        <f t="shared" ref="H10:I10" si="37">SUM(H9)</f>
        <v>52.62</v>
      </c>
      <c r="I10" s="21">
        <f t="shared" si="37"/>
        <v>1.22</v>
      </c>
      <c r="J10" s="21">
        <f t="shared" ref="J10:L10" si="38">SUM(J9)</f>
        <v>0.10000000000000142</v>
      </c>
      <c r="K10" s="21">
        <f t="shared" ref="K10" si="39">SUM(K9)</f>
        <v>0</v>
      </c>
      <c r="L10" s="21">
        <f t="shared" si="38"/>
        <v>50</v>
      </c>
      <c r="M10" s="21">
        <f>SUM(M9)</f>
        <v>0.10000000000000142</v>
      </c>
      <c r="N10" s="21">
        <f>SUM(N9)</f>
        <v>50</v>
      </c>
      <c r="O10" s="21">
        <f t="shared" ref="O10:Q10" si="40">SUM(O9)</f>
        <v>60.1</v>
      </c>
      <c r="P10" s="21">
        <f t="shared" si="40"/>
        <v>10</v>
      </c>
      <c r="Q10" s="21">
        <f t="shared" si="40"/>
        <v>0</v>
      </c>
      <c r="R10" s="21">
        <f t="shared" ref="R10:S10" si="41">SUM(R9)</f>
        <v>100</v>
      </c>
      <c r="S10" s="21">
        <f t="shared" si="41"/>
        <v>50</v>
      </c>
      <c r="T10" s="21">
        <f>SUM(T9)</f>
        <v>0</v>
      </c>
      <c r="U10" s="21">
        <f>SUM(U9)</f>
        <v>100</v>
      </c>
      <c r="V10" s="21">
        <f t="shared" ref="V10:Z10" si="42">SUM(V9)</f>
        <v>56</v>
      </c>
      <c r="W10" s="21">
        <f t="shared" si="42"/>
        <v>0</v>
      </c>
      <c r="X10" s="21">
        <f t="shared" si="42"/>
        <v>44</v>
      </c>
      <c r="Y10" s="21">
        <f t="shared" si="42"/>
        <v>0</v>
      </c>
      <c r="Z10" s="21">
        <f t="shared" si="42"/>
        <v>0</v>
      </c>
      <c r="AA10" s="21">
        <f>SUM(AA9)</f>
        <v>44</v>
      </c>
      <c r="AB10" s="21">
        <f>SUM(AB9)</f>
        <v>100</v>
      </c>
      <c r="AC10" s="21">
        <f>SUM(AC9)</f>
        <v>82.27</v>
      </c>
      <c r="AD10" s="21">
        <f t="shared" ref="AD10:AG10" si="43">SUM(AD9)</f>
        <v>4.2699999999999996</v>
      </c>
      <c r="AE10" s="21">
        <f t="shared" si="43"/>
        <v>66.000000000000014</v>
      </c>
      <c r="AF10" s="21">
        <f t="shared" si="43"/>
        <v>0</v>
      </c>
      <c r="AG10" s="21">
        <f t="shared" si="43"/>
        <v>0</v>
      </c>
      <c r="AH10" s="21">
        <f>SUM(AH9)</f>
        <v>66.000000000000014</v>
      </c>
      <c r="AI10" s="21">
        <f>SUM(AI9)</f>
        <v>0</v>
      </c>
      <c r="AJ10" s="21">
        <f>SUM(AJ9)</f>
        <v>70.92</v>
      </c>
      <c r="AK10" s="21">
        <f t="shared" ref="AK10:AN10" si="44">SUM(AK9)</f>
        <v>4.92</v>
      </c>
      <c r="AL10" s="21">
        <f t="shared" si="44"/>
        <v>0</v>
      </c>
      <c r="AM10" s="21">
        <f t="shared" si="44"/>
        <v>50</v>
      </c>
      <c r="AN10" s="21">
        <f t="shared" si="44"/>
        <v>125</v>
      </c>
      <c r="AO10" s="21">
        <f>SUM(AO9)</f>
        <v>0</v>
      </c>
      <c r="AP10" s="21">
        <f>SUM(AP9)</f>
        <v>175</v>
      </c>
      <c r="AQ10" s="21">
        <f>SUM(AQ9)</f>
        <v>69.02</v>
      </c>
      <c r="AR10" s="21">
        <f t="shared" ref="AR10:AU10" si="45">SUM(AR9)</f>
        <v>0</v>
      </c>
      <c r="AS10" s="21">
        <f t="shared" si="45"/>
        <v>105.98</v>
      </c>
      <c r="AT10" s="21">
        <f t="shared" si="45"/>
        <v>0</v>
      </c>
      <c r="AU10" s="21">
        <f t="shared" si="45"/>
        <v>0</v>
      </c>
      <c r="AV10" s="21">
        <f>SUM(AV9)</f>
        <v>105.98</v>
      </c>
      <c r="AW10" s="21">
        <f>SUM(AW9)</f>
        <v>0</v>
      </c>
      <c r="AX10" s="21">
        <f>SUM(AX9)</f>
        <v>26</v>
      </c>
      <c r="AY10" s="21">
        <f t="shared" ref="AY10:BB10" si="46">SUM(AY9)</f>
        <v>0</v>
      </c>
      <c r="AZ10" s="21">
        <f t="shared" si="46"/>
        <v>79.98</v>
      </c>
      <c r="BA10" s="21">
        <f t="shared" si="46"/>
        <v>0</v>
      </c>
      <c r="BB10" s="21">
        <f t="shared" si="46"/>
        <v>0</v>
      </c>
      <c r="BC10" s="21">
        <f>SUM(BC9)</f>
        <v>79.98</v>
      </c>
      <c r="BD10" s="21">
        <f>SUM(BD9)</f>
        <v>25</v>
      </c>
      <c r="BE10" s="21">
        <f>SUM(BE9)</f>
        <v>73</v>
      </c>
      <c r="BF10" s="21">
        <f t="shared" ref="BF10:BI10" si="47">SUM(BF9)</f>
        <v>0</v>
      </c>
      <c r="BG10" s="21">
        <f t="shared" si="47"/>
        <v>31.980000000000004</v>
      </c>
      <c r="BH10" s="21">
        <f t="shared" si="47"/>
        <v>0</v>
      </c>
      <c r="BI10" s="21">
        <f t="shared" si="47"/>
        <v>0</v>
      </c>
      <c r="BJ10" s="21">
        <f>SUM(BJ9)</f>
        <v>31.980000000000004</v>
      </c>
      <c r="BK10" s="21">
        <f>SUM(BK9)</f>
        <v>75</v>
      </c>
      <c r="BL10" s="21">
        <f>SUM(BL9)</f>
        <v>43.38</v>
      </c>
      <c r="BM10" s="21">
        <f t="shared" ref="BM10:BP10" si="48">SUM(BM9)</f>
        <v>7.76</v>
      </c>
      <c r="BN10" s="21">
        <f t="shared" si="48"/>
        <v>71.360000000000014</v>
      </c>
      <c r="BO10" s="21">
        <f t="shared" si="48"/>
        <v>0</v>
      </c>
      <c r="BP10" s="21">
        <f t="shared" si="48"/>
        <v>0</v>
      </c>
      <c r="BQ10" s="21">
        <f>SUM(BQ9)</f>
        <v>71.360000000000014</v>
      </c>
      <c r="BR10" s="21">
        <f>SUM(BR9)</f>
        <v>0</v>
      </c>
      <c r="BS10" s="21">
        <f>SUM(BS9)</f>
        <v>54.01</v>
      </c>
      <c r="BT10" s="21">
        <f t="shared" ref="BT10:BW10" si="49">SUM(BT9)</f>
        <v>0</v>
      </c>
      <c r="BU10" s="21">
        <f t="shared" si="49"/>
        <v>17.350000000000016</v>
      </c>
      <c r="BV10" s="21">
        <f t="shared" si="49"/>
        <v>25</v>
      </c>
      <c r="BW10" s="21">
        <f t="shared" si="49"/>
        <v>0</v>
      </c>
      <c r="BX10" s="21">
        <f>SUM(BX9)</f>
        <v>17.350000000000016</v>
      </c>
      <c r="BY10" s="21">
        <f>SUM(BY9)</f>
        <v>25</v>
      </c>
      <c r="BZ10" s="21">
        <f>SUM(BZ9)</f>
        <v>39</v>
      </c>
      <c r="CA10" s="21">
        <f t="shared" ref="CA10:CD10" si="50">SUM(CA9)</f>
        <v>3.6</v>
      </c>
      <c r="CB10" s="21">
        <f t="shared" si="50"/>
        <v>6.9500000000000171</v>
      </c>
      <c r="CC10" s="21">
        <f t="shared" si="50"/>
        <v>0</v>
      </c>
      <c r="CD10" s="21">
        <f t="shared" si="50"/>
        <v>0</v>
      </c>
      <c r="CE10" s="21">
        <f>SUM(CE9)</f>
        <v>6.9500000000000171</v>
      </c>
      <c r="CF10" s="21">
        <f>SUM(CF9)</f>
        <v>110</v>
      </c>
      <c r="CG10" s="21">
        <f>SUM(CG9)</f>
        <v>56</v>
      </c>
      <c r="CH10" s="21">
        <f t="shared" ref="CH10:CI10" si="51">SUM(CH9)</f>
        <v>3.87</v>
      </c>
      <c r="CI10" s="21">
        <f t="shared" si="51"/>
        <v>64.820000000000022</v>
      </c>
    </row>
    <row r="11" spans="1:87" ht="17.149999999999999" customHeight="1" x14ac:dyDescent="0.25">
      <c r="A11" s="6" t="s">
        <v>7</v>
      </c>
      <c r="B11" s="7" t="s">
        <v>8</v>
      </c>
      <c r="C11" s="20">
        <v>5700</v>
      </c>
      <c r="D11" s="26">
        <v>18648.018648018649</v>
      </c>
      <c r="E11" s="8">
        <v>40</v>
      </c>
      <c r="F11" s="19">
        <v>0</v>
      </c>
      <c r="G11" s="20">
        <v>0</v>
      </c>
      <c r="H11" s="20">
        <v>0</v>
      </c>
      <c r="I11" s="20">
        <v>0</v>
      </c>
      <c r="J11" s="20">
        <f t="shared" ref="J11:J12" si="52">F11+G11+I11-H11</f>
        <v>0</v>
      </c>
      <c r="K11" s="20"/>
      <c r="L11" s="20"/>
      <c r="M11" s="19">
        <f>J11</f>
        <v>0</v>
      </c>
      <c r="N11" s="20">
        <v>0</v>
      </c>
      <c r="O11" s="20">
        <v>0</v>
      </c>
      <c r="P11" s="20">
        <v>0</v>
      </c>
      <c r="Q11" s="20">
        <f t="shared" ref="Q11:Q12" si="53">M11+N11+P11-O11</f>
        <v>0</v>
      </c>
      <c r="R11" s="20"/>
      <c r="S11" s="20"/>
      <c r="T11" s="19">
        <f t="shared" ref="T11:T12" si="54">Q11</f>
        <v>0</v>
      </c>
      <c r="U11" s="20">
        <v>0</v>
      </c>
      <c r="V11" s="20">
        <v>0</v>
      </c>
      <c r="W11" s="20"/>
      <c r="X11" s="20">
        <f t="shared" ref="X11:X12" si="55">T11+U11+W11-V11</f>
        <v>0</v>
      </c>
      <c r="Y11" s="20"/>
      <c r="Z11" s="20"/>
      <c r="AA11" s="19">
        <f t="shared" ref="AA11:AA12" si="56">X11</f>
        <v>0</v>
      </c>
      <c r="AB11" s="20"/>
      <c r="AC11" s="20">
        <v>0</v>
      </c>
      <c r="AD11" s="20">
        <v>0</v>
      </c>
      <c r="AE11" s="20">
        <f t="shared" ref="AE11:AE12" si="57">AA11+AB11+AD11-AC11</f>
        <v>0</v>
      </c>
      <c r="AF11" s="20"/>
      <c r="AG11" s="20"/>
      <c r="AH11" s="19">
        <f t="shared" ref="AH11:AH12" si="58">AE11</f>
        <v>0</v>
      </c>
      <c r="AI11" s="20"/>
      <c r="AJ11" s="20">
        <v>0.43</v>
      </c>
      <c r="AK11" s="20">
        <v>0.43</v>
      </c>
      <c r="AL11" s="20">
        <f t="shared" ref="AL11:AL12" si="59">AH11+AI11+AK11-AJ11</f>
        <v>0</v>
      </c>
      <c r="AM11" s="20">
        <v>50</v>
      </c>
      <c r="AN11" s="20">
        <v>50</v>
      </c>
      <c r="AO11" s="19">
        <f t="shared" ref="AO11:AO12" si="60">AL11</f>
        <v>0</v>
      </c>
      <c r="AP11" s="20">
        <v>100</v>
      </c>
      <c r="AQ11" s="20">
        <v>53.3</v>
      </c>
      <c r="AR11" s="20"/>
      <c r="AS11" s="20">
        <f t="shared" ref="AS11:AS12" si="61">AO11+AP11+AR11-AQ11</f>
        <v>46.7</v>
      </c>
      <c r="AT11" s="20"/>
      <c r="AU11" s="20"/>
      <c r="AV11" s="19">
        <f t="shared" ref="AV11:AV12" si="62">AS11</f>
        <v>46.7</v>
      </c>
      <c r="AW11" s="20"/>
      <c r="AX11" s="20">
        <v>11.1</v>
      </c>
      <c r="AY11" s="20"/>
      <c r="AZ11" s="20">
        <f t="shared" ref="AZ11:AZ12" si="63">AV11+AW11+AY11-AX11</f>
        <v>35.6</v>
      </c>
      <c r="BA11" s="20"/>
      <c r="BB11" s="20"/>
      <c r="BC11" s="19">
        <f>AZ11</f>
        <v>35.6</v>
      </c>
      <c r="BD11" s="20">
        <v>0</v>
      </c>
      <c r="BE11" s="20">
        <v>21.6</v>
      </c>
      <c r="BF11" s="20">
        <v>0</v>
      </c>
      <c r="BG11" s="20">
        <f t="shared" ref="BG11:BG12" si="64">BC11+BD11+BF11-BE11</f>
        <v>14</v>
      </c>
      <c r="BH11" s="20"/>
      <c r="BI11" s="20"/>
      <c r="BJ11" s="19">
        <f>BG11</f>
        <v>14</v>
      </c>
      <c r="BK11" s="20">
        <v>50</v>
      </c>
      <c r="BL11" s="20">
        <v>35.4</v>
      </c>
      <c r="BM11" s="20">
        <v>2.4</v>
      </c>
      <c r="BN11" s="20">
        <f t="shared" ref="BN11:BN12" si="65">BJ11+BK11+BM11-BL11</f>
        <v>31.000000000000007</v>
      </c>
      <c r="BO11" s="20"/>
      <c r="BP11" s="20"/>
      <c r="BQ11" s="19">
        <f>BN11</f>
        <v>31.000000000000007</v>
      </c>
      <c r="BR11" s="20"/>
      <c r="BS11" s="20">
        <v>26</v>
      </c>
      <c r="BT11" s="20">
        <v>0</v>
      </c>
      <c r="BU11" s="20">
        <f t="shared" ref="BU11:BU12" si="66">BQ11+BR11+BT11-BS11</f>
        <v>5.0000000000000071</v>
      </c>
      <c r="BV11" s="20"/>
      <c r="BW11" s="20"/>
      <c r="BX11" s="19">
        <f>BU11</f>
        <v>5.0000000000000071</v>
      </c>
      <c r="BY11" s="20">
        <v>0</v>
      </c>
      <c r="BZ11" s="20">
        <v>5</v>
      </c>
      <c r="CA11" s="20">
        <v>0</v>
      </c>
      <c r="CB11" s="20">
        <f t="shared" ref="CB11:CB12" si="67">BX11+BY11+CA11-BZ11</f>
        <v>7.1054273576010019E-15</v>
      </c>
      <c r="CC11" s="20"/>
      <c r="CD11" s="20"/>
      <c r="CE11" s="19">
        <f>CB11</f>
        <v>7.1054273576010019E-15</v>
      </c>
      <c r="CF11" s="20">
        <v>40</v>
      </c>
      <c r="CG11" s="20">
        <v>26.675000000000001</v>
      </c>
      <c r="CH11" s="20">
        <v>7.0750000000000002</v>
      </c>
      <c r="CI11" s="20">
        <f t="shared" ref="CI11:CI12" si="68">CE11+CF11+CH11-CG11</f>
        <v>20.400000000000009</v>
      </c>
    </row>
    <row r="12" spans="1:87" ht="17.149999999999999" customHeight="1" x14ac:dyDescent="0.25">
      <c r="A12" s="6" t="s">
        <v>7</v>
      </c>
      <c r="B12" s="7" t="s">
        <v>9</v>
      </c>
      <c r="C12" s="20">
        <v>4800</v>
      </c>
      <c r="D12" s="26">
        <v>22377.622377622378</v>
      </c>
      <c r="E12" s="8">
        <v>96</v>
      </c>
      <c r="F12" s="19">
        <v>0</v>
      </c>
      <c r="G12" s="20">
        <v>0</v>
      </c>
      <c r="H12" s="20">
        <v>0</v>
      </c>
      <c r="I12" s="20">
        <v>0</v>
      </c>
      <c r="J12" s="20">
        <f t="shared" si="52"/>
        <v>0</v>
      </c>
      <c r="K12" s="20"/>
      <c r="L12" s="20"/>
      <c r="M12" s="19">
        <f>J12</f>
        <v>0</v>
      </c>
      <c r="N12" s="20">
        <v>0</v>
      </c>
      <c r="O12" s="20">
        <v>22.92</v>
      </c>
      <c r="P12" s="20">
        <v>22.92</v>
      </c>
      <c r="Q12" s="20">
        <f t="shared" si="53"/>
        <v>0</v>
      </c>
      <c r="R12" s="20"/>
      <c r="S12" s="20"/>
      <c r="T12" s="19">
        <f t="shared" si="54"/>
        <v>0</v>
      </c>
      <c r="U12" s="20">
        <v>0</v>
      </c>
      <c r="V12" s="20">
        <v>0</v>
      </c>
      <c r="W12" s="20"/>
      <c r="X12" s="20">
        <f t="shared" si="55"/>
        <v>0</v>
      </c>
      <c r="Y12" s="20"/>
      <c r="Z12" s="20"/>
      <c r="AA12" s="19">
        <f t="shared" si="56"/>
        <v>0</v>
      </c>
      <c r="AB12" s="20"/>
      <c r="AC12" s="20">
        <v>0</v>
      </c>
      <c r="AD12" s="20">
        <v>0</v>
      </c>
      <c r="AE12" s="20">
        <f t="shared" si="57"/>
        <v>0</v>
      </c>
      <c r="AF12" s="20"/>
      <c r="AG12" s="20"/>
      <c r="AH12" s="19">
        <f t="shared" si="58"/>
        <v>0</v>
      </c>
      <c r="AI12" s="20"/>
      <c r="AJ12" s="20">
        <v>0</v>
      </c>
      <c r="AK12" s="20">
        <v>0</v>
      </c>
      <c r="AL12" s="20">
        <f t="shared" si="59"/>
        <v>0</v>
      </c>
      <c r="AM12" s="20">
        <v>25</v>
      </c>
      <c r="AN12" s="20">
        <v>50</v>
      </c>
      <c r="AO12" s="19">
        <f t="shared" si="60"/>
        <v>0</v>
      </c>
      <c r="AP12" s="20">
        <v>75</v>
      </c>
      <c r="AQ12" s="20">
        <v>40.25</v>
      </c>
      <c r="AR12" s="20"/>
      <c r="AS12" s="20">
        <f t="shared" si="61"/>
        <v>34.75</v>
      </c>
      <c r="AT12" s="20"/>
      <c r="AU12" s="20"/>
      <c r="AV12" s="19">
        <f t="shared" si="62"/>
        <v>34.75</v>
      </c>
      <c r="AW12" s="20"/>
      <c r="AX12" s="20">
        <v>1</v>
      </c>
      <c r="AY12" s="20"/>
      <c r="AZ12" s="20">
        <f t="shared" si="63"/>
        <v>33.75</v>
      </c>
      <c r="BA12" s="20"/>
      <c r="BB12" s="20"/>
      <c r="BC12" s="19">
        <f>AZ12</f>
        <v>33.75</v>
      </c>
      <c r="BD12" s="20">
        <v>0</v>
      </c>
      <c r="BE12" s="20">
        <v>19</v>
      </c>
      <c r="BF12" s="20">
        <v>0</v>
      </c>
      <c r="BG12" s="20">
        <f t="shared" si="64"/>
        <v>14.75</v>
      </c>
      <c r="BH12" s="20"/>
      <c r="BI12" s="20"/>
      <c r="BJ12" s="19">
        <f>BG12</f>
        <v>14.75</v>
      </c>
      <c r="BK12" s="20">
        <v>50</v>
      </c>
      <c r="BL12" s="20">
        <v>31.5</v>
      </c>
      <c r="BM12" s="20">
        <v>1.75</v>
      </c>
      <c r="BN12" s="20">
        <f t="shared" si="65"/>
        <v>35</v>
      </c>
      <c r="BO12" s="20"/>
      <c r="BP12" s="20"/>
      <c r="BQ12" s="19">
        <f>BN12</f>
        <v>35</v>
      </c>
      <c r="BR12" s="20"/>
      <c r="BS12" s="20">
        <v>23</v>
      </c>
      <c r="BT12" s="20">
        <v>0</v>
      </c>
      <c r="BU12" s="20">
        <f t="shared" si="66"/>
        <v>12</v>
      </c>
      <c r="BV12" s="20"/>
      <c r="BW12" s="20"/>
      <c r="BX12" s="19">
        <f>BU12</f>
        <v>12</v>
      </c>
      <c r="BY12" s="20">
        <v>0</v>
      </c>
      <c r="BZ12" s="20">
        <v>2</v>
      </c>
      <c r="CA12" s="20">
        <v>0</v>
      </c>
      <c r="CB12" s="20">
        <f t="shared" si="67"/>
        <v>10</v>
      </c>
      <c r="CC12" s="20"/>
      <c r="CD12" s="20"/>
      <c r="CE12" s="19">
        <f>CB12</f>
        <v>10</v>
      </c>
      <c r="CF12" s="20">
        <v>40.000016000000002</v>
      </c>
      <c r="CG12" s="20">
        <v>15.25</v>
      </c>
      <c r="CH12" s="20">
        <v>4.1353999999999997</v>
      </c>
      <c r="CI12" s="20">
        <f t="shared" si="68"/>
        <v>38.885415999999999</v>
      </c>
    </row>
    <row r="13" spans="1:87" ht="17.149999999999999" customHeight="1" x14ac:dyDescent="0.25">
      <c r="A13" s="9"/>
      <c r="B13" s="10" t="s">
        <v>35</v>
      </c>
      <c r="C13" s="21"/>
      <c r="D13" s="10"/>
      <c r="E13" s="11"/>
      <c r="F13" s="21">
        <f t="shared" ref="F13:AI13" si="69">SUM(F11:F12)</f>
        <v>0</v>
      </c>
      <c r="G13" s="21">
        <f t="shared" si="69"/>
        <v>0</v>
      </c>
      <c r="H13" s="21">
        <f t="shared" si="69"/>
        <v>0</v>
      </c>
      <c r="I13" s="21">
        <f t="shared" si="69"/>
        <v>0</v>
      </c>
      <c r="J13" s="21">
        <f t="shared" si="69"/>
        <v>0</v>
      </c>
      <c r="K13" s="21">
        <f t="shared" si="69"/>
        <v>0</v>
      </c>
      <c r="L13" s="21">
        <f t="shared" si="69"/>
        <v>0</v>
      </c>
      <c r="M13" s="21">
        <f t="shared" si="69"/>
        <v>0</v>
      </c>
      <c r="N13" s="21">
        <f t="shared" si="69"/>
        <v>0</v>
      </c>
      <c r="O13" s="21">
        <f t="shared" si="69"/>
        <v>22.92</v>
      </c>
      <c r="P13" s="21">
        <f t="shared" si="69"/>
        <v>22.92</v>
      </c>
      <c r="Q13" s="21">
        <f t="shared" si="69"/>
        <v>0</v>
      </c>
      <c r="R13" s="21">
        <f t="shared" si="69"/>
        <v>0</v>
      </c>
      <c r="S13" s="21">
        <f t="shared" si="69"/>
        <v>0</v>
      </c>
      <c r="T13" s="21">
        <f t="shared" si="69"/>
        <v>0</v>
      </c>
      <c r="U13" s="21">
        <f t="shared" si="69"/>
        <v>0</v>
      </c>
      <c r="V13" s="21">
        <f t="shared" si="69"/>
        <v>0</v>
      </c>
      <c r="W13" s="21">
        <f t="shared" si="69"/>
        <v>0</v>
      </c>
      <c r="X13" s="21">
        <f t="shared" si="69"/>
        <v>0</v>
      </c>
      <c r="Y13" s="21">
        <f t="shared" si="69"/>
        <v>0</v>
      </c>
      <c r="Z13" s="21">
        <f t="shared" si="69"/>
        <v>0</v>
      </c>
      <c r="AA13" s="21">
        <f t="shared" si="69"/>
        <v>0</v>
      </c>
      <c r="AB13" s="21">
        <f t="shared" si="69"/>
        <v>0</v>
      </c>
      <c r="AC13" s="21">
        <f t="shared" si="69"/>
        <v>0</v>
      </c>
      <c r="AD13" s="21">
        <f t="shared" si="69"/>
        <v>0</v>
      </c>
      <c r="AE13" s="21">
        <f t="shared" si="69"/>
        <v>0</v>
      </c>
      <c r="AF13" s="21">
        <f t="shared" si="69"/>
        <v>0</v>
      </c>
      <c r="AG13" s="21">
        <f t="shared" si="69"/>
        <v>0</v>
      </c>
      <c r="AH13" s="21">
        <f t="shared" si="69"/>
        <v>0</v>
      </c>
      <c r="AI13" s="21">
        <f t="shared" si="69"/>
        <v>0</v>
      </c>
      <c r="AJ13" s="21">
        <f>SUM(AJ11:AJ12)</f>
        <v>0.43</v>
      </c>
      <c r="AK13" s="21">
        <f t="shared" ref="AK13:AP13" si="70">SUM(AK11:AK12)</f>
        <v>0.43</v>
      </c>
      <c r="AL13" s="21">
        <f t="shared" si="70"/>
        <v>0</v>
      </c>
      <c r="AM13" s="21">
        <f t="shared" si="70"/>
        <v>75</v>
      </c>
      <c r="AN13" s="21">
        <f t="shared" si="70"/>
        <v>100</v>
      </c>
      <c r="AO13" s="21">
        <f t="shared" si="70"/>
        <v>0</v>
      </c>
      <c r="AP13" s="21">
        <f t="shared" si="70"/>
        <v>175</v>
      </c>
      <c r="AQ13" s="21">
        <f>SUM(AQ11:AQ12)</f>
        <v>93.55</v>
      </c>
      <c r="AR13" s="21">
        <f t="shared" ref="AR13:AW13" si="71">SUM(AR11:AR12)</f>
        <v>0</v>
      </c>
      <c r="AS13" s="21">
        <f t="shared" si="71"/>
        <v>81.45</v>
      </c>
      <c r="AT13" s="21">
        <f t="shared" si="71"/>
        <v>0</v>
      </c>
      <c r="AU13" s="21">
        <f t="shared" si="71"/>
        <v>0</v>
      </c>
      <c r="AV13" s="21">
        <f t="shared" si="71"/>
        <v>81.45</v>
      </c>
      <c r="AW13" s="21">
        <f t="shared" si="71"/>
        <v>0</v>
      </c>
      <c r="AX13" s="21">
        <f>SUM(AX11:AX12)</f>
        <v>12.1</v>
      </c>
      <c r="AY13" s="21">
        <f t="shared" ref="AY13:BB13" si="72">SUM(AY11:AY12)</f>
        <v>0</v>
      </c>
      <c r="AZ13" s="21">
        <f t="shared" si="72"/>
        <v>69.349999999999994</v>
      </c>
      <c r="BA13" s="21">
        <f t="shared" si="72"/>
        <v>0</v>
      </c>
      <c r="BB13" s="21">
        <f t="shared" si="72"/>
        <v>0</v>
      </c>
      <c r="BC13" s="21">
        <f>SUM(BC11:BC12)</f>
        <v>69.349999999999994</v>
      </c>
      <c r="BD13" s="21">
        <f>SUM(BD11:BD12)</f>
        <v>0</v>
      </c>
      <c r="BE13" s="21">
        <f>SUM(BE11:BE12)</f>
        <v>40.6</v>
      </c>
      <c r="BF13" s="21">
        <f t="shared" ref="BF13:BI13" si="73">SUM(BF11:BF12)</f>
        <v>0</v>
      </c>
      <c r="BG13" s="21">
        <f t="shared" si="73"/>
        <v>28.75</v>
      </c>
      <c r="BH13" s="21">
        <f t="shared" si="73"/>
        <v>0</v>
      </c>
      <c r="BI13" s="21">
        <f t="shared" si="73"/>
        <v>0</v>
      </c>
      <c r="BJ13" s="21">
        <f>SUM(BJ11:BJ12)</f>
        <v>28.75</v>
      </c>
      <c r="BK13" s="21">
        <f>SUM(BK11:BK12)</f>
        <v>100</v>
      </c>
      <c r="BL13" s="21">
        <f>SUM(BL11:BL12)</f>
        <v>66.900000000000006</v>
      </c>
      <c r="BM13" s="21">
        <f t="shared" ref="BM13:BP13" si="74">SUM(BM11:BM12)</f>
        <v>4.1500000000000004</v>
      </c>
      <c r="BN13" s="21">
        <f t="shared" si="74"/>
        <v>66</v>
      </c>
      <c r="BO13" s="21">
        <f t="shared" si="74"/>
        <v>0</v>
      </c>
      <c r="BP13" s="21">
        <f t="shared" si="74"/>
        <v>0</v>
      </c>
      <c r="BQ13" s="21">
        <f>SUM(BQ11:BQ12)</f>
        <v>66</v>
      </c>
      <c r="BR13" s="21">
        <f>SUM(BR11:BR12)</f>
        <v>0</v>
      </c>
      <c r="BS13" s="21">
        <f>SUM(BS11:BS12)</f>
        <v>49</v>
      </c>
      <c r="BT13" s="21">
        <f t="shared" ref="BT13:BW13" si="75">SUM(BT11:BT12)</f>
        <v>0</v>
      </c>
      <c r="BU13" s="21">
        <f t="shared" si="75"/>
        <v>17.000000000000007</v>
      </c>
      <c r="BV13" s="21">
        <f t="shared" si="75"/>
        <v>0</v>
      </c>
      <c r="BW13" s="21">
        <f t="shared" si="75"/>
        <v>0</v>
      </c>
      <c r="BX13" s="21">
        <f>SUM(BX11:BX12)</f>
        <v>17.000000000000007</v>
      </c>
      <c r="BY13" s="21">
        <f>SUM(BY11:BY12)</f>
        <v>0</v>
      </c>
      <c r="BZ13" s="21">
        <f>SUM(BZ11:BZ12)</f>
        <v>7</v>
      </c>
      <c r="CA13" s="21">
        <f t="shared" ref="CA13:CD13" si="76">SUM(CA11:CA12)</f>
        <v>0</v>
      </c>
      <c r="CB13" s="21">
        <f t="shared" si="76"/>
        <v>10.000000000000007</v>
      </c>
      <c r="CC13" s="21">
        <f t="shared" si="76"/>
        <v>0</v>
      </c>
      <c r="CD13" s="21">
        <f t="shared" si="76"/>
        <v>0</v>
      </c>
      <c r="CE13" s="21">
        <f>SUM(CE11:CE12)</f>
        <v>10.000000000000007</v>
      </c>
      <c r="CF13" s="21">
        <f>SUM(CF11:CF12)</f>
        <v>80.000016000000002</v>
      </c>
      <c r="CG13" s="21">
        <f>SUM(CG11:CG12)</f>
        <v>41.924999999999997</v>
      </c>
      <c r="CH13" s="21">
        <f t="shared" ref="CH13:CI13" si="77">SUM(CH11:CH12)</f>
        <v>11.2104</v>
      </c>
      <c r="CI13" s="21">
        <f t="shared" si="77"/>
        <v>59.285416000000012</v>
      </c>
    </row>
    <row r="14" spans="1:87" ht="17.149999999999999" customHeight="1" x14ac:dyDescent="0.25">
      <c r="A14" s="6" t="s">
        <v>10</v>
      </c>
      <c r="B14" s="7" t="s">
        <v>11</v>
      </c>
      <c r="C14" s="20">
        <v>950</v>
      </c>
      <c r="D14" s="26">
        <v>3885.003885003885</v>
      </c>
      <c r="E14" s="8">
        <v>100</v>
      </c>
      <c r="F14" s="19">
        <v>74.38</v>
      </c>
      <c r="G14" s="20">
        <v>0</v>
      </c>
      <c r="H14" s="20">
        <v>42</v>
      </c>
      <c r="I14" s="20">
        <v>3.73</v>
      </c>
      <c r="J14" s="20">
        <f t="shared" ref="J14:J16" si="78">F14+G14+I14-H14</f>
        <v>36.11</v>
      </c>
      <c r="K14" s="20"/>
      <c r="L14" s="20"/>
      <c r="M14" s="19">
        <f>J14</f>
        <v>36.11</v>
      </c>
      <c r="N14" s="20">
        <v>30</v>
      </c>
      <c r="O14" s="20">
        <v>35.379999999999995</v>
      </c>
      <c r="P14" s="20">
        <v>5</v>
      </c>
      <c r="Q14" s="20">
        <f t="shared" ref="Q14:Q16" si="79">M14+N14+P14-O14</f>
        <v>35.730000000000004</v>
      </c>
      <c r="R14" s="20">
        <v>75</v>
      </c>
      <c r="S14" s="20">
        <v>100</v>
      </c>
      <c r="T14" s="19">
        <f t="shared" ref="T14:T16" si="80">Q14</f>
        <v>35.730000000000004</v>
      </c>
      <c r="U14" s="20">
        <v>75</v>
      </c>
      <c r="V14" s="20">
        <v>29</v>
      </c>
      <c r="W14" s="20"/>
      <c r="X14" s="20">
        <f t="shared" ref="X14:X16" si="81">T14+U14+W14-V14</f>
        <v>81.73</v>
      </c>
      <c r="Y14" s="20"/>
      <c r="Z14" s="20"/>
      <c r="AA14" s="19">
        <f t="shared" ref="AA14:AA16" si="82">X14</f>
        <v>81.73</v>
      </c>
      <c r="AB14" s="20">
        <v>50</v>
      </c>
      <c r="AC14" s="20">
        <v>36.82</v>
      </c>
      <c r="AD14" s="20">
        <v>3.41</v>
      </c>
      <c r="AE14" s="20">
        <f t="shared" ref="AE14:AE16" si="83">AA14+AB14+AD14-AC14</f>
        <v>98.320000000000022</v>
      </c>
      <c r="AF14" s="20"/>
      <c r="AG14" s="20"/>
      <c r="AH14" s="19">
        <f t="shared" ref="AH14:AH16" si="84">AE14</f>
        <v>98.320000000000022</v>
      </c>
      <c r="AI14" s="20"/>
      <c r="AJ14" s="20">
        <v>53.07</v>
      </c>
      <c r="AK14" s="20">
        <v>4.4400000000000004</v>
      </c>
      <c r="AL14" s="20">
        <f t="shared" ref="AL14:AL16" si="85">AH14+AI14+AK14-AJ14</f>
        <v>49.690000000000019</v>
      </c>
      <c r="AM14" s="20"/>
      <c r="AN14" s="20">
        <v>50</v>
      </c>
      <c r="AO14" s="19">
        <f t="shared" ref="AO14:AO16" si="86">AL14</f>
        <v>49.690000000000019</v>
      </c>
      <c r="AP14" s="20">
        <v>50</v>
      </c>
      <c r="AQ14" s="20">
        <v>48</v>
      </c>
      <c r="AR14" s="20"/>
      <c r="AS14" s="20">
        <f t="shared" ref="AS14:AS16" si="87">AO14+AP14+AR14-AQ14</f>
        <v>51.690000000000026</v>
      </c>
      <c r="AT14" s="20"/>
      <c r="AU14" s="20"/>
      <c r="AV14" s="19">
        <f t="shared" ref="AV14:AV16" si="88">AS14</f>
        <v>51.690000000000026</v>
      </c>
      <c r="AW14" s="20"/>
      <c r="AX14" s="20">
        <v>14</v>
      </c>
      <c r="AY14" s="20"/>
      <c r="AZ14" s="20">
        <f t="shared" ref="AZ14:AZ16" si="89">AV14+AW14+AY14-AX14</f>
        <v>37.690000000000026</v>
      </c>
      <c r="BA14" s="20"/>
      <c r="BB14" s="20"/>
      <c r="BC14" s="19">
        <f>AZ14</f>
        <v>37.690000000000026</v>
      </c>
      <c r="BD14" s="20">
        <v>0</v>
      </c>
      <c r="BE14" s="20">
        <v>32.69</v>
      </c>
      <c r="BF14" s="20">
        <v>0</v>
      </c>
      <c r="BG14" s="20">
        <f t="shared" ref="BG14:BG16" si="90">BC14+BD14+BF14-BE14</f>
        <v>5.0000000000000284</v>
      </c>
      <c r="BH14" s="20">
        <v>75</v>
      </c>
      <c r="BI14" s="20"/>
      <c r="BJ14" s="19">
        <f>BG14</f>
        <v>5.0000000000000284</v>
      </c>
      <c r="BK14" s="20">
        <v>135</v>
      </c>
      <c r="BL14" s="20">
        <v>39.25</v>
      </c>
      <c r="BM14" s="20">
        <v>2.23</v>
      </c>
      <c r="BN14" s="20">
        <f t="shared" ref="BN14:BN16" si="91">BJ14+BK14+BM14-BL14</f>
        <v>102.98000000000002</v>
      </c>
      <c r="BO14" s="20"/>
      <c r="BP14" s="20"/>
      <c r="BQ14" s="19">
        <f>BN14</f>
        <v>102.98000000000002</v>
      </c>
      <c r="BR14" s="20"/>
      <c r="BS14" s="20">
        <v>55</v>
      </c>
      <c r="BT14" s="20">
        <v>5.07</v>
      </c>
      <c r="BU14" s="20">
        <f t="shared" ref="BU14:BU16" si="92">BQ14+BR14+BT14-BS14</f>
        <v>53.050000000000011</v>
      </c>
      <c r="BV14" s="20"/>
      <c r="BW14" s="20"/>
      <c r="BX14" s="19">
        <f>BU14</f>
        <v>53.050000000000011</v>
      </c>
      <c r="BY14" s="20">
        <v>0</v>
      </c>
      <c r="BZ14" s="20">
        <v>14</v>
      </c>
      <c r="CA14" s="20">
        <v>5.65</v>
      </c>
      <c r="CB14" s="20">
        <f t="shared" ref="CB14:CB16" si="93">BX14+BY14+CA14-BZ14</f>
        <v>44.70000000000001</v>
      </c>
      <c r="CC14" s="20"/>
      <c r="CD14" s="20"/>
      <c r="CE14" s="19">
        <f>CB14</f>
        <v>44.70000000000001</v>
      </c>
      <c r="CF14" s="20">
        <v>60</v>
      </c>
      <c r="CG14" s="20">
        <v>36</v>
      </c>
      <c r="CH14" s="20">
        <v>3.62</v>
      </c>
      <c r="CI14" s="20">
        <f t="shared" ref="CI14:CI16" si="94">CE14+CF14+CH14-CG14</f>
        <v>72.320000000000022</v>
      </c>
    </row>
    <row r="15" spans="1:87" ht="17.149999999999999" customHeight="1" x14ac:dyDescent="0.25">
      <c r="A15" s="6" t="s">
        <v>10</v>
      </c>
      <c r="B15" s="7" t="s">
        <v>12</v>
      </c>
      <c r="C15" s="20">
        <v>790</v>
      </c>
      <c r="D15" s="26">
        <v>2079.1245791245792</v>
      </c>
      <c r="E15" s="8">
        <v>20</v>
      </c>
      <c r="F15" s="19">
        <v>262.2</v>
      </c>
      <c r="G15" s="20">
        <v>0</v>
      </c>
      <c r="H15" s="20">
        <v>85</v>
      </c>
      <c r="I15" s="20">
        <v>7.1499999999999995</v>
      </c>
      <c r="J15" s="20">
        <f t="shared" si="78"/>
        <v>184.34999999999997</v>
      </c>
      <c r="K15" s="20"/>
      <c r="L15" s="20"/>
      <c r="M15" s="19">
        <f>J15</f>
        <v>184.34999999999997</v>
      </c>
      <c r="N15" s="20">
        <v>0</v>
      </c>
      <c r="O15" s="20">
        <v>71.400000000000006</v>
      </c>
      <c r="P15" s="20">
        <v>5</v>
      </c>
      <c r="Q15" s="20">
        <f t="shared" si="79"/>
        <v>117.94999999999996</v>
      </c>
      <c r="R15" s="20">
        <v>200</v>
      </c>
      <c r="S15" s="20">
        <v>150</v>
      </c>
      <c r="T15" s="19">
        <f t="shared" si="80"/>
        <v>117.94999999999996</v>
      </c>
      <c r="U15" s="20">
        <v>200</v>
      </c>
      <c r="V15" s="20">
        <v>54</v>
      </c>
      <c r="W15" s="20"/>
      <c r="X15" s="20">
        <f t="shared" si="81"/>
        <v>263.94999999999993</v>
      </c>
      <c r="Y15" s="20"/>
      <c r="Z15" s="20"/>
      <c r="AA15" s="19">
        <f t="shared" si="82"/>
        <v>263.94999999999993</v>
      </c>
      <c r="AB15" s="20">
        <v>100</v>
      </c>
      <c r="AC15" s="20">
        <v>42.5</v>
      </c>
      <c r="AD15" s="20">
        <v>5.4</v>
      </c>
      <c r="AE15" s="20">
        <f t="shared" si="83"/>
        <v>326.84999999999991</v>
      </c>
      <c r="AF15" s="20"/>
      <c r="AG15" s="20"/>
      <c r="AH15" s="19">
        <f t="shared" si="84"/>
        <v>326.84999999999991</v>
      </c>
      <c r="AI15" s="20"/>
      <c r="AJ15" s="20">
        <v>152</v>
      </c>
      <c r="AK15" s="20">
        <v>4</v>
      </c>
      <c r="AL15" s="20">
        <f t="shared" si="85"/>
        <v>178.84999999999991</v>
      </c>
      <c r="AM15" s="20"/>
      <c r="AN15" s="20">
        <v>175</v>
      </c>
      <c r="AO15" s="19">
        <f t="shared" si="86"/>
        <v>178.84999999999991</v>
      </c>
      <c r="AP15" s="20">
        <v>175</v>
      </c>
      <c r="AQ15" s="20">
        <v>155</v>
      </c>
      <c r="AR15" s="20"/>
      <c r="AS15" s="20">
        <f t="shared" si="87"/>
        <v>198.84999999999991</v>
      </c>
      <c r="AT15" s="20"/>
      <c r="AU15" s="20"/>
      <c r="AV15" s="19">
        <f t="shared" si="88"/>
        <v>198.84999999999991</v>
      </c>
      <c r="AW15" s="20"/>
      <c r="AX15" s="20">
        <v>21</v>
      </c>
      <c r="AY15" s="20"/>
      <c r="AZ15" s="20">
        <f t="shared" si="89"/>
        <v>177.84999999999991</v>
      </c>
      <c r="BA15" s="20"/>
      <c r="BB15" s="20"/>
      <c r="BC15" s="19">
        <f>AZ15</f>
        <v>177.84999999999991</v>
      </c>
      <c r="BD15" s="20">
        <v>0</v>
      </c>
      <c r="BE15" s="20">
        <v>138</v>
      </c>
      <c r="BF15" s="20">
        <v>0</v>
      </c>
      <c r="BG15" s="20">
        <f t="shared" si="90"/>
        <v>39.849999999999909</v>
      </c>
      <c r="BH15" s="20">
        <v>50</v>
      </c>
      <c r="BI15" s="20"/>
      <c r="BJ15" s="19">
        <f>BG15</f>
        <v>39.849999999999909</v>
      </c>
      <c r="BK15" s="20">
        <v>110</v>
      </c>
      <c r="BL15" s="20">
        <v>131.1</v>
      </c>
      <c r="BM15" s="20">
        <v>11.35</v>
      </c>
      <c r="BN15" s="20">
        <f t="shared" si="91"/>
        <v>30.099999999999909</v>
      </c>
      <c r="BO15" s="20"/>
      <c r="BP15" s="20"/>
      <c r="BQ15" s="19">
        <f>BN15</f>
        <v>30.099999999999909</v>
      </c>
      <c r="BR15" s="20"/>
      <c r="BS15" s="20">
        <v>39.549999999999997</v>
      </c>
      <c r="BT15" s="20">
        <v>9.4499999999999993</v>
      </c>
      <c r="BU15" s="20">
        <f t="shared" si="92"/>
        <v>-8.5265128291212022E-14</v>
      </c>
      <c r="BV15" s="20">
        <v>200</v>
      </c>
      <c r="BW15" s="20"/>
      <c r="BX15" s="19">
        <f>BU15</f>
        <v>-8.5265128291212022E-14</v>
      </c>
      <c r="BY15" s="20">
        <v>90</v>
      </c>
      <c r="BZ15" s="20">
        <v>83</v>
      </c>
      <c r="CA15" s="20">
        <v>2.15</v>
      </c>
      <c r="CB15" s="20">
        <f t="shared" si="93"/>
        <v>9.1499999999999204</v>
      </c>
      <c r="CC15" s="20">
        <v>100</v>
      </c>
      <c r="CD15" s="20"/>
      <c r="CE15" s="19">
        <f>CB15</f>
        <v>9.1499999999999204</v>
      </c>
      <c r="CF15" s="20">
        <v>100</v>
      </c>
      <c r="CG15" s="20">
        <v>111.05</v>
      </c>
      <c r="CH15" s="20">
        <v>2.5499999999999998</v>
      </c>
      <c r="CI15" s="20">
        <f t="shared" si="94"/>
        <v>0.64999999999992042</v>
      </c>
    </row>
    <row r="16" spans="1:87" ht="17.149999999999999" customHeight="1" x14ac:dyDescent="0.25">
      <c r="A16" s="6" t="s">
        <v>10</v>
      </c>
      <c r="B16" s="7" t="s">
        <v>13</v>
      </c>
      <c r="C16" s="20">
        <v>1516</v>
      </c>
      <c r="D16" s="26">
        <v>3885.003885003885</v>
      </c>
      <c r="E16" s="8">
        <v>25</v>
      </c>
      <c r="F16" s="19">
        <v>5.36</v>
      </c>
      <c r="G16" s="20">
        <v>0</v>
      </c>
      <c r="H16" s="20">
        <v>0.92</v>
      </c>
      <c r="I16" s="20">
        <v>0</v>
      </c>
      <c r="J16" s="20">
        <f t="shared" si="78"/>
        <v>4.4400000000000004</v>
      </c>
      <c r="K16" s="20">
        <v>100</v>
      </c>
      <c r="L16" s="20"/>
      <c r="M16" s="19">
        <f>J16</f>
        <v>4.4400000000000004</v>
      </c>
      <c r="N16" s="20">
        <v>168</v>
      </c>
      <c r="O16" s="20">
        <v>92.44</v>
      </c>
      <c r="P16" s="20">
        <v>0</v>
      </c>
      <c r="Q16" s="20">
        <f t="shared" si="79"/>
        <v>80</v>
      </c>
      <c r="R16" s="20">
        <v>32</v>
      </c>
      <c r="S16" s="20">
        <v>150</v>
      </c>
      <c r="T16" s="19">
        <f t="shared" si="80"/>
        <v>80</v>
      </c>
      <c r="U16" s="20">
        <v>30</v>
      </c>
      <c r="V16" s="20">
        <v>49</v>
      </c>
      <c r="W16" s="20"/>
      <c r="X16" s="20">
        <f t="shared" si="81"/>
        <v>61</v>
      </c>
      <c r="Y16" s="20"/>
      <c r="Z16" s="20"/>
      <c r="AA16" s="19">
        <f t="shared" si="82"/>
        <v>61</v>
      </c>
      <c r="AB16" s="20">
        <v>100</v>
      </c>
      <c r="AC16" s="20">
        <v>33.08</v>
      </c>
      <c r="AD16" s="20">
        <v>5</v>
      </c>
      <c r="AE16" s="20">
        <f t="shared" si="83"/>
        <v>132.92000000000002</v>
      </c>
      <c r="AF16" s="20"/>
      <c r="AG16" s="20"/>
      <c r="AH16" s="19">
        <f t="shared" si="84"/>
        <v>132.92000000000002</v>
      </c>
      <c r="AI16" s="20"/>
      <c r="AJ16" s="20">
        <v>47.480000000000004</v>
      </c>
      <c r="AK16" s="20">
        <v>2.2000000000000002</v>
      </c>
      <c r="AL16" s="20">
        <f t="shared" si="85"/>
        <v>87.64</v>
      </c>
      <c r="AM16" s="20"/>
      <c r="AN16" s="20">
        <v>75</v>
      </c>
      <c r="AO16" s="19">
        <f t="shared" si="86"/>
        <v>87.64</v>
      </c>
      <c r="AP16" s="20">
        <v>75</v>
      </c>
      <c r="AQ16" s="20">
        <v>64</v>
      </c>
      <c r="AR16" s="20"/>
      <c r="AS16" s="20">
        <f t="shared" si="87"/>
        <v>98.639999999999986</v>
      </c>
      <c r="AT16" s="20"/>
      <c r="AU16" s="20"/>
      <c r="AV16" s="19">
        <f t="shared" si="88"/>
        <v>98.639999999999986</v>
      </c>
      <c r="AW16" s="20"/>
      <c r="AX16" s="20">
        <v>16</v>
      </c>
      <c r="AY16" s="20"/>
      <c r="AZ16" s="20">
        <f t="shared" si="89"/>
        <v>82.639999999999986</v>
      </c>
      <c r="BA16" s="20"/>
      <c r="BB16" s="20"/>
      <c r="BC16" s="19">
        <f>AZ16</f>
        <v>82.639999999999986</v>
      </c>
      <c r="BD16" s="20">
        <v>71</v>
      </c>
      <c r="BE16" s="20">
        <v>29</v>
      </c>
      <c r="BF16" s="20">
        <v>0</v>
      </c>
      <c r="BG16" s="20">
        <f t="shared" si="90"/>
        <v>124.63999999999999</v>
      </c>
      <c r="BH16" s="20"/>
      <c r="BI16" s="20"/>
      <c r="BJ16" s="19">
        <f>BG16</f>
        <v>124.63999999999999</v>
      </c>
      <c r="BK16" s="20">
        <v>50</v>
      </c>
      <c r="BL16" s="20">
        <v>41.64</v>
      </c>
      <c r="BM16" s="20">
        <v>18.48</v>
      </c>
      <c r="BN16" s="20">
        <f t="shared" si="91"/>
        <v>151.47999999999996</v>
      </c>
      <c r="BO16" s="20"/>
      <c r="BP16" s="20"/>
      <c r="BQ16" s="19">
        <f>BN16</f>
        <v>151.47999999999996</v>
      </c>
      <c r="BR16" s="20"/>
      <c r="BS16" s="20">
        <v>34</v>
      </c>
      <c r="BT16" s="20">
        <v>0</v>
      </c>
      <c r="BU16" s="20">
        <f t="shared" si="92"/>
        <v>117.47999999999996</v>
      </c>
      <c r="BV16" s="20"/>
      <c r="BW16" s="20"/>
      <c r="BX16" s="19">
        <f>BU16</f>
        <v>117.47999999999996</v>
      </c>
      <c r="BY16" s="20">
        <v>0</v>
      </c>
      <c r="BZ16" s="20">
        <v>4</v>
      </c>
      <c r="CA16" s="20">
        <v>0</v>
      </c>
      <c r="CB16" s="20">
        <f t="shared" si="93"/>
        <v>113.47999999999996</v>
      </c>
      <c r="CC16" s="20"/>
      <c r="CD16" s="20"/>
      <c r="CE16" s="19">
        <f>CB16</f>
        <v>113.47999999999996</v>
      </c>
      <c r="CF16" s="20">
        <v>20</v>
      </c>
      <c r="CG16" s="20">
        <v>71</v>
      </c>
      <c r="CH16" s="20">
        <v>1.64</v>
      </c>
      <c r="CI16" s="20">
        <f t="shared" si="94"/>
        <v>64.119999999999948</v>
      </c>
    </row>
    <row r="17" spans="1:87" ht="17.149999999999999" customHeight="1" x14ac:dyDescent="0.25">
      <c r="A17" s="9"/>
      <c r="B17" s="10" t="s">
        <v>36</v>
      </c>
      <c r="C17" s="21"/>
      <c r="D17" s="10"/>
      <c r="E17" s="11"/>
      <c r="F17" s="21">
        <f>SUM(F14:F16)</f>
        <v>341.94</v>
      </c>
      <c r="G17" s="21">
        <f>SUM(G14:G16)</f>
        <v>0</v>
      </c>
      <c r="H17" s="21">
        <f t="shared" ref="H17:I17" si="95">SUM(H14:H16)</f>
        <v>127.92</v>
      </c>
      <c r="I17" s="21">
        <f t="shared" si="95"/>
        <v>10.879999999999999</v>
      </c>
      <c r="J17" s="21">
        <f t="shared" ref="J17:L17" si="96">SUM(J14:J16)</f>
        <v>224.89999999999998</v>
      </c>
      <c r="K17" s="21">
        <f t="shared" ref="K17" si="97">SUM(K14:K16)</f>
        <v>100</v>
      </c>
      <c r="L17" s="21">
        <f t="shared" si="96"/>
        <v>0</v>
      </c>
      <c r="M17" s="21">
        <f>SUM(M14:M16)</f>
        <v>224.89999999999998</v>
      </c>
      <c r="N17" s="21">
        <f>SUM(N14:N16)</f>
        <v>198</v>
      </c>
      <c r="O17" s="21">
        <f t="shared" ref="O17:Q17" si="98">SUM(O14:O16)</f>
        <v>199.22</v>
      </c>
      <c r="P17" s="21">
        <f t="shared" si="98"/>
        <v>10</v>
      </c>
      <c r="Q17" s="21">
        <f t="shared" si="98"/>
        <v>233.67999999999995</v>
      </c>
      <c r="R17" s="21">
        <f t="shared" ref="R17:S17" si="99">SUM(R14:R16)</f>
        <v>307</v>
      </c>
      <c r="S17" s="21">
        <f t="shared" si="99"/>
        <v>400</v>
      </c>
      <c r="T17" s="21">
        <f>SUM(T14:T16)</f>
        <v>233.67999999999995</v>
      </c>
      <c r="U17" s="21">
        <f>SUM(U14:U16)</f>
        <v>305</v>
      </c>
      <c r="V17" s="21">
        <f t="shared" ref="V17:Z17" si="100">SUM(V14:V16)</f>
        <v>132</v>
      </c>
      <c r="W17" s="21">
        <f t="shared" si="100"/>
        <v>0</v>
      </c>
      <c r="X17" s="21">
        <f t="shared" si="100"/>
        <v>406.67999999999995</v>
      </c>
      <c r="Y17" s="21">
        <f t="shared" si="100"/>
        <v>0</v>
      </c>
      <c r="Z17" s="21">
        <f t="shared" si="100"/>
        <v>0</v>
      </c>
      <c r="AA17" s="21">
        <f>SUM(AA14:AA16)</f>
        <v>406.67999999999995</v>
      </c>
      <c r="AB17" s="21">
        <f>SUM(AB14:AB16)</f>
        <v>250</v>
      </c>
      <c r="AC17" s="21">
        <f>SUM(AC14:AC16)</f>
        <v>112.39999999999999</v>
      </c>
      <c r="AD17" s="21">
        <f t="shared" ref="AD17:AG17" si="101">SUM(AD14:AD16)</f>
        <v>13.81</v>
      </c>
      <c r="AE17" s="21">
        <f t="shared" si="101"/>
        <v>558.08999999999992</v>
      </c>
      <c r="AF17" s="21">
        <f t="shared" si="101"/>
        <v>0</v>
      </c>
      <c r="AG17" s="21">
        <f t="shared" si="101"/>
        <v>0</v>
      </c>
      <c r="AH17" s="21">
        <f>SUM(AH14:AH16)</f>
        <v>558.08999999999992</v>
      </c>
      <c r="AI17" s="21">
        <f>SUM(AI14:AI16)</f>
        <v>0</v>
      </c>
      <c r="AJ17" s="21">
        <f>SUM(AJ14:AJ16)</f>
        <v>252.55</v>
      </c>
      <c r="AK17" s="21">
        <f t="shared" ref="AK17:AN17" si="102">SUM(AK14:AK16)</f>
        <v>10.64</v>
      </c>
      <c r="AL17" s="21">
        <f t="shared" si="102"/>
        <v>316.17999999999995</v>
      </c>
      <c r="AM17" s="21">
        <f t="shared" si="102"/>
        <v>0</v>
      </c>
      <c r="AN17" s="21">
        <f t="shared" si="102"/>
        <v>300</v>
      </c>
      <c r="AO17" s="21">
        <f>SUM(AO14:AO16)</f>
        <v>316.17999999999995</v>
      </c>
      <c r="AP17" s="21">
        <f>SUM(AP14:AP16)</f>
        <v>300</v>
      </c>
      <c r="AQ17" s="21">
        <f>SUM(AQ14:AQ16)</f>
        <v>267</v>
      </c>
      <c r="AR17" s="21">
        <f t="shared" ref="AR17:AU17" si="103">SUM(AR14:AR16)</f>
        <v>0</v>
      </c>
      <c r="AS17" s="21">
        <f t="shared" si="103"/>
        <v>349.17999999999995</v>
      </c>
      <c r="AT17" s="21">
        <f t="shared" si="103"/>
        <v>0</v>
      </c>
      <c r="AU17" s="21">
        <f t="shared" si="103"/>
        <v>0</v>
      </c>
      <c r="AV17" s="21">
        <f>SUM(AV14:AV16)</f>
        <v>349.17999999999995</v>
      </c>
      <c r="AW17" s="21">
        <f>SUM(AW14:AW16)</f>
        <v>0</v>
      </c>
      <c r="AX17" s="21">
        <f>SUM(AX14:AX16)</f>
        <v>51</v>
      </c>
      <c r="AY17" s="21">
        <f t="shared" ref="AY17:BB17" si="104">SUM(AY14:AY16)</f>
        <v>0</v>
      </c>
      <c r="AZ17" s="21">
        <f t="shared" si="104"/>
        <v>298.17999999999995</v>
      </c>
      <c r="BA17" s="21">
        <f t="shared" si="104"/>
        <v>0</v>
      </c>
      <c r="BB17" s="21">
        <f t="shared" si="104"/>
        <v>0</v>
      </c>
      <c r="BC17" s="21">
        <f>SUM(BC14:BC16)</f>
        <v>298.17999999999995</v>
      </c>
      <c r="BD17" s="21">
        <f>SUM(BD14:BD16)</f>
        <v>71</v>
      </c>
      <c r="BE17" s="21">
        <f>SUM(BE14:BE16)</f>
        <v>199.69</v>
      </c>
      <c r="BF17" s="21">
        <f t="shared" ref="BF17:BI17" si="105">SUM(BF14:BF16)</f>
        <v>0</v>
      </c>
      <c r="BG17" s="21">
        <f t="shared" si="105"/>
        <v>169.48999999999992</v>
      </c>
      <c r="BH17" s="21">
        <f t="shared" si="105"/>
        <v>125</v>
      </c>
      <c r="BI17" s="21">
        <f t="shared" si="105"/>
        <v>0</v>
      </c>
      <c r="BJ17" s="21">
        <f>SUM(BJ14:BJ16)</f>
        <v>169.48999999999992</v>
      </c>
      <c r="BK17" s="21">
        <f>SUM(BK14:BK16)</f>
        <v>295</v>
      </c>
      <c r="BL17" s="21">
        <f>SUM(BL14:BL16)</f>
        <v>211.99</v>
      </c>
      <c r="BM17" s="21">
        <f t="shared" ref="BM17:BP17" si="106">SUM(BM14:BM16)</f>
        <v>32.06</v>
      </c>
      <c r="BN17" s="21">
        <f t="shared" si="106"/>
        <v>284.55999999999989</v>
      </c>
      <c r="BO17" s="21">
        <f t="shared" si="106"/>
        <v>0</v>
      </c>
      <c r="BP17" s="21">
        <f t="shared" si="106"/>
        <v>0</v>
      </c>
      <c r="BQ17" s="21">
        <f>SUM(BQ14:BQ16)</f>
        <v>284.55999999999989</v>
      </c>
      <c r="BR17" s="21">
        <f>SUM(BR14:BR16)</f>
        <v>0</v>
      </c>
      <c r="BS17" s="21">
        <f>SUM(BS14:BS16)</f>
        <v>128.55000000000001</v>
      </c>
      <c r="BT17" s="21">
        <f t="shared" ref="BT17:BW17" si="107">SUM(BT14:BT16)</f>
        <v>14.52</v>
      </c>
      <c r="BU17" s="21">
        <f t="shared" si="107"/>
        <v>170.52999999999989</v>
      </c>
      <c r="BV17" s="21">
        <f t="shared" si="107"/>
        <v>200</v>
      </c>
      <c r="BW17" s="21">
        <f t="shared" si="107"/>
        <v>0</v>
      </c>
      <c r="BX17" s="21">
        <f>SUM(BX14:BX16)</f>
        <v>170.52999999999989</v>
      </c>
      <c r="BY17" s="21">
        <f>SUM(BY14:BY16)</f>
        <v>90</v>
      </c>
      <c r="BZ17" s="21">
        <f>SUM(BZ14:BZ16)</f>
        <v>101</v>
      </c>
      <c r="CA17" s="21">
        <f t="shared" ref="CA17:CD17" si="108">SUM(CA14:CA16)</f>
        <v>7.8000000000000007</v>
      </c>
      <c r="CB17" s="21">
        <f t="shared" si="108"/>
        <v>167.3299999999999</v>
      </c>
      <c r="CC17" s="21">
        <f t="shared" si="108"/>
        <v>100</v>
      </c>
      <c r="CD17" s="21">
        <f t="shared" si="108"/>
        <v>0</v>
      </c>
      <c r="CE17" s="21">
        <f>SUM(CE14:CE16)</f>
        <v>167.3299999999999</v>
      </c>
      <c r="CF17" s="21">
        <f>SUM(CF14:CF16)</f>
        <v>180</v>
      </c>
      <c r="CG17" s="21">
        <f>SUM(CG14:CG16)</f>
        <v>218.05</v>
      </c>
      <c r="CH17" s="21">
        <f t="shared" ref="CH17:CI17" si="109">SUM(CH14:CH16)</f>
        <v>7.81</v>
      </c>
      <c r="CI17" s="21">
        <f t="shared" si="109"/>
        <v>137.08999999999989</v>
      </c>
    </row>
    <row r="18" spans="1:87" ht="17.149999999999999" customHeight="1" x14ac:dyDescent="0.25">
      <c r="A18" s="6" t="s">
        <v>14</v>
      </c>
      <c r="B18" s="7" t="s">
        <v>50</v>
      </c>
      <c r="C18" s="20">
        <v>1538</v>
      </c>
      <c r="D18" s="26">
        <v>5283.6052836052841</v>
      </c>
      <c r="E18" s="8">
        <v>100</v>
      </c>
      <c r="F18" s="19">
        <v>28.58</v>
      </c>
      <c r="G18" s="20">
        <v>0</v>
      </c>
      <c r="H18" s="20">
        <v>23</v>
      </c>
      <c r="I18" s="20">
        <v>0</v>
      </c>
      <c r="J18" s="20">
        <f t="shared" ref="J18:J19" si="110">F18+G18+I18-H18</f>
        <v>5.5799999999999983</v>
      </c>
      <c r="K18" s="20"/>
      <c r="L18" s="20">
        <v>50</v>
      </c>
      <c r="M18" s="19">
        <f>J18</f>
        <v>5.5799999999999983</v>
      </c>
      <c r="N18" s="20">
        <v>50</v>
      </c>
      <c r="O18" s="20">
        <v>60.58</v>
      </c>
      <c r="P18" s="20">
        <v>5</v>
      </c>
      <c r="Q18" s="20">
        <f t="shared" ref="Q18:Q19" si="111">M18+N18+P18-O18</f>
        <v>0</v>
      </c>
      <c r="R18" s="20">
        <v>50</v>
      </c>
      <c r="S18" s="20">
        <v>50</v>
      </c>
      <c r="T18" s="19">
        <f t="shared" ref="T18:T19" si="112">Q18</f>
        <v>0</v>
      </c>
      <c r="U18" s="20">
        <v>50</v>
      </c>
      <c r="V18" s="20">
        <v>50</v>
      </c>
      <c r="W18" s="20"/>
      <c r="X18" s="20">
        <f t="shared" ref="X18:X19" si="113">T18+U18+W18-V18</f>
        <v>0</v>
      </c>
      <c r="Y18" s="20"/>
      <c r="Z18" s="20"/>
      <c r="AA18" s="19">
        <f t="shared" ref="AA18:AA19" si="114">X18</f>
        <v>0</v>
      </c>
      <c r="AB18" s="20">
        <v>150</v>
      </c>
      <c r="AC18" s="20">
        <v>32.909999999999997</v>
      </c>
      <c r="AD18" s="20">
        <v>2.91</v>
      </c>
      <c r="AE18" s="20">
        <f t="shared" ref="AE18:AE19" si="115">AA18+AB18+AD18-AC18</f>
        <v>120</v>
      </c>
      <c r="AF18" s="20"/>
      <c r="AG18" s="20"/>
      <c r="AH18" s="19">
        <f t="shared" ref="AH18:AH19" si="116">AE18</f>
        <v>120</v>
      </c>
      <c r="AI18" s="20"/>
      <c r="AJ18" s="20">
        <v>43.83</v>
      </c>
      <c r="AK18" s="20">
        <v>2.0499999999999998</v>
      </c>
      <c r="AL18" s="20">
        <f t="shared" ref="AL18:AL19" si="117">AH18+AI18+AK18-AJ18</f>
        <v>78.22</v>
      </c>
      <c r="AM18" s="20"/>
      <c r="AN18" s="20">
        <v>75</v>
      </c>
      <c r="AO18" s="19">
        <f t="shared" ref="AO18:AO19" si="118">AL18</f>
        <v>78.22</v>
      </c>
      <c r="AP18" s="20">
        <v>75</v>
      </c>
      <c r="AQ18" s="20">
        <v>41</v>
      </c>
      <c r="AR18" s="20"/>
      <c r="AS18" s="20">
        <f t="shared" ref="AS18:AS19" si="119">AO18+AP18+AR18-AQ18</f>
        <v>112.22</v>
      </c>
      <c r="AT18" s="20"/>
      <c r="AU18" s="20"/>
      <c r="AV18" s="19">
        <f t="shared" ref="AV18:AV19" si="120">AS18</f>
        <v>112.22</v>
      </c>
      <c r="AW18" s="20"/>
      <c r="AX18" s="20">
        <v>1</v>
      </c>
      <c r="AY18" s="20"/>
      <c r="AZ18" s="20">
        <f t="shared" ref="AZ18:AZ19" si="121">AV18+AW18+AY18-AX18</f>
        <v>111.22</v>
      </c>
      <c r="BA18" s="20"/>
      <c r="BB18" s="20"/>
      <c r="BC18" s="19">
        <f>AZ18</f>
        <v>111.22</v>
      </c>
      <c r="BD18" s="20">
        <v>0</v>
      </c>
      <c r="BE18" s="20">
        <v>14</v>
      </c>
      <c r="BF18" s="20">
        <v>0</v>
      </c>
      <c r="BG18" s="20">
        <f t="shared" ref="BG18" si="122">BC18+BD18+BF18-BE18</f>
        <v>97.22</v>
      </c>
      <c r="BH18" s="20"/>
      <c r="BI18" s="20"/>
      <c r="BJ18" s="19">
        <f>BG18</f>
        <v>97.22</v>
      </c>
      <c r="BK18" s="20">
        <v>0</v>
      </c>
      <c r="BL18" s="20">
        <v>12.84</v>
      </c>
      <c r="BM18" s="20">
        <v>17.84</v>
      </c>
      <c r="BN18" s="20">
        <f t="shared" ref="BN18:BN19" si="123">BJ18+BK18+BM18-BL18</f>
        <v>102.22</v>
      </c>
      <c r="BO18" s="20"/>
      <c r="BP18" s="20"/>
      <c r="BQ18" s="19">
        <f>BN18</f>
        <v>102.22</v>
      </c>
      <c r="BR18" s="20"/>
      <c r="BS18" s="20">
        <v>27</v>
      </c>
      <c r="BT18" s="20">
        <v>3.29</v>
      </c>
      <c r="BU18" s="20">
        <f t="shared" ref="BU18:BU19" si="124">BQ18+BR18+BT18-BS18</f>
        <v>78.510000000000005</v>
      </c>
      <c r="BV18" s="20"/>
      <c r="BW18" s="20"/>
      <c r="BX18" s="19">
        <f>BU18</f>
        <v>78.510000000000005</v>
      </c>
      <c r="BY18" s="20">
        <v>0</v>
      </c>
      <c r="BZ18" s="20">
        <v>7</v>
      </c>
      <c r="CA18" s="20">
        <v>6.02</v>
      </c>
      <c r="CB18" s="20">
        <f t="shared" ref="CB18:CB19" si="125">BX18+BY18+CA18-BZ18</f>
        <v>77.53</v>
      </c>
      <c r="CC18" s="20"/>
      <c r="CD18" s="20"/>
      <c r="CE18" s="19">
        <f>CB18</f>
        <v>77.53</v>
      </c>
      <c r="CF18" s="20">
        <v>25</v>
      </c>
      <c r="CG18" s="20">
        <v>33</v>
      </c>
      <c r="CH18" s="20">
        <v>3.45</v>
      </c>
      <c r="CI18" s="20">
        <f t="shared" ref="CI18:CI19" si="126">CE18+CF18+CH18-CG18</f>
        <v>72.98</v>
      </c>
    </row>
    <row r="19" spans="1:87" ht="17.149999999999999" customHeight="1" x14ac:dyDescent="0.25">
      <c r="A19" s="6" t="s">
        <v>14</v>
      </c>
      <c r="B19" s="7" t="s">
        <v>51</v>
      </c>
      <c r="C19" s="20">
        <v>1248</v>
      </c>
      <c r="D19" s="26">
        <v>3758.4175084175081</v>
      </c>
      <c r="E19" s="8">
        <v>20</v>
      </c>
      <c r="F19" s="19">
        <v>84.55</v>
      </c>
      <c r="G19" s="20">
        <v>0</v>
      </c>
      <c r="H19" s="20">
        <v>68</v>
      </c>
      <c r="I19" s="20">
        <v>7.4</v>
      </c>
      <c r="J19" s="20">
        <f t="shared" si="110"/>
        <v>23.950000000000003</v>
      </c>
      <c r="K19" s="20"/>
      <c r="L19" s="20">
        <v>50</v>
      </c>
      <c r="M19" s="19">
        <f>J19</f>
        <v>23.950000000000003</v>
      </c>
      <c r="N19" s="20">
        <v>50</v>
      </c>
      <c r="O19" s="20">
        <v>78.95</v>
      </c>
      <c r="P19" s="20">
        <v>5</v>
      </c>
      <c r="Q19" s="20">
        <f t="shared" si="111"/>
        <v>0</v>
      </c>
      <c r="R19" s="20">
        <v>100</v>
      </c>
      <c r="S19" s="20">
        <v>125</v>
      </c>
      <c r="T19" s="19">
        <f t="shared" si="112"/>
        <v>0</v>
      </c>
      <c r="U19" s="20">
        <v>100</v>
      </c>
      <c r="V19" s="20">
        <v>51</v>
      </c>
      <c r="W19" s="20"/>
      <c r="X19" s="20">
        <f t="shared" si="113"/>
        <v>49</v>
      </c>
      <c r="Y19" s="20"/>
      <c r="Z19" s="20"/>
      <c r="AA19" s="19">
        <f t="shared" si="114"/>
        <v>49</v>
      </c>
      <c r="AB19" s="20">
        <v>200</v>
      </c>
      <c r="AC19" s="20">
        <v>44.85</v>
      </c>
      <c r="AD19" s="20">
        <v>7</v>
      </c>
      <c r="AE19" s="20">
        <f t="shared" si="115"/>
        <v>211.15</v>
      </c>
      <c r="AF19" s="20"/>
      <c r="AG19" s="20"/>
      <c r="AH19" s="19">
        <f t="shared" si="116"/>
        <v>211.15</v>
      </c>
      <c r="AI19" s="20"/>
      <c r="AJ19" s="20">
        <v>77.05</v>
      </c>
      <c r="AK19" s="20">
        <v>0.05</v>
      </c>
      <c r="AL19" s="20">
        <f t="shared" si="117"/>
        <v>134.15000000000003</v>
      </c>
      <c r="AM19" s="20"/>
      <c r="AN19" s="20">
        <v>100</v>
      </c>
      <c r="AO19" s="19">
        <f t="shared" si="118"/>
        <v>134.15000000000003</v>
      </c>
      <c r="AP19" s="20">
        <v>100</v>
      </c>
      <c r="AQ19" s="20">
        <v>63</v>
      </c>
      <c r="AR19" s="20"/>
      <c r="AS19" s="20">
        <f t="shared" si="119"/>
        <v>171.15000000000003</v>
      </c>
      <c r="AT19" s="20"/>
      <c r="AU19" s="20"/>
      <c r="AV19" s="19">
        <f t="shared" si="120"/>
        <v>171.15000000000003</v>
      </c>
      <c r="AW19" s="20"/>
      <c r="AX19" s="20">
        <v>26</v>
      </c>
      <c r="AY19" s="20"/>
      <c r="AZ19" s="20">
        <f t="shared" si="121"/>
        <v>145.15000000000003</v>
      </c>
      <c r="BA19" s="20"/>
      <c r="BB19" s="20"/>
      <c r="BC19" s="19">
        <f>AZ19</f>
        <v>145.15000000000003</v>
      </c>
      <c r="BD19" s="20">
        <v>0</v>
      </c>
      <c r="BE19" s="20">
        <v>70</v>
      </c>
      <c r="BF19" s="20">
        <v>0</v>
      </c>
      <c r="BG19" s="20">
        <f>BC19+BD19+BF19-BE19</f>
        <v>75.150000000000034</v>
      </c>
      <c r="BH19" s="20"/>
      <c r="BI19" s="20"/>
      <c r="BJ19" s="19">
        <f>BG19</f>
        <v>75.150000000000034</v>
      </c>
      <c r="BK19" s="20">
        <v>0</v>
      </c>
      <c r="BL19" s="20">
        <v>65.400000000000006</v>
      </c>
      <c r="BM19" s="20">
        <v>25.75</v>
      </c>
      <c r="BN19" s="20">
        <f t="shared" si="123"/>
        <v>35.500000000000028</v>
      </c>
      <c r="BO19" s="29">
        <v>25</v>
      </c>
      <c r="BP19" s="20"/>
      <c r="BQ19" s="36">
        <f>BN19</f>
        <v>35.500000000000028</v>
      </c>
      <c r="BR19" s="20"/>
      <c r="BS19" s="20">
        <v>36.549999999999997</v>
      </c>
      <c r="BT19" s="20">
        <v>1.05</v>
      </c>
      <c r="BU19" s="20">
        <f t="shared" si="124"/>
        <v>0</v>
      </c>
      <c r="BV19" s="24">
        <v>75</v>
      </c>
      <c r="BW19" s="20"/>
      <c r="BX19" s="36">
        <f>BU19</f>
        <v>0</v>
      </c>
      <c r="BY19" s="20">
        <v>75</v>
      </c>
      <c r="BZ19" s="20">
        <v>36</v>
      </c>
      <c r="CA19" s="20">
        <v>7.55</v>
      </c>
      <c r="CB19" s="20">
        <f t="shared" si="125"/>
        <v>46.55</v>
      </c>
      <c r="CC19" s="24"/>
      <c r="CD19" s="20"/>
      <c r="CE19" s="36">
        <f>CB19</f>
        <v>46.55</v>
      </c>
      <c r="CF19" s="20">
        <v>100</v>
      </c>
      <c r="CG19" s="20">
        <v>68</v>
      </c>
      <c r="CH19" s="20">
        <v>7.15</v>
      </c>
      <c r="CI19" s="20">
        <f t="shared" si="126"/>
        <v>85.700000000000017</v>
      </c>
    </row>
    <row r="20" spans="1:87" ht="17.149999999999999" customHeight="1" x14ac:dyDescent="0.25">
      <c r="A20" s="9"/>
      <c r="B20" s="10" t="s">
        <v>37</v>
      </c>
      <c r="C20" s="21"/>
      <c r="D20" s="10"/>
      <c r="E20" s="11"/>
      <c r="F20" s="21">
        <f t="shared" ref="F20:AK20" si="127">SUM(F18:F19)</f>
        <v>113.13</v>
      </c>
      <c r="G20" s="21">
        <f t="shared" si="127"/>
        <v>0</v>
      </c>
      <c r="H20" s="21">
        <f t="shared" si="127"/>
        <v>91</v>
      </c>
      <c r="I20" s="21">
        <f t="shared" si="127"/>
        <v>7.4</v>
      </c>
      <c r="J20" s="21">
        <f t="shared" si="127"/>
        <v>29.53</v>
      </c>
      <c r="K20" s="21">
        <f t="shared" si="127"/>
        <v>0</v>
      </c>
      <c r="L20" s="21">
        <f t="shared" si="127"/>
        <v>100</v>
      </c>
      <c r="M20" s="21">
        <f t="shared" si="127"/>
        <v>29.53</v>
      </c>
      <c r="N20" s="21">
        <f t="shared" si="127"/>
        <v>100</v>
      </c>
      <c r="O20" s="21">
        <f t="shared" si="127"/>
        <v>139.53</v>
      </c>
      <c r="P20" s="21">
        <f t="shared" si="127"/>
        <v>10</v>
      </c>
      <c r="Q20" s="21">
        <f t="shared" si="127"/>
        <v>0</v>
      </c>
      <c r="R20" s="21">
        <f t="shared" si="127"/>
        <v>150</v>
      </c>
      <c r="S20" s="21">
        <f t="shared" si="127"/>
        <v>175</v>
      </c>
      <c r="T20" s="21">
        <f t="shared" si="127"/>
        <v>0</v>
      </c>
      <c r="U20" s="21">
        <f t="shared" si="127"/>
        <v>150</v>
      </c>
      <c r="V20" s="21">
        <f t="shared" si="127"/>
        <v>101</v>
      </c>
      <c r="W20" s="21">
        <f t="shared" si="127"/>
        <v>0</v>
      </c>
      <c r="X20" s="21">
        <f t="shared" si="127"/>
        <v>49</v>
      </c>
      <c r="Y20" s="21">
        <f t="shared" si="127"/>
        <v>0</v>
      </c>
      <c r="Z20" s="21">
        <f t="shared" si="127"/>
        <v>0</v>
      </c>
      <c r="AA20" s="21">
        <f t="shared" si="127"/>
        <v>49</v>
      </c>
      <c r="AB20" s="21">
        <f t="shared" si="127"/>
        <v>350</v>
      </c>
      <c r="AC20" s="21">
        <f t="shared" si="127"/>
        <v>77.759999999999991</v>
      </c>
      <c r="AD20" s="21">
        <f t="shared" si="127"/>
        <v>9.91</v>
      </c>
      <c r="AE20" s="21">
        <f t="shared" si="127"/>
        <v>331.15</v>
      </c>
      <c r="AF20" s="21">
        <f t="shared" si="127"/>
        <v>0</v>
      </c>
      <c r="AG20" s="21">
        <f t="shared" si="127"/>
        <v>0</v>
      </c>
      <c r="AH20" s="21">
        <f t="shared" si="127"/>
        <v>331.15</v>
      </c>
      <c r="AI20" s="21">
        <f t="shared" si="127"/>
        <v>0</v>
      </c>
      <c r="AJ20" s="21">
        <f t="shared" si="127"/>
        <v>120.88</v>
      </c>
      <c r="AK20" s="21">
        <f t="shared" si="127"/>
        <v>2.0999999999999996</v>
      </c>
      <c r="AL20" s="21">
        <f t="shared" ref="AL20:BP20" si="128">SUM(AL18:AL19)</f>
        <v>212.37000000000003</v>
      </c>
      <c r="AM20" s="21">
        <f t="shared" si="128"/>
        <v>0</v>
      </c>
      <c r="AN20" s="21">
        <f t="shared" si="128"/>
        <v>175</v>
      </c>
      <c r="AO20" s="21">
        <f t="shared" si="128"/>
        <v>212.37000000000003</v>
      </c>
      <c r="AP20" s="21">
        <f t="shared" si="128"/>
        <v>175</v>
      </c>
      <c r="AQ20" s="21">
        <f t="shared" si="128"/>
        <v>104</v>
      </c>
      <c r="AR20" s="21">
        <f t="shared" si="128"/>
        <v>0</v>
      </c>
      <c r="AS20" s="21">
        <f t="shared" si="128"/>
        <v>283.37</v>
      </c>
      <c r="AT20" s="21">
        <f t="shared" si="128"/>
        <v>0</v>
      </c>
      <c r="AU20" s="21">
        <f t="shared" si="128"/>
        <v>0</v>
      </c>
      <c r="AV20" s="21">
        <f t="shared" si="128"/>
        <v>283.37</v>
      </c>
      <c r="AW20" s="21">
        <f t="shared" si="128"/>
        <v>0</v>
      </c>
      <c r="AX20" s="21">
        <f t="shared" si="128"/>
        <v>27</v>
      </c>
      <c r="AY20" s="21">
        <f t="shared" si="128"/>
        <v>0</v>
      </c>
      <c r="AZ20" s="21">
        <f t="shared" si="128"/>
        <v>256.37</v>
      </c>
      <c r="BA20" s="21">
        <f t="shared" si="128"/>
        <v>0</v>
      </c>
      <c r="BB20" s="21">
        <f t="shared" si="128"/>
        <v>0</v>
      </c>
      <c r="BC20" s="21">
        <f t="shared" si="128"/>
        <v>256.37</v>
      </c>
      <c r="BD20" s="21">
        <f t="shared" si="128"/>
        <v>0</v>
      </c>
      <c r="BE20" s="21">
        <f t="shared" si="128"/>
        <v>84</v>
      </c>
      <c r="BF20" s="21">
        <f t="shared" si="128"/>
        <v>0</v>
      </c>
      <c r="BG20" s="21">
        <f t="shared" si="128"/>
        <v>172.37000000000003</v>
      </c>
      <c r="BH20" s="21">
        <f t="shared" si="128"/>
        <v>0</v>
      </c>
      <c r="BI20" s="21">
        <f t="shared" si="128"/>
        <v>0</v>
      </c>
      <c r="BJ20" s="21">
        <f t="shared" si="128"/>
        <v>172.37000000000003</v>
      </c>
      <c r="BK20" s="21">
        <f t="shared" si="128"/>
        <v>0</v>
      </c>
      <c r="BL20" s="21">
        <f t="shared" si="128"/>
        <v>78.240000000000009</v>
      </c>
      <c r="BM20" s="21">
        <f t="shared" si="128"/>
        <v>43.59</v>
      </c>
      <c r="BN20" s="21">
        <f t="shared" si="128"/>
        <v>137.72000000000003</v>
      </c>
      <c r="BO20" s="21">
        <f t="shared" si="128"/>
        <v>25</v>
      </c>
      <c r="BP20" s="21">
        <f t="shared" si="128"/>
        <v>0</v>
      </c>
      <c r="BQ20" s="21">
        <f t="shared" ref="BQ20:BW20" si="129">SUM(BQ18:BQ19)</f>
        <v>137.72000000000003</v>
      </c>
      <c r="BR20" s="21">
        <f t="shared" si="129"/>
        <v>0</v>
      </c>
      <c r="BS20" s="21">
        <f t="shared" si="129"/>
        <v>63.55</v>
      </c>
      <c r="BT20" s="21">
        <f t="shared" si="129"/>
        <v>4.34</v>
      </c>
      <c r="BU20" s="21">
        <f t="shared" si="129"/>
        <v>78.510000000000005</v>
      </c>
      <c r="BV20" s="21">
        <f t="shared" si="129"/>
        <v>75</v>
      </c>
      <c r="BW20" s="21">
        <f t="shared" si="129"/>
        <v>0</v>
      </c>
      <c r="BX20" s="21">
        <f t="shared" ref="BX20:CD20" si="130">SUM(BX18:BX19)</f>
        <v>78.510000000000005</v>
      </c>
      <c r="BY20" s="21">
        <f t="shared" si="130"/>
        <v>75</v>
      </c>
      <c r="BZ20" s="21">
        <f t="shared" si="130"/>
        <v>43</v>
      </c>
      <c r="CA20" s="21">
        <f t="shared" si="130"/>
        <v>13.57</v>
      </c>
      <c r="CB20" s="21">
        <f t="shared" si="130"/>
        <v>124.08</v>
      </c>
      <c r="CC20" s="21">
        <f t="shared" si="130"/>
        <v>0</v>
      </c>
      <c r="CD20" s="21">
        <f t="shared" si="130"/>
        <v>0</v>
      </c>
      <c r="CE20" s="21">
        <f t="shared" ref="CE20:CI20" si="131">SUM(CE18:CE19)</f>
        <v>124.08</v>
      </c>
      <c r="CF20" s="21">
        <f t="shared" si="131"/>
        <v>125</v>
      </c>
      <c r="CG20" s="21">
        <f t="shared" si="131"/>
        <v>101</v>
      </c>
      <c r="CH20" s="21">
        <f t="shared" si="131"/>
        <v>10.600000000000001</v>
      </c>
      <c r="CI20" s="21">
        <f t="shared" si="131"/>
        <v>158.68</v>
      </c>
    </row>
    <row r="21" spans="1:87" ht="17.149999999999999" customHeight="1" x14ac:dyDescent="0.25">
      <c r="A21" s="6" t="s">
        <v>15</v>
      </c>
      <c r="B21" s="7" t="s">
        <v>16</v>
      </c>
      <c r="C21" s="20">
        <v>2577</v>
      </c>
      <c r="D21" s="26">
        <v>10101.010101010103</v>
      </c>
      <c r="E21" s="8">
        <v>20</v>
      </c>
      <c r="F21" s="19">
        <v>69</v>
      </c>
      <c r="G21" s="20">
        <v>199</v>
      </c>
      <c r="H21" s="20">
        <v>247.2</v>
      </c>
      <c r="I21" s="20">
        <v>0.75</v>
      </c>
      <c r="J21" s="20">
        <f>F21+G21+I21-H21</f>
        <v>21.550000000000011</v>
      </c>
      <c r="K21" s="20"/>
      <c r="L21" s="20"/>
      <c r="M21" s="19">
        <f>J21</f>
        <v>21.550000000000011</v>
      </c>
      <c r="N21" s="20">
        <v>150</v>
      </c>
      <c r="O21" s="20">
        <v>181.55</v>
      </c>
      <c r="P21" s="20">
        <v>10</v>
      </c>
      <c r="Q21" s="20">
        <f>M21+N21+P21-O21</f>
        <v>0</v>
      </c>
      <c r="R21" s="20">
        <v>150</v>
      </c>
      <c r="S21" s="20">
        <v>200</v>
      </c>
      <c r="T21" s="19">
        <f t="shared" ref="T21:T24" si="132">Q21</f>
        <v>0</v>
      </c>
      <c r="U21" s="20">
        <v>0</v>
      </c>
      <c r="V21" s="20">
        <v>0</v>
      </c>
      <c r="W21" s="20"/>
      <c r="X21" s="20">
        <f>T21+U21+W21-V21</f>
        <v>0</v>
      </c>
      <c r="Y21" s="20"/>
      <c r="Z21" s="20"/>
      <c r="AA21" s="19">
        <f t="shared" ref="AA21:AA24" si="133">X21</f>
        <v>0</v>
      </c>
      <c r="AB21" s="20">
        <v>650</v>
      </c>
      <c r="AC21" s="20">
        <v>167.35</v>
      </c>
      <c r="AD21" s="20">
        <v>0.25</v>
      </c>
      <c r="AE21" s="20">
        <f>AA21+AB21+AD21-AC21</f>
        <v>482.9</v>
      </c>
      <c r="AF21" s="20"/>
      <c r="AG21" s="20"/>
      <c r="AH21" s="19">
        <f t="shared" ref="AH21:AH24" si="134">AE21</f>
        <v>482.9</v>
      </c>
      <c r="AI21" s="20"/>
      <c r="AJ21" s="20">
        <v>114.55</v>
      </c>
      <c r="AK21" s="20">
        <v>5.55</v>
      </c>
      <c r="AL21" s="20">
        <f>AH21+AI21+AK21-AJ21</f>
        <v>373.9</v>
      </c>
      <c r="AM21" s="20"/>
      <c r="AN21" s="20"/>
      <c r="AO21" s="19">
        <f t="shared" ref="AO21:AO24" si="135">AL21</f>
        <v>373.9</v>
      </c>
      <c r="AP21" s="20">
        <v>0</v>
      </c>
      <c r="AQ21" s="20">
        <v>170</v>
      </c>
      <c r="AR21" s="20"/>
      <c r="AS21" s="20">
        <f>AO21+AP21+AR21-AQ21</f>
        <v>203.89999999999998</v>
      </c>
      <c r="AT21" s="20"/>
      <c r="AU21" s="20"/>
      <c r="AV21" s="19">
        <f t="shared" ref="AV21:AV24" si="136">AS21</f>
        <v>203.89999999999998</v>
      </c>
      <c r="AW21" s="20"/>
      <c r="AX21" s="20">
        <v>50</v>
      </c>
      <c r="AY21" s="20"/>
      <c r="AZ21" s="20">
        <f>AV21+AW21+AY21-AX21</f>
        <v>153.89999999999998</v>
      </c>
      <c r="BA21" s="20"/>
      <c r="BB21" s="20"/>
      <c r="BC21" s="19">
        <f>AZ21</f>
        <v>153.89999999999998</v>
      </c>
      <c r="BD21" s="20">
        <v>250</v>
      </c>
      <c r="BE21" s="20">
        <v>333.1</v>
      </c>
      <c r="BF21" s="20">
        <v>0</v>
      </c>
      <c r="BG21" s="20">
        <f t="shared" ref="BG21:BG24" si="137">BC21+BD21+BF21-BE21</f>
        <v>70.799999999999955</v>
      </c>
      <c r="BH21" s="20">
        <v>250</v>
      </c>
      <c r="BI21" s="20"/>
      <c r="BJ21" s="19">
        <f>BG21</f>
        <v>70.799999999999955</v>
      </c>
      <c r="BK21" s="20">
        <v>189</v>
      </c>
      <c r="BL21" s="20">
        <v>147.5</v>
      </c>
      <c r="BM21" s="20">
        <v>22.05</v>
      </c>
      <c r="BN21" s="20">
        <f t="shared" ref="BN21:BN24" si="138">BJ21+BK21+BM21-BL21</f>
        <v>134.34999999999997</v>
      </c>
      <c r="BO21" s="29">
        <v>500</v>
      </c>
      <c r="BP21" s="20"/>
      <c r="BQ21" s="19">
        <f>BN21</f>
        <v>134.34999999999997</v>
      </c>
      <c r="BR21" s="20"/>
      <c r="BS21" s="20">
        <v>97.75</v>
      </c>
      <c r="BT21" s="20">
        <v>13.45</v>
      </c>
      <c r="BU21" s="20">
        <f t="shared" ref="BU21:BU24" si="139">BQ21+BR21+BT21-BS21</f>
        <v>50.049999999999955</v>
      </c>
      <c r="BV21" s="24">
        <v>500</v>
      </c>
      <c r="BW21" s="20"/>
      <c r="BX21" s="19">
        <f>BU21</f>
        <v>50.049999999999955</v>
      </c>
      <c r="BY21" s="20">
        <v>0</v>
      </c>
      <c r="BZ21" s="20">
        <v>54.05</v>
      </c>
      <c r="CA21" s="20">
        <v>4</v>
      </c>
      <c r="CB21" s="20">
        <f t="shared" ref="CB21:CB24" si="140">BX21+BY21+CA21-BZ21</f>
        <v>0</v>
      </c>
      <c r="CC21" s="24"/>
      <c r="CD21" s="20"/>
      <c r="CE21" s="19">
        <f>CB21</f>
        <v>0</v>
      </c>
      <c r="CF21" s="20">
        <v>536</v>
      </c>
      <c r="CG21" s="20">
        <v>532.45000000000005</v>
      </c>
      <c r="CH21" s="20">
        <v>4.1500000000000004</v>
      </c>
      <c r="CI21" s="20">
        <f t="shared" ref="CI21:CI24" si="141">CE21+CF21+CH21-CG21</f>
        <v>7.6999999999999318</v>
      </c>
    </row>
    <row r="22" spans="1:87" ht="17.149999999999999" customHeight="1" x14ac:dyDescent="0.25">
      <c r="A22" s="6" t="s">
        <v>15</v>
      </c>
      <c r="B22" s="7" t="s">
        <v>112</v>
      </c>
      <c r="C22" s="20">
        <v>2577</v>
      </c>
      <c r="D22" s="26">
        <v>10101.010101010103</v>
      </c>
      <c r="E22" s="8">
        <v>20</v>
      </c>
      <c r="F22" s="19"/>
      <c r="G22" s="20"/>
      <c r="H22" s="20"/>
      <c r="I22" s="20"/>
      <c r="J22" s="20"/>
      <c r="K22" s="20"/>
      <c r="L22" s="20"/>
      <c r="M22" s="19"/>
      <c r="N22" s="20"/>
      <c r="O22" s="20"/>
      <c r="P22" s="20"/>
      <c r="Q22" s="20"/>
      <c r="R22" s="20"/>
      <c r="S22" s="20"/>
      <c r="T22" s="19"/>
      <c r="U22" s="20"/>
      <c r="V22" s="20"/>
      <c r="W22" s="20"/>
      <c r="X22" s="20"/>
      <c r="Y22" s="20"/>
      <c r="Z22" s="20"/>
      <c r="AA22" s="19"/>
      <c r="AB22" s="20"/>
      <c r="AC22" s="20"/>
      <c r="AD22" s="20"/>
      <c r="AE22" s="20"/>
      <c r="AF22" s="20"/>
      <c r="AG22" s="20"/>
      <c r="AH22" s="19"/>
      <c r="AI22" s="20"/>
      <c r="AJ22" s="20"/>
      <c r="AK22" s="20"/>
      <c r="AL22" s="20"/>
      <c r="AM22" s="20"/>
      <c r="AN22" s="20"/>
      <c r="AO22" s="19"/>
      <c r="AP22" s="20"/>
      <c r="AQ22" s="20"/>
      <c r="AR22" s="20"/>
      <c r="AS22" s="20"/>
      <c r="AT22" s="20"/>
      <c r="AU22" s="20"/>
      <c r="AV22" s="19"/>
      <c r="AW22" s="20"/>
      <c r="AX22" s="20"/>
      <c r="AY22" s="20"/>
      <c r="AZ22" s="20"/>
      <c r="BA22" s="20"/>
      <c r="BB22" s="20"/>
      <c r="BC22" s="19"/>
      <c r="BD22" s="20"/>
      <c r="BE22" s="20">
        <v>0</v>
      </c>
      <c r="BF22" s="20"/>
      <c r="BG22" s="20"/>
      <c r="BH22" s="20"/>
      <c r="BI22" s="20"/>
      <c r="BJ22" s="19"/>
      <c r="BK22" s="20"/>
      <c r="BL22" s="20">
        <v>0</v>
      </c>
      <c r="BM22" s="20"/>
      <c r="BN22" s="20"/>
      <c r="BO22" s="29"/>
      <c r="BP22" s="20"/>
      <c r="BQ22" s="19"/>
      <c r="BR22" s="20"/>
      <c r="BS22" s="20">
        <v>0</v>
      </c>
      <c r="BT22" s="20">
        <v>0</v>
      </c>
      <c r="BU22" s="20"/>
      <c r="BV22" s="24"/>
      <c r="BW22" s="20"/>
      <c r="BX22" s="19"/>
      <c r="BY22" s="20"/>
      <c r="BZ22" s="20">
        <v>0</v>
      </c>
      <c r="CA22" s="20"/>
      <c r="CB22" s="20"/>
      <c r="CC22" s="24"/>
      <c r="CD22" s="20"/>
      <c r="CE22" s="19">
        <f>CB22</f>
        <v>0</v>
      </c>
      <c r="CF22" s="20">
        <v>496</v>
      </c>
      <c r="CG22" s="20">
        <v>9</v>
      </c>
      <c r="CH22" s="20">
        <v>0</v>
      </c>
      <c r="CI22" s="20">
        <f t="shared" si="141"/>
        <v>487</v>
      </c>
    </row>
    <row r="23" spans="1:87" ht="17.149999999999999" customHeight="1" x14ac:dyDescent="0.25">
      <c r="A23" s="6" t="s">
        <v>15</v>
      </c>
      <c r="B23" s="7" t="s">
        <v>26</v>
      </c>
      <c r="C23" s="20">
        <v>2469</v>
      </c>
      <c r="D23" s="26">
        <v>10878.010878010879</v>
      </c>
      <c r="E23" s="8">
        <v>40</v>
      </c>
      <c r="F23" s="19">
        <v>33.475000000000001</v>
      </c>
      <c r="G23" s="20">
        <v>0</v>
      </c>
      <c r="H23" s="20">
        <v>21</v>
      </c>
      <c r="I23" s="20">
        <v>0.68</v>
      </c>
      <c r="J23" s="20">
        <f t="shared" ref="J23:J24" si="142">F23+G23+I23-H23</f>
        <v>13.155000000000001</v>
      </c>
      <c r="K23" s="20"/>
      <c r="L23" s="20">
        <v>20</v>
      </c>
      <c r="M23" s="19">
        <f>J23</f>
        <v>13.155000000000001</v>
      </c>
      <c r="N23" s="20">
        <v>20</v>
      </c>
      <c r="O23" s="20">
        <v>26.31</v>
      </c>
      <c r="P23" s="20">
        <v>0</v>
      </c>
      <c r="Q23" s="20">
        <f t="shared" ref="Q23:Q24" si="143">M23+N23+P23-O23</f>
        <v>6.8450000000000024</v>
      </c>
      <c r="R23" s="20">
        <v>25</v>
      </c>
      <c r="S23" s="20"/>
      <c r="T23" s="19">
        <f t="shared" si="132"/>
        <v>6.8450000000000024</v>
      </c>
      <c r="U23" s="20">
        <v>25</v>
      </c>
      <c r="V23" s="20">
        <v>4</v>
      </c>
      <c r="W23" s="20"/>
      <c r="X23" s="20">
        <f t="shared" ref="X23:X24" si="144">T23+U23+W23-V23</f>
        <v>27.845000000000002</v>
      </c>
      <c r="Y23" s="20"/>
      <c r="Z23" s="20"/>
      <c r="AA23" s="19">
        <f t="shared" si="133"/>
        <v>27.845000000000002</v>
      </c>
      <c r="AB23" s="20">
        <v>20</v>
      </c>
      <c r="AC23" s="20">
        <v>27.015000000000001</v>
      </c>
      <c r="AD23" s="20">
        <v>1.45</v>
      </c>
      <c r="AE23" s="20">
        <f t="shared" ref="AE23:AE24" si="145">AA23+AB23+AD23-AC23</f>
        <v>22.28</v>
      </c>
      <c r="AF23" s="20"/>
      <c r="AG23" s="20"/>
      <c r="AH23" s="19">
        <f t="shared" si="134"/>
        <v>22.28</v>
      </c>
      <c r="AI23" s="20"/>
      <c r="AJ23" s="20">
        <v>24.3</v>
      </c>
      <c r="AK23" s="20">
        <v>2.5</v>
      </c>
      <c r="AL23" s="20">
        <f t="shared" ref="AL23:AL24" si="146">AH23+AI23+AK23-AJ23</f>
        <v>0.48000000000000043</v>
      </c>
      <c r="AM23" s="20"/>
      <c r="AN23" s="20">
        <v>25</v>
      </c>
      <c r="AO23" s="19">
        <f t="shared" si="135"/>
        <v>0.48000000000000043</v>
      </c>
      <c r="AP23" s="20">
        <v>25</v>
      </c>
      <c r="AQ23" s="20">
        <v>26.3</v>
      </c>
      <c r="AR23" s="20">
        <v>3</v>
      </c>
      <c r="AS23" s="20">
        <f t="shared" ref="AS23:AS24" si="147">AO23+AP23+AR23-AQ23</f>
        <v>2.1799999999999997</v>
      </c>
      <c r="AT23" s="20"/>
      <c r="AU23" s="20"/>
      <c r="AV23" s="19">
        <f t="shared" si="136"/>
        <v>2.1799999999999997</v>
      </c>
      <c r="AW23" s="20"/>
      <c r="AX23" s="20">
        <v>2</v>
      </c>
      <c r="AY23" s="20"/>
      <c r="AZ23" s="20">
        <f t="shared" ref="AZ23:AZ24" si="148">AV23+AW23+AY23-AX23</f>
        <v>0.17999999999999972</v>
      </c>
      <c r="BA23" s="20"/>
      <c r="BB23" s="20"/>
      <c r="BC23" s="19">
        <f>AZ23</f>
        <v>0.17999999999999972</v>
      </c>
      <c r="BD23" s="20">
        <v>25</v>
      </c>
      <c r="BE23" s="20">
        <v>23</v>
      </c>
      <c r="BF23" s="20">
        <v>9</v>
      </c>
      <c r="BG23" s="20">
        <f t="shared" si="137"/>
        <v>11.18</v>
      </c>
      <c r="BH23" s="20">
        <v>10</v>
      </c>
      <c r="BI23" s="20"/>
      <c r="BJ23" s="19">
        <f>BG23</f>
        <v>11.18</v>
      </c>
      <c r="BK23" s="20">
        <v>35</v>
      </c>
      <c r="BL23" s="20">
        <v>27.5</v>
      </c>
      <c r="BM23" s="20">
        <v>1.875</v>
      </c>
      <c r="BN23" s="20">
        <f t="shared" si="138"/>
        <v>20.555</v>
      </c>
      <c r="BO23" s="20"/>
      <c r="BP23" s="20"/>
      <c r="BQ23" s="19">
        <f>BN23</f>
        <v>20.555</v>
      </c>
      <c r="BR23" s="20"/>
      <c r="BS23" s="20">
        <v>26.9</v>
      </c>
      <c r="BT23" s="20">
        <v>6.9</v>
      </c>
      <c r="BU23" s="20">
        <f t="shared" si="139"/>
        <v>0.55499999999999972</v>
      </c>
      <c r="BV23" s="20"/>
      <c r="BW23" s="20"/>
      <c r="BX23" s="19">
        <f>BU23</f>
        <v>0.55499999999999972</v>
      </c>
      <c r="BY23" s="20">
        <v>0</v>
      </c>
      <c r="BZ23" s="20">
        <v>1</v>
      </c>
      <c r="CA23" s="20">
        <v>8.2750000000000004</v>
      </c>
      <c r="CB23" s="20">
        <f t="shared" si="140"/>
        <v>7.83</v>
      </c>
      <c r="CC23" s="20"/>
      <c r="CD23" s="20"/>
      <c r="CE23" s="19">
        <f>CB23</f>
        <v>7.83</v>
      </c>
      <c r="CF23" s="20">
        <v>50</v>
      </c>
      <c r="CG23" s="20">
        <v>16.324999999999999</v>
      </c>
      <c r="CH23" s="20">
        <v>1.9750000000000001</v>
      </c>
      <c r="CI23" s="20">
        <f t="shared" si="141"/>
        <v>43.480000000000004</v>
      </c>
    </row>
    <row r="24" spans="1:87" ht="17.149999999999999" customHeight="1" x14ac:dyDescent="0.25">
      <c r="A24" s="6" t="s">
        <v>15</v>
      </c>
      <c r="B24" s="7" t="s">
        <v>17</v>
      </c>
      <c r="C24" s="20">
        <v>3340</v>
      </c>
      <c r="D24" s="26">
        <v>18648.018648018646</v>
      </c>
      <c r="E24" s="8">
        <v>96</v>
      </c>
      <c r="F24" s="19">
        <v>140.41666599999999</v>
      </c>
      <c r="G24" s="20">
        <v>0</v>
      </c>
      <c r="H24" s="20">
        <v>28.42</v>
      </c>
      <c r="I24" s="20">
        <v>0</v>
      </c>
      <c r="J24" s="20">
        <f t="shared" si="142"/>
        <v>111.99666599999999</v>
      </c>
      <c r="K24" s="20"/>
      <c r="L24" s="20"/>
      <c r="M24" s="19">
        <f>J24</f>
        <v>111.99666599999999</v>
      </c>
      <c r="N24" s="20">
        <v>0</v>
      </c>
      <c r="O24" s="20">
        <v>45.84</v>
      </c>
      <c r="P24" s="20">
        <v>5</v>
      </c>
      <c r="Q24" s="20">
        <f t="shared" si="143"/>
        <v>71.156665999999987</v>
      </c>
      <c r="R24" s="20"/>
      <c r="S24" s="20"/>
      <c r="T24" s="19">
        <f t="shared" si="132"/>
        <v>71.156665999999987</v>
      </c>
      <c r="U24" s="20">
        <v>0</v>
      </c>
      <c r="V24" s="20">
        <v>10</v>
      </c>
      <c r="W24" s="20"/>
      <c r="X24" s="20">
        <f t="shared" si="144"/>
        <v>61.156665999999987</v>
      </c>
      <c r="Y24" s="20"/>
      <c r="Z24" s="20"/>
      <c r="AA24" s="19">
        <f t="shared" si="133"/>
        <v>61.156665999999987</v>
      </c>
      <c r="AB24" s="20"/>
      <c r="AC24" s="20">
        <v>18.22</v>
      </c>
      <c r="AD24" s="20">
        <v>11.64</v>
      </c>
      <c r="AE24" s="20">
        <f t="shared" si="145"/>
        <v>54.576665999999989</v>
      </c>
      <c r="AF24" s="20"/>
      <c r="AG24" s="20"/>
      <c r="AH24" s="19">
        <f t="shared" si="134"/>
        <v>54.576665999999989</v>
      </c>
      <c r="AI24" s="20"/>
      <c r="AJ24" s="20">
        <v>5.77</v>
      </c>
      <c r="AK24" s="20">
        <v>2.77</v>
      </c>
      <c r="AL24" s="20">
        <f t="shared" si="146"/>
        <v>51.576665999999989</v>
      </c>
      <c r="AM24" s="20"/>
      <c r="AN24" s="20">
        <v>25</v>
      </c>
      <c r="AO24" s="19">
        <f t="shared" si="135"/>
        <v>51.576665999999989</v>
      </c>
      <c r="AP24" s="20">
        <v>25</v>
      </c>
      <c r="AQ24" s="20">
        <v>32.625</v>
      </c>
      <c r="AR24" s="20">
        <v>2</v>
      </c>
      <c r="AS24" s="20">
        <f t="shared" si="147"/>
        <v>45.951665999999989</v>
      </c>
      <c r="AT24" s="20"/>
      <c r="AU24" s="20"/>
      <c r="AV24" s="19">
        <f t="shared" si="136"/>
        <v>45.951665999999989</v>
      </c>
      <c r="AW24" s="20"/>
      <c r="AX24" s="20">
        <v>5</v>
      </c>
      <c r="AY24" s="20"/>
      <c r="AZ24" s="20">
        <f t="shared" si="148"/>
        <v>40.951665999999989</v>
      </c>
      <c r="BA24" s="20"/>
      <c r="BB24" s="20"/>
      <c r="BC24" s="19">
        <f>AZ24</f>
        <v>40.951665999999989</v>
      </c>
      <c r="BD24" s="20">
        <v>0</v>
      </c>
      <c r="BE24" s="20">
        <v>31.708333</v>
      </c>
      <c r="BF24" s="20">
        <v>9</v>
      </c>
      <c r="BG24" s="20">
        <f t="shared" si="137"/>
        <v>18.243332999999989</v>
      </c>
      <c r="BH24" s="20">
        <v>10</v>
      </c>
      <c r="BI24" s="20"/>
      <c r="BJ24" s="19">
        <f>BG24</f>
        <v>18.243332999999989</v>
      </c>
      <c r="BK24" s="20">
        <v>20</v>
      </c>
      <c r="BL24" s="20">
        <v>11.052083</v>
      </c>
      <c r="BM24" s="20">
        <v>1.1458999999999999</v>
      </c>
      <c r="BN24" s="20">
        <f t="shared" si="138"/>
        <v>28.337149999999991</v>
      </c>
      <c r="BO24" s="20"/>
      <c r="BP24" s="20"/>
      <c r="BQ24" s="19">
        <f>BN24</f>
        <v>28.337149999999991</v>
      </c>
      <c r="BR24" s="20"/>
      <c r="BS24" s="20">
        <v>24.489583</v>
      </c>
      <c r="BT24" s="20">
        <v>1.8958330000000001</v>
      </c>
      <c r="BU24" s="20">
        <f t="shared" si="139"/>
        <v>5.7433999999999905</v>
      </c>
      <c r="BV24" s="20"/>
      <c r="BW24" s="20"/>
      <c r="BX24" s="19">
        <f>BU24</f>
        <v>5.7433999999999905</v>
      </c>
      <c r="BY24" s="20">
        <v>0</v>
      </c>
      <c r="BZ24" s="20">
        <v>1</v>
      </c>
      <c r="CA24" s="20">
        <v>3.0104000000000002</v>
      </c>
      <c r="CB24" s="20">
        <f t="shared" si="140"/>
        <v>7.7537999999999911</v>
      </c>
      <c r="CC24" s="20"/>
      <c r="CD24" s="20"/>
      <c r="CE24" s="19">
        <f>CB24</f>
        <v>7.7537999999999911</v>
      </c>
      <c r="CF24" s="20">
        <v>34.999983</v>
      </c>
      <c r="CG24" s="20">
        <f>20.6875-3</f>
        <v>17.6875</v>
      </c>
      <c r="CH24" s="20">
        <v>5.6771000000000003</v>
      </c>
      <c r="CI24" s="20">
        <f t="shared" si="141"/>
        <v>30.743382999999994</v>
      </c>
    </row>
    <row r="25" spans="1:87" ht="17.149999999999999" customHeight="1" x14ac:dyDescent="0.25">
      <c r="A25" s="9"/>
      <c r="B25" s="10" t="s">
        <v>38</v>
      </c>
      <c r="C25" s="21"/>
      <c r="D25" s="10"/>
      <c r="E25" s="11"/>
      <c r="F25" s="21">
        <f>SUM(F21:F24)</f>
        <v>242.89166599999999</v>
      </c>
      <c r="G25" s="21">
        <f>SUM(G21:G24)</f>
        <v>199</v>
      </c>
      <c r="H25" s="21">
        <f t="shared" ref="H25:I25" si="149">SUM(H21:H24)</f>
        <v>296.62</v>
      </c>
      <c r="I25" s="21">
        <f t="shared" si="149"/>
        <v>1.4300000000000002</v>
      </c>
      <c r="J25" s="21">
        <f t="shared" ref="J25:L25" si="150">SUM(J21:J24)</f>
        <v>146.70166599999999</v>
      </c>
      <c r="K25" s="21">
        <f t="shared" ref="K25" si="151">SUM(K21:K24)</f>
        <v>0</v>
      </c>
      <c r="L25" s="21">
        <f t="shared" si="150"/>
        <v>20</v>
      </c>
      <c r="M25" s="21">
        <f>SUM(M21:M24)</f>
        <v>146.70166599999999</v>
      </c>
      <c r="N25" s="21">
        <f>SUM(N21:N24)</f>
        <v>170</v>
      </c>
      <c r="O25" s="21">
        <f t="shared" ref="O25:Q25" si="152">SUM(O21:O24)</f>
        <v>253.70000000000002</v>
      </c>
      <c r="P25" s="21">
        <f t="shared" si="152"/>
        <v>15</v>
      </c>
      <c r="Q25" s="21">
        <f t="shared" si="152"/>
        <v>78.001665999999986</v>
      </c>
      <c r="R25" s="21">
        <f t="shared" ref="R25:S25" si="153">SUM(R21:R24)</f>
        <v>175</v>
      </c>
      <c r="S25" s="21">
        <f t="shared" si="153"/>
        <v>200</v>
      </c>
      <c r="T25" s="21">
        <f>SUM(T21:T24)</f>
        <v>78.001665999999986</v>
      </c>
      <c r="U25" s="21">
        <f>SUM(U21:U24)</f>
        <v>25</v>
      </c>
      <c r="V25" s="21">
        <f t="shared" ref="V25:Z25" si="154">SUM(V21:V24)</f>
        <v>14</v>
      </c>
      <c r="W25" s="21">
        <f t="shared" si="154"/>
        <v>0</v>
      </c>
      <c r="X25" s="21">
        <f t="shared" si="154"/>
        <v>89.001665999999986</v>
      </c>
      <c r="Y25" s="21">
        <f t="shared" si="154"/>
        <v>0</v>
      </c>
      <c r="Z25" s="21">
        <f t="shared" si="154"/>
        <v>0</v>
      </c>
      <c r="AA25" s="21">
        <f>SUM(AA21:AA24)</f>
        <v>89.001665999999986</v>
      </c>
      <c r="AB25" s="21">
        <f>SUM(AB21:AB24)</f>
        <v>670</v>
      </c>
      <c r="AC25" s="21">
        <f>SUM(AC21:AC24)</f>
        <v>212.58500000000001</v>
      </c>
      <c r="AD25" s="21">
        <f t="shared" ref="AD25:AG25" si="155">SUM(AD21:AD24)</f>
        <v>13.34</v>
      </c>
      <c r="AE25" s="21">
        <f t="shared" si="155"/>
        <v>559.756666</v>
      </c>
      <c r="AF25" s="21">
        <f t="shared" si="155"/>
        <v>0</v>
      </c>
      <c r="AG25" s="21">
        <f t="shared" si="155"/>
        <v>0</v>
      </c>
      <c r="AH25" s="21">
        <f>SUM(AH21:AH24)</f>
        <v>559.756666</v>
      </c>
      <c r="AI25" s="21">
        <f>SUM(AI21:AI24)</f>
        <v>0</v>
      </c>
      <c r="AJ25" s="21">
        <f>SUM(AJ21:AJ24)</f>
        <v>144.62</v>
      </c>
      <c r="AK25" s="21">
        <f t="shared" ref="AK25:AN25" si="156">SUM(AK21:AK24)</f>
        <v>10.82</v>
      </c>
      <c r="AL25" s="21">
        <f t="shared" si="156"/>
        <v>425.95666599999998</v>
      </c>
      <c r="AM25" s="21">
        <f t="shared" si="156"/>
        <v>0</v>
      </c>
      <c r="AN25" s="21">
        <f t="shared" si="156"/>
        <v>50</v>
      </c>
      <c r="AO25" s="21">
        <f>SUM(AO21:AO24)</f>
        <v>425.95666599999998</v>
      </c>
      <c r="AP25" s="21">
        <f>SUM(AP21:AP24)</f>
        <v>50</v>
      </c>
      <c r="AQ25" s="21">
        <f>SUM(AQ21:AQ24)</f>
        <v>228.92500000000001</v>
      </c>
      <c r="AR25" s="21">
        <f t="shared" ref="AR25:AU25" si="157">SUM(AR21:AR24)</f>
        <v>5</v>
      </c>
      <c r="AS25" s="21">
        <f t="shared" si="157"/>
        <v>252.03166599999997</v>
      </c>
      <c r="AT25" s="21">
        <f t="shared" si="157"/>
        <v>0</v>
      </c>
      <c r="AU25" s="21">
        <f t="shared" si="157"/>
        <v>0</v>
      </c>
      <c r="AV25" s="21">
        <f>SUM(AV21:AV24)</f>
        <v>252.03166599999997</v>
      </c>
      <c r="AW25" s="21">
        <f>SUM(AW21:AW24)</f>
        <v>0</v>
      </c>
      <c r="AX25" s="21">
        <f>SUM(AX21:AX24)</f>
        <v>57</v>
      </c>
      <c r="AY25" s="21">
        <f t="shared" ref="AY25:BB25" si="158">SUM(AY21:AY24)</f>
        <v>0</v>
      </c>
      <c r="AZ25" s="21">
        <f t="shared" si="158"/>
        <v>195.03166599999997</v>
      </c>
      <c r="BA25" s="21">
        <f t="shared" si="158"/>
        <v>0</v>
      </c>
      <c r="BB25" s="21">
        <f t="shared" si="158"/>
        <v>0</v>
      </c>
      <c r="BC25" s="21">
        <f>SUM(BC21:BC24)</f>
        <v>195.03166599999997</v>
      </c>
      <c r="BD25" s="21">
        <f>SUM(BD21:BD24)</f>
        <v>275</v>
      </c>
      <c r="BE25" s="21">
        <f>SUM(BE21:BE24)</f>
        <v>387.808333</v>
      </c>
      <c r="BF25" s="21">
        <f t="shared" ref="BF25:BI25" si="159">SUM(BF21:BF24)</f>
        <v>18</v>
      </c>
      <c r="BG25" s="21">
        <f t="shared" si="159"/>
        <v>100.22333299999995</v>
      </c>
      <c r="BH25" s="21">
        <f t="shared" si="159"/>
        <v>270</v>
      </c>
      <c r="BI25" s="21">
        <f t="shared" si="159"/>
        <v>0</v>
      </c>
      <c r="BJ25" s="21">
        <f>SUM(BJ21:BJ24)</f>
        <v>100.22333299999995</v>
      </c>
      <c r="BK25" s="21">
        <f>SUM(BK21:BK24)</f>
        <v>244</v>
      </c>
      <c r="BL25" s="21">
        <f>SUM(BL21:BL24)</f>
        <v>186.05208300000001</v>
      </c>
      <c r="BM25" s="21">
        <f t="shared" ref="BM25:BP25" si="160">SUM(BM21:BM24)</f>
        <v>25.070900000000002</v>
      </c>
      <c r="BN25" s="21">
        <f t="shared" si="160"/>
        <v>183.24214999999995</v>
      </c>
      <c r="BO25" s="21">
        <f t="shared" si="160"/>
        <v>500</v>
      </c>
      <c r="BP25" s="21">
        <f t="shared" si="160"/>
        <v>0</v>
      </c>
      <c r="BQ25" s="21">
        <f>SUM(BQ21:BQ24)</f>
        <v>183.24214999999995</v>
      </c>
      <c r="BR25" s="21">
        <f>SUM(BR21:BR24)</f>
        <v>0</v>
      </c>
      <c r="BS25" s="21">
        <f>SUM(BS21:BS24)</f>
        <v>149.13958300000002</v>
      </c>
      <c r="BT25" s="21">
        <f t="shared" ref="BT25:BW25" si="161">SUM(BT21:BT24)</f>
        <v>22.245833000000001</v>
      </c>
      <c r="BU25" s="21">
        <f t="shared" si="161"/>
        <v>56.348399999999941</v>
      </c>
      <c r="BV25" s="21">
        <f t="shared" si="161"/>
        <v>500</v>
      </c>
      <c r="BW25" s="21">
        <f t="shared" si="161"/>
        <v>0</v>
      </c>
      <c r="BX25" s="21">
        <f>SUM(BX21:BX24)</f>
        <v>56.348399999999941</v>
      </c>
      <c r="BY25" s="21">
        <f>SUM(BY21:BY24)</f>
        <v>0</v>
      </c>
      <c r="BZ25" s="21">
        <f>SUM(BZ21:BZ24)</f>
        <v>56.05</v>
      </c>
      <c r="CA25" s="21">
        <f t="shared" ref="CA25:CD25" si="162">SUM(CA21:CA24)</f>
        <v>15.285400000000001</v>
      </c>
      <c r="CB25" s="21">
        <f t="shared" si="162"/>
        <v>15.583799999999991</v>
      </c>
      <c r="CC25" s="21">
        <f t="shared" si="162"/>
        <v>0</v>
      </c>
      <c r="CD25" s="21">
        <f t="shared" si="162"/>
        <v>0</v>
      </c>
      <c r="CE25" s="21">
        <f>SUM(CE21:CE24)</f>
        <v>15.583799999999991</v>
      </c>
      <c r="CF25" s="21">
        <f>SUM(CF21:CF24)</f>
        <v>1116.9999829999999</v>
      </c>
      <c r="CG25" s="21">
        <f>SUM(CG21:CG24)</f>
        <v>575.46250000000009</v>
      </c>
      <c r="CH25" s="21">
        <f t="shared" ref="CH25:CI25" si="163">SUM(CH21:CH24)</f>
        <v>11.802099999999999</v>
      </c>
      <c r="CI25" s="21">
        <f t="shared" si="163"/>
        <v>568.92338299999994</v>
      </c>
    </row>
    <row r="26" spans="1:87" ht="17.149999999999999" customHeight="1" x14ac:dyDescent="0.25">
      <c r="A26" s="6" t="s">
        <v>18</v>
      </c>
      <c r="B26" s="7" t="s">
        <v>27</v>
      </c>
      <c r="C26" s="20">
        <v>1928</v>
      </c>
      <c r="D26" s="26">
        <v>6993.0069930069931</v>
      </c>
      <c r="E26" s="8">
        <v>100</v>
      </c>
      <c r="F26" s="19">
        <v>17.059999999999999</v>
      </c>
      <c r="G26" s="20">
        <v>0</v>
      </c>
      <c r="H26" s="20">
        <v>0</v>
      </c>
      <c r="I26" s="20">
        <v>0</v>
      </c>
      <c r="J26" s="20">
        <f t="shared" ref="J26:J30" si="164">F26+G26+I26-H26</f>
        <v>17.059999999999999</v>
      </c>
      <c r="K26" s="20"/>
      <c r="L26" s="20"/>
      <c r="M26" s="19">
        <f>J26</f>
        <v>17.059999999999999</v>
      </c>
      <c r="N26" s="20">
        <v>0</v>
      </c>
      <c r="O26" s="20">
        <f>VLOOKUP(B26,[1]Sheet1!$A:$B,2,0)</f>
        <v>17.060000000000002</v>
      </c>
      <c r="P26" s="20">
        <v>0</v>
      </c>
      <c r="Q26" s="20">
        <f t="shared" ref="Q26:Q30" si="165">M26+N26+P26-O26</f>
        <v>0</v>
      </c>
      <c r="R26" s="20"/>
      <c r="S26" s="20"/>
      <c r="T26" s="19">
        <f t="shared" ref="T26:T30" si="166">Q26</f>
        <v>0</v>
      </c>
      <c r="U26" s="20">
        <v>0</v>
      </c>
      <c r="V26" s="20">
        <v>0</v>
      </c>
      <c r="W26" s="20"/>
      <c r="X26" s="20">
        <f t="shared" ref="X26:X30" si="167">T26+U26+W26-V26</f>
        <v>0</v>
      </c>
      <c r="Y26" s="20"/>
      <c r="Z26" s="20"/>
      <c r="AA26" s="19">
        <f t="shared" ref="AA26:AA30" si="168">X26</f>
        <v>0</v>
      </c>
      <c r="AB26" s="20"/>
      <c r="AC26" s="20">
        <v>0</v>
      </c>
      <c r="AD26" s="20">
        <v>0</v>
      </c>
      <c r="AE26" s="20">
        <f t="shared" ref="AE26:AE30" si="169">AA26+AB26+AD26-AC26</f>
        <v>0</v>
      </c>
      <c r="AF26" s="20"/>
      <c r="AG26" s="20"/>
      <c r="AH26" s="19">
        <f t="shared" ref="AH26:AH30" si="170">AE26</f>
        <v>0</v>
      </c>
      <c r="AI26" s="20"/>
      <c r="AJ26" s="20">
        <v>0</v>
      </c>
      <c r="AK26" s="20">
        <v>0</v>
      </c>
      <c r="AL26" s="20">
        <f t="shared" ref="AL26:AL30" si="171">AH26+AI26+AK26-AJ26</f>
        <v>0</v>
      </c>
      <c r="AM26" s="20">
        <v>15</v>
      </c>
      <c r="AN26" s="20"/>
      <c r="AO26" s="19">
        <f t="shared" ref="AO26:AO30" si="172">AL26</f>
        <v>0</v>
      </c>
      <c r="AP26" s="20">
        <v>0</v>
      </c>
      <c r="AQ26" s="20">
        <v>0</v>
      </c>
      <c r="AR26" s="20"/>
      <c r="AS26" s="20">
        <f t="shared" ref="AS26:AS30" si="173">AO26+AP26+AR26-AQ26</f>
        <v>0</v>
      </c>
      <c r="AT26" s="20"/>
      <c r="AU26" s="20"/>
      <c r="AV26" s="19">
        <f t="shared" ref="AV26:AV30" si="174">AS26</f>
        <v>0</v>
      </c>
      <c r="AW26" s="20"/>
      <c r="AX26" s="20">
        <v>0</v>
      </c>
      <c r="AY26" s="20"/>
      <c r="AZ26" s="20">
        <f t="shared" ref="AZ26:AZ30" si="175">AV26+AW26+AY26-AX26</f>
        <v>0</v>
      </c>
      <c r="BA26" s="20"/>
      <c r="BB26" s="20"/>
      <c r="BC26" s="19">
        <f>AZ26</f>
        <v>0</v>
      </c>
      <c r="BD26" s="20">
        <v>0</v>
      </c>
      <c r="BE26" s="20">
        <v>0</v>
      </c>
      <c r="BF26" s="20">
        <v>0</v>
      </c>
      <c r="BG26" s="20">
        <f t="shared" ref="BG26:BG30" si="176">BC26+BD26+BF26-BE26</f>
        <v>0</v>
      </c>
      <c r="BH26" s="20"/>
      <c r="BI26" s="20"/>
      <c r="BJ26" s="19">
        <f>BG26</f>
        <v>0</v>
      </c>
      <c r="BK26" s="20">
        <v>0</v>
      </c>
      <c r="BL26" s="20">
        <v>0</v>
      </c>
      <c r="BM26" s="20">
        <v>0</v>
      </c>
      <c r="BN26" s="20">
        <f t="shared" ref="BN26:BN30" si="177">BJ26+BK26+BM26-BL26</f>
        <v>0</v>
      </c>
      <c r="BO26" s="20"/>
      <c r="BP26" s="20"/>
      <c r="BQ26" s="19">
        <f>BN26</f>
        <v>0</v>
      </c>
      <c r="BR26" s="20"/>
      <c r="BS26" s="20">
        <v>0</v>
      </c>
      <c r="BT26" s="20">
        <v>0</v>
      </c>
      <c r="BU26" s="20">
        <f t="shared" ref="BU26:BU30" si="178">BQ26+BR26+BT26-BS26</f>
        <v>0</v>
      </c>
      <c r="BV26" s="20"/>
      <c r="BW26" s="20"/>
      <c r="BX26" s="19">
        <f>BU26</f>
        <v>0</v>
      </c>
      <c r="BY26" s="20">
        <v>0</v>
      </c>
      <c r="BZ26" s="20">
        <v>0</v>
      </c>
      <c r="CA26" s="20">
        <v>0</v>
      </c>
      <c r="CB26" s="20">
        <f t="shared" ref="CB26:CB30" si="179">BX26+BY26+CA26-BZ26</f>
        <v>0</v>
      </c>
      <c r="CC26" s="20"/>
      <c r="CD26" s="20"/>
      <c r="CE26" s="19">
        <f>CB26</f>
        <v>0</v>
      </c>
      <c r="CF26" s="20">
        <v>0</v>
      </c>
      <c r="CG26" s="20">
        <v>0</v>
      </c>
      <c r="CH26" s="20">
        <v>0</v>
      </c>
      <c r="CI26" s="20">
        <f t="shared" ref="CI26:CI30" si="180">CE26+CF26+CH26-CG26</f>
        <v>0</v>
      </c>
    </row>
    <row r="27" spans="1:87" ht="17.149999999999999" customHeight="1" x14ac:dyDescent="0.25">
      <c r="A27" s="6" t="s">
        <v>18</v>
      </c>
      <c r="B27" s="7" t="s">
        <v>29</v>
      </c>
      <c r="C27" s="20">
        <v>1928</v>
      </c>
      <c r="D27" s="26">
        <v>6993.0069930069931</v>
      </c>
      <c r="E27" s="8">
        <v>100</v>
      </c>
      <c r="F27" s="19">
        <v>24.05</v>
      </c>
      <c r="G27" s="20">
        <v>0</v>
      </c>
      <c r="H27" s="20">
        <v>0</v>
      </c>
      <c r="I27" s="20">
        <v>0</v>
      </c>
      <c r="J27" s="20">
        <f t="shared" si="164"/>
        <v>24.05</v>
      </c>
      <c r="K27" s="20"/>
      <c r="L27" s="20"/>
      <c r="M27" s="19">
        <f>J27</f>
        <v>24.05</v>
      </c>
      <c r="N27" s="20">
        <v>0</v>
      </c>
      <c r="O27" s="20">
        <f>VLOOKUP(B27,[1]Sheet1!$A:$B,2,0)</f>
        <v>0.36</v>
      </c>
      <c r="P27" s="20">
        <v>0</v>
      </c>
      <c r="Q27" s="20">
        <f t="shared" si="165"/>
        <v>23.69</v>
      </c>
      <c r="R27" s="20"/>
      <c r="S27" s="20"/>
      <c r="T27" s="19">
        <f t="shared" si="166"/>
        <v>23.69</v>
      </c>
      <c r="U27" s="20">
        <v>0</v>
      </c>
      <c r="V27" s="20">
        <v>0</v>
      </c>
      <c r="W27" s="20"/>
      <c r="X27" s="20">
        <f t="shared" si="167"/>
        <v>23.69</v>
      </c>
      <c r="Y27" s="20"/>
      <c r="Z27" s="20"/>
      <c r="AA27" s="19">
        <f t="shared" si="168"/>
        <v>23.69</v>
      </c>
      <c r="AB27" s="20"/>
      <c r="AC27" s="20">
        <v>0</v>
      </c>
      <c r="AD27" s="20">
        <v>0</v>
      </c>
      <c r="AE27" s="20">
        <f t="shared" si="169"/>
        <v>23.69</v>
      </c>
      <c r="AF27" s="20"/>
      <c r="AG27" s="20"/>
      <c r="AH27" s="19">
        <f t="shared" si="170"/>
        <v>23.69</v>
      </c>
      <c r="AI27" s="20"/>
      <c r="AJ27" s="20">
        <v>0</v>
      </c>
      <c r="AK27" s="20">
        <v>0</v>
      </c>
      <c r="AL27" s="20">
        <f t="shared" si="171"/>
        <v>23.69</v>
      </c>
      <c r="AM27" s="20"/>
      <c r="AN27" s="20"/>
      <c r="AO27" s="19">
        <f t="shared" si="172"/>
        <v>23.69</v>
      </c>
      <c r="AP27" s="20">
        <v>0</v>
      </c>
      <c r="AQ27" s="20">
        <v>0</v>
      </c>
      <c r="AR27" s="20"/>
      <c r="AS27" s="20">
        <f t="shared" si="173"/>
        <v>23.69</v>
      </c>
      <c r="AT27" s="20"/>
      <c r="AU27" s="20"/>
      <c r="AV27" s="19">
        <f t="shared" si="174"/>
        <v>23.69</v>
      </c>
      <c r="AW27" s="20"/>
      <c r="AX27" s="20">
        <v>0</v>
      </c>
      <c r="AY27" s="20"/>
      <c r="AZ27" s="20">
        <f t="shared" si="175"/>
        <v>23.69</v>
      </c>
      <c r="BA27" s="20"/>
      <c r="BB27" s="20"/>
      <c r="BC27" s="19">
        <f>AZ27</f>
        <v>23.69</v>
      </c>
      <c r="BD27" s="20">
        <v>0</v>
      </c>
      <c r="BE27" s="20">
        <v>0</v>
      </c>
      <c r="BF27" s="20">
        <v>0</v>
      </c>
      <c r="BG27" s="20">
        <f t="shared" si="176"/>
        <v>23.69</v>
      </c>
      <c r="BH27" s="20"/>
      <c r="BI27" s="20"/>
      <c r="BJ27" s="19">
        <f>BG27</f>
        <v>23.69</v>
      </c>
      <c r="BK27" s="20">
        <v>0</v>
      </c>
      <c r="BL27" s="20">
        <v>0</v>
      </c>
      <c r="BM27" s="20">
        <v>0</v>
      </c>
      <c r="BN27" s="20">
        <f t="shared" si="177"/>
        <v>23.69</v>
      </c>
      <c r="BO27" s="20"/>
      <c r="BP27" s="20"/>
      <c r="BQ27" s="19">
        <f>BN27</f>
        <v>23.69</v>
      </c>
      <c r="BR27" s="20"/>
      <c r="BS27" s="20">
        <v>0</v>
      </c>
      <c r="BT27" s="20">
        <v>0</v>
      </c>
      <c r="BU27" s="20">
        <f t="shared" si="178"/>
        <v>23.69</v>
      </c>
      <c r="BV27" s="20"/>
      <c r="BW27" s="20"/>
      <c r="BX27" s="19">
        <f>BU27</f>
        <v>23.69</v>
      </c>
      <c r="BY27" s="20">
        <v>0</v>
      </c>
      <c r="BZ27" s="20">
        <v>0</v>
      </c>
      <c r="CA27" s="20">
        <v>0</v>
      </c>
      <c r="CB27" s="20">
        <f t="shared" si="179"/>
        <v>23.69</v>
      </c>
      <c r="CC27" s="20"/>
      <c r="CD27" s="20"/>
      <c r="CE27" s="19">
        <f>CB27</f>
        <v>23.69</v>
      </c>
      <c r="CF27" s="20">
        <v>0</v>
      </c>
      <c r="CG27" s="20">
        <v>0</v>
      </c>
      <c r="CH27" s="20">
        <v>0</v>
      </c>
      <c r="CI27" s="20">
        <f t="shared" si="180"/>
        <v>23.69</v>
      </c>
    </row>
    <row r="28" spans="1:87" ht="17.149999999999999" customHeight="1" x14ac:dyDescent="0.25">
      <c r="A28" s="6" t="s">
        <v>18</v>
      </c>
      <c r="B28" s="7" t="s">
        <v>28</v>
      </c>
      <c r="C28" s="20">
        <v>1928</v>
      </c>
      <c r="D28" s="26">
        <v>6993.0069930069931</v>
      </c>
      <c r="E28" s="8">
        <v>100</v>
      </c>
      <c r="F28" s="19">
        <v>21.89</v>
      </c>
      <c r="G28" s="20">
        <v>0</v>
      </c>
      <c r="H28" s="20">
        <v>0</v>
      </c>
      <c r="I28" s="20">
        <v>0</v>
      </c>
      <c r="J28" s="20">
        <f t="shared" si="164"/>
        <v>21.89</v>
      </c>
      <c r="K28" s="20"/>
      <c r="L28" s="20"/>
      <c r="M28" s="19">
        <f>J28</f>
        <v>21.89</v>
      </c>
      <c r="N28" s="20">
        <v>0</v>
      </c>
      <c r="O28" s="20">
        <f>VLOOKUP(B28,[1]Sheet1!$A:$B,2,0)</f>
        <v>21.89</v>
      </c>
      <c r="P28" s="20">
        <v>0</v>
      </c>
      <c r="Q28" s="20">
        <f t="shared" si="165"/>
        <v>0</v>
      </c>
      <c r="R28" s="20"/>
      <c r="S28" s="20"/>
      <c r="T28" s="19">
        <f t="shared" si="166"/>
        <v>0</v>
      </c>
      <c r="U28" s="20">
        <v>0</v>
      </c>
      <c r="V28" s="20">
        <v>0</v>
      </c>
      <c r="W28" s="20"/>
      <c r="X28" s="20">
        <f t="shared" si="167"/>
        <v>0</v>
      </c>
      <c r="Y28" s="20"/>
      <c r="Z28" s="20"/>
      <c r="AA28" s="19">
        <f t="shared" si="168"/>
        <v>0</v>
      </c>
      <c r="AB28" s="20"/>
      <c r="AC28" s="20">
        <v>0</v>
      </c>
      <c r="AD28" s="20">
        <v>0</v>
      </c>
      <c r="AE28" s="20">
        <f t="shared" si="169"/>
        <v>0</v>
      </c>
      <c r="AF28" s="20"/>
      <c r="AG28" s="20"/>
      <c r="AH28" s="19">
        <f t="shared" si="170"/>
        <v>0</v>
      </c>
      <c r="AI28" s="20"/>
      <c r="AJ28" s="20">
        <v>0</v>
      </c>
      <c r="AK28" s="20">
        <v>0</v>
      </c>
      <c r="AL28" s="20">
        <f t="shared" si="171"/>
        <v>0</v>
      </c>
      <c r="AM28" s="20"/>
      <c r="AN28" s="20"/>
      <c r="AO28" s="19">
        <f t="shared" si="172"/>
        <v>0</v>
      </c>
      <c r="AP28" s="20">
        <v>0</v>
      </c>
      <c r="AQ28" s="20">
        <v>0</v>
      </c>
      <c r="AR28" s="20"/>
      <c r="AS28" s="20">
        <f t="shared" si="173"/>
        <v>0</v>
      </c>
      <c r="AT28" s="20"/>
      <c r="AU28" s="20"/>
      <c r="AV28" s="19">
        <f t="shared" si="174"/>
        <v>0</v>
      </c>
      <c r="AW28" s="20"/>
      <c r="AX28" s="20">
        <v>0</v>
      </c>
      <c r="AY28" s="20"/>
      <c r="AZ28" s="20">
        <f t="shared" si="175"/>
        <v>0</v>
      </c>
      <c r="BA28" s="20"/>
      <c r="BB28" s="20"/>
      <c r="BC28" s="19">
        <f>AZ28</f>
        <v>0</v>
      </c>
      <c r="BD28" s="20">
        <v>0</v>
      </c>
      <c r="BE28" s="20">
        <v>0</v>
      </c>
      <c r="BF28" s="20">
        <v>0</v>
      </c>
      <c r="BG28" s="20">
        <f t="shared" si="176"/>
        <v>0</v>
      </c>
      <c r="BH28" s="20"/>
      <c r="BI28" s="20"/>
      <c r="BJ28" s="19">
        <f>BG28</f>
        <v>0</v>
      </c>
      <c r="BK28" s="20">
        <v>0</v>
      </c>
      <c r="BL28" s="20">
        <v>0</v>
      </c>
      <c r="BM28" s="20">
        <v>0</v>
      </c>
      <c r="BN28" s="20">
        <f t="shared" si="177"/>
        <v>0</v>
      </c>
      <c r="BO28" s="20"/>
      <c r="BP28" s="20"/>
      <c r="BQ28" s="19">
        <f>BN28</f>
        <v>0</v>
      </c>
      <c r="BR28" s="20"/>
      <c r="BS28" s="20">
        <v>0</v>
      </c>
      <c r="BT28" s="20">
        <v>0</v>
      </c>
      <c r="BU28" s="20">
        <f t="shared" si="178"/>
        <v>0</v>
      </c>
      <c r="BV28" s="20"/>
      <c r="BW28" s="20"/>
      <c r="BX28" s="19">
        <f>BU28</f>
        <v>0</v>
      </c>
      <c r="BY28" s="20">
        <v>0</v>
      </c>
      <c r="BZ28" s="20">
        <v>0</v>
      </c>
      <c r="CA28" s="20">
        <v>0</v>
      </c>
      <c r="CB28" s="20">
        <f t="shared" si="179"/>
        <v>0</v>
      </c>
      <c r="CC28" s="20"/>
      <c r="CD28" s="20"/>
      <c r="CE28" s="19">
        <f>CB28</f>
        <v>0</v>
      </c>
      <c r="CF28" s="20">
        <v>0</v>
      </c>
      <c r="CG28" s="20">
        <v>0</v>
      </c>
      <c r="CH28" s="20">
        <v>0</v>
      </c>
      <c r="CI28" s="20">
        <f t="shared" si="180"/>
        <v>0</v>
      </c>
    </row>
    <row r="29" spans="1:87" ht="17.149999999999999" customHeight="1" x14ac:dyDescent="0.25">
      <c r="A29" s="6" t="s">
        <v>18</v>
      </c>
      <c r="B29" s="7" t="s">
        <v>30</v>
      </c>
      <c r="C29" s="20">
        <v>1928</v>
      </c>
      <c r="D29" s="26">
        <v>6993.0069930069931</v>
      </c>
      <c r="E29" s="8">
        <v>100</v>
      </c>
      <c r="F29" s="19">
        <v>19.8</v>
      </c>
      <c r="G29" s="20">
        <v>0</v>
      </c>
      <c r="H29" s="20">
        <v>0</v>
      </c>
      <c r="I29" s="20">
        <v>0</v>
      </c>
      <c r="J29" s="20">
        <f t="shared" si="164"/>
        <v>19.8</v>
      </c>
      <c r="K29" s="20"/>
      <c r="L29" s="20"/>
      <c r="M29" s="19">
        <f>J29</f>
        <v>19.8</v>
      </c>
      <c r="N29" s="20">
        <v>0</v>
      </c>
      <c r="O29" s="20">
        <v>19.8</v>
      </c>
      <c r="P29" s="20">
        <v>0</v>
      </c>
      <c r="Q29" s="20">
        <f t="shared" si="165"/>
        <v>0</v>
      </c>
      <c r="R29" s="20"/>
      <c r="S29" s="20"/>
      <c r="T29" s="19">
        <f t="shared" si="166"/>
        <v>0</v>
      </c>
      <c r="U29" s="20">
        <v>0</v>
      </c>
      <c r="V29" s="20">
        <v>0</v>
      </c>
      <c r="W29" s="20"/>
      <c r="X29" s="20">
        <f t="shared" si="167"/>
        <v>0</v>
      </c>
      <c r="Y29" s="20"/>
      <c r="Z29" s="20"/>
      <c r="AA29" s="19">
        <f t="shared" si="168"/>
        <v>0</v>
      </c>
      <c r="AB29" s="20">
        <v>15</v>
      </c>
      <c r="AC29" s="20">
        <v>15</v>
      </c>
      <c r="AD29" s="20">
        <v>0</v>
      </c>
      <c r="AE29" s="20">
        <f t="shared" si="169"/>
        <v>0</v>
      </c>
      <c r="AF29" s="20"/>
      <c r="AG29" s="20"/>
      <c r="AH29" s="19">
        <f t="shared" si="170"/>
        <v>0</v>
      </c>
      <c r="AI29" s="20"/>
      <c r="AJ29" s="20">
        <v>0</v>
      </c>
      <c r="AK29" s="20">
        <v>0</v>
      </c>
      <c r="AL29" s="20">
        <f t="shared" si="171"/>
        <v>0</v>
      </c>
      <c r="AM29" s="20">
        <v>15</v>
      </c>
      <c r="AN29" s="20">
        <v>15</v>
      </c>
      <c r="AO29" s="19">
        <f t="shared" si="172"/>
        <v>0</v>
      </c>
      <c r="AP29" s="20">
        <v>30</v>
      </c>
      <c r="AQ29" s="20">
        <v>2</v>
      </c>
      <c r="AR29" s="20"/>
      <c r="AS29" s="20">
        <f t="shared" si="173"/>
        <v>28</v>
      </c>
      <c r="AT29" s="20"/>
      <c r="AU29" s="20"/>
      <c r="AV29" s="19">
        <f t="shared" si="174"/>
        <v>28</v>
      </c>
      <c r="AW29" s="20"/>
      <c r="AX29" s="20">
        <v>0</v>
      </c>
      <c r="AY29" s="20"/>
      <c r="AZ29" s="20">
        <f t="shared" si="175"/>
        <v>28</v>
      </c>
      <c r="BA29" s="20"/>
      <c r="BB29" s="20"/>
      <c r="BC29" s="19">
        <f>AZ29</f>
        <v>28</v>
      </c>
      <c r="BD29" s="20">
        <v>0</v>
      </c>
      <c r="BE29" s="20">
        <v>0</v>
      </c>
      <c r="BF29" s="20">
        <v>0</v>
      </c>
      <c r="BG29" s="20">
        <f t="shared" si="176"/>
        <v>28</v>
      </c>
      <c r="BH29" s="20"/>
      <c r="BI29" s="20"/>
      <c r="BJ29" s="19">
        <f>BG29</f>
        <v>28</v>
      </c>
      <c r="BK29" s="20">
        <v>0</v>
      </c>
      <c r="BL29" s="20">
        <v>1</v>
      </c>
      <c r="BM29" s="20">
        <v>0</v>
      </c>
      <c r="BN29" s="20">
        <f t="shared" si="177"/>
        <v>27</v>
      </c>
      <c r="BO29" s="20"/>
      <c r="BP29" s="20"/>
      <c r="BQ29" s="19">
        <f>BN29</f>
        <v>27</v>
      </c>
      <c r="BR29" s="20"/>
      <c r="BS29" s="20">
        <v>3</v>
      </c>
      <c r="BT29" s="20">
        <v>0</v>
      </c>
      <c r="BU29" s="20">
        <f t="shared" si="178"/>
        <v>24</v>
      </c>
      <c r="BV29" s="20"/>
      <c r="BW29" s="20"/>
      <c r="BX29" s="19">
        <f>BU29</f>
        <v>24</v>
      </c>
      <c r="BY29" s="20">
        <v>0</v>
      </c>
      <c r="BZ29" s="20">
        <v>2</v>
      </c>
      <c r="CA29" s="20">
        <v>0</v>
      </c>
      <c r="CB29" s="20">
        <f t="shared" si="179"/>
        <v>22</v>
      </c>
      <c r="CC29" s="20"/>
      <c r="CD29" s="20"/>
      <c r="CE29" s="19">
        <f>CB29</f>
        <v>22</v>
      </c>
      <c r="CF29" s="20">
        <v>0</v>
      </c>
      <c r="CG29" s="20">
        <v>3</v>
      </c>
      <c r="CH29" s="20">
        <v>0</v>
      </c>
      <c r="CI29" s="20">
        <f t="shared" si="180"/>
        <v>19</v>
      </c>
    </row>
    <row r="30" spans="1:87" ht="17.149999999999999" customHeight="1" x14ac:dyDescent="0.25">
      <c r="A30" s="6" t="s">
        <v>18</v>
      </c>
      <c r="B30" s="7" t="s">
        <v>31</v>
      </c>
      <c r="C30" s="20">
        <v>1928</v>
      </c>
      <c r="D30" s="26">
        <v>6993.0069930069931</v>
      </c>
      <c r="E30" s="8">
        <v>100</v>
      </c>
      <c r="F30" s="19">
        <v>11.139999999999999</v>
      </c>
      <c r="G30" s="20">
        <v>0</v>
      </c>
      <c r="H30" s="20">
        <v>0</v>
      </c>
      <c r="I30" s="20">
        <v>0</v>
      </c>
      <c r="J30" s="20">
        <f t="shared" si="164"/>
        <v>11.139999999999999</v>
      </c>
      <c r="K30" s="20"/>
      <c r="L30" s="20"/>
      <c r="M30" s="19">
        <f>J30</f>
        <v>11.139999999999999</v>
      </c>
      <c r="N30" s="20">
        <v>0</v>
      </c>
      <c r="O30" s="20">
        <v>10.43</v>
      </c>
      <c r="P30" s="20">
        <v>0</v>
      </c>
      <c r="Q30" s="20">
        <f t="shared" si="165"/>
        <v>0.70999999999999908</v>
      </c>
      <c r="R30" s="20"/>
      <c r="S30" s="20"/>
      <c r="T30" s="19">
        <f t="shared" si="166"/>
        <v>0.70999999999999908</v>
      </c>
      <c r="U30" s="20">
        <v>0</v>
      </c>
      <c r="V30" s="20">
        <v>0</v>
      </c>
      <c r="W30" s="20"/>
      <c r="X30" s="20">
        <f t="shared" si="167"/>
        <v>0.70999999999999908</v>
      </c>
      <c r="Y30" s="20"/>
      <c r="Z30" s="20"/>
      <c r="AA30" s="19">
        <f t="shared" si="168"/>
        <v>0.70999999999999908</v>
      </c>
      <c r="AB30" s="20">
        <v>15</v>
      </c>
      <c r="AC30" s="20">
        <v>15</v>
      </c>
      <c r="AD30" s="20">
        <v>0</v>
      </c>
      <c r="AE30" s="20">
        <f t="shared" si="169"/>
        <v>0.70999999999999908</v>
      </c>
      <c r="AF30" s="20"/>
      <c r="AG30" s="20"/>
      <c r="AH30" s="19">
        <f t="shared" si="170"/>
        <v>0.70999999999999908</v>
      </c>
      <c r="AI30" s="20"/>
      <c r="AJ30" s="20">
        <v>0</v>
      </c>
      <c r="AK30" s="20">
        <v>0</v>
      </c>
      <c r="AL30" s="20">
        <f t="shared" si="171"/>
        <v>0.70999999999999908</v>
      </c>
      <c r="AM30" s="20">
        <v>15</v>
      </c>
      <c r="AN30" s="20">
        <v>15</v>
      </c>
      <c r="AO30" s="19">
        <f t="shared" si="172"/>
        <v>0.70999999999999908</v>
      </c>
      <c r="AP30" s="20">
        <v>30</v>
      </c>
      <c r="AQ30" s="20">
        <v>4</v>
      </c>
      <c r="AR30" s="20"/>
      <c r="AS30" s="20">
        <f t="shared" si="173"/>
        <v>26.71</v>
      </c>
      <c r="AT30" s="20"/>
      <c r="AU30" s="20"/>
      <c r="AV30" s="19">
        <f t="shared" si="174"/>
        <v>26.71</v>
      </c>
      <c r="AW30" s="20"/>
      <c r="AX30" s="20">
        <v>0</v>
      </c>
      <c r="AY30" s="20"/>
      <c r="AZ30" s="20">
        <f t="shared" si="175"/>
        <v>26.71</v>
      </c>
      <c r="BA30" s="20"/>
      <c r="BB30" s="20"/>
      <c r="BC30" s="19">
        <f>AZ30</f>
        <v>26.71</v>
      </c>
      <c r="BD30" s="20">
        <v>0</v>
      </c>
      <c r="BE30" s="20">
        <v>1</v>
      </c>
      <c r="BF30" s="20">
        <v>1</v>
      </c>
      <c r="BG30" s="20">
        <f t="shared" si="176"/>
        <v>26.71</v>
      </c>
      <c r="BH30" s="20"/>
      <c r="BI30" s="20"/>
      <c r="BJ30" s="19">
        <f>BG30</f>
        <v>26.71</v>
      </c>
      <c r="BK30" s="20">
        <v>0</v>
      </c>
      <c r="BL30" s="20">
        <v>2</v>
      </c>
      <c r="BM30" s="20">
        <v>0</v>
      </c>
      <c r="BN30" s="20">
        <f t="shared" si="177"/>
        <v>24.71</v>
      </c>
      <c r="BO30" s="20"/>
      <c r="BP30" s="20"/>
      <c r="BQ30" s="19">
        <f>BN30</f>
        <v>24.71</v>
      </c>
      <c r="BR30" s="20"/>
      <c r="BS30" s="20">
        <v>3</v>
      </c>
      <c r="BT30" s="20">
        <v>0</v>
      </c>
      <c r="BU30" s="20">
        <f t="shared" si="178"/>
        <v>21.71</v>
      </c>
      <c r="BV30" s="20"/>
      <c r="BW30" s="20"/>
      <c r="BX30" s="19">
        <f>BU30</f>
        <v>21.71</v>
      </c>
      <c r="BY30" s="20">
        <v>0</v>
      </c>
      <c r="BZ30" s="20">
        <v>2</v>
      </c>
      <c r="CA30" s="20">
        <v>0</v>
      </c>
      <c r="CB30" s="20">
        <f t="shared" si="179"/>
        <v>19.71</v>
      </c>
      <c r="CC30" s="20"/>
      <c r="CD30" s="20"/>
      <c r="CE30" s="19">
        <f>CB30</f>
        <v>19.71</v>
      </c>
      <c r="CF30" s="20">
        <v>0</v>
      </c>
      <c r="CG30" s="20">
        <v>3</v>
      </c>
      <c r="CH30" s="20">
        <v>0</v>
      </c>
      <c r="CI30" s="20">
        <f t="shared" si="180"/>
        <v>16.71</v>
      </c>
    </row>
    <row r="31" spans="1:87" ht="17.149999999999999" customHeight="1" x14ac:dyDescent="0.25">
      <c r="A31" s="9"/>
      <c r="B31" s="10" t="s">
        <v>39</v>
      </c>
      <c r="C31" s="21"/>
      <c r="D31" s="10"/>
      <c r="E31" s="11"/>
      <c r="F31" s="21">
        <f>SUM(F26:F30)</f>
        <v>93.94</v>
      </c>
      <c r="G31" s="21">
        <f>SUM(G26:G30)</f>
        <v>0</v>
      </c>
      <c r="H31" s="21">
        <f t="shared" ref="H31:I31" si="181">SUM(H26:H30)</f>
        <v>0</v>
      </c>
      <c r="I31" s="21">
        <f t="shared" si="181"/>
        <v>0</v>
      </c>
      <c r="J31" s="21">
        <f t="shared" ref="J31:L31" si="182">SUM(J26:J30)</f>
        <v>93.94</v>
      </c>
      <c r="K31" s="21">
        <f t="shared" ref="K31" si="183">SUM(K26:K30)</f>
        <v>0</v>
      </c>
      <c r="L31" s="21">
        <f t="shared" si="182"/>
        <v>0</v>
      </c>
      <c r="M31" s="21">
        <f>SUM(M26:M30)</f>
        <v>93.94</v>
      </c>
      <c r="N31" s="21">
        <f>SUM(N26:N30)</f>
        <v>0</v>
      </c>
      <c r="O31" s="21">
        <f t="shared" ref="O31:Q31" si="184">SUM(O26:O30)</f>
        <v>69.539999999999992</v>
      </c>
      <c r="P31" s="21">
        <f t="shared" si="184"/>
        <v>0</v>
      </c>
      <c r="Q31" s="21">
        <f t="shared" si="184"/>
        <v>24.4</v>
      </c>
      <c r="R31" s="21">
        <f t="shared" ref="R31:S31" si="185">SUM(R26:R30)</f>
        <v>0</v>
      </c>
      <c r="S31" s="21">
        <f t="shared" si="185"/>
        <v>0</v>
      </c>
      <c r="T31" s="21">
        <f>SUM(T26:T30)</f>
        <v>24.4</v>
      </c>
      <c r="U31" s="21">
        <f>SUM(U26:U30)</f>
        <v>0</v>
      </c>
      <c r="V31" s="21">
        <f t="shared" ref="V31:Z31" si="186">SUM(V26:V30)</f>
        <v>0</v>
      </c>
      <c r="W31" s="21">
        <f t="shared" si="186"/>
        <v>0</v>
      </c>
      <c r="X31" s="21">
        <f t="shared" si="186"/>
        <v>24.4</v>
      </c>
      <c r="Y31" s="21">
        <f t="shared" si="186"/>
        <v>0</v>
      </c>
      <c r="Z31" s="21">
        <f t="shared" si="186"/>
        <v>0</v>
      </c>
      <c r="AA31" s="21">
        <f>SUM(AA26:AA30)</f>
        <v>24.4</v>
      </c>
      <c r="AB31" s="21">
        <f>SUM(AB26:AB30)</f>
        <v>30</v>
      </c>
      <c r="AC31" s="21">
        <f>SUM(AC26:AC30)</f>
        <v>30</v>
      </c>
      <c r="AD31" s="21">
        <f t="shared" ref="AD31:AG31" si="187">SUM(AD26:AD30)</f>
        <v>0</v>
      </c>
      <c r="AE31" s="21">
        <f t="shared" si="187"/>
        <v>24.4</v>
      </c>
      <c r="AF31" s="21">
        <f t="shared" si="187"/>
        <v>0</v>
      </c>
      <c r="AG31" s="21">
        <f t="shared" si="187"/>
        <v>0</v>
      </c>
      <c r="AH31" s="21">
        <f>SUM(AH26:AH30)</f>
        <v>24.4</v>
      </c>
      <c r="AI31" s="21">
        <f>SUM(AI26:AI30)</f>
        <v>0</v>
      </c>
      <c r="AJ31" s="21">
        <f>SUM(AJ26:AJ30)</f>
        <v>0</v>
      </c>
      <c r="AK31" s="21">
        <f t="shared" ref="AK31:AN31" si="188">SUM(AK26:AK30)</f>
        <v>0</v>
      </c>
      <c r="AL31" s="21">
        <f t="shared" si="188"/>
        <v>24.4</v>
      </c>
      <c r="AM31" s="21">
        <f t="shared" si="188"/>
        <v>45</v>
      </c>
      <c r="AN31" s="21">
        <f t="shared" si="188"/>
        <v>30</v>
      </c>
      <c r="AO31" s="21">
        <f>SUM(AO26:AO30)</f>
        <v>24.4</v>
      </c>
      <c r="AP31" s="21">
        <f>SUM(AP26:AP30)</f>
        <v>60</v>
      </c>
      <c r="AQ31" s="21">
        <f>SUM(AQ26:AQ30)</f>
        <v>6</v>
      </c>
      <c r="AR31" s="21">
        <f t="shared" ref="AR31:AU31" si="189">SUM(AR26:AR30)</f>
        <v>0</v>
      </c>
      <c r="AS31" s="21">
        <f t="shared" si="189"/>
        <v>78.400000000000006</v>
      </c>
      <c r="AT31" s="21">
        <f t="shared" si="189"/>
        <v>0</v>
      </c>
      <c r="AU31" s="21">
        <f t="shared" si="189"/>
        <v>0</v>
      </c>
      <c r="AV31" s="21">
        <f>SUM(AV26:AV30)</f>
        <v>78.400000000000006</v>
      </c>
      <c r="AW31" s="21">
        <f>SUM(AW26:AW30)</f>
        <v>0</v>
      </c>
      <c r="AX31" s="21">
        <f>SUM(AX26:AX30)</f>
        <v>0</v>
      </c>
      <c r="AY31" s="21">
        <f t="shared" ref="AY31:BB31" si="190">SUM(AY26:AY30)</f>
        <v>0</v>
      </c>
      <c r="AZ31" s="21">
        <f t="shared" si="190"/>
        <v>78.400000000000006</v>
      </c>
      <c r="BA31" s="21">
        <f t="shared" si="190"/>
        <v>0</v>
      </c>
      <c r="BB31" s="21">
        <f t="shared" si="190"/>
        <v>0</v>
      </c>
      <c r="BC31" s="21">
        <f>SUM(BC26:BC30)</f>
        <v>78.400000000000006</v>
      </c>
      <c r="BD31" s="21">
        <f>SUM(BD26:BD30)</f>
        <v>0</v>
      </c>
      <c r="BE31" s="21">
        <f>SUM(BE26:BE30)</f>
        <v>1</v>
      </c>
      <c r="BF31" s="21">
        <f t="shared" ref="BF31:BI31" si="191">SUM(BF26:BF30)</f>
        <v>1</v>
      </c>
      <c r="BG31" s="21">
        <f t="shared" si="191"/>
        <v>78.400000000000006</v>
      </c>
      <c r="BH31" s="21">
        <f t="shared" si="191"/>
        <v>0</v>
      </c>
      <c r="BI31" s="21">
        <f t="shared" si="191"/>
        <v>0</v>
      </c>
      <c r="BJ31" s="21">
        <f>SUM(BJ26:BJ30)</f>
        <v>78.400000000000006</v>
      </c>
      <c r="BK31" s="21">
        <f>SUM(BK26:BK30)</f>
        <v>0</v>
      </c>
      <c r="BL31" s="21">
        <f>SUM(BL26:BL30)</f>
        <v>3</v>
      </c>
      <c r="BM31" s="21">
        <f t="shared" ref="BM31:BP31" si="192">SUM(BM26:BM30)</f>
        <v>0</v>
      </c>
      <c r="BN31" s="21">
        <f t="shared" si="192"/>
        <v>75.400000000000006</v>
      </c>
      <c r="BO31" s="21">
        <f t="shared" si="192"/>
        <v>0</v>
      </c>
      <c r="BP31" s="21">
        <f t="shared" si="192"/>
        <v>0</v>
      </c>
      <c r="BQ31" s="21">
        <f>SUM(BQ26:BQ30)</f>
        <v>75.400000000000006</v>
      </c>
      <c r="BR31" s="21">
        <f>SUM(BR26:BR30)</f>
        <v>0</v>
      </c>
      <c r="BS31" s="21">
        <f>SUM(BS26:BS30)</f>
        <v>6</v>
      </c>
      <c r="BT31" s="21">
        <f t="shared" ref="BT31:BW31" si="193">SUM(BT26:BT30)</f>
        <v>0</v>
      </c>
      <c r="BU31" s="21">
        <f t="shared" si="193"/>
        <v>69.400000000000006</v>
      </c>
      <c r="BV31" s="21">
        <f t="shared" si="193"/>
        <v>0</v>
      </c>
      <c r="BW31" s="21">
        <f t="shared" si="193"/>
        <v>0</v>
      </c>
      <c r="BX31" s="21">
        <f>SUM(BX26:BX30)</f>
        <v>69.400000000000006</v>
      </c>
      <c r="BY31" s="21">
        <f>SUM(BY26:BY30)</f>
        <v>0</v>
      </c>
      <c r="BZ31" s="21">
        <f>SUM(BZ26:BZ30)</f>
        <v>4</v>
      </c>
      <c r="CA31" s="21">
        <f t="shared" ref="CA31:CD31" si="194">SUM(CA26:CA30)</f>
        <v>0</v>
      </c>
      <c r="CB31" s="21">
        <f t="shared" si="194"/>
        <v>65.400000000000006</v>
      </c>
      <c r="CC31" s="21">
        <f t="shared" si="194"/>
        <v>0</v>
      </c>
      <c r="CD31" s="21">
        <f t="shared" si="194"/>
        <v>0</v>
      </c>
      <c r="CE31" s="21">
        <f>SUM(CE26:CE30)</f>
        <v>65.400000000000006</v>
      </c>
      <c r="CF31" s="21">
        <f>SUM(CF26:CF30)</f>
        <v>0</v>
      </c>
      <c r="CG31" s="21">
        <f>SUM(CG26:CG30)</f>
        <v>6</v>
      </c>
      <c r="CH31" s="21">
        <f t="shared" ref="CH31:CI31" si="195">SUM(CH26:CH30)</f>
        <v>0</v>
      </c>
      <c r="CI31" s="21">
        <f t="shared" si="195"/>
        <v>59.4</v>
      </c>
    </row>
    <row r="32" spans="1:87" ht="17.149999999999999" customHeight="1" x14ac:dyDescent="0.25">
      <c r="A32" s="6" t="s">
        <v>19</v>
      </c>
      <c r="B32" s="7" t="s">
        <v>20</v>
      </c>
      <c r="C32" s="20">
        <v>2454</v>
      </c>
      <c r="D32" s="26">
        <v>7614.6076146076139</v>
      </c>
      <c r="E32" s="8">
        <v>20</v>
      </c>
      <c r="F32" s="19">
        <v>60.1</v>
      </c>
      <c r="G32" s="20">
        <v>0</v>
      </c>
      <c r="H32" s="20">
        <v>10</v>
      </c>
      <c r="I32" s="20">
        <v>3.25</v>
      </c>
      <c r="J32" s="20">
        <f t="shared" ref="J32:J33" si="196">F32+G32+I32-H32</f>
        <v>53.35</v>
      </c>
      <c r="K32" s="20"/>
      <c r="L32" s="20"/>
      <c r="M32" s="19">
        <f>J32</f>
        <v>53.35</v>
      </c>
      <c r="N32" s="20">
        <v>0</v>
      </c>
      <c r="O32" s="20">
        <f>VLOOKUP(B32,[1]Sheet1!$A:$B,2,0)</f>
        <v>22.9</v>
      </c>
      <c r="P32" s="20">
        <v>0</v>
      </c>
      <c r="Q32" s="20">
        <f t="shared" ref="Q32:Q33" si="197">M32+N32+P32-O32</f>
        <v>30.450000000000003</v>
      </c>
      <c r="R32" s="20"/>
      <c r="S32" s="20"/>
      <c r="T32" s="19">
        <f t="shared" ref="T32:T33" si="198">Q32</f>
        <v>30.450000000000003</v>
      </c>
      <c r="U32" s="20">
        <v>0</v>
      </c>
      <c r="V32" s="20">
        <v>9</v>
      </c>
      <c r="W32" s="20"/>
      <c r="X32" s="20">
        <f t="shared" ref="X32:X33" si="199">T32+U32+W32-V32</f>
        <v>21.450000000000003</v>
      </c>
      <c r="Y32" s="20"/>
      <c r="Z32" s="20"/>
      <c r="AA32" s="19">
        <f t="shared" ref="AA32:AA33" si="200">X32</f>
        <v>21.450000000000003</v>
      </c>
      <c r="AB32" s="20"/>
      <c r="AC32" s="20">
        <v>17</v>
      </c>
      <c r="AD32" s="20">
        <v>2</v>
      </c>
      <c r="AE32" s="20">
        <f t="shared" ref="AE32:AE33" si="201">AA32+AB32+AD32-AC32</f>
        <v>6.4500000000000028</v>
      </c>
      <c r="AF32" s="20"/>
      <c r="AG32" s="20"/>
      <c r="AH32" s="19">
        <f t="shared" ref="AH32:AH33" si="202">AE32</f>
        <v>6.4500000000000028</v>
      </c>
      <c r="AI32" s="20"/>
      <c r="AJ32" s="20">
        <v>21.45</v>
      </c>
      <c r="AK32" s="20">
        <v>19</v>
      </c>
      <c r="AL32" s="20">
        <f t="shared" ref="AL32:AL33" si="203">AH32+AI32+AK32-AJ32</f>
        <v>4.0000000000000036</v>
      </c>
      <c r="AM32" s="20"/>
      <c r="AN32" s="20">
        <v>25</v>
      </c>
      <c r="AO32" s="19">
        <f t="shared" ref="AO32:AO33" si="204">AL32</f>
        <v>4.0000000000000036</v>
      </c>
      <c r="AP32" s="20">
        <v>25</v>
      </c>
      <c r="AQ32" s="20">
        <v>21</v>
      </c>
      <c r="AR32" s="20"/>
      <c r="AS32" s="20">
        <f t="shared" ref="AS32:AS33" si="205">AO32+AP32+AR32-AQ32</f>
        <v>8.0000000000000036</v>
      </c>
      <c r="AT32" s="20"/>
      <c r="AU32" s="20"/>
      <c r="AV32" s="19">
        <f t="shared" ref="AV32:AV33" si="206">AS32</f>
        <v>8.0000000000000036</v>
      </c>
      <c r="AW32" s="20"/>
      <c r="AX32" s="20">
        <v>3</v>
      </c>
      <c r="AY32" s="20"/>
      <c r="AZ32" s="20">
        <f t="shared" ref="AZ32:AZ33" si="207">AV32+AW32+AY32-AX32</f>
        <v>5.0000000000000036</v>
      </c>
      <c r="BA32" s="20"/>
      <c r="BB32" s="20"/>
      <c r="BC32" s="19">
        <f>AZ32</f>
        <v>5.0000000000000036</v>
      </c>
      <c r="BD32" s="20">
        <v>25</v>
      </c>
      <c r="BE32" s="20">
        <v>17</v>
      </c>
      <c r="BF32" s="20">
        <v>9</v>
      </c>
      <c r="BG32" s="20">
        <f t="shared" ref="BG32:BG33" si="208">BC32+BD32+BF32-BE32</f>
        <v>22</v>
      </c>
      <c r="BH32" s="20">
        <v>20</v>
      </c>
      <c r="BI32" s="20"/>
      <c r="BJ32" s="19">
        <f>BG32</f>
        <v>22</v>
      </c>
      <c r="BK32" s="20">
        <v>20</v>
      </c>
      <c r="BL32" s="20">
        <v>8.9499999999999993</v>
      </c>
      <c r="BM32" s="20">
        <v>3.95</v>
      </c>
      <c r="BN32" s="20">
        <f t="shared" ref="BN32:BN33" si="209">BJ32+BK32+BM32-BL32</f>
        <v>37</v>
      </c>
      <c r="BO32" s="20"/>
      <c r="BP32" s="20"/>
      <c r="BQ32" s="19">
        <f>BN32</f>
        <v>37</v>
      </c>
      <c r="BR32" s="20"/>
      <c r="BS32" s="20">
        <v>5</v>
      </c>
      <c r="BT32" s="20">
        <v>0</v>
      </c>
      <c r="BU32" s="20">
        <f t="shared" ref="BU32:BU33" si="210">BQ32+BR32+BT32-BS32</f>
        <v>32</v>
      </c>
      <c r="BV32" s="20"/>
      <c r="BW32" s="20"/>
      <c r="BX32" s="19">
        <f>BU32</f>
        <v>32</v>
      </c>
      <c r="BY32" s="20">
        <v>0</v>
      </c>
      <c r="BZ32" s="20">
        <v>3</v>
      </c>
      <c r="CA32" s="20">
        <v>0</v>
      </c>
      <c r="CB32" s="20">
        <f t="shared" ref="CB32:CB33" si="211">BX32+BY32+CA32-BZ32</f>
        <v>29</v>
      </c>
      <c r="CC32" s="20"/>
      <c r="CD32" s="20"/>
      <c r="CE32" s="19">
        <f>CB32</f>
        <v>29</v>
      </c>
      <c r="CF32" s="20">
        <v>0</v>
      </c>
      <c r="CG32" s="20">
        <v>2</v>
      </c>
      <c r="CH32" s="20">
        <v>11.4</v>
      </c>
      <c r="CI32" s="20">
        <f t="shared" ref="CI32:CI33" si="212">CE32+CF32+CH32-CG32</f>
        <v>38.4</v>
      </c>
    </row>
    <row r="33" spans="1:87" ht="17.149999999999999" customHeight="1" x14ac:dyDescent="0.25">
      <c r="A33" s="6" t="s">
        <v>19</v>
      </c>
      <c r="B33" s="7" t="s">
        <v>21</v>
      </c>
      <c r="C33" s="20">
        <v>1618</v>
      </c>
      <c r="D33" s="26">
        <v>5439.0054390054393</v>
      </c>
      <c r="E33" s="8">
        <v>50</v>
      </c>
      <c r="F33" s="19">
        <v>96.64</v>
      </c>
      <c r="G33" s="20">
        <v>0</v>
      </c>
      <c r="H33" s="20">
        <v>2</v>
      </c>
      <c r="I33" s="20">
        <v>0.46</v>
      </c>
      <c r="J33" s="20">
        <f t="shared" si="196"/>
        <v>95.1</v>
      </c>
      <c r="K33" s="20"/>
      <c r="L33" s="20"/>
      <c r="M33" s="19">
        <f>J33</f>
        <v>95.1</v>
      </c>
      <c r="N33" s="20">
        <v>0</v>
      </c>
      <c r="O33" s="20">
        <f>VLOOKUP(B33,[1]Sheet1!$A:$B,2,0)</f>
        <v>19.079999999999998</v>
      </c>
      <c r="P33" s="20">
        <v>0</v>
      </c>
      <c r="Q33" s="20">
        <f t="shared" si="197"/>
        <v>76.02</v>
      </c>
      <c r="R33" s="20"/>
      <c r="S33" s="20"/>
      <c r="T33" s="19">
        <f t="shared" si="198"/>
        <v>76.02</v>
      </c>
      <c r="U33" s="20">
        <v>0</v>
      </c>
      <c r="V33" s="20">
        <v>7</v>
      </c>
      <c r="W33" s="20"/>
      <c r="X33" s="20">
        <f t="shared" si="199"/>
        <v>69.02</v>
      </c>
      <c r="Y33" s="20"/>
      <c r="Z33" s="20"/>
      <c r="AA33" s="19">
        <f t="shared" si="200"/>
        <v>69.02</v>
      </c>
      <c r="AB33" s="20"/>
      <c r="AC33" s="20">
        <v>13.000000000000002</v>
      </c>
      <c r="AD33" s="20">
        <v>1</v>
      </c>
      <c r="AE33" s="20">
        <f t="shared" si="201"/>
        <v>57.019999999999996</v>
      </c>
      <c r="AF33" s="20"/>
      <c r="AG33" s="20"/>
      <c r="AH33" s="19">
        <f t="shared" si="202"/>
        <v>57.019999999999996</v>
      </c>
      <c r="AI33" s="20"/>
      <c r="AJ33" s="20">
        <v>7</v>
      </c>
      <c r="AK33" s="20">
        <v>6.56</v>
      </c>
      <c r="AL33" s="20">
        <f t="shared" si="203"/>
        <v>56.58</v>
      </c>
      <c r="AM33" s="20"/>
      <c r="AN33" s="20"/>
      <c r="AO33" s="19">
        <f t="shared" si="204"/>
        <v>56.58</v>
      </c>
      <c r="AP33" s="20">
        <v>0</v>
      </c>
      <c r="AQ33" s="20">
        <v>2</v>
      </c>
      <c r="AR33" s="20"/>
      <c r="AS33" s="20">
        <f t="shared" si="205"/>
        <v>54.58</v>
      </c>
      <c r="AT33" s="20"/>
      <c r="AU33" s="20"/>
      <c r="AV33" s="19">
        <f t="shared" si="206"/>
        <v>54.58</v>
      </c>
      <c r="AW33" s="20"/>
      <c r="AX33" s="20">
        <v>0</v>
      </c>
      <c r="AY33" s="20"/>
      <c r="AZ33" s="20">
        <f t="shared" si="207"/>
        <v>54.58</v>
      </c>
      <c r="BA33" s="20"/>
      <c r="BB33" s="20"/>
      <c r="BC33" s="19">
        <f>AZ33</f>
        <v>54.58</v>
      </c>
      <c r="BD33" s="20">
        <v>0</v>
      </c>
      <c r="BE33" s="20">
        <v>0</v>
      </c>
      <c r="BF33" s="20">
        <v>0</v>
      </c>
      <c r="BG33" s="20">
        <f t="shared" si="208"/>
        <v>54.58</v>
      </c>
      <c r="BH33" s="20">
        <v>10</v>
      </c>
      <c r="BI33" s="20"/>
      <c r="BJ33" s="19">
        <f>BG33</f>
        <v>54.58</v>
      </c>
      <c r="BK33" s="20">
        <v>10</v>
      </c>
      <c r="BL33" s="20">
        <v>2.5</v>
      </c>
      <c r="BM33" s="20">
        <v>2.2599999999999998</v>
      </c>
      <c r="BN33" s="20">
        <f t="shared" si="209"/>
        <v>64.34</v>
      </c>
      <c r="BO33" s="20"/>
      <c r="BP33" s="20"/>
      <c r="BQ33" s="19">
        <f>BN33</f>
        <v>64.34</v>
      </c>
      <c r="BR33" s="20"/>
      <c r="BS33" s="20">
        <v>6</v>
      </c>
      <c r="BT33" s="20">
        <v>0</v>
      </c>
      <c r="BU33" s="20">
        <f t="shared" si="210"/>
        <v>58.34</v>
      </c>
      <c r="BV33" s="20"/>
      <c r="BW33" s="20"/>
      <c r="BX33" s="19">
        <f>BU33</f>
        <v>58.34</v>
      </c>
      <c r="BY33" s="20">
        <v>0</v>
      </c>
      <c r="BZ33" s="20">
        <v>1</v>
      </c>
      <c r="CA33" s="20">
        <v>0</v>
      </c>
      <c r="CB33" s="20">
        <f t="shared" si="211"/>
        <v>57.34</v>
      </c>
      <c r="CC33" s="20"/>
      <c r="CD33" s="20"/>
      <c r="CE33" s="19">
        <f>CB33</f>
        <v>57.34</v>
      </c>
      <c r="CF33" s="20">
        <v>0</v>
      </c>
      <c r="CG33" s="20">
        <v>1</v>
      </c>
      <c r="CH33" s="20">
        <v>4.74</v>
      </c>
      <c r="CI33" s="20">
        <f t="shared" si="212"/>
        <v>61.080000000000005</v>
      </c>
    </row>
    <row r="34" spans="1:87" ht="17.149999999999999" customHeight="1" x14ac:dyDescent="0.25">
      <c r="A34" s="9"/>
      <c r="B34" s="10" t="s">
        <v>40</v>
      </c>
      <c r="C34" s="21"/>
      <c r="D34" s="10"/>
      <c r="E34" s="11"/>
      <c r="F34" s="21">
        <f>SUM(F32:F33)</f>
        <v>156.74</v>
      </c>
      <c r="G34" s="21">
        <f>SUM(G32:G33)</f>
        <v>0</v>
      </c>
      <c r="H34" s="21">
        <f t="shared" ref="H34:I34" si="213">SUM(H32:H33)</f>
        <v>12</v>
      </c>
      <c r="I34" s="21">
        <f t="shared" si="213"/>
        <v>3.71</v>
      </c>
      <c r="J34" s="21">
        <f t="shared" ref="J34:L34" si="214">SUM(J32:J33)</f>
        <v>148.44999999999999</v>
      </c>
      <c r="K34" s="21">
        <f t="shared" ref="K34" si="215">SUM(K32:K33)</f>
        <v>0</v>
      </c>
      <c r="L34" s="21">
        <f t="shared" si="214"/>
        <v>0</v>
      </c>
      <c r="M34" s="21">
        <f>SUM(M32:M33)</f>
        <v>148.44999999999999</v>
      </c>
      <c r="N34" s="21">
        <f>SUM(N32:N33)</f>
        <v>0</v>
      </c>
      <c r="O34" s="21">
        <f t="shared" ref="O34:Q34" si="216">SUM(O32:O33)</f>
        <v>41.98</v>
      </c>
      <c r="P34" s="21">
        <f t="shared" si="216"/>
        <v>0</v>
      </c>
      <c r="Q34" s="21">
        <f t="shared" si="216"/>
        <v>106.47</v>
      </c>
      <c r="R34" s="21">
        <f t="shared" ref="R34:S34" si="217">SUM(R32:R33)</f>
        <v>0</v>
      </c>
      <c r="S34" s="21">
        <f t="shared" si="217"/>
        <v>0</v>
      </c>
      <c r="T34" s="21">
        <f>SUM(T32:T33)</f>
        <v>106.47</v>
      </c>
      <c r="U34" s="21">
        <f>SUM(U32:U33)</f>
        <v>0</v>
      </c>
      <c r="V34" s="21">
        <f t="shared" ref="V34:Z34" si="218">SUM(V32:V33)</f>
        <v>16</v>
      </c>
      <c r="W34" s="21">
        <f t="shared" si="218"/>
        <v>0</v>
      </c>
      <c r="X34" s="21">
        <f t="shared" si="218"/>
        <v>90.47</v>
      </c>
      <c r="Y34" s="21">
        <f t="shared" si="218"/>
        <v>0</v>
      </c>
      <c r="Z34" s="21">
        <f t="shared" si="218"/>
        <v>0</v>
      </c>
      <c r="AA34" s="21">
        <f>SUM(AA32:AA33)</f>
        <v>90.47</v>
      </c>
      <c r="AB34" s="21">
        <f>SUM(AB32:AB33)</f>
        <v>0</v>
      </c>
      <c r="AC34" s="21">
        <f>SUM(AC32:AC33)</f>
        <v>30</v>
      </c>
      <c r="AD34" s="21">
        <f t="shared" ref="AD34:AG34" si="219">SUM(AD32:AD33)</f>
        <v>3</v>
      </c>
      <c r="AE34" s="21">
        <f t="shared" si="219"/>
        <v>63.47</v>
      </c>
      <c r="AF34" s="21">
        <f t="shared" si="219"/>
        <v>0</v>
      </c>
      <c r="AG34" s="21">
        <f t="shared" si="219"/>
        <v>0</v>
      </c>
      <c r="AH34" s="21">
        <f>SUM(AH32:AH33)</f>
        <v>63.47</v>
      </c>
      <c r="AI34" s="21">
        <f>SUM(AI32:AI33)</f>
        <v>0</v>
      </c>
      <c r="AJ34" s="21">
        <f>SUM(AJ32:AJ33)</f>
        <v>28.45</v>
      </c>
      <c r="AK34" s="21">
        <f t="shared" ref="AK34:AN34" si="220">SUM(AK32:AK33)</f>
        <v>25.56</v>
      </c>
      <c r="AL34" s="21">
        <f t="shared" si="220"/>
        <v>60.58</v>
      </c>
      <c r="AM34" s="21">
        <f t="shared" si="220"/>
        <v>0</v>
      </c>
      <c r="AN34" s="21">
        <f t="shared" si="220"/>
        <v>25</v>
      </c>
      <c r="AO34" s="21">
        <f>SUM(AO32:AO33)</f>
        <v>60.58</v>
      </c>
      <c r="AP34" s="21">
        <f>SUM(AP32:AP33)</f>
        <v>25</v>
      </c>
      <c r="AQ34" s="21">
        <f>SUM(AQ32:AQ33)</f>
        <v>23</v>
      </c>
      <c r="AR34" s="21">
        <f t="shared" ref="AR34:AU34" si="221">SUM(AR32:AR33)</f>
        <v>0</v>
      </c>
      <c r="AS34" s="21">
        <f t="shared" si="221"/>
        <v>62.58</v>
      </c>
      <c r="AT34" s="21">
        <f t="shared" si="221"/>
        <v>0</v>
      </c>
      <c r="AU34" s="21">
        <f t="shared" si="221"/>
        <v>0</v>
      </c>
      <c r="AV34" s="21">
        <f>SUM(AV32:AV33)</f>
        <v>62.58</v>
      </c>
      <c r="AW34" s="21">
        <f>SUM(AW32:AW33)</f>
        <v>0</v>
      </c>
      <c r="AX34" s="21">
        <f>SUM(AX32:AX33)</f>
        <v>3</v>
      </c>
      <c r="AY34" s="21">
        <f t="shared" ref="AY34:BB34" si="222">SUM(AY32:AY33)</f>
        <v>0</v>
      </c>
      <c r="AZ34" s="21">
        <f t="shared" si="222"/>
        <v>59.58</v>
      </c>
      <c r="BA34" s="21">
        <f t="shared" si="222"/>
        <v>0</v>
      </c>
      <c r="BB34" s="21">
        <f t="shared" si="222"/>
        <v>0</v>
      </c>
      <c r="BC34" s="21">
        <f>SUM(BC32:BC33)</f>
        <v>59.58</v>
      </c>
      <c r="BD34" s="21">
        <f>SUM(BD32:BD33)</f>
        <v>25</v>
      </c>
      <c r="BE34" s="21">
        <f>SUM(BE32:BE33)</f>
        <v>17</v>
      </c>
      <c r="BF34" s="21">
        <f t="shared" ref="BF34:BI34" si="223">SUM(BF32:BF33)</f>
        <v>9</v>
      </c>
      <c r="BG34" s="21">
        <f t="shared" si="223"/>
        <v>76.58</v>
      </c>
      <c r="BH34" s="21">
        <f t="shared" si="223"/>
        <v>30</v>
      </c>
      <c r="BI34" s="21">
        <f t="shared" si="223"/>
        <v>0</v>
      </c>
      <c r="BJ34" s="21">
        <f>SUM(BJ32:BJ33)</f>
        <v>76.58</v>
      </c>
      <c r="BK34" s="21">
        <f>SUM(BK32:BK33)</f>
        <v>30</v>
      </c>
      <c r="BL34" s="21">
        <f>SUM(BL32:BL33)</f>
        <v>11.45</v>
      </c>
      <c r="BM34" s="21">
        <f t="shared" ref="BM34:BP34" si="224">SUM(BM32:BM33)</f>
        <v>6.21</v>
      </c>
      <c r="BN34" s="21">
        <f t="shared" si="224"/>
        <v>101.34</v>
      </c>
      <c r="BO34" s="21">
        <f t="shared" si="224"/>
        <v>0</v>
      </c>
      <c r="BP34" s="21">
        <f t="shared" si="224"/>
        <v>0</v>
      </c>
      <c r="BQ34" s="21">
        <f>SUM(BQ32:BQ33)</f>
        <v>101.34</v>
      </c>
      <c r="BR34" s="21">
        <f>SUM(BR32:BR33)</f>
        <v>0</v>
      </c>
      <c r="BS34" s="21">
        <f>SUM(BS32:BS33)</f>
        <v>11</v>
      </c>
      <c r="BT34" s="21">
        <f t="shared" ref="BT34:BW34" si="225">SUM(BT32:BT33)</f>
        <v>0</v>
      </c>
      <c r="BU34" s="21">
        <f t="shared" si="225"/>
        <v>90.34</v>
      </c>
      <c r="BV34" s="21">
        <f t="shared" si="225"/>
        <v>0</v>
      </c>
      <c r="BW34" s="21">
        <f t="shared" si="225"/>
        <v>0</v>
      </c>
      <c r="BX34" s="21">
        <f>SUM(BX32:BX33)</f>
        <v>90.34</v>
      </c>
      <c r="BY34" s="21">
        <f>SUM(BY32:BY33)</f>
        <v>0</v>
      </c>
      <c r="BZ34" s="21">
        <f>SUM(BZ32:BZ33)</f>
        <v>4</v>
      </c>
      <c r="CA34" s="21">
        <f t="shared" ref="CA34:CD34" si="226">SUM(CA32:CA33)</f>
        <v>0</v>
      </c>
      <c r="CB34" s="21">
        <f t="shared" si="226"/>
        <v>86.34</v>
      </c>
      <c r="CC34" s="21">
        <f t="shared" si="226"/>
        <v>0</v>
      </c>
      <c r="CD34" s="21">
        <f t="shared" si="226"/>
        <v>0</v>
      </c>
      <c r="CE34" s="21">
        <f>SUM(CE32:CE33)</f>
        <v>86.34</v>
      </c>
      <c r="CF34" s="21">
        <f>SUM(CF32:CF33)</f>
        <v>0</v>
      </c>
      <c r="CG34" s="21">
        <f>SUM(CG32:CG33)</f>
        <v>3</v>
      </c>
      <c r="CH34" s="21">
        <f t="shared" ref="CH34:CI34" si="227">SUM(CH32:CH33)</f>
        <v>16.14</v>
      </c>
      <c r="CI34" s="21">
        <f t="shared" si="227"/>
        <v>99.48</v>
      </c>
    </row>
    <row r="35" spans="1:87" ht="17.149999999999999" customHeight="1" x14ac:dyDescent="0.25">
      <c r="A35" s="6" t="s">
        <v>47</v>
      </c>
      <c r="B35" s="7" t="s">
        <v>48</v>
      </c>
      <c r="C35" s="20">
        <v>1320</v>
      </c>
      <c r="D35" s="26">
        <v>4755.2447552447557</v>
      </c>
      <c r="E35" s="8">
        <v>24</v>
      </c>
      <c r="F35" s="19">
        <v>3.7916660000000002</v>
      </c>
      <c r="G35" s="20">
        <v>0</v>
      </c>
      <c r="H35" s="20">
        <v>0</v>
      </c>
      <c r="I35" s="20">
        <v>0</v>
      </c>
      <c r="J35" s="20">
        <f t="shared" ref="J35:J36" si="228">F35+G35+I35-H35</f>
        <v>3.7916660000000002</v>
      </c>
      <c r="K35" s="20"/>
      <c r="L35" s="20"/>
      <c r="M35" s="19">
        <f>J35</f>
        <v>3.7916660000000002</v>
      </c>
      <c r="N35" s="20">
        <v>0</v>
      </c>
      <c r="O35" s="20">
        <v>3</v>
      </c>
      <c r="P35" s="20">
        <v>5</v>
      </c>
      <c r="Q35" s="20">
        <f t="shared" ref="Q35:Q36" si="229">M35+N35+P35-O35</f>
        <v>5.7916659999999993</v>
      </c>
      <c r="R35" s="20"/>
      <c r="S35" s="20"/>
      <c r="T35" s="19">
        <f t="shared" ref="T35:T36" si="230">Q35</f>
        <v>5.7916659999999993</v>
      </c>
      <c r="U35" s="20">
        <v>0</v>
      </c>
      <c r="V35" s="20">
        <v>2</v>
      </c>
      <c r="W35" s="20"/>
      <c r="X35" s="20">
        <f t="shared" ref="X35:X36" si="231">T35+U35+W35-V35</f>
        <v>3.7916659999999993</v>
      </c>
      <c r="Y35" s="20"/>
      <c r="Z35" s="20"/>
      <c r="AA35" s="19">
        <f t="shared" ref="AA35:AA36" si="232">X35</f>
        <v>3.7916659999999993</v>
      </c>
      <c r="AB35" s="20"/>
      <c r="AC35" s="20">
        <v>4.79</v>
      </c>
      <c r="AD35" s="20">
        <v>1</v>
      </c>
      <c r="AE35" s="20">
        <f t="shared" ref="AE35:AE36" si="233">AA35+AB35+AD35-AC35</f>
        <v>1.6659999999992792E-3</v>
      </c>
      <c r="AF35" s="20"/>
      <c r="AG35" s="20"/>
      <c r="AH35" s="19">
        <f t="shared" ref="AH35:AH36" si="234">AE35</f>
        <v>1.6659999999992792E-3</v>
      </c>
      <c r="AI35" s="20"/>
      <c r="AJ35" s="20">
        <v>0</v>
      </c>
      <c r="AK35" s="20">
        <v>0</v>
      </c>
      <c r="AL35" s="20">
        <f t="shared" ref="AL35:AL36" si="235">AH35+AI35+AK35-AJ35</f>
        <v>1.6659999999992792E-3</v>
      </c>
      <c r="AM35" s="20"/>
      <c r="AN35" s="20">
        <v>10</v>
      </c>
      <c r="AO35" s="19">
        <f t="shared" ref="AO35:AO36" si="236">AL35</f>
        <v>1.6659999999992792E-3</v>
      </c>
      <c r="AP35" s="20">
        <v>0</v>
      </c>
      <c r="AQ35" s="20">
        <v>0</v>
      </c>
      <c r="AR35" s="20"/>
      <c r="AS35" s="20">
        <f t="shared" ref="AS35:AS36" si="237">AO35+AP35+AR35-AQ35</f>
        <v>1.6659999999992792E-3</v>
      </c>
      <c r="AT35" s="20"/>
      <c r="AU35" s="20"/>
      <c r="AV35" s="19">
        <f t="shared" ref="AV35:AV36" si="238">AS35</f>
        <v>1.6659999999992792E-3</v>
      </c>
      <c r="AW35" s="20"/>
      <c r="AX35" s="20">
        <v>0</v>
      </c>
      <c r="AY35" s="20"/>
      <c r="AZ35" s="20">
        <f t="shared" ref="AZ35:AZ36" si="239">AV35+AW35+AY35-AX35</f>
        <v>1.6659999999992792E-3</v>
      </c>
      <c r="BA35" s="20"/>
      <c r="BB35" s="20"/>
      <c r="BC35" s="19">
        <f>AZ35</f>
        <v>1.6659999999992792E-3</v>
      </c>
      <c r="BD35" s="20">
        <v>0</v>
      </c>
      <c r="BE35" s="20">
        <v>0</v>
      </c>
      <c r="BF35" s="20">
        <v>0</v>
      </c>
      <c r="BG35" s="20">
        <f t="shared" ref="BG35:BG36" si="240">BC35+BD35+BF35-BE35</f>
        <v>1.6659999999992792E-3</v>
      </c>
      <c r="BH35" s="20">
        <v>5</v>
      </c>
      <c r="BI35" s="20"/>
      <c r="BJ35" s="19">
        <f>BG35</f>
        <v>1.6659999999992792E-3</v>
      </c>
      <c r="BK35" s="20">
        <v>5</v>
      </c>
      <c r="BL35" s="20">
        <v>0</v>
      </c>
      <c r="BM35" s="20">
        <v>0</v>
      </c>
      <c r="BN35" s="20">
        <f t="shared" ref="BN35:BN36" si="241">BJ35+BK35+BM35-BL35</f>
        <v>5.0016659999999993</v>
      </c>
      <c r="BO35" s="20"/>
      <c r="BP35" s="20"/>
      <c r="BQ35" s="35">
        <f>BN35</f>
        <v>5.0016659999999993</v>
      </c>
      <c r="BR35" s="20"/>
      <c r="BS35" s="20">
        <v>5</v>
      </c>
      <c r="BT35" s="20">
        <v>0</v>
      </c>
      <c r="BU35" s="20">
        <f t="shared" ref="BU35:BU36" si="242">BQ35+BR35+BT35-BS35</f>
        <v>1.6659999999992792E-3</v>
      </c>
      <c r="BV35" s="20"/>
      <c r="BW35" s="20"/>
      <c r="BX35" s="36">
        <f>BU35</f>
        <v>1.6659999999992792E-3</v>
      </c>
      <c r="BY35" s="20"/>
      <c r="BZ35" s="20">
        <v>0</v>
      </c>
      <c r="CA35" s="20">
        <v>0</v>
      </c>
      <c r="CB35" s="20">
        <f t="shared" ref="CB35:CB36" si="243">BX35+BY35+CA35-BZ35</f>
        <v>1.6659999999992792E-3</v>
      </c>
      <c r="CC35" s="20">
        <v>15</v>
      </c>
      <c r="CD35" s="20"/>
      <c r="CE35" s="36">
        <f>CB35</f>
        <v>1.6659999999992792E-3</v>
      </c>
      <c r="CF35" s="20">
        <v>15</v>
      </c>
      <c r="CG35" s="20">
        <v>10.041665999999999</v>
      </c>
      <c r="CH35" s="20">
        <v>0</v>
      </c>
      <c r="CI35" s="20">
        <f t="shared" ref="CI35:CI36" si="244">CE35+CF35+CH35-CG35</f>
        <v>4.9600000000000009</v>
      </c>
    </row>
    <row r="36" spans="1:87" ht="17.149999999999999" customHeight="1" x14ac:dyDescent="0.25">
      <c r="A36" s="6" t="s">
        <v>47</v>
      </c>
      <c r="B36" s="7" t="s">
        <v>49</v>
      </c>
      <c r="C36" s="20">
        <v>2628</v>
      </c>
      <c r="D36" s="26">
        <v>9370.6293706293691</v>
      </c>
      <c r="E36" s="8">
        <v>36</v>
      </c>
      <c r="F36" s="19">
        <v>5.6666660000000002</v>
      </c>
      <c r="G36" s="20">
        <v>0</v>
      </c>
      <c r="H36" s="20">
        <v>3</v>
      </c>
      <c r="I36" s="20">
        <v>0</v>
      </c>
      <c r="J36" s="20">
        <f t="shared" si="228"/>
        <v>2.6666660000000002</v>
      </c>
      <c r="K36" s="20"/>
      <c r="L36" s="20"/>
      <c r="M36" s="19">
        <f>J36</f>
        <v>2.6666660000000002</v>
      </c>
      <c r="N36" s="20">
        <v>0</v>
      </c>
      <c r="O36" s="20">
        <v>2</v>
      </c>
      <c r="P36" s="20">
        <v>0</v>
      </c>
      <c r="Q36" s="20">
        <f t="shared" si="229"/>
        <v>0.6666660000000002</v>
      </c>
      <c r="R36" s="20"/>
      <c r="S36" s="20"/>
      <c r="T36" s="19">
        <f t="shared" si="230"/>
        <v>0.6666660000000002</v>
      </c>
      <c r="U36" s="20">
        <v>0</v>
      </c>
      <c r="V36" s="20">
        <v>0</v>
      </c>
      <c r="W36" s="20"/>
      <c r="X36" s="20">
        <f t="shared" si="231"/>
        <v>0.6666660000000002</v>
      </c>
      <c r="Y36" s="20"/>
      <c r="Z36" s="20"/>
      <c r="AA36" s="19">
        <f t="shared" si="232"/>
        <v>0.6666660000000002</v>
      </c>
      <c r="AB36" s="20"/>
      <c r="AC36" s="20">
        <v>0</v>
      </c>
      <c r="AD36" s="20">
        <v>1</v>
      </c>
      <c r="AE36" s="20">
        <f t="shared" si="233"/>
        <v>1.6666660000000002</v>
      </c>
      <c r="AF36" s="20"/>
      <c r="AG36" s="20"/>
      <c r="AH36" s="19">
        <f t="shared" si="234"/>
        <v>1.6666660000000002</v>
      </c>
      <c r="AI36" s="20"/>
      <c r="AJ36" s="20">
        <v>2</v>
      </c>
      <c r="AK36" s="20">
        <v>1</v>
      </c>
      <c r="AL36" s="20">
        <f t="shared" si="235"/>
        <v>0.6666660000000002</v>
      </c>
      <c r="AM36" s="20"/>
      <c r="AN36" s="20"/>
      <c r="AO36" s="19">
        <f t="shared" si="236"/>
        <v>0.6666660000000002</v>
      </c>
      <c r="AP36" s="20">
        <v>5</v>
      </c>
      <c r="AQ36" s="20">
        <v>2.6667000000000001</v>
      </c>
      <c r="AR36" s="20"/>
      <c r="AS36" s="20">
        <f t="shared" si="237"/>
        <v>2.9999660000000001</v>
      </c>
      <c r="AT36" s="20"/>
      <c r="AU36" s="20"/>
      <c r="AV36" s="19">
        <f t="shared" si="238"/>
        <v>2.9999660000000001</v>
      </c>
      <c r="AW36" s="20"/>
      <c r="AX36" s="20">
        <v>5.4444000000000008</v>
      </c>
      <c r="AY36" s="20">
        <v>3.47</v>
      </c>
      <c r="AZ36" s="20">
        <f t="shared" si="239"/>
        <v>1.0255659999999995</v>
      </c>
      <c r="BA36" s="20"/>
      <c r="BB36" s="20"/>
      <c r="BC36" s="19">
        <f>AZ36</f>
        <v>1.0255659999999995</v>
      </c>
      <c r="BD36" s="20">
        <v>0</v>
      </c>
      <c r="BE36" s="20">
        <v>0</v>
      </c>
      <c r="BF36" s="20">
        <v>0</v>
      </c>
      <c r="BG36" s="20">
        <f t="shared" si="240"/>
        <v>1.0255659999999995</v>
      </c>
      <c r="BH36" s="20">
        <v>50</v>
      </c>
      <c r="BI36" s="20"/>
      <c r="BJ36" s="19">
        <f>BG36</f>
        <v>1.0255659999999995</v>
      </c>
      <c r="BK36" s="20">
        <v>50</v>
      </c>
      <c r="BL36" s="20">
        <v>11.138888</v>
      </c>
      <c r="BM36" s="20">
        <v>0</v>
      </c>
      <c r="BN36" s="20">
        <f t="shared" si="241"/>
        <v>39.886677999999996</v>
      </c>
      <c r="BO36" s="20"/>
      <c r="BP36" s="20"/>
      <c r="BQ36" s="19">
        <f>BN36</f>
        <v>39.886677999999996</v>
      </c>
      <c r="BR36" s="20"/>
      <c r="BS36" s="20">
        <v>18</v>
      </c>
      <c r="BT36" s="20">
        <v>2.0833330000000001</v>
      </c>
      <c r="BU36" s="20">
        <f t="shared" si="242"/>
        <v>23.970011</v>
      </c>
      <c r="BV36" s="20"/>
      <c r="BW36" s="20"/>
      <c r="BX36" s="19">
        <f>BU36</f>
        <v>23.970011</v>
      </c>
      <c r="BY36" s="20">
        <v>0</v>
      </c>
      <c r="BZ36" s="20">
        <v>0</v>
      </c>
      <c r="CA36" s="20">
        <v>0</v>
      </c>
      <c r="CB36" s="20">
        <f t="shared" si="243"/>
        <v>23.970011</v>
      </c>
      <c r="CC36" s="20"/>
      <c r="CD36" s="20"/>
      <c r="CE36" s="19">
        <f>CB36</f>
        <v>23.970011</v>
      </c>
      <c r="CF36" s="20">
        <v>-7.8000000000022496E-5</v>
      </c>
      <c r="CG36" s="20">
        <v>4</v>
      </c>
      <c r="CH36" s="20">
        <v>0.4723</v>
      </c>
      <c r="CI36" s="20">
        <f t="shared" si="244"/>
        <v>20.442233000000002</v>
      </c>
    </row>
    <row r="37" spans="1:87" ht="17.149999999999999" customHeight="1" x14ac:dyDescent="0.25">
      <c r="A37" s="9"/>
      <c r="B37" s="10" t="s">
        <v>40</v>
      </c>
      <c r="C37" s="21"/>
      <c r="D37" s="10"/>
      <c r="E37" s="11"/>
      <c r="F37" s="21">
        <f>SUM(F35:F36)</f>
        <v>9.4583320000000004</v>
      </c>
      <c r="G37" s="21">
        <f>SUM(G35:G36)</f>
        <v>0</v>
      </c>
      <c r="H37" s="21">
        <f t="shared" ref="H37:I37" si="245">SUM(H35:H36)</f>
        <v>3</v>
      </c>
      <c r="I37" s="21">
        <f t="shared" si="245"/>
        <v>0</v>
      </c>
      <c r="J37" s="21">
        <f t="shared" ref="J37:L37" si="246">SUM(J35:J36)</f>
        <v>6.4583320000000004</v>
      </c>
      <c r="K37" s="21">
        <f t="shared" ref="K37" si="247">SUM(K35:K36)</f>
        <v>0</v>
      </c>
      <c r="L37" s="21">
        <f t="shared" si="246"/>
        <v>0</v>
      </c>
      <c r="M37" s="21">
        <f>SUM(M35:M36)</f>
        <v>6.4583320000000004</v>
      </c>
      <c r="N37" s="21">
        <f>SUM(N35:N36)</f>
        <v>0</v>
      </c>
      <c r="O37" s="21">
        <f t="shared" ref="O37:Q37" si="248">SUM(O35:O36)</f>
        <v>5</v>
      </c>
      <c r="P37" s="21">
        <f t="shared" si="248"/>
        <v>5</v>
      </c>
      <c r="Q37" s="21">
        <f t="shared" si="248"/>
        <v>6.4583319999999995</v>
      </c>
      <c r="R37" s="21">
        <f t="shared" ref="R37:S37" si="249">SUM(R35:R36)</f>
        <v>0</v>
      </c>
      <c r="S37" s="21">
        <f t="shared" si="249"/>
        <v>0</v>
      </c>
      <c r="T37" s="21">
        <f>SUM(T35:T36)</f>
        <v>6.4583319999999995</v>
      </c>
      <c r="U37" s="21">
        <f>SUM(U35:U36)</f>
        <v>0</v>
      </c>
      <c r="V37" s="21">
        <f t="shared" ref="V37:Z37" si="250">SUM(V35:V36)</f>
        <v>2</v>
      </c>
      <c r="W37" s="21">
        <f t="shared" si="250"/>
        <v>0</v>
      </c>
      <c r="X37" s="21">
        <f t="shared" si="250"/>
        <v>4.4583319999999995</v>
      </c>
      <c r="Y37" s="21">
        <f t="shared" si="250"/>
        <v>0</v>
      </c>
      <c r="Z37" s="21">
        <f t="shared" si="250"/>
        <v>0</v>
      </c>
      <c r="AA37" s="21">
        <f>SUM(AA35:AA36)</f>
        <v>4.4583319999999995</v>
      </c>
      <c r="AB37" s="21">
        <f>SUM(AB35:AB36)</f>
        <v>0</v>
      </c>
      <c r="AC37" s="21">
        <f>SUM(AC35:AC36)</f>
        <v>4.79</v>
      </c>
      <c r="AD37" s="21">
        <f t="shared" ref="AD37:AG37" si="251">SUM(AD35:AD36)</f>
        <v>2</v>
      </c>
      <c r="AE37" s="21">
        <f t="shared" si="251"/>
        <v>1.6683319999999995</v>
      </c>
      <c r="AF37" s="21">
        <f t="shared" si="251"/>
        <v>0</v>
      </c>
      <c r="AG37" s="21">
        <f t="shared" si="251"/>
        <v>0</v>
      </c>
      <c r="AH37" s="21">
        <f>SUM(AH35:AH36)</f>
        <v>1.6683319999999995</v>
      </c>
      <c r="AI37" s="21">
        <f>SUM(AI35:AI36)</f>
        <v>0</v>
      </c>
      <c r="AJ37" s="21">
        <f>SUM(AJ35:AJ36)</f>
        <v>2</v>
      </c>
      <c r="AK37" s="21">
        <f t="shared" ref="AK37:AN37" si="252">SUM(AK35:AK36)</f>
        <v>1</v>
      </c>
      <c r="AL37" s="21">
        <f t="shared" si="252"/>
        <v>0.66833199999999948</v>
      </c>
      <c r="AM37" s="21">
        <f t="shared" si="252"/>
        <v>0</v>
      </c>
      <c r="AN37" s="21">
        <f t="shared" si="252"/>
        <v>10</v>
      </c>
      <c r="AO37" s="21">
        <f>SUM(AO35:AO36)</f>
        <v>0.66833199999999948</v>
      </c>
      <c r="AP37" s="21">
        <f>SUM(AP35:AP36)</f>
        <v>5</v>
      </c>
      <c r="AQ37" s="21">
        <f>SUM(AQ35:AQ36)</f>
        <v>2.6667000000000001</v>
      </c>
      <c r="AR37" s="21">
        <f t="shared" ref="AR37:AU37" si="253">SUM(AR35:AR36)</f>
        <v>0</v>
      </c>
      <c r="AS37" s="21">
        <f t="shared" si="253"/>
        <v>3.0016319999999994</v>
      </c>
      <c r="AT37" s="21">
        <f t="shared" si="253"/>
        <v>0</v>
      </c>
      <c r="AU37" s="21">
        <f t="shared" si="253"/>
        <v>0</v>
      </c>
      <c r="AV37" s="21">
        <f>SUM(AV35:AV36)</f>
        <v>3.0016319999999994</v>
      </c>
      <c r="AW37" s="21">
        <f>SUM(AW35:AW36)</f>
        <v>0</v>
      </c>
      <c r="AX37" s="21">
        <f>SUM(AX35:AX36)</f>
        <v>5.4444000000000008</v>
      </c>
      <c r="AY37" s="21">
        <f t="shared" ref="AY37:BB37" si="254">SUM(AY35:AY36)</f>
        <v>3.47</v>
      </c>
      <c r="AZ37" s="21">
        <f t="shared" si="254"/>
        <v>1.0272319999999988</v>
      </c>
      <c r="BA37" s="21">
        <f t="shared" si="254"/>
        <v>0</v>
      </c>
      <c r="BB37" s="21">
        <f t="shared" si="254"/>
        <v>0</v>
      </c>
      <c r="BC37" s="21">
        <f>SUM(BC35:BC36)</f>
        <v>1.0272319999999988</v>
      </c>
      <c r="BD37" s="21">
        <f>SUM(BD35:BD36)</f>
        <v>0</v>
      </c>
      <c r="BE37" s="21">
        <f>SUM(BE35:BE36)</f>
        <v>0</v>
      </c>
      <c r="BF37" s="21">
        <f t="shared" ref="BF37:BI37" si="255">SUM(BF35:BF36)</f>
        <v>0</v>
      </c>
      <c r="BG37" s="21">
        <f t="shared" si="255"/>
        <v>1.0272319999999988</v>
      </c>
      <c r="BH37" s="21">
        <f t="shared" si="255"/>
        <v>55</v>
      </c>
      <c r="BI37" s="21">
        <f t="shared" si="255"/>
        <v>0</v>
      </c>
      <c r="BJ37" s="21">
        <f>SUM(BJ35:BJ36)</f>
        <v>1.0272319999999988</v>
      </c>
      <c r="BK37" s="21">
        <f>SUM(BK35:BK36)</f>
        <v>55</v>
      </c>
      <c r="BL37" s="21">
        <f>SUM(BL35:BL36)</f>
        <v>11.138888</v>
      </c>
      <c r="BM37" s="21">
        <f t="shared" ref="BM37:BP37" si="256">SUM(BM35:BM36)</f>
        <v>0</v>
      </c>
      <c r="BN37" s="21">
        <f t="shared" si="256"/>
        <v>44.888343999999996</v>
      </c>
      <c r="BO37" s="21">
        <f t="shared" si="256"/>
        <v>0</v>
      </c>
      <c r="BP37" s="21">
        <f t="shared" si="256"/>
        <v>0</v>
      </c>
      <c r="BQ37" s="21">
        <f>SUM(BQ35:BQ36)</f>
        <v>44.888343999999996</v>
      </c>
      <c r="BR37" s="21">
        <f>SUM(BR35:BR36)</f>
        <v>0</v>
      </c>
      <c r="BS37" s="21">
        <f>SUM(BS35:BS36)</f>
        <v>23</v>
      </c>
      <c r="BT37" s="21">
        <f t="shared" ref="BT37:BW37" si="257">SUM(BT35:BT36)</f>
        <v>2.0833330000000001</v>
      </c>
      <c r="BU37" s="21">
        <f t="shared" si="257"/>
        <v>23.971677</v>
      </c>
      <c r="BV37" s="21">
        <f t="shared" si="257"/>
        <v>0</v>
      </c>
      <c r="BW37" s="21">
        <f t="shared" si="257"/>
        <v>0</v>
      </c>
      <c r="BX37" s="21">
        <f>SUM(BX35:BX36)</f>
        <v>23.971677</v>
      </c>
      <c r="BY37" s="21">
        <f>SUM(BY35:BY36)</f>
        <v>0</v>
      </c>
      <c r="BZ37" s="21">
        <f>SUM(BZ35:BZ36)</f>
        <v>0</v>
      </c>
      <c r="CA37" s="21">
        <f t="shared" ref="CA37:CD37" si="258">SUM(CA35:CA36)</f>
        <v>0</v>
      </c>
      <c r="CB37" s="21">
        <f t="shared" si="258"/>
        <v>23.971677</v>
      </c>
      <c r="CC37" s="21">
        <f t="shared" si="258"/>
        <v>15</v>
      </c>
      <c r="CD37" s="21">
        <f t="shared" si="258"/>
        <v>0</v>
      </c>
      <c r="CE37" s="21">
        <f>SUM(CE35:CE36)</f>
        <v>23.971677</v>
      </c>
      <c r="CF37" s="21">
        <f>SUM(CF35:CF36)</f>
        <v>14.999922</v>
      </c>
      <c r="CG37" s="21">
        <f>SUM(CG35:CG36)</f>
        <v>14.041665999999999</v>
      </c>
      <c r="CH37" s="21">
        <f t="shared" ref="CH37:CI37" si="259">SUM(CH35:CH36)</f>
        <v>0.4723</v>
      </c>
      <c r="CI37" s="21">
        <f t="shared" si="259"/>
        <v>25.402233000000003</v>
      </c>
    </row>
    <row r="38" spans="1:87" ht="17.149999999999999" customHeight="1" x14ac:dyDescent="0.25">
      <c r="A38" s="6" t="s">
        <v>54</v>
      </c>
      <c r="B38" s="7" t="s">
        <v>52</v>
      </c>
      <c r="C38" s="20">
        <v>1488</v>
      </c>
      <c r="D38" s="26">
        <v>4675.3246753246767</v>
      </c>
      <c r="E38" s="8">
        <v>24</v>
      </c>
      <c r="F38" s="19">
        <v>127.958333</v>
      </c>
      <c r="G38" s="20">
        <v>0</v>
      </c>
      <c r="H38" s="20">
        <v>66</v>
      </c>
      <c r="I38" s="20">
        <v>12.59</v>
      </c>
      <c r="J38" s="20">
        <f t="shared" ref="J38:J39" si="260">F38+G38+I38-H38</f>
        <v>74.548332999999985</v>
      </c>
      <c r="K38" s="20"/>
      <c r="L38" s="24">
        <v>200</v>
      </c>
      <c r="M38" s="19">
        <f>J38</f>
        <v>74.548332999999985</v>
      </c>
      <c r="N38" s="20">
        <v>200</v>
      </c>
      <c r="O38" s="20">
        <v>79.210000000000008</v>
      </c>
      <c r="P38" s="20">
        <v>8.33</v>
      </c>
      <c r="Q38" s="20">
        <f t="shared" ref="Q38:Q39" si="261">M38+N38+P38-O38</f>
        <v>203.66833299999993</v>
      </c>
      <c r="R38" s="20"/>
      <c r="S38" s="20">
        <v>100</v>
      </c>
      <c r="T38" s="19">
        <f t="shared" ref="T38:T41" si="262">Q38</f>
        <v>203.66833299999993</v>
      </c>
      <c r="U38" s="20">
        <v>100</v>
      </c>
      <c r="V38" s="20">
        <v>79.289999999999992</v>
      </c>
      <c r="W38" s="20"/>
      <c r="X38" s="20">
        <f t="shared" ref="X38:X41" si="263">T38+U38+W38-V38</f>
        <v>224.37833299999997</v>
      </c>
      <c r="Y38" s="20"/>
      <c r="Z38" s="20"/>
      <c r="AA38" s="19">
        <f t="shared" ref="AA38:AA41" si="264">X38</f>
        <v>224.37833299999997</v>
      </c>
      <c r="AB38" s="20"/>
      <c r="AC38" s="20">
        <v>81</v>
      </c>
      <c r="AD38" s="20">
        <v>8.41</v>
      </c>
      <c r="AE38" s="20">
        <f t="shared" ref="AE38:AE41" si="265">AA38+AB38+AD38-AC38</f>
        <v>151.78833299999997</v>
      </c>
      <c r="AF38" s="20"/>
      <c r="AG38" s="20"/>
      <c r="AH38" s="19">
        <f t="shared" ref="AH38:AH41" si="266">AE38</f>
        <v>151.78833299999997</v>
      </c>
      <c r="AI38" s="20"/>
      <c r="AJ38" s="20">
        <v>113.21000000000001</v>
      </c>
      <c r="AK38" s="20">
        <v>6.5</v>
      </c>
      <c r="AL38" s="20">
        <f t="shared" ref="AL38:AL41" si="267">AH38+AI38+AK38-AJ38</f>
        <v>45.078332999999958</v>
      </c>
      <c r="AM38" s="20">
        <v>100</v>
      </c>
      <c r="AN38" s="20">
        <v>50</v>
      </c>
      <c r="AO38" s="19">
        <f t="shared" ref="AO38:AO41" si="268">AL38</f>
        <v>45.078332999999958</v>
      </c>
      <c r="AP38" s="20">
        <v>150</v>
      </c>
      <c r="AQ38" s="20">
        <v>111.58330000000001</v>
      </c>
      <c r="AR38" s="20"/>
      <c r="AS38" s="20">
        <f t="shared" ref="AS38:AS41" si="269">AO38+AP38+AR38-AQ38</f>
        <v>83.49503299999995</v>
      </c>
      <c r="AT38" s="20"/>
      <c r="AU38" s="20"/>
      <c r="AV38" s="19">
        <f t="shared" ref="AV38:AV41" si="270">AS38</f>
        <v>83.49503299999995</v>
      </c>
      <c r="AW38" s="20"/>
      <c r="AX38" s="20">
        <v>24.166699999999999</v>
      </c>
      <c r="AY38" s="20"/>
      <c r="AZ38" s="20">
        <f t="shared" ref="AZ38:AZ41" si="271">AV38+AW38+AY38-AX38</f>
        <v>59.328332999999951</v>
      </c>
      <c r="BA38" s="20"/>
      <c r="BB38" s="20"/>
      <c r="BC38" s="19">
        <f>AZ38</f>
        <v>59.328332999999951</v>
      </c>
      <c r="BD38" s="20">
        <v>100</v>
      </c>
      <c r="BE38" s="20">
        <v>15</v>
      </c>
      <c r="BF38" s="20">
        <v>0</v>
      </c>
      <c r="BG38" s="20">
        <f t="shared" ref="BG38:BG41" si="272">BC38+BD38+BF38-BE38</f>
        <v>144.32833299999996</v>
      </c>
      <c r="BH38" s="20"/>
      <c r="BI38" s="20"/>
      <c r="BJ38" s="19">
        <f>BG38</f>
        <v>144.32833299999996</v>
      </c>
      <c r="BK38" s="20">
        <v>0</v>
      </c>
      <c r="BL38" s="20">
        <v>27.041665999999999</v>
      </c>
      <c r="BM38" s="20">
        <v>50.625</v>
      </c>
      <c r="BN38" s="20">
        <f t="shared" ref="BN38:BN41" si="273">BJ38+BK38+BM38-BL38</f>
        <v>167.91166699999997</v>
      </c>
      <c r="BO38" s="20"/>
      <c r="BP38" s="20"/>
      <c r="BQ38" s="19">
        <f>BN38</f>
        <v>167.91166699999997</v>
      </c>
      <c r="BR38" s="20"/>
      <c r="BS38" s="20">
        <v>49</v>
      </c>
      <c r="BT38" s="20">
        <v>30.833333</v>
      </c>
      <c r="BU38" s="20">
        <f t="shared" ref="BU38:BU41" si="274">BQ38+BR38+BT38-BS38</f>
        <v>149.74499999999998</v>
      </c>
      <c r="BV38" s="20"/>
      <c r="BW38" s="20"/>
      <c r="BX38" s="19">
        <f>BU38</f>
        <v>149.74499999999998</v>
      </c>
      <c r="BY38" s="20">
        <v>0</v>
      </c>
      <c r="BZ38" s="20">
        <v>25</v>
      </c>
      <c r="CA38" s="20">
        <v>9.4582999999999995</v>
      </c>
      <c r="CB38" s="20">
        <f t="shared" ref="CB38:CB41" si="275">BX38+BY38+CA38-BZ38</f>
        <v>134.20329999999998</v>
      </c>
      <c r="CC38" s="20"/>
      <c r="CD38" s="20"/>
      <c r="CE38" s="19">
        <f>CB38</f>
        <v>134.20329999999998</v>
      </c>
      <c r="CF38" s="20">
        <v>-3.4000000001199737E-5</v>
      </c>
      <c r="CG38" s="20">
        <f>94-50+37.99</f>
        <v>81.990000000000009</v>
      </c>
      <c r="CH38" s="20">
        <v>8.5417000000000005</v>
      </c>
      <c r="CI38" s="20">
        <f t="shared" ref="CI38:CI41" si="276">CE38+CF38+CH38-CG38</f>
        <v>60.754965999999968</v>
      </c>
    </row>
    <row r="39" spans="1:87" ht="17.149999999999999" customHeight="1" x14ac:dyDescent="0.25">
      <c r="A39" s="6" t="s">
        <v>54</v>
      </c>
      <c r="B39" s="7" t="s">
        <v>53</v>
      </c>
      <c r="C39" s="20">
        <v>1488</v>
      </c>
      <c r="D39" s="26">
        <v>4675.3246753246767</v>
      </c>
      <c r="E39" s="8">
        <v>24</v>
      </c>
      <c r="F39" s="19">
        <v>115.333333</v>
      </c>
      <c r="G39" s="20">
        <v>0</v>
      </c>
      <c r="H39" s="20">
        <v>66</v>
      </c>
      <c r="I39" s="20">
        <v>18.880000000000003</v>
      </c>
      <c r="J39" s="20">
        <f t="shared" si="260"/>
        <v>68.213333000000006</v>
      </c>
      <c r="K39" s="20"/>
      <c r="L39" s="24">
        <v>200</v>
      </c>
      <c r="M39" s="19">
        <f>J39</f>
        <v>68.213333000000006</v>
      </c>
      <c r="N39" s="20">
        <v>200</v>
      </c>
      <c r="O39" s="20">
        <v>73.289999999999992</v>
      </c>
      <c r="P39" s="20">
        <v>4</v>
      </c>
      <c r="Q39" s="20">
        <f t="shared" si="261"/>
        <v>198.92333300000004</v>
      </c>
      <c r="R39" s="20"/>
      <c r="S39" s="20">
        <v>100</v>
      </c>
      <c r="T39" s="19">
        <f t="shared" si="262"/>
        <v>198.92333300000004</v>
      </c>
      <c r="U39" s="20">
        <v>100</v>
      </c>
      <c r="V39" s="20">
        <v>95.25</v>
      </c>
      <c r="W39" s="20"/>
      <c r="X39" s="20">
        <f t="shared" si="263"/>
        <v>203.67333300000007</v>
      </c>
      <c r="Y39" s="20"/>
      <c r="Z39" s="20"/>
      <c r="AA39" s="19">
        <f t="shared" si="264"/>
        <v>203.67333300000007</v>
      </c>
      <c r="AB39" s="20"/>
      <c r="AC39" s="20">
        <v>86.210000000000008</v>
      </c>
      <c r="AD39" s="20">
        <v>19.41</v>
      </c>
      <c r="AE39" s="20">
        <f t="shared" si="265"/>
        <v>136.87333300000006</v>
      </c>
      <c r="AF39" s="20"/>
      <c r="AG39" s="20"/>
      <c r="AH39" s="19">
        <f t="shared" si="266"/>
        <v>136.87333300000006</v>
      </c>
      <c r="AI39" s="20"/>
      <c r="AJ39" s="20">
        <v>97.210000000000008</v>
      </c>
      <c r="AK39" s="20">
        <v>35.67</v>
      </c>
      <c r="AL39" s="20">
        <f t="shared" si="267"/>
        <v>75.333333000000067</v>
      </c>
      <c r="AM39" s="20">
        <v>100</v>
      </c>
      <c r="AN39" s="20">
        <v>50</v>
      </c>
      <c r="AO39" s="19">
        <f t="shared" si="268"/>
        <v>75.333333000000067</v>
      </c>
      <c r="AP39" s="20">
        <v>150</v>
      </c>
      <c r="AQ39" s="20">
        <v>111.1217</v>
      </c>
      <c r="AR39" s="20"/>
      <c r="AS39" s="20">
        <f t="shared" si="269"/>
        <v>114.21163300000006</v>
      </c>
      <c r="AT39" s="20"/>
      <c r="AU39" s="20"/>
      <c r="AV39" s="19">
        <f t="shared" si="270"/>
        <v>114.21163300000006</v>
      </c>
      <c r="AW39" s="20"/>
      <c r="AX39" s="20">
        <v>24</v>
      </c>
      <c r="AY39" s="20"/>
      <c r="AZ39" s="20">
        <f t="shared" si="271"/>
        <v>90.211633000000063</v>
      </c>
      <c r="BA39" s="20"/>
      <c r="BB39" s="20"/>
      <c r="BC39" s="19">
        <f>AZ39</f>
        <v>90.211633000000063</v>
      </c>
      <c r="BD39" s="20">
        <v>100</v>
      </c>
      <c r="BE39" s="20">
        <v>16</v>
      </c>
      <c r="BF39" s="20">
        <v>0</v>
      </c>
      <c r="BG39" s="20">
        <f t="shared" si="272"/>
        <v>174.21163300000006</v>
      </c>
      <c r="BH39" s="20"/>
      <c r="BI39" s="20"/>
      <c r="BJ39" s="19">
        <f>BG39</f>
        <v>174.21163300000006</v>
      </c>
      <c r="BK39" s="20">
        <v>0</v>
      </c>
      <c r="BL39" s="20">
        <v>30.666665999999999</v>
      </c>
      <c r="BM39" s="20">
        <v>35.708399999999997</v>
      </c>
      <c r="BN39" s="20">
        <f t="shared" si="273"/>
        <v>179.25336700000005</v>
      </c>
      <c r="BO39" s="20"/>
      <c r="BP39" s="20"/>
      <c r="BQ39" s="19">
        <f>BN39</f>
        <v>179.25336700000005</v>
      </c>
      <c r="BR39" s="20"/>
      <c r="BS39" s="20">
        <v>49</v>
      </c>
      <c r="BT39" s="20">
        <v>27.583333</v>
      </c>
      <c r="BU39" s="20">
        <f t="shared" si="274"/>
        <v>157.83670000000006</v>
      </c>
      <c r="BV39" s="20"/>
      <c r="BW39" s="20"/>
      <c r="BX39" s="19">
        <f>BU39</f>
        <v>157.83670000000006</v>
      </c>
      <c r="BY39" s="20">
        <v>0</v>
      </c>
      <c r="BZ39" s="20">
        <v>26</v>
      </c>
      <c r="CA39" s="20">
        <v>13.041699999999999</v>
      </c>
      <c r="CB39" s="20">
        <f t="shared" si="275"/>
        <v>144.87840000000006</v>
      </c>
      <c r="CC39" s="20"/>
      <c r="CD39" s="20"/>
      <c r="CE39" s="19">
        <f>CB39</f>
        <v>144.87840000000006</v>
      </c>
      <c r="CF39" s="20">
        <v>-9.9999999999766942E-5</v>
      </c>
      <c r="CG39" s="20">
        <f>56-40+12</f>
        <v>28</v>
      </c>
      <c r="CH39" s="20">
        <v>8.5000999999999998</v>
      </c>
      <c r="CI39" s="20">
        <f t="shared" si="276"/>
        <v>125.37840000000006</v>
      </c>
    </row>
    <row r="40" spans="1:87" ht="17.149999999999999" customHeight="1" x14ac:dyDescent="0.25">
      <c r="A40" s="6" t="s">
        <v>54</v>
      </c>
      <c r="B40" s="7" t="s">
        <v>60</v>
      </c>
      <c r="C40" s="20">
        <v>1920</v>
      </c>
      <c r="D40" s="26">
        <v>6464.727272727273</v>
      </c>
      <c r="E40" s="8">
        <v>24</v>
      </c>
      <c r="F40" s="19"/>
      <c r="G40" s="20"/>
      <c r="H40" s="20"/>
      <c r="I40" s="20"/>
      <c r="J40" s="20"/>
      <c r="K40" s="20"/>
      <c r="L40" s="24">
        <v>50</v>
      </c>
      <c r="M40" s="19"/>
      <c r="N40" s="20"/>
      <c r="O40" s="20"/>
      <c r="P40" s="20"/>
      <c r="Q40" s="20"/>
      <c r="R40" s="20">
        <v>50</v>
      </c>
      <c r="S40" s="20">
        <v>50</v>
      </c>
      <c r="T40" s="19">
        <f t="shared" si="262"/>
        <v>0</v>
      </c>
      <c r="U40" s="20">
        <v>150</v>
      </c>
      <c r="V40" s="20">
        <v>114</v>
      </c>
      <c r="W40" s="20"/>
      <c r="X40" s="20">
        <f t="shared" si="263"/>
        <v>36</v>
      </c>
      <c r="Y40" s="20"/>
      <c r="Z40" s="20"/>
      <c r="AA40" s="19">
        <f t="shared" si="264"/>
        <v>36</v>
      </c>
      <c r="AB40" s="20"/>
      <c r="AC40" s="20">
        <v>23.04</v>
      </c>
      <c r="AD40" s="20">
        <v>0</v>
      </c>
      <c r="AE40" s="20">
        <f t="shared" si="265"/>
        <v>12.96</v>
      </c>
      <c r="AF40" s="20"/>
      <c r="AG40" s="20"/>
      <c r="AH40" s="19">
        <f t="shared" si="266"/>
        <v>12.96</v>
      </c>
      <c r="AI40" s="20"/>
      <c r="AJ40" s="20">
        <v>21.958300000000001</v>
      </c>
      <c r="AK40" s="20">
        <v>17</v>
      </c>
      <c r="AL40" s="20">
        <f t="shared" si="267"/>
        <v>8.0016999999999996</v>
      </c>
      <c r="AM40" s="20">
        <v>100</v>
      </c>
      <c r="AN40" s="20"/>
      <c r="AO40" s="19">
        <f t="shared" si="268"/>
        <v>8.0016999999999996</v>
      </c>
      <c r="AP40" s="20">
        <v>100</v>
      </c>
      <c r="AQ40" s="20">
        <v>46</v>
      </c>
      <c r="AR40" s="20"/>
      <c r="AS40" s="20">
        <f t="shared" si="269"/>
        <v>62.0017</v>
      </c>
      <c r="AT40" s="20"/>
      <c r="AU40" s="20"/>
      <c r="AV40" s="19">
        <f t="shared" si="270"/>
        <v>62.0017</v>
      </c>
      <c r="AW40" s="20"/>
      <c r="AX40" s="20">
        <v>31</v>
      </c>
      <c r="AY40" s="20"/>
      <c r="AZ40" s="20">
        <f t="shared" si="271"/>
        <v>31.0017</v>
      </c>
      <c r="BA40" s="20"/>
      <c r="BB40" s="20"/>
      <c r="BC40" s="19">
        <f>AZ40</f>
        <v>31.0017</v>
      </c>
      <c r="BD40" s="20">
        <v>40</v>
      </c>
      <c r="BE40" s="20">
        <v>31</v>
      </c>
      <c r="BF40" s="20">
        <v>0</v>
      </c>
      <c r="BG40" s="20">
        <f t="shared" si="272"/>
        <v>40.0017</v>
      </c>
      <c r="BH40" s="20"/>
      <c r="BI40" s="20"/>
      <c r="BJ40" s="19">
        <f>BG40</f>
        <v>40.0017</v>
      </c>
      <c r="BK40" s="20">
        <v>50</v>
      </c>
      <c r="BL40" s="20">
        <v>20.5</v>
      </c>
      <c r="BM40" s="20">
        <v>6.875</v>
      </c>
      <c r="BN40" s="20">
        <f t="shared" si="273"/>
        <v>76.3767</v>
      </c>
      <c r="BO40" s="20"/>
      <c r="BP40" s="20"/>
      <c r="BQ40" s="19">
        <f>BN40</f>
        <v>76.3767</v>
      </c>
      <c r="BR40" s="20"/>
      <c r="BS40" s="20">
        <v>29</v>
      </c>
      <c r="BT40" s="20">
        <v>8.5833329999999997</v>
      </c>
      <c r="BU40" s="20">
        <f t="shared" si="274"/>
        <v>55.960032999999996</v>
      </c>
      <c r="BV40" s="20"/>
      <c r="BW40" s="20"/>
      <c r="BX40" s="19">
        <f>BU40</f>
        <v>55.960032999999996</v>
      </c>
      <c r="BY40" s="20">
        <v>0</v>
      </c>
      <c r="BZ40" s="20">
        <v>3</v>
      </c>
      <c r="CA40" s="20">
        <v>6.625</v>
      </c>
      <c r="CB40" s="20">
        <f t="shared" si="275"/>
        <v>59.585032999999996</v>
      </c>
      <c r="CC40" s="20"/>
      <c r="CD40" s="20"/>
      <c r="CE40" s="19">
        <f>CB40</f>
        <v>59.585032999999996</v>
      </c>
      <c r="CF40" s="20">
        <v>0</v>
      </c>
      <c r="CG40" s="20">
        <v>18</v>
      </c>
      <c r="CH40" s="20">
        <v>5.25</v>
      </c>
      <c r="CI40" s="20">
        <f t="shared" si="276"/>
        <v>46.835032999999996</v>
      </c>
    </row>
    <row r="41" spans="1:87" ht="17.149999999999999" customHeight="1" x14ac:dyDescent="0.25">
      <c r="A41" s="6" t="s">
        <v>54</v>
      </c>
      <c r="B41" s="7" t="s">
        <v>61</v>
      </c>
      <c r="C41" s="20">
        <v>1920</v>
      </c>
      <c r="D41" s="26">
        <v>6464.727272727273</v>
      </c>
      <c r="E41" s="8">
        <v>24</v>
      </c>
      <c r="F41" s="19"/>
      <c r="G41" s="20"/>
      <c r="H41" s="20"/>
      <c r="I41" s="20"/>
      <c r="J41" s="20"/>
      <c r="K41" s="20"/>
      <c r="L41" s="24">
        <v>50</v>
      </c>
      <c r="M41" s="19"/>
      <c r="N41" s="20"/>
      <c r="O41" s="20"/>
      <c r="P41" s="20"/>
      <c r="Q41" s="20"/>
      <c r="R41" s="20">
        <v>50</v>
      </c>
      <c r="S41" s="20">
        <v>50</v>
      </c>
      <c r="T41" s="19">
        <f t="shared" si="262"/>
        <v>0</v>
      </c>
      <c r="U41" s="20">
        <v>150</v>
      </c>
      <c r="V41" s="20">
        <v>114</v>
      </c>
      <c r="W41" s="20"/>
      <c r="X41" s="20">
        <f t="shared" si="263"/>
        <v>36</v>
      </c>
      <c r="Y41" s="20"/>
      <c r="Z41" s="20"/>
      <c r="AA41" s="19">
        <f t="shared" si="264"/>
        <v>36</v>
      </c>
      <c r="AB41" s="20"/>
      <c r="AC41" s="20">
        <v>23</v>
      </c>
      <c r="AD41" s="20">
        <v>0</v>
      </c>
      <c r="AE41" s="20">
        <f t="shared" si="265"/>
        <v>13</v>
      </c>
      <c r="AF41" s="20"/>
      <c r="AG41" s="20"/>
      <c r="AH41" s="19">
        <f t="shared" si="266"/>
        <v>13</v>
      </c>
      <c r="AI41" s="20"/>
      <c r="AJ41" s="20">
        <v>30</v>
      </c>
      <c r="AK41" s="20">
        <v>17</v>
      </c>
      <c r="AL41" s="20">
        <f t="shared" si="267"/>
        <v>0</v>
      </c>
      <c r="AM41" s="20">
        <v>100</v>
      </c>
      <c r="AN41" s="20"/>
      <c r="AO41" s="19">
        <f t="shared" si="268"/>
        <v>0</v>
      </c>
      <c r="AP41" s="20">
        <v>100</v>
      </c>
      <c r="AQ41" s="20">
        <v>45</v>
      </c>
      <c r="AR41" s="20"/>
      <c r="AS41" s="20">
        <f t="shared" si="269"/>
        <v>55</v>
      </c>
      <c r="AT41" s="20"/>
      <c r="AU41" s="20"/>
      <c r="AV41" s="19">
        <f t="shared" si="270"/>
        <v>55</v>
      </c>
      <c r="AW41" s="20"/>
      <c r="AX41" s="20">
        <v>31</v>
      </c>
      <c r="AY41" s="20"/>
      <c r="AZ41" s="20">
        <f t="shared" si="271"/>
        <v>24</v>
      </c>
      <c r="BA41" s="20"/>
      <c r="BB41" s="20"/>
      <c r="BC41" s="19">
        <f>AZ41</f>
        <v>24</v>
      </c>
      <c r="BD41" s="20">
        <v>40</v>
      </c>
      <c r="BE41" s="20">
        <v>37</v>
      </c>
      <c r="BF41" s="20">
        <v>0</v>
      </c>
      <c r="BG41" s="20">
        <f t="shared" si="272"/>
        <v>27</v>
      </c>
      <c r="BH41" s="20"/>
      <c r="BI41" s="20"/>
      <c r="BJ41" s="19">
        <f>BG41</f>
        <v>27</v>
      </c>
      <c r="BK41" s="20">
        <v>100</v>
      </c>
      <c r="BL41" s="20">
        <v>29.708333</v>
      </c>
      <c r="BM41" s="20">
        <v>6.9167000000000005</v>
      </c>
      <c r="BN41" s="20">
        <f t="shared" si="273"/>
        <v>104.208367</v>
      </c>
      <c r="BO41" s="20"/>
      <c r="BP41" s="20"/>
      <c r="BQ41" s="19">
        <f>BN41</f>
        <v>104.208367</v>
      </c>
      <c r="BR41" s="20"/>
      <c r="BS41" s="20">
        <v>28</v>
      </c>
      <c r="BT41" s="20">
        <v>11.416665999999999</v>
      </c>
      <c r="BU41" s="20">
        <f t="shared" si="274"/>
        <v>87.625033000000002</v>
      </c>
      <c r="BV41" s="20"/>
      <c r="BW41" s="20"/>
      <c r="BX41" s="19">
        <f>BU41</f>
        <v>87.625033000000002</v>
      </c>
      <c r="BY41" s="20">
        <v>0</v>
      </c>
      <c r="BZ41" s="20">
        <v>8</v>
      </c>
      <c r="CA41" s="20">
        <v>8.4167000000000005</v>
      </c>
      <c r="CB41" s="20">
        <f t="shared" si="275"/>
        <v>88.041733000000008</v>
      </c>
      <c r="CC41" s="20"/>
      <c r="CD41" s="20"/>
      <c r="CE41" s="19">
        <f>CB41</f>
        <v>88.041733000000008</v>
      </c>
      <c r="CF41" s="20">
        <v>-6.700000000003925E-5</v>
      </c>
      <c r="CG41" s="20">
        <v>18</v>
      </c>
      <c r="CH41" s="20">
        <v>3.8334000000000001</v>
      </c>
      <c r="CI41" s="20">
        <f t="shared" si="276"/>
        <v>73.875066000000004</v>
      </c>
    </row>
    <row r="42" spans="1:87" ht="17.149999999999999" customHeight="1" x14ac:dyDescent="0.25">
      <c r="A42" s="9"/>
      <c r="B42" s="10" t="s">
        <v>40</v>
      </c>
      <c r="C42" s="21"/>
      <c r="D42" s="10"/>
      <c r="E42" s="11"/>
      <c r="F42" s="21">
        <f t="shared" ref="F42:P42" si="277">SUM(F38:F41)</f>
        <v>243.29166599999999</v>
      </c>
      <c r="G42" s="21">
        <f t="shared" si="277"/>
        <v>0</v>
      </c>
      <c r="H42" s="21">
        <f t="shared" si="277"/>
        <v>132</v>
      </c>
      <c r="I42" s="21">
        <f t="shared" si="277"/>
        <v>31.470000000000002</v>
      </c>
      <c r="J42" s="21">
        <f t="shared" si="277"/>
        <v>142.76166599999999</v>
      </c>
      <c r="K42" s="21">
        <f t="shared" ref="K42" si="278">SUM(K38:K41)</f>
        <v>0</v>
      </c>
      <c r="L42" s="21">
        <f t="shared" si="277"/>
        <v>500</v>
      </c>
      <c r="M42" s="21">
        <f t="shared" si="277"/>
        <v>142.76166599999999</v>
      </c>
      <c r="N42" s="21">
        <f t="shared" si="277"/>
        <v>400</v>
      </c>
      <c r="O42" s="21">
        <f t="shared" si="277"/>
        <v>152.5</v>
      </c>
      <c r="P42" s="21">
        <f t="shared" si="277"/>
        <v>12.33</v>
      </c>
      <c r="Q42" s="21">
        <f>SUM(Q38:Q41)</f>
        <v>402.59166599999998</v>
      </c>
      <c r="R42" s="21">
        <f t="shared" ref="R42" si="279">SUM(R38:R41)</f>
        <v>100</v>
      </c>
      <c r="S42" s="21">
        <f>SUM(S38:S41)</f>
        <v>300</v>
      </c>
      <c r="T42" s="21">
        <f t="shared" ref="T42:W42" si="280">SUM(T38:T41)</f>
        <v>402.59166599999998</v>
      </c>
      <c r="U42" s="21">
        <f t="shared" si="280"/>
        <v>500</v>
      </c>
      <c r="V42" s="21">
        <f t="shared" si="280"/>
        <v>402.53999999999996</v>
      </c>
      <c r="W42" s="21">
        <f t="shared" si="280"/>
        <v>0</v>
      </c>
      <c r="X42" s="21">
        <f>SUM(X38:X41)</f>
        <v>500.05166600000007</v>
      </c>
      <c r="Y42" s="21">
        <f t="shared" ref="Y42" si="281">SUM(Y38:Y41)</f>
        <v>0</v>
      </c>
      <c r="Z42" s="21">
        <f>SUM(Z38:Z41)</f>
        <v>0</v>
      </c>
      <c r="AA42" s="21">
        <f t="shared" ref="AA42:AE42" si="282">SUM(AA38:AA41)</f>
        <v>500.05166600000007</v>
      </c>
      <c r="AB42" s="21">
        <f t="shared" si="282"/>
        <v>0</v>
      </c>
      <c r="AC42" s="21">
        <f t="shared" si="282"/>
        <v>213.25</v>
      </c>
      <c r="AD42" s="21">
        <f t="shared" si="282"/>
        <v>27.82</v>
      </c>
      <c r="AE42" s="21">
        <f t="shared" si="282"/>
        <v>314.621666</v>
      </c>
      <c r="AF42" s="21">
        <f t="shared" ref="AF42" si="283">SUM(AF38:AF41)</f>
        <v>0</v>
      </c>
      <c r="AG42" s="21">
        <f>SUM(AG38:AG41)</f>
        <v>0</v>
      </c>
      <c r="AH42" s="21">
        <f t="shared" ref="AH42:AM42" si="284">SUM(AH38:AH41)</f>
        <v>314.621666</v>
      </c>
      <c r="AI42" s="21">
        <f t="shared" si="284"/>
        <v>0</v>
      </c>
      <c r="AJ42" s="21">
        <f>SUM(AJ38:AJ41)</f>
        <v>262.37830000000002</v>
      </c>
      <c r="AK42" s="21">
        <f t="shared" si="284"/>
        <v>76.17</v>
      </c>
      <c r="AL42" s="21">
        <f t="shared" si="284"/>
        <v>128.41336600000002</v>
      </c>
      <c r="AM42" s="21">
        <f t="shared" si="284"/>
        <v>400</v>
      </c>
      <c r="AN42" s="21">
        <f>SUM(AN38:AN41)</f>
        <v>100</v>
      </c>
      <c r="AO42" s="21">
        <f t="shared" ref="AO42:AP42" si="285">SUM(AO38:AO41)</f>
        <v>128.41336600000002</v>
      </c>
      <c r="AP42" s="21">
        <f t="shared" si="285"/>
        <v>500</v>
      </c>
      <c r="AQ42" s="21">
        <f>SUM(AQ38:AQ41)</f>
        <v>313.70500000000004</v>
      </c>
      <c r="AR42" s="21">
        <f t="shared" ref="AR42:AT42" si="286">SUM(AR38:AR41)</f>
        <v>0</v>
      </c>
      <c r="AS42" s="21">
        <f t="shared" si="286"/>
        <v>314.70836600000001</v>
      </c>
      <c r="AT42" s="21">
        <f t="shared" si="286"/>
        <v>0</v>
      </c>
      <c r="AU42" s="21">
        <f>SUM(AU38:AU41)</f>
        <v>0</v>
      </c>
      <c r="AV42" s="21">
        <f t="shared" ref="AV42:AW42" si="287">SUM(AV38:AV41)</f>
        <v>314.70836600000001</v>
      </c>
      <c r="AW42" s="21">
        <f t="shared" si="287"/>
        <v>0</v>
      </c>
      <c r="AX42" s="21">
        <f>SUM(AX38:AX41)</f>
        <v>110.16669999999999</v>
      </c>
      <c r="AY42" s="21">
        <f t="shared" ref="AY42:BA42" si="288">SUM(AY38:AY41)</f>
        <v>0</v>
      </c>
      <c r="AZ42" s="21">
        <f t="shared" si="288"/>
        <v>204.54166600000002</v>
      </c>
      <c r="BA42" s="21">
        <f t="shared" si="288"/>
        <v>0</v>
      </c>
      <c r="BB42" s="21">
        <f>SUM(BB38:BB41)</f>
        <v>0</v>
      </c>
      <c r="BC42" s="21">
        <f t="shared" ref="BC42:BD42" si="289">SUM(BC38:BC41)</f>
        <v>204.54166600000002</v>
      </c>
      <c r="BD42" s="21">
        <f t="shared" si="289"/>
        <v>280</v>
      </c>
      <c r="BE42" s="21">
        <f>SUM(BE38:BE41)</f>
        <v>99</v>
      </c>
      <c r="BF42" s="21">
        <f t="shared" ref="BF42:BH42" si="290">SUM(BF38:BF41)</f>
        <v>0</v>
      </c>
      <c r="BG42" s="21">
        <f t="shared" si="290"/>
        <v>385.54166600000008</v>
      </c>
      <c r="BH42" s="21">
        <f t="shared" si="290"/>
        <v>0</v>
      </c>
      <c r="BI42" s="21">
        <f>SUM(BI38:BI41)</f>
        <v>0</v>
      </c>
      <c r="BJ42" s="21">
        <f t="shared" ref="BJ42:BK42" si="291">SUM(BJ38:BJ41)</f>
        <v>385.54166600000008</v>
      </c>
      <c r="BK42" s="21">
        <f t="shared" si="291"/>
        <v>150</v>
      </c>
      <c r="BL42" s="21">
        <f>SUM(BL38:BL41)</f>
        <v>107.91666499999999</v>
      </c>
      <c r="BM42" s="21">
        <f t="shared" ref="BM42:BO42" si="292">SUM(BM38:BM41)</f>
        <v>100.1251</v>
      </c>
      <c r="BN42" s="21">
        <f t="shared" si="292"/>
        <v>527.75010099999997</v>
      </c>
      <c r="BO42" s="21">
        <f t="shared" si="292"/>
        <v>0</v>
      </c>
      <c r="BP42" s="21">
        <f>SUM(BP38:BP41)</f>
        <v>0</v>
      </c>
      <c r="BQ42" s="21">
        <f t="shared" ref="BQ42:BR42" si="293">SUM(BQ38:BQ41)</f>
        <v>527.75010099999997</v>
      </c>
      <c r="BR42" s="21">
        <f t="shared" si="293"/>
        <v>0</v>
      </c>
      <c r="BS42" s="21">
        <f>SUM(BS38:BS41)</f>
        <v>155</v>
      </c>
      <c r="BT42" s="21">
        <f t="shared" ref="BT42:BV42" si="294">SUM(BT38:BT41)</f>
        <v>78.416664999999995</v>
      </c>
      <c r="BU42" s="21">
        <f t="shared" si="294"/>
        <v>451.16676600000005</v>
      </c>
      <c r="BV42" s="21">
        <f t="shared" si="294"/>
        <v>0</v>
      </c>
      <c r="BW42" s="21">
        <f>SUM(BW38:BW41)</f>
        <v>0</v>
      </c>
      <c r="BX42" s="21">
        <f>SUM(BX38:BX41)</f>
        <v>451.16676600000005</v>
      </c>
      <c r="BY42" s="21">
        <f t="shared" ref="BY42" si="295">SUM(BY38:BY41)</f>
        <v>0</v>
      </c>
      <c r="BZ42" s="21">
        <f>SUM(BZ38:BZ41)</f>
        <v>62</v>
      </c>
      <c r="CA42" s="21">
        <f t="shared" ref="CA42:CC42" si="296">SUM(CA38:CA41)</f>
        <v>37.541699999999999</v>
      </c>
      <c r="CB42" s="21">
        <f>SUM(CB38:CB41)</f>
        <v>426.7084660000001</v>
      </c>
      <c r="CC42" s="21">
        <f t="shared" si="296"/>
        <v>0</v>
      </c>
      <c r="CD42" s="21">
        <f>SUM(CD38:CD41)</f>
        <v>0</v>
      </c>
      <c r="CE42" s="21">
        <f>SUM(CE38:CE41)</f>
        <v>426.7084660000001</v>
      </c>
      <c r="CF42" s="21">
        <f t="shared" ref="CF42" si="297">SUM(CF38:CF41)</f>
        <v>-2.0100000000100593E-4</v>
      </c>
      <c r="CG42" s="21">
        <f>SUM(CG38:CG41)</f>
        <v>145.99</v>
      </c>
      <c r="CH42" s="21">
        <f t="shared" ref="CH42" si="298">SUM(CH38:CH41)</f>
        <v>26.125200000000003</v>
      </c>
      <c r="CI42" s="21">
        <f>SUM(CI38:CI41)</f>
        <v>306.84346500000004</v>
      </c>
    </row>
    <row r="43" spans="1:87" ht="17.149999999999999" customHeight="1" x14ac:dyDescent="0.25">
      <c r="A43" s="6" t="s">
        <v>46</v>
      </c>
      <c r="B43" s="7" t="s">
        <v>43</v>
      </c>
      <c r="C43" s="20">
        <v>750</v>
      </c>
      <c r="D43" s="26">
        <v>2746.212121212121</v>
      </c>
      <c r="E43" s="8">
        <v>24</v>
      </c>
      <c r="F43" s="19">
        <v>52.666665999999999</v>
      </c>
      <c r="G43" s="20">
        <v>167</v>
      </c>
      <c r="H43" s="20">
        <v>152.04</v>
      </c>
      <c r="I43" s="20">
        <v>18.46</v>
      </c>
      <c r="J43" s="20">
        <f t="shared" ref="J43:J45" si="299">F43+G43+I43-H43</f>
        <v>86.086666000000008</v>
      </c>
      <c r="K43" s="20"/>
      <c r="L43" s="20"/>
      <c r="M43" s="19">
        <f>J43</f>
        <v>86.086666000000008</v>
      </c>
      <c r="N43" s="20">
        <v>200</v>
      </c>
      <c r="O43" s="20">
        <v>194.67000000000002</v>
      </c>
      <c r="P43" s="20">
        <v>0.33</v>
      </c>
      <c r="Q43" s="20">
        <f>M43+N43+P43-O43</f>
        <v>91.746666000000005</v>
      </c>
      <c r="R43" s="20"/>
      <c r="S43" s="20">
        <v>150</v>
      </c>
      <c r="T43" s="19">
        <f t="shared" ref="T43:T45" si="300">Q43</f>
        <v>91.746666000000005</v>
      </c>
      <c r="U43" s="20">
        <v>200</v>
      </c>
      <c r="V43" s="20">
        <v>180.76</v>
      </c>
      <c r="W43" s="20"/>
      <c r="X43" s="20">
        <f>T43+U43+W43-V43</f>
        <v>110.98666600000001</v>
      </c>
      <c r="Y43" s="20"/>
      <c r="Z43" s="20"/>
      <c r="AA43" s="19">
        <f t="shared" ref="AA43:AA45" si="301">X43</f>
        <v>110.98666600000001</v>
      </c>
      <c r="AB43" s="20"/>
      <c r="AC43" s="20">
        <v>124.75</v>
      </c>
      <c r="AD43" s="20">
        <v>14.5</v>
      </c>
      <c r="AE43" s="20">
        <f>AA43+AB43+AD43-AC43</f>
        <v>0.73666600000001381</v>
      </c>
      <c r="AF43" s="20"/>
      <c r="AG43" s="20"/>
      <c r="AH43" s="19">
        <f t="shared" ref="AH43:AH45" si="302">AE43</f>
        <v>0.73666600000001381</v>
      </c>
      <c r="AI43" s="20">
        <v>300</v>
      </c>
      <c r="AJ43" s="20">
        <v>250.55</v>
      </c>
      <c r="AK43" s="20">
        <v>15.93</v>
      </c>
      <c r="AL43" s="20">
        <f>AH43+AI43+AK43-AJ43</f>
        <v>66.116666000000009</v>
      </c>
      <c r="AM43" s="20"/>
      <c r="AN43" s="20">
        <v>350</v>
      </c>
      <c r="AO43" s="19">
        <f t="shared" ref="AO43:AO45" si="303">AL43</f>
        <v>66.116666000000009</v>
      </c>
      <c r="AP43" s="20">
        <v>350</v>
      </c>
      <c r="AQ43" s="20">
        <v>224.125</v>
      </c>
      <c r="AR43" s="20">
        <v>40</v>
      </c>
      <c r="AS43" s="20">
        <f>AO43+AP43+AR43-AQ43</f>
        <v>231.99166600000001</v>
      </c>
      <c r="AT43" s="20"/>
      <c r="AU43" s="20"/>
      <c r="AV43" s="19">
        <f t="shared" ref="AV43:AV45" si="304">AS43</f>
        <v>231.99166600000001</v>
      </c>
      <c r="AW43" s="20"/>
      <c r="AX43" s="20">
        <v>66.625</v>
      </c>
      <c r="AY43" s="20"/>
      <c r="AZ43" s="20">
        <f>AV43+AW43+AY43-AX43</f>
        <v>165.36666600000001</v>
      </c>
      <c r="BA43" s="20"/>
      <c r="BB43" s="20"/>
      <c r="BC43" s="19">
        <f>AZ43</f>
        <v>165.36666600000001</v>
      </c>
      <c r="BD43" s="20">
        <v>350</v>
      </c>
      <c r="BE43" s="20">
        <v>116</v>
      </c>
      <c r="BF43" s="20">
        <v>17</v>
      </c>
      <c r="BG43" s="20">
        <f t="shared" ref="BG43:BG45" si="305">BC43+BD43+BF43-BE43</f>
        <v>416.36666600000001</v>
      </c>
      <c r="BH43" s="20"/>
      <c r="BI43" s="20"/>
      <c r="BJ43" s="19">
        <f>BG43</f>
        <v>416.36666600000001</v>
      </c>
      <c r="BK43" s="20">
        <v>200</v>
      </c>
      <c r="BL43" s="20">
        <v>180.91666599999999</v>
      </c>
      <c r="BM43" s="20">
        <v>25.916699999999999</v>
      </c>
      <c r="BN43" s="20">
        <f t="shared" ref="BN43:BN45" si="306">BJ43+BK43+BM43-BL43</f>
        <v>461.36670000000004</v>
      </c>
      <c r="BO43" s="20"/>
      <c r="BP43" s="20"/>
      <c r="BQ43" s="19">
        <f>BN43</f>
        <v>461.36670000000004</v>
      </c>
      <c r="BR43" s="20"/>
      <c r="BS43" s="20">
        <v>247</v>
      </c>
      <c r="BT43" s="20">
        <v>15.833333</v>
      </c>
      <c r="BU43" s="20">
        <f>BQ43+BR43+BT43-BS43</f>
        <v>230.20003300000002</v>
      </c>
      <c r="BV43" s="20"/>
      <c r="BW43" s="20"/>
      <c r="BX43" s="19">
        <f>BU43</f>
        <v>230.20003300000002</v>
      </c>
      <c r="BY43" s="20">
        <v>0</v>
      </c>
      <c r="BZ43" s="20">
        <v>62</v>
      </c>
      <c r="CA43" s="20">
        <v>11</v>
      </c>
      <c r="CB43" s="20">
        <f>BX43+BY43+CA43-BZ43</f>
        <v>179.20003300000002</v>
      </c>
      <c r="CC43" s="20">
        <v>250</v>
      </c>
      <c r="CD43" s="20"/>
      <c r="CE43" s="19">
        <f>CB43</f>
        <v>179.20003300000002</v>
      </c>
      <c r="CF43" s="20">
        <v>250.000066</v>
      </c>
      <c r="CG43" s="20">
        <v>200.04166599999999</v>
      </c>
      <c r="CH43" s="20">
        <v>73.166600000000003</v>
      </c>
      <c r="CI43" s="20">
        <f>CE43+CF43+CH43-CG43</f>
        <v>302.32503300000008</v>
      </c>
    </row>
    <row r="44" spans="1:87" ht="17.149999999999999" customHeight="1" x14ac:dyDescent="0.25">
      <c r="A44" s="6" t="s">
        <v>46</v>
      </c>
      <c r="B44" s="7" t="s">
        <v>44</v>
      </c>
      <c r="C44" s="20">
        <v>750</v>
      </c>
      <c r="D44" s="26">
        <v>2746.212121212121</v>
      </c>
      <c r="E44" s="8">
        <v>24</v>
      </c>
      <c r="F44" s="19">
        <v>36.75</v>
      </c>
      <c r="G44" s="20">
        <v>130</v>
      </c>
      <c r="H44" s="20">
        <v>154.01</v>
      </c>
      <c r="I44" s="20">
        <v>25.339999999999996</v>
      </c>
      <c r="J44" s="20">
        <f t="shared" si="299"/>
        <v>38.080000000000013</v>
      </c>
      <c r="K44" s="20"/>
      <c r="L44" s="20"/>
      <c r="M44" s="19">
        <f>J44</f>
        <v>38.080000000000013</v>
      </c>
      <c r="N44" s="20">
        <v>196</v>
      </c>
      <c r="O44" s="20">
        <v>189.07999999999998</v>
      </c>
      <c r="P44" s="20">
        <v>0</v>
      </c>
      <c r="Q44" s="20">
        <f t="shared" ref="Q44:Q45" si="307">M44+N44+P44-O44</f>
        <v>45.000000000000028</v>
      </c>
      <c r="R44" s="20">
        <v>4</v>
      </c>
      <c r="S44" s="20">
        <v>150</v>
      </c>
      <c r="T44" s="19">
        <f t="shared" si="300"/>
        <v>45.000000000000028</v>
      </c>
      <c r="U44" s="20">
        <v>200</v>
      </c>
      <c r="V44" s="20">
        <v>154</v>
      </c>
      <c r="W44" s="20"/>
      <c r="X44" s="20">
        <f t="shared" ref="X44" si="308">T44+U44+W44-V44</f>
        <v>91.000000000000028</v>
      </c>
      <c r="Y44" s="20"/>
      <c r="Z44" s="20"/>
      <c r="AA44" s="19">
        <f t="shared" si="301"/>
        <v>91.000000000000028</v>
      </c>
      <c r="AB44" s="20"/>
      <c r="AC44" s="20">
        <v>110.34</v>
      </c>
      <c r="AD44" s="20">
        <v>19.8</v>
      </c>
      <c r="AE44" s="20">
        <f t="shared" ref="AE44" si="309">AA44+AB44+AD44-AC44</f>
        <v>0.46000000000002217</v>
      </c>
      <c r="AF44" s="20"/>
      <c r="AG44" s="20"/>
      <c r="AH44" s="19">
        <f t="shared" si="302"/>
        <v>0.46000000000002217</v>
      </c>
      <c r="AI44" s="20">
        <v>350</v>
      </c>
      <c r="AJ44" s="20">
        <v>247.42000000000002</v>
      </c>
      <c r="AK44" s="20">
        <v>8.379999999999999</v>
      </c>
      <c r="AL44" s="20">
        <f t="shared" ref="AL44" si="310">AH44+AI44+AK44-AJ44</f>
        <v>111.42000000000002</v>
      </c>
      <c r="AM44" s="20"/>
      <c r="AN44" s="20">
        <v>350</v>
      </c>
      <c r="AO44" s="19">
        <f t="shared" si="303"/>
        <v>111.42000000000002</v>
      </c>
      <c r="AP44" s="20">
        <v>350</v>
      </c>
      <c r="AQ44" s="20">
        <v>203</v>
      </c>
      <c r="AR44" s="20"/>
      <c r="AS44" s="20">
        <f t="shared" ref="AS44" si="311">AO44+AP44+AR44-AQ44</f>
        <v>258.42</v>
      </c>
      <c r="AT44" s="20"/>
      <c r="AU44" s="20"/>
      <c r="AV44" s="19">
        <f t="shared" si="304"/>
        <v>258.42</v>
      </c>
      <c r="AW44" s="20"/>
      <c r="AX44" s="20">
        <v>33.166699999999999</v>
      </c>
      <c r="AY44" s="20"/>
      <c r="AZ44" s="20">
        <f t="shared" ref="AZ44" si="312">AV44+AW44+AY44-AX44</f>
        <v>225.25330000000002</v>
      </c>
      <c r="BA44" s="20"/>
      <c r="BB44" s="20"/>
      <c r="BC44" s="19">
        <f>AZ44</f>
        <v>225.25330000000002</v>
      </c>
      <c r="BD44" s="20">
        <v>350</v>
      </c>
      <c r="BE44" s="20">
        <v>99</v>
      </c>
      <c r="BF44" s="20">
        <v>29</v>
      </c>
      <c r="BG44" s="20">
        <f t="shared" si="305"/>
        <v>505.25330000000008</v>
      </c>
      <c r="BH44" s="20"/>
      <c r="BI44" s="20"/>
      <c r="BJ44" s="19">
        <f>BG44</f>
        <v>505.25330000000008</v>
      </c>
      <c r="BK44" s="20">
        <v>150</v>
      </c>
      <c r="BL44" s="20">
        <v>188.58333300000001</v>
      </c>
      <c r="BM44" s="20">
        <v>61.208300000000001</v>
      </c>
      <c r="BN44" s="20">
        <f t="shared" si="306"/>
        <v>527.87826700000005</v>
      </c>
      <c r="BO44" s="20"/>
      <c r="BP44" s="20"/>
      <c r="BQ44" s="19">
        <f>BN44</f>
        <v>527.87826700000005</v>
      </c>
      <c r="BR44" s="20"/>
      <c r="BS44" s="20">
        <v>231</v>
      </c>
      <c r="BT44" s="20">
        <v>17.083333</v>
      </c>
      <c r="BU44" s="20">
        <f t="shared" ref="BU44" si="313">BQ44+BR44+BT44-BS44</f>
        <v>313.96160000000009</v>
      </c>
      <c r="BV44" s="20"/>
      <c r="BW44" s="20"/>
      <c r="BX44" s="19">
        <f>BU44</f>
        <v>313.96160000000009</v>
      </c>
      <c r="BY44" s="20">
        <v>0</v>
      </c>
      <c r="BZ44" s="20">
        <v>54</v>
      </c>
      <c r="CA44" s="20">
        <v>4.6666999999999996</v>
      </c>
      <c r="CB44" s="20">
        <f t="shared" ref="CB44:CB45" si="314">BX44+BY44+CA44-BZ44</f>
        <v>264.62830000000008</v>
      </c>
      <c r="CC44" s="20">
        <v>100</v>
      </c>
      <c r="CD44" s="20"/>
      <c r="CE44" s="19">
        <f>CB44</f>
        <v>264.62830000000008</v>
      </c>
      <c r="CF44" s="20">
        <v>100</v>
      </c>
      <c r="CG44" s="20">
        <v>163.04166599999999</v>
      </c>
      <c r="CH44" s="20">
        <v>92.5</v>
      </c>
      <c r="CI44" s="20">
        <f t="shared" ref="CI44:CI45" si="315">CE44+CF44+CH44-CG44</f>
        <v>294.08663400000012</v>
      </c>
    </row>
    <row r="45" spans="1:87" ht="17.149999999999999" customHeight="1" x14ac:dyDescent="0.25">
      <c r="A45" s="6" t="s">
        <v>46</v>
      </c>
      <c r="B45" s="7" t="s">
        <v>45</v>
      </c>
      <c r="C45" s="20">
        <v>750</v>
      </c>
      <c r="D45" s="26">
        <v>2746.212121212121</v>
      </c>
      <c r="E45" s="8">
        <v>24</v>
      </c>
      <c r="F45" s="19">
        <v>68.5</v>
      </c>
      <c r="G45" s="20">
        <v>100</v>
      </c>
      <c r="H45" s="20">
        <v>177.01</v>
      </c>
      <c r="I45" s="20">
        <v>13.129999999999999</v>
      </c>
      <c r="J45" s="20">
        <f t="shared" si="299"/>
        <v>4.6200000000000045</v>
      </c>
      <c r="K45" s="20"/>
      <c r="L45" s="20"/>
      <c r="M45" s="19">
        <f>J45</f>
        <v>4.6200000000000045</v>
      </c>
      <c r="N45" s="20">
        <v>300</v>
      </c>
      <c r="O45" s="20">
        <v>255.63</v>
      </c>
      <c r="P45" s="20">
        <v>0</v>
      </c>
      <c r="Q45" s="20">
        <f t="shared" si="307"/>
        <v>48.990000000000009</v>
      </c>
      <c r="R45" s="20"/>
      <c r="S45" s="20">
        <v>300</v>
      </c>
      <c r="T45" s="19">
        <f t="shared" si="300"/>
        <v>48.990000000000009</v>
      </c>
      <c r="U45" s="20">
        <v>400</v>
      </c>
      <c r="V45" s="20">
        <v>183.01</v>
      </c>
      <c r="W45" s="20"/>
      <c r="X45" s="20">
        <f>T45+U45+W45-V45</f>
        <v>265.98</v>
      </c>
      <c r="Y45" s="20"/>
      <c r="Z45" s="20"/>
      <c r="AA45" s="19">
        <f t="shared" si="301"/>
        <v>265.98</v>
      </c>
      <c r="AB45" s="20"/>
      <c r="AC45" s="20">
        <v>145.88</v>
      </c>
      <c r="AD45" s="20">
        <v>17.419999999999998</v>
      </c>
      <c r="AE45" s="20">
        <f>AA45+AB45+AD45-AC45</f>
        <v>137.52000000000004</v>
      </c>
      <c r="AF45" s="20"/>
      <c r="AG45" s="20"/>
      <c r="AH45" s="19">
        <f t="shared" si="302"/>
        <v>137.52000000000004</v>
      </c>
      <c r="AI45" s="20">
        <v>400</v>
      </c>
      <c r="AJ45" s="20">
        <v>283.42</v>
      </c>
      <c r="AK45" s="20">
        <v>12.55</v>
      </c>
      <c r="AL45" s="20">
        <f>AH45+AI45+AK45-AJ45</f>
        <v>266.64999999999992</v>
      </c>
      <c r="AM45" s="20"/>
      <c r="AN45" s="20">
        <v>300</v>
      </c>
      <c r="AO45" s="19">
        <f t="shared" si="303"/>
        <v>266.64999999999992</v>
      </c>
      <c r="AP45" s="20">
        <v>300</v>
      </c>
      <c r="AQ45" s="20">
        <v>277</v>
      </c>
      <c r="AR45" s="20">
        <v>50</v>
      </c>
      <c r="AS45" s="20">
        <f>AO45+AP45+AR45-AQ45</f>
        <v>339.64999999999986</v>
      </c>
      <c r="AT45" s="20"/>
      <c r="AU45" s="20"/>
      <c r="AV45" s="19">
        <f t="shared" si="304"/>
        <v>339.64999999999986</v>
      </c>
      <c r="AW45" s="20"/>
      <c r="AX45" s="20">
        <v>83.416699999999992</v>
      </c>
      <c r="AY45" s="20"/>
      <c r="AZ45" s="20">
        <f>AV45+AW45+AY45-AX45</f>
        <v>256.23329999999987</v>
      </c>
      <c r="BA45" s="20"/>
      <c r="BB45" s="20"/>
      <c r="BC45" s="19">
        <f>AZ45</f>
        <v>256.23329999999987</v>
      </c>
      <c r="BD45" s="20">
        <v>300</v>
      </c>
      <c r="BE45" s="20">
        <v>288.04166600000002</v>
      </c>
      <c r="BF45" s="20">
        <v>54</v>
      </c>
      <c r="BG45" s="20">
        <f t="shared" si="305"/>
        <v>322.19163399999985</v>
      </c>
      <c r="BH45" s="20"/>
      <c r="BI45" s="20"/>
      <c r="BJ45" s="19">
        <f>BG45</f>
        <v>322.19163399999985</v>
      </c>
      <c r="BK45" s="20">
        <v>400</v>
      </c>
      <c r="BL45" s="20">
        <v>175.58333300000001</v>
      </c>
      <c r="BM45" s="20">
        <v>63.583300000000001</v>
      </c>
      <c r="BN45" s="20">
        <f t="shared" si="306"/>
        <v>610.19160099999976</v>
      </c>
      <c r="BO45" s="20"/>
      <c r="BP45" s="20"/>
      <c r="BQ45" s="19">
        <f>BN45</f>
        <v>610.19160099999976</v>
      </c>
      <c r="BR45" s="20"/>
      <c r="BS45" s="20">
        <v>299</v>
      </c>
      <c r="BT45" s="20">
        <v>2</v>
      </c>
      <c r="BU45" s="20">
        <f>BQ45+BR45+BT45-BS45</f>
        <v>313.19160099999976</v>
      </c>
      <c r="BV45" s="20"/>
      <c r="BW45" s="20"/>
      <c r="BX45" s="19">
        <f>BU45</f>
        <v>313.19160099999976</v>
      </c>
      <c r="BY45" s="20">
        <v>0</v>
      </c>
      <c r="BZ45" s="20">
        <v>139</v>
      </c>
      <c r="CA45" s="20">
        <v>9.25</v>
      </c>
      <c r="CB45" s="20">
        <f t="shared" si="314"/>
        <v>183.44160099999976</v>
      </c>
      <c r="CC45" s="20">
        <v>150</v>
      </c>
      <c r="CD45" s="20"/>
      <c r="CE45" s="19">
        <f>CB45</f>
        <v>183.44160099999976</v>
      </c>
      <c r="CF45" s="20">
        <v>150.00003300000003</v>
      </c>
      <c r="CG45" s="20">
        <v>243.04166599999999</v>
      </c>
      <c r="CH45" s="20">
        <v>87.458299999999994</v>
      </c>
      <c r="CI45" s="20">
        <f t="shared" si="315"/>
        <v>177.85826799999981</v>
      </c>
    </row>
    <row r="46" spans="1:87" ht="17.149999999999999" customHeight="1" x14ac:dyDescent="0.25">
      <c r="A46" s="9"/>
      <c r="B46" s="10" t="s">
        <v>41</v>
      </c>
      <c r="C46" s="21"/>
      <c r="D46" s="10"/>
      <c r="E46" s="11"/>
      <c r="F46" s="21">
        <f t="shared" ref="F46:S46" si="316">SUM(F43:F45)</f>
        <v>157.91666599999999</v>
      </c>
      <c r="G46" s="21">
        <f t="shared" si="316"/>
        <v>397</v>
      </c>
      <c r="H46" s="21">
        <f t="shared" si="316"/>
        <v>483.05999999999995</v>
      </c>
      <c r="I46" s="21">
        <f t="shared" si="316"/>
        <v>56.929999999999993</v>
      </c>
      <c r="J46" s="21">
        <f t="shared" si="316"/>
        <v>128.78666600000003</v>
      </c>
      <c r="K46" s="21">
        <f>SUM(K43:K45)</f>
        <v>0</v>
      </c>
      <c r="L46" s="21">
        <f t="shared" si="316"/>
        <v>0</v>
      </c>
      <c r="M46" s="21">
        <f t="shared" si="316"/>
        <v>128.78666600000003</v>
      </c>
      <c r="N46" s="21">
        <f t="shared" si="316"/>
        <v>696</v>
      </c>
      <c r="O46" s="21">
        <f t="shared" si="316"/>
        <v>639.38</v>
      </c>
      <c r="P46" s="21">
        <f t="shared" si="316"/>
        <v>0.33</v>
      </c>
      <c r="Q46" s="21">
        <f t="shared" si="316"/>
        <v>185.73666600000004</v>
      </c>
      <c r="R46" s="21">
        <f t="shared" si="316"/>
        <v>4</v>
      </c>
      <c r="S46" s="21">
        <f t="shared" si="316"/>
        <v>600</v>
      </c>
      <c r="T46" s="21">
        <f t="shared" ref="T46:Z46" si="317">SUM(T43:T45)</f>
        <v>185.73666600000004</v>
      </c>
      <c r="U46" s="21">
        <f t="shared" si="317"/>
        <v>800</v>
      </c>
      <c r="V46" s="21">
        <f t="shared" si="317"/>
        <v>517.77</v>
      </c>
      <c r="W46" s="21">
        <f t="shared" si="317"/>
        <v>0</v>
      </c>
      <c r="X46" s="21">
        <f t="shared" si="317"/>
        <v>467.96666600000003</v>
      </c>
      <c r="Y46" s="21">
        <f t="shared" si="317"/>
        <v>0</v>
      </c>
      <c r="Z46" s="21">
        <f t="shared" si="317"/>
        <v>0</v>
      </c>
      <c r="AA46" s="21">
        <f t="shared" ref="AA46:AG46" si="318">SUM(AA43:AA45)</f>
        <v>467.96666600000003</v>
      </c>
      <c r="AB46" s="21">
        <f t="shared" si="318"/>
        <v>0</v>
      </c>
      <c r="AC46" s="21">
        <f t="shared" si="318"/>
        <v>380.97</v>
      </c>
      <c r="AD46" s="21">
        <f t="shared" si="318"/>
        <v>51.72</v>
      </c>
      <c r="AE46" s="21">
        <f t="shared" si="318"/>
        <v>138.71666600000009</v>
      </c>
      <c r="AF46" s="21">
        <f t="shared" si="318"/>
        <v>0</v>
      </c>
      <c r="AG46" s="21">
        <f t="shared" si="318"/>
        <v>0</v>
      </c>
      <c r="AH46" s="21">
        <f t="shared" ref="AH46:AN46" si="319">SUM(AH43:AH45)</f>
        <v>138.71666600000009</v>
      </c>
      <c r="AI46" s="21">
        <f t="shared" si="319"/>
        <v>1050</v>
      </c>
      <c r="AJ46" s="21">
        <f t="shared" si="319"/>
        <v>781.3900000000001</v>
      </c>
      <c r="AK46" s="21">
        <f t="shared" si="319"/>
        <v>36.86</v>
      </c>
      <c r="AL46" s="21">
        <f t="shared" si="319"/>
        <v>444.18666599999995</v>
      </c>
      <c r="AM46" s="21">
        <f t="shared" si="319"/>
        <v>0</v>
      </c>
      <c r="AN46" s="21">
        <f t="shared" si="319"/>
        <v>1000</v>
      </c>
      <c r="AO46" s="21">
        <f t="shared" ref="AO46:AU46" si="320">SUM(AO43:AO45)</f>
        <v>444.18666599999995</v>
      </c>
      <c r="AP46" s="21">
        <f t="shared" si="320"/>
        <v>1000</v>
      </c>
      <c r="AQ46" s="21">
        <f t="shared" si="320"/>
        <v>704.125</v>
      </c>
      <c r="AR46" s="21">
        <f t="shared" si="320"/>
        <v>90</v>
      </c>
      <c r="AS46" s="21">
        <f t="shared" si="320"/>
        <v>830.06166599999983</v>
      </c>
      <c r="AT46" s="21">
        <f t="shared" si="320"/>
        <v>0</v>
      </c>
      <c r="AU46" s="21">
        <f t="shared" si="320"/>
        <v>0</v>
      </c>
      <c r="AV46" s="21">
        <f t="shared" ref="AV46:BB46" si="321">SUM(AV43:AV45)</f>
        <v>830.06166599999983</v>
      </c>
      <c r="AW46" s="21">
        <f t="shared" si="321"/>
        <v>0</v>
      </c>
      <c r="AX46" s="21">
        <f t="shared" si="321"/>
        <v>183.20839999999998</v>
      </c>
      <c r="AY46" s="21">
        <f t="shared" si="321"/>
        <v>0</v>
      </c>
      <c r="AZ46" s="21">
        <f t="shared" si="321"/>
        <v>646.85326599999985</v>
      </c>
      <c r="BA46" s="21">
        <f t="shared" si="321"/>
        <v>0</v>
      </c>
      <c r="BB46" s="21">
        <f t="shared" si="321"/>
        <v>0</v>
      </c>
      <c r="BC46" s="21">
        <f t="shared" ref="BC46:BI46" si="322">SUM(BC43:BC45)</f>
        <v>646.85326599999985</v>
      </c>
      <c r="BD46" s="21">
        <f t="shared" si="322"/>
        <v>1000</v>
      </c>
      <c r="BE46" s="21">
        <f t="shared" si="322"/>
        <v>503.04166600000002</v>
      </c>
      <c r="BF46" s="21">
        <f t="shared" si="322"/>
        <v>100</v>
      </c>
      <c r="BG46" s="21">
        <f t="shared" si="322"/>
        <v>1243.8116</v>
      </c>
      <c r="BH46" s="21">
        <f t="shared" si="322"/>
        <v>0</v>
      </c>
      <c r="BI46" s="21">
        <f t="shared" si="322"/>
        <v>0</v>
      </c>
      <c r="BJ46" s="21">
        <f t="shared" ref="BJ46:BP46" si="323">SUM(BJ43:BJ45)</f>
        <v>1243.8116</v>
      </c>
      <c r="BK46" s="21">
        <f t="shared" si="323"/>
        <v>750</v>
      </c>
      <c r="BL46" s="21">
        <f t="shared" si="323"/>
        <v>545.08333200000004</v>
      </c>
      <c r="BM46" s="21">
        <f t="shared" si="323"/>
        <v>150.70830000000001</v>
      </c>
      <c r="BN46" s="21">
        <f t="shared" si="323"/>
        <v>1599.4365679999999</v>
      </c>
      <c r="BO46" s="21">
        <f t="shared" si="323"/>
        <v>0</v>
      </c>
      <c r="BP46" s="21">
        <f t="shared" si="323"/>
        <v>0</v>
      </c>
      <c r="BQ46" s="21">
        <f t="shared" ref="BQ46:BW46" si="324">SUM(BQ43:BQ45)</f>
        <v>1599.4365679999999</v>
      </c>
      <c r="BR46" s="21">
        <f t="shared" si="324"/>
        <v>0</v>
      </c>
      <c r="BS46" s="21">
        <f t="shared" si="324"/>
        <v>777</v>
      </c>
      <c r="BT46" s="21">
        <f t="shared" si="324"/>
        <v>34.916665999999999</v>
      </c>
      <c r="BU46" s="21">
        <f t="shared" si="324"/>
        <v>857.35323399999993</v>
      </c>
      <c r="BV46" s="21">
        <f t="shared" si="324"/>
        <v>0</v>
      </c>
      <c r="BW46" s="21">
        <f t="shared" si="324"/>
        <v>0</v>
      </c>
      <c r="BX46" s="21">
        <f t="shared" ref="BX46:CD46" si="325">SUM(BX43:BX45)</f>
        <v>857.35323399999993</v>
      </c>
      <c r="BY46" s="21">
        <f t="shared" si="325"/>
        <v>0</v>
      </c>
      <c r="BZ46" s="21">
        <f t="shared" si="325"/>
        <v>255</v>
      </c>
      <c r="CA46" s="21">
        <f t="shared" si="325"/>
        <v>24.916699999999999</v>
      </c>
      <c r="CB46" s="21">
        <f t="shared" si="325"/>
        <v>627.26993399999992</v>
      </c>
      <c r="CC46" s="21">
        <f t="shared" si="325"/>
        <v>500</v>
      </c>
      <c r="CD46" s="21">
        <f t="shared" si="325"/>
        <v>0</v>
      </c>
      <c r="CE46" s="21">
        <f t="shared" ref="CE46:CI46" si="326">SUM(CE43:CE45)</f>
        <v>627.26993399999992</v>
      </c>
      <c r="CF46" s="21">
        <f t="shared" si="326"/>
        <v>500.00009900000003</v>
      </c>
      <c r="CG46" s="21">
        <f t="shared" si="326"/>
        <v>606.12499800000001</v>
      </c>
      <c r="CH46" s="21">
        <f t="shared" si="326"/>
        <v>253.12490000000003</v>
      </c>
      <c r="CI46" s="21">
        <f t="shared" si="326"/>
        <v>774.26993500000003</v>
      </c>
    </row>
    <row r="47" spans="1:87" ht="17.149999999999999" customHeight="1" x14ac:dyDescent="0.25">
      <c r="A47" s="12"/>
      <c r="B47" s="13" t="s">
        <v>42</v>
      </c>
      <c r="C47" s="22"/>
      <c r="D47" s="13"/>
      <c r="E47" s="14"/>
      <c r="F47" s="22">
        <f t="shared" ref="F47:AK47" si="327">F46+F34+F31+F25+F20+F17+F13+F10+F8+F37+F42</f>
        <v>1922.2583299999999</v>
      </c>
      <c r="G47" s="22">
        <f t="shared" si="327"/>
        <v>596</v>
      </c>
      <c r="H47" s="22">
        <f t="shared" si="327"/>
        <v>1481.0899999999997</v>
      </c>
      <c r="I47" s="22">
        <f t="shared" si="327"/>
        <v>137.51</v>
      </c>
      <c r="J47" s="22">
        <f t="shared" si="327"/>
        <v>1174.6783299999997</v>
      </c>
      <c r="K47" s="22">
        <f t="shared" si="327"/>
        <v>100</v>
      </c>
      <c r="L47" s="22">
        <f t="shared" si="327"/>
        <v>1200</v>
      </c>
      <c r="M47" s="22">
        <f t="shared" si="327"/>
        <v>1174.6783299999997</v>
      </c>
      <c r="N47" s="22">
        <f t="shared" si="327"/>
        <v>2144</v>
      </c>
      <c r="O47" s="22">
        <f t="shared" si="327"/>
        <v>2215.4500000000003</v>
      </c>
      <c r="P47" s="22">
        <f t="shared" si="327"/>
        <v>101.58</v>
      </c>
      <c r="Q47" s="22">
        <f t="shared" si="327"/>
        <v>1204.8083299999998</v>
      </c>
      <c r="R47" s="22">
        <f t="shared" si="327"/>
        <v>1286</v>
      </c>
      <c r="S47" s="22">
        <f t="shared" si="327"/>
        <v>2125</v>
      </c>
      <c r="T47" s="22">
        <f t="shared" si="327"/>
        <v>1204.8083299999998</v>
      </c>
      <c r="U47" s="22">
        <f t="shared" si="327"/>
        <v>2330</v>
      </c>
      <c r="V47" s="22">
        <f t="shared" si="327"/>
        <v>1635.31</v>
      </c>
      <c r="W47" s="22">
        <f t="shared" si="327"/>
        <v>2</v>
      </c>
      <c r="X47" s="22">
        <f t="shared" si="327"/>
        <v>1901.4983300000001</v>
      </c>
      <c r="Y47" s="22">
        <f t="shared" si="327"/>
        <v>0</v>
      </c>
      <c r="Z47" s="22">
        <f t="shared" si="327"/>
        <v>0</v>
      </c>
      <c r="AA47" s="22">
        <f t="shared" si="327"/>
        <v>1901.4983300000001</v>
      </c>
      <c r="AB47" s="22">
        <f t="shared" si="327"/>
        <v>2325</v>
      </c>
      <c r="AC47" s="22">
        <f t="shared" si="327"/>
        <v>1670.5250000000001</v>
      </c>
      <c r="AD47" s="22">
        <f t="shared" si="327"/>
        <v>139.27000000000001</v>
      </c>
      <c r="AE47" s="22">
        <f t="shared" si="327"/>
        <v>2695.2433300000002</v>
      </c>
      <c r="AF47" s="22">
        <f t="shared" si="327"/>
        <v>0</v>
      </c>
      <c r="AG47" s="22">
        <f t="shared" si="327"/>
        <v>0</v>
      </c>
      <c r="AH47" s="22">
        <f t="shared" si="327"/>
        <v>2695.2433300000002</v>
      </c>
      <c r="AI47" s="22">
        <f t="shared" si="327"/>
        <v>1050</v>
      </c>
      <c r="AJ47" s="22">
        <f t="shared" si="327"/>
        <v>2184.8416000000002</v>
      </c>
      <c r="AK47" s="22">
        <f t="shared" si="327"/>
        <v>182.92000000000002</v>
      </c>
      <c r="AL47" s="22">
        <f t="shared" ref="AL47:BP47" si="328">AL46+AL34+AL31+AL25+AL20+AL17+AL13+AL10+AL8+AL37+AL42</f>
        <v>1743.3217299999999</v>
      </c>
      <c r="AM47" s="22">
        <f t="shared" si="328"/>
        <v>1120</v>
      </c>
      <c r="AN47" s="22">
        <f t="shared" si="328"/>
        <v>2565</v>
      </c>
      <c r="AO47" s="22">
        <f t="shared" si="328"/>
        <v>1743.3217299999999</v>
      </c>
      <c r="AP47" s="22">
        <f t="shared" si="328"/>
        <v>3625</v>
      </c>
      <c r="AQ47" s="22">
        <f t="shared" si="328"/>
        <v>2472.625</v>
      </c>
      <c r="AR47" s="22">
        <f t="shared" si="328"/>
        <v>95</v>
      </c>
      <c r="AS47" s="22">
        <f t="shared" si="328"/>
        <v>2990.6967299999997</v>
      </c>
      <c r="AT47" s="22">
        <f t="shared" si="328"/>
        <v>0</v>
      </c>
      <c r="AU47" s="22">
        <f t="shared" si="328"/>
        <v>0</v>
      </c>
      <c r="AV47" s="22">
        <f t="shared" si="328"/>
        <v>2990.6967299999997</v>
      </c>
      <c r="AW47" s="22">
        <f t="shared" si="328"/>
        <v>0</v>
      </c>
      <c r="AX47" s="22">
        <f t="shared" si="328"/>
        <v>714.91949999999997</v>
      </c>
      <c r="AY47" s="22">
        <f t="shared" si="328"/>
        <v>3.47</v>
      </c>
      <c r="AZ47" s="22">
        <f t="shared" si="328"/>
        <v>2279.2472299999995</v>
      </c>
      <c r="BA47" s="22">
        <f t="shared" si="328"/>
        <v>0</v>
      </c>
      <c r="BB47" s="22">
        <f t="shared" si="328"/>
        <v>0</v>
      </c>
      <c r="BC47" s="22">
        <f t="shared" si="328"/>
        <v>2279.2472299999995</v>
      </c>
      <c r="BD47" s="22">
        <f t="shared" si="328"/>
        <v>1991</v>
      </c>
      <c r="BE47" s="22">
        <f t="shared" si="328"/>
        <v>1877.139999</v>
      </c>
      <c r="BF47" s="22">
        <f t="shared" si="328"/>
        <v>133</v>
      </c>
      <c r="BG47" s="22">
        <f t="shared" si="328"/>
        <v>2526.1072310000004</v>
      </c>
      <c r="BH47" s="22">
        <f t="shared" si="328"/>
        <v>930</v>
      </c>
      <c r="BI47" s="22">
        <f t="shared" si="328"/>
        <v>0</v>
      </c>
      <c r="BJ47" s="22">
        <f t="shared" si="328"/>
        <v>2526.1072310000004</v>
      </c>
      <c r="BK47" s="22">
        <f t="shared" si="328"/>
        <v>2549</v>
      </c>
      <c r="BL47" s="22">
        <f t="shared" si="328"/>
        <v>1861.3509680000002</v>
      </c>
      <c r="BM47" s="22">
        <f t="shared" si="328"/>
        <v>483.34100000000001</v>
      </c>
      <c r="BN47" s="22">
        <f t="shared" si="328"/>
        <v>3697.0972630000001</v>
      </c>
      <c r="BO47" s="22">
        <f t="shared" si="328"/>
        <v>525</v>
      </c>
      <c r="BP47" s="22">
        <f t="shared" si="328"/>
        <v>0</v>
      </c>
      <c r="BQ47" s="22">
        <f t="shared" ref="BQ47:BW47" si="329">BQ46+BQ34+BQ31+BQ25+BQ20+BQ17+BQ13+BQ10+BQ8+BQ37+BQ42</f>
        <v>3697.0972630000001</v>
      </c>
      <c r="BR47" s="22">
        <f t="shared" si="329"/>
        <v>0</v>
      </c>
      <c r="BS47" s="22">
        <f t="shared" si="329"/>
        <v>1986.2829160000001</v>
      </c>
      <c r="BT47" s="22">
        <f t="shared" si="329"/>
        <v>220.74249700000001</v>
      </c>
      <c r="BU47" s="22">
        <f t="shared" si="329"/>
        <v>1931.5568439999997</v>
      </c>
      <c r="BV47" s="22">
        <f>BV46+BV34+BV31+BV25+BV20+BV17+BV13+BV10+BV8+BV37+BV42</f>
        <v>1375</v>
      </c>
      <c r="BW47" s="22">
        <f t="shared" si="329"/>
        <v>0</v>
      </c>
      <c r="BX47" s="22">
        <f t="shared" ref="BX47:CB47" si="330">BX46+BX34+BX31+BX25+BX20+BX17+BX13+BX10+BX8+BX37+BX42</f>
        <v>1931.5568439999997</v>
      </c>
      <c r="BY47" s="22">
        <f t="shared" si="330"/>
        <v>705</v>
      </c>
      <c r="BZ47" s="22">
        <f t="shared" si="330"/>
        <v>1112.4100000000001</v>
      </c>
      <c r="CA47" s="22">
        <f t="shared" si="330"/>
        <v>123.9871</v>
      </c>
      <c r="CB47" s="22">
        <f t="shared" si="330"/>
        <v>1648.1339440000002</v>
      </c>
      <c r="CC47" s="22">
        <f>CC46+CC34+CC31+CC25+CC20+CC17+CC13+CC10+CC8+CC37+CC42</f>
        <v>615</v>
      </c>
      <c r="CD47" s="22">
        <f t="shared" ref="CD47:CI47" si="331">CD46+CD34+CD31+CD25+CD20+CD17+CD13+CD10+CD8+CD37+CD42</f>
        <v>0</v>
      </c>
      <c r="CE47" s="22">
        <f t="shared" si="331"/>
        <v>1648.1339440000002</v>
      </c>
      <c r="CF47" s="22">
        <f t="shared" si="331"/>
        <v>3051.9998519999999</v>
      </c>
      <c r="CG47" s="22">
        <f t="shared" si="331"/>
        <v>2347.2941639999999</v>
      </c>
      <c r="CH47" s="22">
        <f t="shared" si="331"/>
        <v>425.02820000000003</v>
      </c>
      <c r="CI47" s="22">
        <f t="shared" si="331"/>
        <v>2777.8678319999999</v>
      </c>
    </row>
    <row r="48" spans="1:87" x14ac:dyDescent="0.25">
      <c r="BJ48" s="28"/>
      <c r="BK48" s="28"/>
      <c r="BL48" s="28"/>
      <c r="BQ48" s="28"/>
      <c r="BR48" s="28"/>
      <c r="BS48" s="28"/>
      <c r="BX48" s="28"/>
      <c r="BY48" s="28"/>
      <c r="BZ48" s="28"/>
      <c r="CE48" s="28"/>
      <c r="CF48" s="28"/>
      <c r="CG48" s="28">
        <f>CG47-CH47</f>
        <v>1922.2659639999999</v>
      </c>
    </row>
    <row r="49" spans="29:85" x14ac:dyDescent="0.25">
      <c r="BE49" s="27"/>
      <c r="BG49" s="27"/>
      <c r="BJ49" s="27"/>
      <c r="BL49" s="27"/>
      <c r="BQ49" s="27"/>
      <c r="BS49" s="27"/>
      <c r="BX49" s="27"/>
      <c r="BZ49" s="27"/>
      <c r="CE49" s="27"/>
      <c r="CG49" s="27"/>
    </row>
    <row r="51" spans="29:85" x14ac:dyDescent="0.25">
      <c r="AC51">
        <v>875</v>
      </c>
      <c r="AJ51">
        <v>875</v>
      </c>
    </row>
    <row r="52" spans="29:85" x14ac:dyDescent="0.25">
      <c r="AC52">
        <v>1450</v>
      </c>
      <c r="AJ52">
        <v>1450</v>
      </c>
    </row>
  </sheetData>
  <autoFilter ref="A4:CI48" xr:uid="{00000000-0001-0000-0000-000000000000}"/>
  <mergeCells count="12">
    <mergeCell ref="F3:J3"/>
    <mergeCell ref="M3:Q3"/>
    <mergeCell ref="AV3:AZ3"/>
    <mergeCell ref="AO3:AS3"/>
    <mergeCell ref="AH3:AL3"/>
    <mergeCell ref="AA3:AE3"/>
    <mergeCell ref="T3:X3"/>
    <mergeCell ref="CE3:CI3"/>
    <mergeCell ref="BX3:CB3"/>
    <mergeCell ref="BQ3:BU3"/>
    <mergeCell ref="BJ3:BN3"/>
    <mergeCell ref="BC3:BG3"/>
  </mergeCells>
  <phoneticPr fontId="20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F8F0-C2DB-4FA4-9E6E-66683FB4B812}">
  <dimension ref="A2:CO77"/>
  <sheetViews>
    <sheetView tabSelected="1" workbookViewId="0">
      <pane xSplit="2" ySplit="4" topLeftCell="CI31" activePane="bottomRight" state="frozen"/>
      <selection pane="topRight" activeCell="C1" sqref="C1"/>
      <selection pane="bottomLeft" activeCell="A5" sqref="A5"/>
      <selection pane="bottomRight" activeCell="CN68" sqref="CN68"/>
    </sheetView>
  </sheetViews>
  <sheetFormatPr defaultColWidth="15.3984375" defaultRowHeight="11.5" x14ac:dyDescent="0.25"/>
  <cols>
    <col min="1" max="1" width="15.3984375" style="2"/>
    <col min="2" max="2" width="39.296875" bestFit="1" customWidth="1"/>
    <col min="3" max="3" width="12.69921875" customWidth="1"/>
    <col min="4" max="4" width="17.8984375" customWidth="1"/>
    <col min="5" max="5" width="13.8984375" style="1" customWidth="1"/>
    <col min="6" max="6" width="15.3984375" hidden="1" customWidth="1"/>
    <col min="7" max="7" width="17.3984375" hidden="1" customWidth="1"/>
    <col min="8" max="8" width="15.3984375" hidden="1" customWidth="1"/>
    <col min="9" max="9" width="17" hidden="1" customWidth="1"/>
    <col min="10" max="10" width="13.296875" hidden="1" customWidth="1"/>
    <col min="11" max="11" width="16.09765625" hidden="1" customWidth="1"/>
    <col min="12" max="12" width="18.3984375" hidden="1" customWidth="1"/>
    <col min="13" max="13" width="18.296875" hidden="1" customWidth="1"/>
    <col min="14" max="14" width="21" hidden="1" customWidth="1"/>
    <col min="15" max="15" width="19.3984375" hidden="1" customWidth="1"/>
    <col min="16" max="16" width="17" hidden="1" customWidth="1"/>
    <col min="17" max="17" width="13.296875" hidden="1" customWidth="1"/>
    <col min="18" max="18" width="15.59765625" hidden="1" customWidth="1"/>
    <col min="19" max="19" width="19" hidden="1" customWidth="1"/>
    <col min="20" max="20" width="17.3984375" hidden="1" customWidth="1"/>
    <col min="21" max="21" width="21.8984375" hidden="1" customWidth="1"/>
    <col min="22" max="22" width="17" hidden="1" customWidth="1"/>
    <col min="23" max="23" width="13.296875" hidden="1" customWidth="1"/>
    <col min="24" max="24" width="16.296875" hidden="1" customWidth="1"/>
    <col min="25" max="25" width="18.296875" hidden="1" customWidth="1"/>
    <col min="26" max="26" width="14.8984375" hidden="1" customWidth="1"/>
    <col min="27" max="27" width="19.3984375" hidden="1" customWidth="1"/>
    <col min="28" max="28" width="17" hidden="1" customWidth="1"/>
    <col min="29" max="29" width="13" hidden="1" customWidth="1"/>
    <col min="30" max="30" width="13.296875" hidden="1" customWidth="1"/>
    <col min="31" max="31" width="14.69921875" hidden="1" customWidth="1"/>
    <col min="32" max="32" width="12" hidden="1" customWidth="1"/>
    <col min="33" max="33" width="18.296875" hidden="1" customWidth="1"/>
    <col min="34" max="34" width="21" hidden="1" customWidth="1"/>
    <col min="35" max="35" width="21.8984375" hidden="1" customWidth="1"/>
    <col min="36" max="36" width="17" hidden="1" customWidth="1"/>
    <col min="37" max="37" width="13" hidden="1" customWidth="1"/>
    <col min="38" max="38" width="13.296875" hidden="1" customWidth="1"/>
    <col min="39" max="39" width="14.296875" hidden="1" customWidth="1"/>
    <col min="40" max="40" width="12" hidden="1" customWidth="1"/>
    <col min="41" max="41" width="18.69921875" hidden="1" customWidth="1"/>
    <col min="42" max="42" width="17.3984375" hidden="1" customWidth="1"/>
    <col min="43" max="43" width="19.3984375" hidden="1" customWidth="1"/>
    <col min="44" max="44" width="17" hidden="1" customWidth="1"/>
    <col min="45" max="45" width="13" hidden="1" customWidth="1"/>
    <col min="46" max="46" width="13.296875" hidden="1" customWidth="1"/>
    <col min="47" max="47" width="12" hidden="1" customWidth="1"/>
    <col min="48" max="48" width="14.69921875" hidden="1" customWidth="1"/>
    <col min="49" max="49" width="12" hidden="1" customWidth="1"/>
    <col min="50" max="50" width="18.296875" hidden="1" customWidth="1"/>
    <col min="51" max="51" width="14.8984375" hidden="1" customWidth="1"/>
    <col min="52" max="52" width="16.59765625" hidden="1" customWidth="1"/>
    <col min="53" max="54" width="16.3984375" hidden="1" customWidth="1"/>
    <col min="55" max="55" width="13.296875" hidden="1" customWidth="1"/>
    <col min="56" max="56" width="12" hidden="1" customWidth="1"/>
    <col min="57" max="57" width="18.296875" hidden="1" customWidth="1"/>
    <col min="58" max="58" width="14.8984375" hidden="1" customWidth="1"/>
    <col min="59" max="59" width="16.59765625" hidden="1" customWidth="1"/>
    <col min="60" max="61" width="16.3984375" hidden="1" customWidth="1"/>
    <col min="62" max="62" width="12.69921875" hidden="1" customWidth="1"/>
    <col min="63" max="63" width="17" hidden="1" customWidth="1"/>
    <col min="64" max="64" width="14.8984375" hidden="1" customWidth="1"/>
    <col min="65" max="65" width="9" hidden="1" customWidth="1"/>
    <col min="66" max="66" width="7.69921875" hidden="1" customWidth="1"/>
    <col min="67" max="67" width="8.69921875" hidden="1" customWidth="1"/>
    <col min="68" max="68" width="11" hidden="1" customWidth="1"/>
    <col min="69" max="70" width="8.3984375" hidden="1" customWidth="1"/>
    <col min="71" max="71" width="10.69921875" hidden="1" customWidth="1"/>
    <col min="72" max="80" width="9.59765625" hidden="1" customWidth="1"/>
    <col min="81" max="81" width="9" hidden="1" customWidth="1"/>
  </cols>
  <sheetData>
    <row r="2" spans="1:93" ht="15.5" x14ac:dyDescent="0.35">
      <c r="A2" s="3"/>
      <c r="B2" s="4"/>
      <c r="D2" s="4"/>
      <c r="E2" s="5"/>
      <c r="CM2" s="50" t="s">
        <v>182</v>
      </c>
      <c r="CN2" s="50" t="s">
        <v>181</v>
      </c>
    </row>
    <row r="3" spans="1:93" ht="18.75" customHeight="1" x14ac:dyDescent="0.35">
      <c r="A3" s="32"/>
      <c r="B3" s="31"/>
      <c r="D3" s="25"/>
      <c r="E3" s="30"/>
      <c r="F3" s="48">
        <v>45748</v>
      </c>
      <c r="G3" s="48"/>
      <c r="H3" s="48"/>
      <c r="I3" s="48"/>
      <c r="J3" s="48"/>
      <c r="M3" s="48">
        <v>45778</v>
      </c>
      <c r="N3" s="48"/>
      <c r="O3" s="48"/>
      <c r="P3" s="48"/>
      <c r="Q3" s="48"/>
      <c r="S3" s="38">
        <v>45809</v>
      </c>
      <c r="T3" s="38"/>
      <c r="U3" s="38"/>
      <c r="V3" s="38"/>
      <c r="W3" s="39"/>
      <c r="Y3" s="41">
        <v>45839</v>
      </c>
      <c r="Z3" s="41"/>
      <c r="AA3" s="41"/>
      <c r="AB3" s="41"/>
      <c r="AC3" s="41"/>
      <c r="AD3" s="41"/>
      <c r="AG3" s="41">
        <v>45870</v>
      </c>
      <c r="AH3" s="41"/>
      <c r="AI3" s="41"/>
      <c r="AJ3" s="41"/>
      <c r="AK3" s="41"/>
      <c r="AL3" s="41"/>
      <c r="AO3" s="41">
        <v>45901</v>
      </c>
      <c r="AP3" s="41"/>
      <c r="AQ3" s="41"/>
      <c r="AR3" s="41"/>
      <c r="AS3" s="41"/>
      <c r="AT3" s="41"/>
      <c r="AX3" s="41">
        <v>45931</v>
      </c>
      <c r="AY3" s="41"/>
      <c r="AZ3" s="41"/>
      <c r="BA3" s="41"/>
      <c r="BB3" s="41"/>
      <c r="BC3" s="41"/>
      <c r="BE3" s="41">
        <v>45962</v>
      </c>
      <c r="BF3" s="41"/>
      <c r="BG3" s="41"/>
      <c r="BH3" s="41"/>
      <c r="BI3" s="41"/>
      <c r="BJ3" s="41"/>
      <c r="BK3" s="41"/>
      <c r="BM3" s="41">
        <v>45992</v>
      </c>
      <c r="BN3" s="41"/>
      <c r="BO3" s="41"/>
      <c r="BP3" s="41"/>
      <c r="BQ3" s="41"/>
      <c r="BR3" s="41"/>
      <c r="BS3" s="41"/>
      <c r="BU3" s="41">
        <v>46023</v>
      </c>
      <c r="BV3" s="41"/>
      <c r="BW3" s="41"/>
      <c r="BX3" s="41"/>
      <c r="BY3" s="41"/>
      <c r="BZ3" s="41"/>
      <c r="CA3" s="41"/>
      <c r="CD3" s="41">
        <v>46054</v>
      </c>
      <c r="CE3" s="41"/>
      <c r="CF3" s="41"/>
      <c r="CG3" s="41"/>
      <c r="CH3" s="41"/>
      <c r="CI3" s="41"/>
      <c r="CJ3" s="41"/>
      <c r="CM3" s="51">
        <f>SUMPRODUCT(D5:D67,CM5:CM67)/10^5</f>
        <v>104.08465268107466</v>
      </c>
      <c r="CN3" s="51">
        <f>SUMPRODUCT(C5:C67,CN5:CN67)/10^5</f>
        <v>25.051300000000001</v>
      </c>
    </row>
    <row r="4" spans="1:93" s="47" customFormat="1" ht="42" x14ac:dyDescent="0.25">
      <c r="A4" s="44" t="s">
        <v>23</v>
      </c>
      <c r="B4" s="46" t="s">
        <v>0</v>
      </c>
      <c r="C4" s="45" t="s">
        <v>95</v>
      </c>
      <c r="D4" s="45" t="s">
        <v>101</v>
      </c>
      <c r="E4" s="45" t="s">
        <v>22</v>
      </c>
      <c r="F4" s="45" t="s">
        <v>118</v>
      </c>
      <c r="G4" s="45" t="s">
        <v>24</v>
      </c>
      <c r="H4" s="45" t="s">
        <v>117</v>
      </c>
      <c r="I4" s="45" t="s">
        <v>55</v>
      </c>
      <c r="J4" s="45" t="s">
        <v>25</v>
      </c>
      <c r="K4" s="45" t="s">
        <v>62</v>
      </c>
      <c r="L4" s="45" t="s">
        <v>116</v>
      </c>
      <c r="M4" s="45" t="s">
        <v>123</v>
      </c>
      <c r="N4" s="45" t="s">
        <v>59</v>
      </c>
      <c r="O4" s="45" t="s">
        <v>124</v>
      </c>
      <c r="P4" s="45" t="s">
        <v>55</v>
      </c>
      <c r="Q4" s="45" t="s">
        <v>25</v>
      </c>
      <c r="R4" s="45" t="s">
        <v>63</v>
      </c>
      <c r="S4" s="45" t="s">
        <v>125</v>
      </c>
      <c r="T4" s="45" t="s">
        <v>67</v>
      </c>
      <c r="U4" s="45" t="s">
        <v>126</v>
      </c>
      <c r="V4" s="45" t="s">
        <v>55</v>
      </c>
      <c r="W4" s="45" t="s">
        <v>25</v>
      </c>
      <c r="X4" s="45" t="s">
        <v>69</v>
      </c>
      <c r="Y4" s="45" t="s">
        <v>132</v>
      </c>
      <c r="Z4" s="45" t="s">
        <v>72</v>
      </c>
      <c r="AA4" s="45" t="s">
        <v>133</v>
      </c>
      <c r="AB4" s="45" t="s">
        <v>55</v>
      </c>
      <c r="AC4" s="45" t="s">
        <v>140</v>
      </c>
      <c r="AD4" s="45" t="s">
        <v>25</v>
      </c>
      <c r="AE4" s="45" t="s">
        <v>138</v>
      </c>
      <c r="AF4" s="45" t="s">
        <v>139</v>
      </c>
      <c r="AG4" s="45" t="s">
        <v>142</v>
      </c>
      <c r="AH4" s="45" t="s">
        <v>77</v>
      </c>
      <c r="AI4" s="45" t="s">
        <v>143</v>
      </c>
      <c r="AJ4" s="45" t="s">
        <v>55</v>
      </c>
      <c r="AK4" s="45" t="s">
        <v>140</v>
      </c>
      <c r="AL4" s="45" t="s">
        <v>25</v>
      </c>
      <c r="AM4" s="45" t="s">
        <v>141</v>
      </c>
      <c r="AN4" s="45" t="s">
        <v>139</v>
      </c>
      <c r="AO4" s="45" t="s">
        <v>144</v>
      </c>
      <c r="AP4" s="45" t="s">
        <v>82</v>
      </c>
      <c r="AQ4" s="45" t="s">
        <v>145</v>
      </c>
      <c r="AR4" s="45" t="s">
        <v>55</v>
      </c>
      <c r="AS4" s="45" t="s">
        <v>140</v>
      </c>
      <c r="AT4" s="45" t="s">
        <v>25</v>
      </c>
      <c r="AU4" s="45" t="s">
        <v>148</v>
      </c>
      <c r="AV4" s="45" t="s">
        <v>147</v>
      </c>
      <c r="AW4" s="45" t="s">
        <v>139</v>
      </c>
      <c r="AX4" s="45" t="s">
        <v>149</v>
      </c>
      <c r="AY4" s="45" t="s">
        <v>87</v>
      </c>
      <c r="AZ4" s="45" t="s">
        <v>150</v>
      </c>
      <c r="BA4" s="45" t="s">
        <v>55</v>
      </c>
      <c r="BB4" s="45" t="s">
        <v>140</v>
      </c>
      <c r="BC4" s="45" t="s">
        <v>25</v>
      </c>
      <c r="BD4" s="45" t="s">
        <v>148</v>
      </c>
      <c r="BE4" s="45" t="s">
        <v>156</v>
      </c>
      <c r="BF4" s="45" t="s">
        <v>157</v>
      </c>
      <c r="BG4" s="45" t="s">
        <v>158</v>
      </c>
      <c r="BH4" s="45" t="s">
        <v>55</v>
      </c>
      <c r="BI4" s="45" t="s">
        <v>140</v>
      </c>
      <c r="BJ4" s="45" t="s">
        <v>160</v>
      </c>
      <c r="BK4" s="45" t="s">
        <v>161</v>
      </c>
      <c r="BL4" s="45" t="s">
        <v>159</v>
      </c>
      <c r="BM4" s="45" t="s">
        <v>163</v>
      </c>
      <c r="BN4" s="45" t="s">
        <v>97</v>
      </c>
      <c r="BO4" s="45" t="s">
        <v>162</v>
      </c>
      <c r="BP4" s="45" t="s">
        <v>55</v>
      </c>
      <c r="BQ4" s="45" t="s">
        <v>140</v>
      </c>
      <c r="BR4" s="45" t="s">
        <v>160</v>
      </c>
      <c r="BS4" s="45" t="s">
        <v>161</v>
      </c>
      <c r="BT4" s="45" t="s">
        <v>148</v>
      </c>
      <c r="BU4" s="45" t="s">
        <v>164</v>
      </c>
      <c r="BV4" s="45" t="s">
        <v>166</v>
      </c>
      <c r="BW4" s="45" t="s">
        <v>165</v>
      </c>
      <c r="BX4" s="45" t="s">
        <v>55</v>
      </c>
      <c r="BY4" s="45" t="s">
        <v>140</v>
      </c>
      <c r="BZ4" s="45" t="s">
        <v>160</v>
      </c>
      <c r="CA4" s="45" t="s">
        <v>161</v>
      </c>
      <c r="CB4" s="45" t="s">
        <v>148</v>
      </c>
      <c r="CC4" s="45" t="s">
        <v>167</v>
      </c>
      <c r="CD4" s="45" t="s">
        <v>164</v>
      </c>
      <c r="CE4" s="45" t="s">
        <v>166</v>
      </c>
      <c r="CF4" s="45" t="s">
        <v>168</v>
      </c>
      <c r="CG4" s="45" t="s">
        <v>55</v>
      </c>
      <c r="CH4" s="45" t="s">
        <v>140</v>
      </c>
      <c r="CI4" s="45" t="s">
        <v>160</v>
      </c>
      <c r="CJ4" s="45" t="s">
        <v>161</v>
      </c>
      <c r="CK4" s="45" t="s">
        <v>148</v>
      </c>
      <c r="CL4" s="45" t="s">
        <v>178</v>
      </c>
      <c r="CM4" s="45" t="s">
        <v>179</v>
      </c>
      <c r="CN4" s="45" t="s">
        <v>180</v>
      </c>
    </row>
    <row r="5" spans="1:93" ht="17.149999999999999" customHeight="1" x14ac:dyDescent="0.25">
      <c r="A5" s="6" t="s">
        <v>1</v>
      </c>
      <c r="B5" s="2" t="s">
        <v>2</v>
      </c>
      <c r="C5" s="20">
        <v>1204</v>
      </c>
      <c r="D5" s="26">
        <v>3885.1010101010106</v>
      </c>
      <c r="E5" s="8">
        <v>100</v>
      </c>
      <c r="F5" s="19">
        <f>'24-25'!CI5</f>
        <v>66.34</v>
      </c>
      <c r="G5" s="20">
        <v>50</v>
      </c>
      <c r="H5" s="20">
        <v>44.15</v>
      </c>
      <c r="I5" s="20"/>
      <c r="J5" s="20">
        <f>F5+G5+I5-H5</f>
        <v>72.19</v>
      </c>
      <c r="K5" s="20"/>
      <c r="L5" s="20"/>
      <c r="M5" s="19">
        <f>J5</f>
        <v>72.19</v>
      </c>
      <c r="N5" s="20">
        <v>50</v>
      </c>
      <c r="O5" s="20">
        <v>82.18</v>
      </c>
      <c r="P5" s="20">
        <v>2.33</v>
      </c>
      <c r="Q5" s="20">
        <f>M5+N5+P5-O5</f>
        <v>42.339999999999989</v>
      </c>
      <c r="R5" s="20"/>
      <c r="S5" s="19">
        <f>Q5</f>
        <v>42.339999999999989</v>
      </c>
      <c r="T5" s="20"/>
      <c r="U5" s="20">
        <v>41.97999999999999</v>
      </c>
      <c r="V5" s="20">
        <v>1.05</v>
      </c>
      <c r="W5" s="20">
        <f>S5+T5+V5-U5</f>
        <v>1.4099999999999966</v>
      </c>
      <c r="X5" s="20">
        <v>100</v>
      </c>
      <c r="Y5" s="19">
        <f>W5</f>
        <v>1.4099999999999966</v>
      </c>
      <c r="Z5" s="20">
        <v>100</v>
      </c>
      <c r="AA5" s="20">
        <v>100.22000000000001</v>
      </c>
      <c r="AB5" s="20">
        <v>1</v>
      </c>
      <c r="AC5" s="20">
        <f t="shared" ref="AC5:AC10" si="0">AA5-AB5</f>
        <v>99.220000000000013</v>
      </c>
      <c r="AD5" s="20">
        <f t="shared" ref="AD5:AD10" si="1">Y5+Z5+AB5-AA5</f>
        <v>2.1899999999999835</v>
      </c>
      <c r="AE5" s="20">
        <v>100</v>
      </c>
      <c r="AF5" s="20">
        <f t="shared" ref="AF5:AF10" si="2">+AE5-AC5</f>
        <v>0.77999999999998693</v>
      </c>
      <c r="AG5" s="19">
        <f t="shared" ref="AG5:AG10" si="3">+AD5</f>
        <v>2.1899999999999835</v>
      </c>
      <c r="AH5" s="20">
        <v>275</v>
      </c>
      <c r="AI5" s="20">
        <v>54.19</v>
      </c>
      <c r="AJ5" s="20"/>
      <c r="AK5" s="20">
        <f t="shared" ref="AK5:AK10" si="4">AI5-AJ5</f>
        <v>54.19</v>
      </c>
      <c r="AL5" s="20">
        <f t="shared" ref="AL5:AL10" si="5">AG5+AH5+AJ5-AI5</f>
        <v>223</v>
      </c>
      <c r="AM5" s="20"/>
      <c r="AN5" s="20"/>
      <c r="AO5" s="19">
        <f t="shared" ref="AO5:AO10" si="6">+AL5</f>
        <v>223</v>
      </c>
      <c r="AP5" s="20">
        <v>0</v>
      </c>
      <c r="AQ5" s="20">
        <v>49.09</v>
      </c>
      <c r="AR5" s="20">
        <v>0</v>
      </c>
      <c r="AS5" s="20">
        <f t="shared" ref="AS5:AS10" si="7">AQ5-AR5</f>
        <v>49.09</v>
      </c>
      <c r="AT5" s="20">
        <f t="shared" ref="AT5:AT10" si="8">AO5+AP5+AR5-AQ5</f>
        <v>173.91</v>
      </c>
      <c r="AU5" s="20"/>
      <c r="AV5" s="20"/>
      <c r="AW5" s="20"/>
      <c r="AX5" s="19">
        <f t="shared" ref="AX5:AX10" si="9">+AT5</f>
        <v>173.91</v>
      </c>
      <c r="AY5" s="20">
        <v>0</v>
      </c>
      <c r="AZ5" s="20">
        <v>55.49</v>
      </c>
      <c r="BA5" s="20">
        <v>0</v>
      </c>
      <c r="BB5" s="20">
        <f t="shared" ref="BB5:BB10" si="10">AZ5-BA5</f>
        <v>55.49</v>
      </c>
      <c r="BC5" s="20">
        <f t="shared" ref="BC5:BC10" si="11">AX5+AY5+BA5-AZ5</f>
        <v>118.41999999999999</v>
      </c>
      <c r="BD5" s="20"/>
      <c r="BE5" s="19">
        <f t="shared" ref="BE5:BE10" si="12">+BC5</f>
        <v>118.41999999999999</v>
      </c>
      <c r="BF5" s="20">
        <v>0</v>
      </c>
      <c r="BG5" s="20">
        <v>70.540000000000006</v>
      </c>
      <c r="BH5" s="20">
        <v>0</v>
      </c>
      <c r="BI5" s="20">
        <f t="shared" ref="BI5:BI10" si="13">+BG5-BH5</f>
        <v>70.540000000000006</v>
      </c>
      <c r="BJ5" s="20"/>
      <c r="BK5" s="20">
        <f t="shared" ref="BK5:BK10" si="14">BE5+BF5+BH5-BG5-BJ5</f>
        <v>47.879999999999981</v>
      </c>
      <c r="BL5" s="20">
        <v>100</v>
      </c>
      <c r="BM5" s="19">
        <f t="shared" ref="BM5:BM10" si="15">+BK5+BJ5</f>
        <v>47.879999999999981</v>
      </c>
      <c r="BN5" s="20">
        <v>0</v>
      </c>
      <c r="BO5" s="20">
        <v>47.1</v>
      </c>
      <c r="BP5" s="20">
        <v>0</v>
      </c>
      <c r="BQ5" s="20">
        <f t="shared" ref="BQ5:BQ10" si="16">BO5-BP5</f>
        <v>47.1</v>
      </c>
      <c r="BR5" s="20"/>
      <c r="BS5" s="20">
        <f t="shared" ref="BS5:BS10" si="17">BM5+BN5+BP5-BO5-BR5</f>
        <v>0.77999999999997982</v>
      </c>
      <c r="BT5" s="20"/>
      <c r="BU5" s="19">
        <f t="shared" ref="BU5:BU10" si="18">BS5+BR5</f>
        <v>0.77999999999997982</v>
      </c>
      <c r="BV5" s="20">
        <v>100</v>
      </c>
      <c r="BW5" s="20">
        <v>63.3</v>
      </c>
      <c r="BX5" s="20">
        <v>2</v>
      </c>
      <c r="BY5" s="20">
        <f t="shared" ref="BY5:BY10" si="19">BW5-BX5</f>
        <v>61.3</v>
      </c>
      <c r="BZ5" s="20"/>
      <c r="CA5" s="20">
        <f t="shared" ref="CA5:CA10" si="20">BU5+BV5+BX5-BW5-BZ5</f>
        <v>39.479999999999976</v>
      </c>
      <c r="CB5" s="20"/>
      <c r="CC5" s="20"/>
      <c r="CD5" s="19">
        <v>39.479999999999976</v>
      </c>
      <c r="CE5" s="20">
        <v>100</v>
      </c>
      <c r="CF5" s="20">
        <f>_xlfn.XLOOKUP(B5,[2]Sheet1!$A$4:$A$38,[2]Sheet1!$B$4:$B$38)</f>
        <v>84.25</v>
      </c>
      <c r="CG5" s="20">
        <f>_xlfn.XLOOKUP(B5,[3]Sheet1!$A$4:$A$22,[3]Sheet1!$B$4:$B$22)</f>
        <v>0.76</v>
      </c>
      <c r="CH5" s="20">
        <f t="shared" ref="CH5:CH10" si="21">CF5-CG5</f>
        <v>83.49</v>
      </c>
      <c r="CI5" s="20"/>
      <c r="CJ5" s="20">
        <f t="shared" ref="CJ5:CJ10" si="22">CD5+CE5+CG5-CF5-CI5</f>
        <v>55.989999999999952</v>
      </c>
      <c r="CK5" s="20"/>
      <c r="CL5" s="20">
        <f>CK5+CJ5</f>
        <v>55.989999999999952</v>
      </c>
      <c r="CM5" s="20">
        <v>50</v>
      </c>
      <c r="CN5" s="20">
        <v>50</v>
      </c>
      <c r="CO5" s="49"/>
    </row>
    <row r="6" spans="1:93" ht="17.149999999999999" customHeight="1" x14ac:dyDescent="0.25">
      <c r="A6" s="6" t="s">
        <v>1</v>
      </c>
      <c r="B6" s="7" t="s">
        <v>3</v>
      </c>
      <c r="C6" s="20">
        <v>1178</v>
      </c>
      <c r="D6" s="26">
        <v>3118.6868686868688</v>
      </c>
      <c r="E6" s="8">
        <v>30</v>
      </c>
      <c r="F6" s="19">
        <f>'24-25'!CI6</f>
        <v>49.833400000000097</v>
      </c>
      <c r="G6" s="20">
        <v>600</v>
      </c>
      <c r="H6" s="20">
        <v>74.5</v>
      </c>
      <c r="I6" s="20"/>
      <c r="J6" s="20">
        <f>F6+G6+I6-H6</f>
        <v>575.3334000000001</v>
      </c>
      <c r="K6" s="20"/>
      <c r="L6" s="20"/>
      <c r="M6" s="19">
        <f>J6</f>
        <v>575.3334000000001</v>
      </c>
      <c r="N6" s="20">
        <v>200</v>
      </c>
      <c r="O6" s="20">
        <v>202.533333</v>
      </c>
      <c r="P6" s="20">
        <v>9.4666999999999994</v>
      </c>
      <c r="Q6" s="20">
        <f>M6+N6+P6-O6</f>
        <v>582.26676700000007</v>
      </c>
      <c r="R6" s="20"/>
      <c r="S6" s="19">
        <f>Q6</f>
        <v>582.26676700000007</v>
      </c>
      <c r="T6" s="20"/>
      <c r="U6" s="40">
        <v>170.16666599999999</v>
      </c>
      <c r="V6" s="20">
        <v>51.433300000000003</v>
      </c>
      <c r="W6" s="20">
        <f>S6+T6+V6-U6</f>
        <v>463.53340100000014</v>
      </c>
      <c r="X6" s="20">
        <v>350</v>
      </c>
      <c r="Y6" s="19">
        <f>W6</f>
        <v>463.53340100000014</v>
      </c>
      <c r="Z6" s="20"/>
      <c r="AA6" s="20">
        <v>146.066666</v>
      </c>
      <c r="AB6" s="20">
        <v>10</v>
      </c>
      <c r="AC6" s="20">
        <f t="shared" si="0"/>
        <v>136.066666</v>
      </c>
      <c r="AD6" s="20">
        <f t="shared" si="1"/>
        <v>327.46673500000014</v>
      </c>
      <c r="AE6" s="20">
        <v>300</v>
      </c>
      <c r="AF6" s="20">
        <f t="shared" si="2"/>
        <v>163.933334</v>
      </c>
      <c r="AG6" s="19">
        <f t="shared" si="3"/>
        <v>327.46673500000014</v>
      </c>
      <c r="AH6" s="20">
        <v>0</v>
      </c>
      <c r="AI6" s="20">
        <v>76.466666000000004</v>
      </c>
      <c r="AJ6" s="20"/>
      <c r="AK6" s="20">
        <f t="shared" si="4"/>
        <v>76.466666000000004</v>
      </c>
      <c r="AL6" s="20">
        <f t="shared" si="5"/>
        <v>251.00006900000014</v>
      </c>
      <c r="AM6" s="20"/>
      <c r="AN6" s="20"/>
      <c r="AO6" s="19">
        <f t="shared" si="6"/>
        <v>251.00006900000014</v>
      </c>
      <c r="AP6" s="20">
        <v>0</v>
      </c>
      <c r="AQ6" s="20">
        <v>170.566666</v>
      </c>
      <c r="AR6" s="20">
        <v>0.56669999999999998</v>
      </c>
      <c r="AS6" s="20">
        <f t="shared" si="7"/>
        <v>169.999966</v>
      </c>
      <c r="AT6" s="20">
        <f t="shared" si="8"/>
        <v>81.000103000000138</v>
      </c>
      <c r="AU6" s="20"/>
      <c r="AV6" s="20"/>
      <c r="AW6" s="20"/>
      <c r="AX6" s="19">
        <f t="shared" si="9"/>
        <v>81.000103000000138</v>
      </c>
      <c r="AY6" s="20">
        <v>0</v>
      </c>
      <c r="AZ6" s="20">
        <v>61</v>
      </c>
      <c r="BA6" s="20">
        <v>0</v>
      </c>
      <c r="BB6" s="20">
        <f t="shared" si="10"/>
        <v>61</v>
      </c>
      <c r="BC6" s="20">
        <f t="shared" si="11"/>
        <v>20.000103000000138</v>
      </c>
      <c r="BD6" s="20"/>
      <c r="BE6" s="19">
        <f t="shared" si="12"/>
        <v>20.000103000000138</v>
      </c>
      <c r="BF6" s="20">
        <v>0</v>
      </c>
      <c r="BG6" s="20">
        <v>20</v>
      </c>
      <c r="BH6" s="20">
        <v>0</v>
      </c>
      <c r="BI6" s="20">
        <f t="shared" si="13"/>
        <v>20</v>
      </c>
      <c r="BJ6" s="20"/>
      <c r="BK6" s="20">
        <f t="shared" si="14"/>
        <v>1.0300000013785393E-4</v>
      </c>
      <c r="BL6" s="20">
        <v>0</v>
      </c>
      <c r="BM6" s="19">
        <f t="shared" si="15"/>
        <v>1.0300000013785393E-4</v>
      </c>
      <c r="BN6" s="20">
        <v>0</v>
      </c>
      <c r="BO6" s="20">
        <v>0</v>
      </c>
      <c r="BP6" s="20">
        <v>0</v>
      </c>
      <c r="BQ6" s="20">
        <f t="shared" si="16"/>
        <v>0</v>
      </c>
      <c r="BR6" s="20"/>
      <c r="BS6" s="20">
        <f t="shared" si="17"/>
        <v>1.0300000013785393E-4</v>
      </c>
      <c r="BT6" s="20">
        <v>0</v>
      </c>
      <c r="BU6" s="19">
        <f t="shared" si="18"/>
        <v>1.0300000013785393E-4</v>
      </c>
      <c r="BV6" s="20">
        <v>0</v>
      </c>
      <c r="BW6" s="20">
        <v>0</v>
      </c>
      <c r="BX6" s="20">
        <v>1</v>
      </c>
      <c r="BY6" s="20">
        <f t="shared" si="19"/>
        <v>-1</v>
      </c>
      <c r="BZ6" s="20"/>
      <c r="CA6" s="20">
        <f t="shared" si="20"/>
        <v>1.0001030000001379</v>
      </c>
      <c r="CB6" s="20"/>
      <c r="CC6" s="20"/>
      <c r="CD6" s="19">
        <v>1.0001030000001379</v>
      </c>
      <c r="CE6" s="20">
        <v>0</v>
      </c>
      <c r="CF6" s="20">
        <v>0</v>
      </c>
      <c r="CG6" s="20">
        <f>_xlfn.XLOOKUP(B6,[3]Sheet1!$A$4:$A$22,[3]Sheet1!$B$4:$B$22)</f>
        <v>12.433299999999999</v>
      </c>
      <c r="CH6" s="20">
        <f t="shared" si="21"/>
        <v>-12.433299999999999</v>
      </c>
      <c r="CI6" s="20"/>
      <c r="CJ6" s="20">
        <f t="shared" si="22"/>
        <v>13.433403000000137</v>
      </c>
      <c r="CK6" s="20"/>
      <c r="CL6" s="20">
        <f t="shared" ref="CL6:CL10" si="23">CK6+CJ6</f>
        <v>13.433403000000137</v>
      </c>
      <c r="CM6" s="20">
        <v>13</v>
      </c>
      <c r="CN6" s="20"/>
      <c r="CO6" s="49"/>
    </row>
    <row r="7" spans="1:93" ht="17.149999999999999" customHeight="1" x14ac:dyDescent="0.25">
      <c r="A7" s="6" t="s">
        <v>1</v>
      </c>
      <c r="B7" s="7" t="s">
        <v>137</v>
      </c>
      <c r="C7" s="20">
        <v>1475</v>
      </c>
      <c r="D7" s="26">
        <v>4158.2491582491584</v>
      </c>
      <c r="E7" s="8">
        <v>40</v>
      </c>
      <c r="F7" s="19"/>
      <c r="G7" s="20"/>
      <c r="H7" s="20"/>
      <c r="I7" s="20"/>
      <c r="J7" s="20"/>
      <c r="K7" s="20"/>
      <c r="L7" s="20"/>
      <c r="M7" s="19"/>
      <c r="N7" s="20"/>
      <c r="O7" s="20"/>
      <c r="P7" s="20"/>
      <c r="Q7" s="20"/>
      <c r="R7" s="20"/>
      <c r="S7" s="19"/>
      <c r="T7" s="20"/>
      <c r="U7" s="42"/>
      <c r="V7" s="20"/>
      <c r="W7" s="20"/>
      <c r="X7" s="20"/>
      <c r="Y7" s="19"/>
      <c r="Z7" s="20">
        <v>350</v>
      </c>
      <c r="AA7" s="20">
        <v>0.375</v>
      </c>
      <c r="AB7" s="20"/>
      <c r="AC7" s="20">
        <f t="shared" si="0"/>
        <v>0.375</v>
      </c>
      <c r="AD7" s="20">
        <f t="shared" si="1"/>
        <v>349.625</v>
      </c>
      <c r="AE7" s="20">
        <v>0</v>
      </c>
      <c r="AF7" s="20">
        <f t="shared" si="2"/>
        <v>-0.375</v>
      </c>
      <c r="AG7" s="19">
        <f t="shared" si="3"/>
        <v>349.625</v>
      </c>
      <c r="AH7" s="20">
        <v>0</v>
      </c>
      <c r="AI7" s="20">
        <v>100</v>
      </c>
      <c r="AJ7" s="20"/>
      <c r="AK7" s="20">
        <f t="shared" si="4"/>
        <v>100</v>
      </c>
      <c r="AL7" s="20">
        <f t="shared" si="5"/>
        <v>249.625</v>
      </c>
      <c r="AM7" s="20"/>
      <c r="AN7" s="20"/>
      <c r="AO7" s="19">
        <f t="shared" si="6"/>
        <v>249.625</v>
      </c>
      <c r="AP7" s="20">
        <v>0</v>
      </c>
      <c r="AQ7" s="20">
        <v>0</v>
      </c>
      <c r="AR7" s="20">
        <v>0</v>
      </c>
      <c r="AS7" s="20">
        <f t="shared" si="7"/>
        <v>0</v>
      </c>
      <c r="AT7" s="20">
        <f t="shared" si="8"/>
        <v>249.625</v>
      </c>
      <c r="AU7" s="20"/>
      <c r="AV7" s="20"/>
      <c r="AW7" s="20"/>
      <c r="AX7" s="19">
        <f t="shared" si="9"/>
        <v>249.625</v>
      </c>
      <c r="AY7" s="20">
        <v>400</v>
      </c>
      <c r="AZ7" s="20">
        <v>125</v>
      </c>
      <c r="BA7" s="20">
        <v>0</v>
      </c>
      <c r="BB7" s="20">
        <f t="shared" si="10"/>
        <v>125</v>
      </c>
      <c r="BC7" s="20">
        <f t="shared" si="11"/>
        <v>524.625</v>
      </c>
      <c r="BD7" s="20"/>
      <c r="BE7" s="19">
        <f t="shared" si="12"/>
        <v>524.625</v>
      </c>
      <c r="BF7" s="20">
        <v>0</v>
      </c>
      <c r="BG7" s="20">
        <v>148.15</v>
      </c>
      <c r="BH7" s="20">
        <v>0</v>
      </c>
      <c r="BI7" s="20">
        <f t="shared" si="13"/>
        <v>148.15</v>
      </c>
      <c r="BJ7" s="20"/>
      <c r="BK7" s="20">
        <f t="shared" si="14"/>
        <v>376.47500000000002</v>
      </c>
      <c r="BL7" s="20">
        <v>250</v>
      </c>
      <c r="BM7" s="19">
        <f t="shared" si="15"/>
        <v>376.47500000000002</v>
      </c>
      <c r="BN7" s="20">
        <v>0</v>
      </c>
      <c r="BO7" s="20">
        <v>162</v>
      </c>
      <c r="BP7" s="20">
        <v>0</v>
      </c>
      <c r="BQ7" s="20">
        <f t="shared" si="16"/>
        <v>162</v>
      </c>
      <c r="BR7" s="20"/>
      <c r="BS7" s="20">
        <f t="shared" si="17"/>
        <v>214.47500000000002</v>
      </c>
      <c r="BT7" s="20"/>
      <c r="BU7" s="19">
        <f t="shared" si="18"/>
        <v>214.47500000000002</v>
      </c>
      <c r="BV7" s="20">
        <v>250</v>
      </c>
      <c r="BW7" s="20">
        <v>182</v>
      </c>
      <c r="BX7" s="20">
        <v>0</v>
      </c>
      <c r="BY7" s="20">
        <f t="shared" si="19"/>
        <v>182</v>
      </c>
      <c r="BZ7" s="20"/>
      <c r="CA7" s="20">
        <f t="shared" si="20"/>
        <v>282.47500000000002</v>
      </c>
      <c r="CB7" s="20"/>
      <c r="CC7" s="20"/>
      <c r="CD7" s="19">
        <v>282.47500000000002</v>
      </c>
      <c r="CE7" s="20">
        <f>_xlfn.XLOOKUP(B7,[4]Sheet2!$A$5:$A$25,[4]Sheet2!$B$5:$B$25)</f>
        <v>250</v>
      </c>
      <c r="CF7" s="20">
        <f>_xlfn.XLOOKUP(B7,[2]Sheet1!$A$4:$A$38,[2]Sheet1!$B$4:$B$38)</f>
        <v>366.07499999999999</v>
      </c>
      <c r="CG7" s="20">
        <v>0</v>
      </c>
      <c r="CH7" s="20">
        <f t="shared" si="21"/>
        <v>366.07499999999999</v>
      </c>
      <c r="CI7" s="20"/>
      <c r="CJ7" s="20">
        <f t="shared" si="22"/>
        <v>166.40000000000003</v>
      </c>
      <c r="CK7" s="20"/>
      <c r="CL7" s="20">
        <f t="shared" si="23"/>
        <v>166.40000000000003</v>
      </c>
      <c r="CM7" s="20">
        <v>166</v>
      </c>
      <c r="CN7" s="20"/>
      <c r="CO7" s="49"/>
    </row>
    <row r="8" spans="1:93" ht="17.149999999999999" customHeight="1" x14ac:dyDescent="0.25">
      <c r="A8" s="6" t="s">
        <v>1</v>
      </c>
      <c r="B8" s="7" t="s">
        <v>127</v>
      </c>
      <c r="C8" s="20">
        <v>1740</v>
      </c>
      <c r="D8" s="26">
        <v>4856.3762626262615</v>
      </c>
      <c r="E8" s="8">
        <v>25</v>
      </c>
      <c r="F8" s="19"/>
      <c r="G8" s="20"/>
      <c r="H8" s="20"/>
      <c r="I8" s="20"/>
      <c r="J8" s="20"/>
      <c r="K8" s="20"/>
      <c r="L8" s="20"/>
      <c r="M8" s="19"/>
      <c r="N8" s="20"/>
      <c r="O8" s="20"/>
      <c r="P8" s="20"/>
      <c r="Q8" s="20"/>
      <c r="R8" s="20"/>
      <c r="S8" s="19">
        <v>0</v>
      </c>
      <c r="T8" s="20"/>
      <c r="U8" s="20"/>
      <c r="V8" s="20">
        <v>0</v>
      </c>
      <c r="W8" s="20">
        <f>S8+T8+V8-U8</f>
        <v>0</v>
      </c>
      <c r="X8" s="20">
        <v>300</v>
      </c>
      <c r="Y8" s="19">
        <v>0</v>
      </c>
      <c r="Z8" s="20">
        <v>0</v>
      </c>
      <c r="AA8" s="20">
        <v>0</v>
      </c>
      <c r="AB8" s="20">
        <v>0</v>
      </c>
      <c r="AC8" s="20">
        <f t="shared" si="0"/>
        <v>0</v>
      </c>
      <c r="AD8" s="20">
        <f t="shared" si="1"/>
        <v>0</v>
      </c>
      <c r="AE8" s="20">
        <v>0</v>
      </c>
      <c r="AF8" s="20">
        <f t="shared" si="2"/>
        <v>0</v>
      </c>
      <c r="AG8" s="19">
        <f t="shared" si="3"/>
        <v>0</v>
      </c>
      <c r="AH8" s="20">
        <v>300</v>
      </c>
      <c r="AI8" s="20">
        <v>55.32</v>
      </c>
      <c r="AJ8" s="20"/>
      <c r="AK8" s="20">
        <f t="shared" si="4"/>
        <v>55.32</v>
      </c>
      <c r="AL8" s="20">
        <f t="shared" si="5"/>
        <v>244.68</v>
      </c>
      <c r="AM8" s="20"/>
      <c r="AN8" s="20"/>
      <c r="AO8" s="19">
        <f t="shared" si="6"/>
        <v>244.68</v>
      </c>
      <c r="AP8" s="20">
        <v>150</v>
      </c>
      <c r="AQ8" s="20">
        <v>20</v>
      </c>
      <c r="AR8" s="20">
        <v>0</v>
      </c>
      <c r="AS8" s="20">
        <f t="shared" si="7"/>
        <v>20</v>
      </c>
      <c r="AT8" s="20">
        <f t="shared" si="8"/>
        <v>374.68</v>
      </c>
      <c r="AU8" s="20"/>
      <c r="AV8" s="20"/>
      <c r="AW8" s="20"/>
      <c r="AX8" s="19">
        <f t="shared" si="9"/>
        <v>374.68</v>
      </c>
      <c r="AY8" s="20">
        <v>0</v>
      </c>
      <c r="AZ8" s="20">
        <v>0.12</v>
      </c>
      <c r="BA8" s="20">
        <v>0</v>
      </c>
      <c r="BB8" s="20">
        <f t="shared" si="10"/>
        <v>0.12</v>
      </c>
      <c r="BC8" s="20">
        <f t="shared" si="11"/>
        <v>374.56</v>
      </c>
      <c r="BD8" s="20"/>
      <c r="BE8" s="19">
        <f t="shared" si="12"/>
        <v>374.56</v>
      </c>
      <c r="BF8" s="20">
        <v>0</v>
      </c>
      <c r="BG8" s="20">
        <v>1</v>
      </c>
      <c r="BH8" s="20">
        <v>0</v>
      </c>
      <c r="BI8" s="20">
        <f t="shared" si="13"/>
        <v>1</v>
      </c>
      <c r="BJ8" s="20"/>
      <c r="BK8" s="20">
        <f t="shared" si="14"/>
        <v>373.56</v>
      </c>
      <c r="BL8" s="20">
        <v>0</v>
      </c>
      <c r="BM8" s="19">
        <f t="shared" si="15"/>
        <v>373.56</v>
      </c>
      <c r="BN8" s="20">
        <v>0</v>
      </c>
      <c r="BO8" s="20">
        <v>26</v>
      </c>
      <c r="BP8" s="20">
        <v>15</v>
      </c>
      <c r="BQ8" s="20">
        <f t="shared" si="16"/>
        <v>11</v>
      </c>
      <c r="BR8" s="20"/>
      <c r="BS8" s="20">
        <f t="shared" si="17"/>
        <v>362.56</v>
      </c>
      <c r="BT8" s="20">
        <v>0</v>
      </c>
      <c r="BU8" s="19">
        <f t="shared" si="18"/>
        <v>362.56</v>
      </c>
      <c r="BV8" s="20">
        <v>0</v>
      </c>
      <c r="BW8" s="20">
        <v>6</v>
      </c>
      <c r="BX8" s="20">
        <v>0</v>
      </c>
      <c r="BY8" s="20">
        <f t="shared" si="19"/>
        <v>6</v>
      </c>
      <c r="BZ8" s="20"/>
      <c r="CA8" s="20">
        <f t="shared" si="20"/>
        <v>356.56</v>
      </c>
      <c r="CB8" s="20"/>
      <c r="CC8" s="20"/>
      <c r="CD8" s="19">
        <v>356.56</v>
      </c>
      <c r="CE8" s="20">
        <v>0</v>
      </c>
      <c r="CF8" s="20">
        <f>_xlfn.XLOOKUP(B8,[2]Sheet1!$A$4:$A$38,[2]Sheet1!$B$4:$B$38)</f>
        <v>2</v>
      </c>
      <c r="CG8" s="20">
        <v>0</v>
      </c>
      <c r="CH8" s="20">
        <f t="shared" si="21"/>
        <v>2</v>
      </c>
      <c r="CI8" s="20"/>
      <c r="CJ8" s="20">
        <f t="shared" si="22"/>
        <v>354.56</v>
      </c>
      <c r="CK8" s="20"/>
      <c r="CL8" s="20">
        <f t="shared" si="23"/>
        <v>354.56</v>
      </c>
      <c r="CM8" s="20">
        <v>50</v>
      </c>
      <c r="CN8" s="20"/>
      <c r="CO8" s="49"/>
    </row>
    <row r="9" spans="1:93" ht="17.149999999999999" customHeight="1" x14ac:dyDescent="0.25">
      <c r="A9" s="6" t="s">
        <v>1</v>
      </c>
      <c r="B9" s="7" t="s">
        <v>136</v>
      </c>
      <c r="C9" s="20">
        <v>1248</v>
      </c>
      <c r="D9" s="26">
        <v>3358.5858585858582</v>
      </c>
      <c r="E9" s="8">
        <v>6</v>
      </c>
      <c r="F9" s="19"/>
      <c r="G9" s="20"/>
      <c r="H9" s="20"/>
      <c r="I9" s="20"/>
      <c r="J9" s="20"/>
      <c r="K9" s="20"/>
      <c r="L9" s="20"/>
      <c r="M9" s="19"/>
      <c r="N9" s="20"/>
      <c r="O9" s="20"/>
      <c r="P9" s="20"/>
      <c r="Q9" s="20"/>
      <c r="R9" s="20"/>
      <c r="S9" s="19"/>
      <c r="T9" s="20"/>
      <c r="U9" s="43"/>
      <c r="V9" s="20"/>
      <c r="W9" s="20"/>
      <c r="X9" s="20"/>
      <c r="Y9" s="19"/>
      <c r="Z9" s="20">
        <v>100</v>
      </c>
      <c r="AA9" s="20">
        <v>0</v>
      </c>
      <c r="AB9" s="20"/>
      <c r="AC9" s="20">
        <f t="shared" si="0"/>
        <v>0</v>
      </c>
      <c r="AD9" s="20">
        <f t="shared" si="1"/>
        <v>100</v>
      </c>
      <c r="AE9" s="20">
        <v>0</v>
      </c>
      <c r="AF9" s="20">
        <f t="shared" si="2"/>
        <v>0</v>
      </c>
      <c r="AG9" s="19">
        <f t="shared" si="3"/>
        <v>100</v>
      </c>
      <c r="AH9" s="20">
        <v>70</v>
      </c>
      <c r="AI9" s="20">
        <v>60</v>
      </c>
      <c r="AJ9" s="20"/>
      <c r="AK9" s="20">
        <f t="shared" si="4"/>
        <v>60</v>
      </c>
      <c r="AL9" s="20">
        <f t="shared" si="5"/>
        <v>110</v>
      </c>
      <c r="AM9" s="20"/>
      <c r="AN9" s="20"/>
      <c r="AO9" s="19">
        <f t="shared" si="6"/>
        <v>110</v>
      </c>
      <c r="AP9" s="20">
        <v>300</v>
      </c>
      <c r="AQ9" s="20">
        <v>90</v>
      </c>
      <c r="AR9" s="20">
        <v>0</v>
      </c>
      <c r="AS9" s="20">
        <f t="shared" si="7"/>
        <v>90</v>
      </c>
      <c r="AT9" s="20">
        <f t="shared" si="8"/>
        <v>320</v>
      </c>
      <c r="AU9" s="20"/>
      <c r="AV9" s="20"/>
      <c r="AW9" s="20"/>
      <c r="AX9" s="19">
        <f t="shared" si="9"/>
        <v>320</v>
      </c>
      <c r="AY9" s="20">
        <v>30</v>
      </c>
      <c r="AZ9" s="20">
        <v>85.333332999999996</v>
      </c>
      <c r="BA9" s="20">
        <v>0</v>
      </c>
      <c r="BB9" s="20">
        <f t="shared" si="10"/>
        <v>85.333332999999996</v>
      </c>
      <c r="BC9" s="20">
        <f t="shared" si="11"/>
        <v>264.66666700000002</v>
      </c>
      <c r="BD9" s="20"/>
      <c r="BE9" s="19">
        <f t="shared" si="12"/>
        <v>264.66666700000002</v>
      </c>
      <c r="BF9" s="20">
        <v>0</v>
      </c>
      <c r="BG9" s="20">
        <v>140</v>
      </c>
      <c r="BH9" s="20">
        <v>0</v>
      </c>
      <c r="BI9" s="20">
        <f t="shared" si="13"/>
        <v>140</v>
      </c>
      <c r="BJ9" s="20"/>
      <c r="BK9" s="20">
        <f t="shared" si="14"/>
        <v>124.66666700000002</v>
      </c>
      <c r="BL9" s="20">
        <v>100</v>
      </c>
      <c r="BM9" s="19">
        <f t="shared" si="15"/>
        <v>124.66666700000002</v>
      </c>
      <c r="BN9" s="20">
        <v>0</v>
      </c>
      <c r="BO9" s="20">
        <v>85</v>
      </c>
      <c r="BP9" s="20">
        <v>0</v>
      </c>
      <c r="BQ9" s="20">
        <f t="shared" si="16"/>
        <v>85</v>
      </c>
      <c r="BR9" s="20"/>
      <c r="BS9" s="20">
        <f t="shared" si="17"/>
        <v>39.666667000000018</v>
      </c>
      <c r="BT9" s="20"/>
      <c r="BU9" s="19">
        <f t="shared" si="18"/>
        <v>39.666667000000018</v>
      </c>
      <c r="BV9" s="20">
        <v>100</v>
      </c>
      <c r="BW9" s="20">
        <v>124.33329999999999</v>
      </c>
      <c r="BX9" s="20">
        <v>0</v>
      </c>
      <c r="BY9" s="20">
        <f t="shared" si="19"/>
        <v>124.33329999999999</v>
      </c>
      <c r="BZ9" s="20"/>
      <c r="CA9" s="20">
        <f t="shared" si="20"/>
        <v>15.333367000000024</v>
      </c>
      <c r="CB9" s="20"/>
      <c r="CC9" s="20"/>
      <c r="CD9" s="19">
        <v>15.333367000000024</v>
      </c>
      <c r="CE9" s="20">
        <f>_xlfn.XLOOKUP(B9,[4]Sheet2!$A$5:$A$25,[4]Sheet2!$B$5:$B$25)</f>
        <v>150</v>
      </c>
      <c r="CF9" s="20">
        <f>_xlfn.XLOOKUP(B9,[2]Sheet1!$A$4:$A$38,[2]Sheet1!$B$4:$B$38)</f>
        <v>150</v>
      </c>
      <c r="CG9" s="20">
        <v>0</v>
      </c>
      <c r="CH9" s="20">
        <f t="shared" si="21"/>
        <v>150</v>
      </c>
      <c r="CI9" s="20"/>
      <c r="CJ9" s="20">
        <f t="shared" si="22"/>
        <v>15.33336700000001</v>
      </c>
      <c r="CK9" s="20"/>
      <c r="CL9" s="20">
        <f t="shared" si="23"/>
        <v>15.33336700000001</v>
      </c>
      <c r="CM9" s="20">
        <v>15</v>
      </c>
      <c r="CN9" s="20">
        <v>150</v>
      </c>
      <c r="CO9" s="49"/>
    </row>
    <row r="10" spans="1:93" ht="17.149999999999999" customHeight="1" x14ac:dyDescent="0.25">
      <c r="A10" s="6" t="s">
        <v>1</v>
      </c>
      <c r="B10" s="7" t="s">
        <v>4</v>
      </c>
      <c r="C10" s="20">
        <v>832</v>
      </c>
      <c r="D10" s="26">
        <v>2239.0572390572388</v>
      </c>
      <c r="E10" s="8">
        <v>4</v>
      </c>
      <c r="F10" s="19">
        <f>'24-25'!CI7</f>
        <v>407.5</v>
      </c>
      <c r="G10" s="20">
        <v>0</v>
      </c>
      <c r="H10" s="20">
        <v>67</v>
      </c>
      <c r="I10" s="20"/>
      <c r="J10" s="20">
        <f>F10+G10+I10-H10</f>
        <v>340.5</v>
      </c>
      <c r="K10" s="20"/>
      <c r="L10" s="20"/>
      <c r="M10" s="19">
        <f>J10</f>
        <v>340.5</v>
      </c>
      <c r="N10" s="20">
        <v>100</v>
      </c>
      <c r="O10" s="20">
        <v>144</v>
      </c>
      <c r="P10" s="20">
        <v>0</v>
      </c>
      <c r="Q10" s="20">
        <f>M10+N10+P10-O10</f>
        <v>296.5</v>
      </c>
      <c r="R10" s="20"/>
      <c r="S10" s="19">
        <f>Q10</f>
        <v>296.5</v>
      </c>
      <c r="T10" s="20"/>
      <c r="U10" s="40">
        <v>116.25</v>
      </c>
      <c r="V10" s="20">
        <v>14.25</v>
      </c>
      <c r="W10" s="20">
        <f>S10+T10+V10-U10</f>
        <v>194.5</v>
      </c>
      <c r="X10" s="20">
        <v>100</v>
      </c>
      <c r="Y10" s="19">
        <f>W10</f>
        <v>194.5</v>
      </c>
      <c r="Z10" s="20"/>
      <c r="AA10" s="20">
        <v>105</v>
      </c>
      <c r="AB10" s="20">
        <v>0</v>
      </c>
      <c r="AC10" s="20">
        <f t="shared" si="0"/>
        <v>105</v>
      </c>
      <c r="AD10" s="20">
        <f t="shared" si="1"/>
        <v>89.5</v>
      </c>
      <c r="AE10" s="20">
        <v>250</v>
      </c>
      <c r="AF10" s="20">
        <f t="shared" si="2"/>
        <v>145</v>
      </c>
      <c r="AG10" s="19">
        <f t="shared" si="3"/>
        <v>89.5</v>
      </c>
      <c r="AH10" s="20">
        <v>0</v>
      </c>
      <c r="AI10" s="20">
        <v>89</v>
      </c>
      <c r="AJ10" s="20"/>
      <c r="AK10" s="20">
        <f t="shared" si="4"/>
        <v>89</v>
      </c>
      <c r="AL10" s="20">
        <f t="shared" si="5"/>
        <v>0.5</v>
      </c>
      <c r="AM10" s="20"/>
      <c r="AN10" s="20"/>
      <c r="AO10" s="19">
        <f t="shared" si="6"/>
        <v>0.5</v>
      </c>
      <c r="AP10" s="20">
        <v>0</v>
      </c>
      <c r="AQ10" s="20">
        <v>0</v>
      </c>
      <c r="AR10" s="20">
        <v>0</v>
      </c>
      <c r="AS10" s="20">
        <f t="shared" si="7"/>
        <v>0</v>
      </c>
      <c r="AT10" s="20">
        <f t="shared" si="8"/>
        <v>0.5</v>
      </c>
      <c r="AU10" s="20"/>
      <c r="AV10" s="20"/>
      <c r="AW10" s="20"/>
      <c r="AX10" s="19">
        <f t="shared" si="9"/>
        <v>0.5</v>
      </c>
      <c r="AY10" s="20">
        <v>0</v>
      </c>
      <c r="AZ10" s="20">
        <v>0</v>
      </c>
      <c r="BA10" s="20">
        <v>0</v>
      </c>
      <c r="BB10" s="20">
        <f t="shared" si="10"/>
        <v>0</v>
      </c>
      <c r="BC10" s="20">
        <f t="shared" si="11"/>
        <v>0.5</v>
      </c>
      <c r="BD10" s="20"/>
      <c r="BE10" s="19">
        <f t="shared" si="12"/>
        <v>0.5</v>
      </c>
      <c r="BF10" s="20">
        <v>0</v>
      </c>
      <c r="BG10" s="20">
        <v>12</v>
      </c>
      <c r="BH10" s="20">
        <v>12</v>
      </c>
      <c r="BI10" s="20">
        <f t="shared" si="13"/>
        <v>0</v>
      </c>
      <c r="BJ10" s="20"/>
      <c r="BK10" s="20">
        <f t="shared" si="14"/>
        <v>0.5</v>
      </c>
      <c r="BL10" s="20">
        <v>0</v>
      </c>
      <c r="BM10" s="19">
        <f t="shared" si="15"/>
        <v>0.5</v>
      </c>
      <c r="BN10" s="20">
        <v>0</v>
      </c>
      <c r="BO10" s="20">
        <v>0</v>
      </c>
      <c r="BP10" s="20">
        <v>0</v>
      </c>
      <c r="BQ10" s="20">
        <f t="shared" si="16"/>
        <v>0</v>
      </c>
      <c r="BR10" s="20"/>
      <c r="BS10" s="20">
        <f t="shared" si="17"/>
        <v>0.5</v>
      </c>
      <c r="BT10" s="20">
        <v>0</v>
      </c>
      <c r="BU10" s="19">
        <f t="shared" si="18"/>
        <v>0.5</v>
      </c>
      <c r="BV10" s="20">
        <v>0</v>
      </c>
      <c r="BW10" s="20">
        <v>0</v>
      </c>
      <c r="BX10" s="20">
        <v>1</v>
      </c>
      <c r="BY10" s="20">
        <f t="shared" si="19"/>
        <v>-1</v>
      </c>
      <c r="BZ10" s="20"/>
      <c r="CA10" s="20">
        <f t="shared" si="20"/>
        <v>1.5</v>
      </c>
      <c r="CB10" s="20"/>
      <c r="CC10" s="20"/>
      <c r="CD10" s="19">
        <v>1.5</v>
      </c>
      <c r="CE10" s="20">
        <v>0</v>
      </c>
      <c r="CF10" s="20">
        <v>0</v>
      </c>
      <c r="CG10" s="20">
        <f>_xlfn.XLOOKUP(B10,[3]Sheet1!$A$4:$A$22,[3]Sheet1!$B$4:$B$22)</f>
        <v>5</v>
      </c>
      <c r="CH10" s="20">
        <f t="shared" si="21"/>
        <v>-5</v>
      </c>
      <c r="CI10" s="20"/>
      <c r="CJ10" s="20">
        <f t="shared" si="22"/>
        <v>6.5</v>
      </c>
      <c r="CK10" s="20"/>
      <c r="CL10" s="20">
        <f t="shared" si="23"/>
        <v>6.5</v>
      </c>
      <c r="CM10" s="20">
        <v>6</v>
      </c>
      <c r="CN10" s="20"/>
      <c r="CO10" s="49"/>
    </row>
    <row r="11" spans="1:93" ht="17.149999999999999" customHeight="1" x14ac:dyDescent="0.25">
      <c r="A11" s="9"/>
      <c r="B11" s="10" t="s">
        <v>33</v>
      </c>
      <c r="C11" s="21"/>
      <c r="D11" s="10"/>
      <c r="E11" s="11"/>
      <c r="F11" s="21">
        <f t="shared" ref="F11:AK11" si="24">SUM(F5:F10)</f>
        <v>523.67340000000013</v>
      </c>
      <c r="G11" s="21">
        <f t="shared" si="24"/>
        <v>650</v>
      </c>
      <c r="H11" s="21">
        <f t="shared" si="24"/>
        <v>185.65</v>
      </c>
      <c r="I11" s="21">
        <f t="shared" si="24"/>
        <v>0</v>
      </c>
      <c r="J11" s="21">
        <f t="shared" si="24"/>
        <v>988.02340000000004</v>
      </c>
      <c r="K11" s="21">
        <f t="shared" si="24"/>
        <v>0</v>
      </c>
      <c r="L11" s="21">
        <f t="shared" si="24"/>
        <v>0</v>
      </c>
      <c r="M11" s="21">
        <f t="shared" si="24"/>
        <v>988.02340000000004</v>
      </c>
      <c r="N11" s="21">
        <f t="shared" si="24"/>
        <v>350</v>
      </c>
      <c r="O11" s="21">
        <f t="shared" si="24"/>
        <v>428.71333300000003</v>
      </c>
      <c r="P11" s="21">
        <f t="shared" si="24"/>
        <v>11.7967</v>
      </c>
      <c r="Q11" s="21">
        <f t="shared" si="24"/>
        <v>921.1067670000001</v>
      </c>
      <c r="R11" s="21">
        <f t="shared" si="24"/>
        <v>0</v>
      </c>
      <c r="S11" s="21">
        <f t="shared" si="24"/>
        <v>921.1067670000001</v>
      </c>
      <c r="T11" s="21">
        <f t="shared" si="24"/>
        <v>0</v>
      </c>
      <c r="U11" s="21">
        <f t="shared" si="24"/>
        <v>328.39666599999998</v>
      </c>
      <c r="V11" s="21">
        <f t="shared" si="24"/>
        <v>66.7333</v>
      </c>
      <c r="W11" s="21">
        <f t="shared" si="24"/>
        <v>659.44340100000011</v>
      </c>
      <c r="X11" s="21">
        <f t="shared" si="24"/>
        <v>850</v>
      </c>
      <c r="Y11" s="21">
        <f t="shared" si="24"/>
        <v>659.44340100000011</v>
      </c>
      <c r="Z11" s="21">
        <f t="shared" si="24"/>
        <v>550</v>
      </c>
      <c r="AA11" s="21">
        <f t="shared" si="24"/>
        <v>351.66166600000003</v>
      </c>
      <c r="AB11" s="21">
        <f t="shared" si="24"/>
        <v>11</v>
      </c>
      <c r="AC11" s="21">
        <f t="shared" si="24"/>
        <v>340.66166600000003</v>
      </c>
      <c r="AD11" s="21">
        <f t="shared" si="24"/>
        <v>868.78173500000014</v>
      </c>
      <c r="AE11" s="21">
        <f t="shared" si="24"/>
        <v>650</v>
      </c>
      <c r="AF11" s="21">
        <f t="shared" si="24"/>
        <v>309.33833399999997</v>
      </c>
      <c r="AG11" s="21">
        <f t="shared" si="24"/>
        <v>868.78173500000014</v>
      </c>
      <c r="AH11" s="21">
        <f t="shared" si="24"/>
        <v>645</v>
      </c>
      <c r="AI11" s="21">
        <f t="shared" si="24"/>
        <v>434.97666600000002</v>
      </c>
      <c r="AJ11" s="21">
        <f t="shared" si="24"/>
        <v>0</v>
      </c>
      <c r="AK11" s="21">
        <f t="shared" si="24"/>
        <v>434.97666600000002</v>
      </c>
      <c r="AL11" s="21">
        <f t="shared" ref="AL11:BQ11" si="25">SUM(AL5:AL10)</f>
        <v>1078.8050690000002</v>
      </c>
      <c r="AM11" s="21">
        <f t="shared" si="25"/>
        <v>0</v>
      </c>
      <c r="AN11" s="21">
        <f t="shared" si="25"/>
        <v>0</v>
      </c>
      <c r="AO11" s="21">
        <f t="shared" si="25"/>
        <v>1078.8050690000002</v>
      </c>
      <c r="AP11" s="21">
        <f t="shared" si="25"/>
        <v>450</v>
      </c>
      <c r="AQ11" s="21">
        <f t="shared" si="25"/>
        <v>329.65666599999997</v>
      </c>
      <c r="AR11" s="21">
        <f t="shared" si="25"/>
        <v>0.56669999999999998</v>
      </c>
      <c r="AS11" s="21">
        <f t="shared" si="25"/>
        <v>329.089966</v>
      </c>
      <c r="AT11" s="21">
        <f t="shared" si="25"/>
        <v>1199.7151030000002</v>
      </c>
      <c r="AU11" s="21">
        <f t="shared" si="25"/>
        <v>0</v>
      </c>
      <c r="AV11" s="21">
        <f t="shared" si="25"/>
        <v>0</v>
      </c>
      <c r="AW11" s="21">
        <f t="shared" si="25"/>
        <v>0</v>
      </c>
      <c r="AX11" s="21">
        <f t="shared" si="25"/>
        <v>1199.7151030000002</v>
      </c>
      <c r="AY11" s="21">
        <f t="shared" si="25"/>
        <v>430</v>
      </c>
      <c r="AZ11" s="21">
        <f t="shared" si="25"/>
        <v>326.943333</v>
      </c>
      <c r="BA11" s="21">
        <f t="shared" si="25"/>
        <v>0</v>
      </c>
      <c r="BB11" s="21">
        <f t="shared" si="25"/>
        <v>326.943333</v>
      </c>
      <c r="BC11" s="21">
        <f t="shared" si="25"/>
        <v>1302.7717700000001</v>
      </c>
      <c r="BD11" s="21">
        <f t="shared" si="25"/>
        <v>0</v>
      </c>
      <c r="BE11" s="21">
        <f t="shared" si="25"/>
        <v>1302.7717700000001</v>
      </c>
      <c r="BF11" s="21">
        <f t="shared" si="25"/>
        <v>0</v>
      </c>
      <c r="BG11" s="21">
        <f t="shared" si="25"/>
        <v>391.69</v>
      </c>
      <c r="BH11" s="21">
        <f t="shared" si="25"/>
        <v>12</v>
      </c>
      <c r="BI11" s="21">
        <f t="shared" si="25"/>
        <v>379.69</v>
      </c>
      <c r="BJ11" s="21">
        <f t="shared" si="25"/>
        <v>0</v>
      </c>
      <c r="BK11" s="21">
        <f t="shared" si="25"/>
        <v>923.08177000000023</v>
      </c>
      <c r="BL11" s="21">
        <f t="shared" si="25"/>
        <v>450</v>
      </c>
      <c r="BM11" s="21">
        <f t="shared" si="25"/>
        <v>923.08177000000023</v>
      </c>
      <c r="BN11" s="21">
        <f t="shared" si="25"/>
        <v>0</v>
      </c>
      <c r="BO11" s="21">
        <f t="shared" si="25"/>
        <v>320.10000000000002</v>
      </c>
      <c r="BP11" s="21">
        <f t="shared" si="25"/>
        <v>15</v>
      </c>
      <c r="BQ11" s="21">
        <f t="shared" si="25"/>
        <v>305.10000000000002</v>
      </c>
      <c r="BR11" s="21">
        <f t="shared" ref="BR11:BV11" si="26">SUM(BR5:BR10)</f>
        <v>0</v>
      </c>
      <c r="BS11" s="21">
        <f t="shared" si="26"/>
        <v>617.9817700000001</v>
      </c>
      <c r="BT11" s="21">
        <f t="shared" si="26"/>
        <v>0</v>
      </c>
      <c r="BU11" s="21">
        <f t="shared" si="26"/>
        <v>617.9817700000001</v>
      </c>
      <c r="BV11" s="21">
        <f t="shared" si="26"/>
        <v>450</v>
      </c>
      <c r="BW11" s="21">
        <v>375.63330000000002</v>
      </c>
      <c r="BX11" s="21">
        <v>4</v>
      </c>
      <c r="BY11" s="21">
        <f>SUM(BY5:BY10)</f>
        <v>371.63330000000002</v>
      </c>
      <c r="BZ11" s="21">
        <f>SUM(BZ5:BZ10)</f>
        <v>0</v>
      </c>
      <c r="CA11" s="21">
        <f>SUM(CA5:CA10)</f>
        <v>696.34847000000025</v>
      </c>
      <c r="CB11" s="21">
        <f>SUM(CB5:CB10)</f>
        <v>0</v>
      </c>
      <c r="CC11" s="21">
        <f>SUM(CC5:CC10)</f>
        <v>0</v>
      </c>
      <c r="CD11" s="21">
        <f t="shared" ref="CD11:CN11" si="27">SUM(CD5:CD10)</f>
        <v>696.34847000000025</v>
      </c>
      <c r="CE11" s="21">
        <f t="shared" si="27"/>
        <v>500</v>
      </c>
      <c r="CF11" s="21">
        <f t="shared" ref="CF11" si="28">SUM(CF5:CF10)</f>
        <v>602.32500000000005</v>
      </c>
      <c r="CG11" s="21">
        <f t="shared" ref="CG11" si="29">SUM(CG5:CG10)</f>
        <v>18.193300000000001</v>
      </c>
      <c r="CH11" s="21">
        <f t="shared" ref="CH11" si="30">SUM(CH5:CH10)</f>
        <v>584.13169999999991</v>
      </c>
      <c r="CI11" s="21">
        <f t="shared" si="27"/>
        <v>0</v>
      </c>
      <c r="CJ11" s="21">
        <f t="shared" si="27"/>
        <v>612.21677000000022</v>
      </c>
      <c r="CK11" s="21">
        <f t="shared" si="27"/>
        <v>0</v>
      </c>
      <c r="CL11" s="21">
        <f t="shared" si="27"/>
        <v>612.21677000000022</v>
      </c>
      <c r="CM11" s="21"/>
      <c r="CN11" s="21">
        <f t="shared" ref="CN11" si="31">SUM(CN5:CN10)</f>
        <v>200</v>
      </c>
      <c r="CO11" s="49"/>
    </row>
    <row r="12" spans="1:93" ht="17.149999999999999" customHeight="1" x14ac:dyDescent="0.25">
      <c r="A12" s="6" t="s">
        <v>5</v>
      </c>
      <c r="B12" s="7" t="s">
        <v>6</v>
      </c>
      <c r="C12" s="20">
        <v>1160</v>
      </c>
      <c r="D12" s="26">
        <v>3885.003885003885</v>
      </c>
      <c r="E12" s="8">
        <v>100</v>
      </c>
      <c r="F12" s="19">
        <f>'24-25'!CI9</f>
        <v>64.820000000000022</v>
      </c>
      <c r="G12" s="20">
        <v>50</v>
      </c>
      <c r="H12" s="20">
        <v>42.15</v>
      </c>
      <c r="I12" s="20"/>
      <c r="J12" s="20">
        <f>F12+G12+I12-H12</f>
        <v>72.670000000000016</v>
      </c>
      <c r="K12" s="20"/>
      <c r="L12" s="20"/>
      <c r="M12" s="19">
        <f>J12</f>
        <v>72.670000000000016</v>
      </c>
      <c r="N12" s="20">
        <v>50</v>
      </c>
      <c r="O12" s="20">
        <v>67.61</v>
      </c>
      <c r="P12" s="20">
        <v>0.59</v>
      </c>
      <c r="Q12" s="20">
        <f>M12+N12+P12-O12</f>
        <v>55.65000000000002</v>
      </c>
      <c r="R12" s="20"/>
      <c r="S12" s="19">
        <f>Q12</f>
        <v>55.65000000000002</v>
      </c>
      <c r="T12" s="20"/>
      <c r="U12" s="20">
        <v>55.83000000000002</v>
      </c>
      <c r="V12" s="20">
        <v>2.17</v>
      </c>
      <c r="W12" s="20">
        <f>S12+T12+V12-U12</f>
        <v>1.990000000000002</v>
      </c>
      <c r="X12" s="20">
        <v>70</v>
      </c>
      <c r="Y12" s="19">
        <f>W12</f>
        <v>1.990000000000002</v>
      </c>
      <c r="Z12" s="20">
        <v>70</v>
      </c>
      <c r="AA12" s="20">
        <v>72.539999999999992</v>
      </c>
      <c r="AB12" s="20">
        <v>1</v>
      </c>
      <c r="AC12" s="20">
        <f>AA12-AB12</f>
        <v>71.539999999999992</v>
      </c>
      <c r="AD12" s="20">
        <f>Y12+Z12+AB12-AA12</f>
        <v>0.45000000000001705</v>
      </c>
      <c r="AE12" s="20">
        <v>100</v>
      </c>
      <c r="AF12" s="20">
        <f>+AE12-AC12</f>
        <v>28.460000000000008</v>
      </c>
      <c r="AG12" s="19">
        <f>+AD12</f>
        <v>0.45000000000001705</v>
      </c>
      <c r="AH12" s="20">
        <v>100</v>
      </c>
      <c r="AI12" s="20">
        <v>79.64</v>
      </c>
      <c r="AJ12" s="20"/>
      <c r="AK12" s="20">
        <f>AI12-AJ12</f>
        <v>79.64</v>
      </c>
      <c r="AL12" s="20">
        <f>AG12+AH12+AJ12-AI12</f>
        <v>20.810000000000016</v>
      </c>
      <c r="AM12" s="20"/>
      <c r="AN12" s="20"/>
      <c r="AO12" s="19">
        <f>+AL12</f>
        <v>20.810000000000016</v>
      </c>
      <c r="AP12" s="20">
        <v>100</v>
      </c>
      <c r="AQ12" s="20">
        <v>72</v>
      </c>
      <c r="AR12" s="20">
        <v>0</v>
      </c>
      <c r="AS12" s="20">
        <f>AQ12-AR12</f>
        <v>72</v>
      </c>
      <c r="AT12" s="20">
        <f>AO12+AP12+AR12-AQ12</f>
        <v>48.810000000000016</v>
      </c>
      <c r="AU12" s="20"/>
      <c r="AV12" s="20"/>
      <c r="AW12" s="20"/>
      <c r="AX12" s="19">
        <f>+AT12</f>
        <v>48.810000000000016</v>
      </c>
      <c r="AY12" s="20">
        <v>150</v>
      </c>
      <c r="AZ12" s="20">
        <v>53.07</v>
      </c>
      <c r="BA12" s="20">
        <v>0</v>
      </c>
      <c r="BB12" s="20">
        <f>AZ12-BA12</f>
        <v>53.07</v>
      </c>
      <c r="BC12" s="20">
        <f>AX12+AY12+BA12-AZ12</f>
        <v>145.74</v>
      </c>
      <c r="BD12" s="20"/>
      <c r="BE12" s="19">
        <f>+BC12</f>
        <v>145.74</v>
      </c>
      <c r="BF12" s="20">
        <v>0</v>
      </c>
      <c r="BG12" s="20">
        <v>88.85</v>
      </c>
      <c r="BH12" s="20">
        <v>2</v>
      </c>
      <c r="BI12" s="20">
        <f>+BG12-BH12</f>
        <v>86.85</v>
      </c>
      <c r="BJ12" s="20"/>
      <c r="BK12" s="20">
        <f>BE12+BF12+BH12-BG12-BJ12</f>
        <v>58.890000000000015</v>
      </c>
      <c r="BL12" s="20">
        <v>100</v>
      </c>
      <c r="BM12" s="19">
        <f>+BK12+BJ12</f>
        <v>58.890000000000015</v>
      </c>
      <c r="BN12" s="20">
        <v>0</v>
      </c>
      <c r="BO12" s="20">
        <v>52.1</v>
      </c>
      <c r="BP12" s="20">
        <v>0</v>
      </c>
      <c r="BQ12" s="20">
        <f>BO12-BP12</f>
        <v>52.1</v>
      </c>
      <c r="BR12" s="20"/>
      <c r="BS12" s="20">
        <f>BM12+BN12+BP12-BO12-BR12</f>
        <v>6.7900000000000134</v>
      </c>
      <c r="BT12" s="20"/>
      <c r="BU12" s="19">
        <f>BS12+BR12</f>
        <v>6.7900000000000134</v>
      </c>
      <c r="BV12" s="20">
        <v>100</v>
      </c>
      <c r="BW12" s="20">
        <v>68.62</v>
      </c>
      <c r="BX12" s="20">
        <v>1</v>
      </c>
      <c r="BY12" s="20">
        <f>BW12-BX12</f>
        <v>67.62</v>
      </c>
      <c r="BZ12" s="20"/>
      <c r="CA12" s="20">
        <f>BU12+BV12+BX12-BW12-BZ12</f>
        <v>39.170000000000016</v>
      </c>
      <c r="CB12" s="20"/>
      <c r="CC12" s="20"/>
      <c r="CD12" s="19">
        <v>39.170000000000016</v>
      </c>
      <c r="CE12" s="20">
        <f>_xlfn.XLOOKUP(B12,[4]Sheet2!$A$5:$A$25,[4]Sheet2!$B$5:$B$25)</f>
        <v>100</v>
      </c>
      <c r="CF12" s="20">
        <f>_xlfn.XLOOKUP(B12,[2]Sheet1!$A$4:$A$38,[2]Sheet1!$B$4:$B$38)</f>
        <v>61.43</v>
      </c>
      <c r="CG12" s="20">
        <f>_xlfn.XLOOKUP(B12,[3]Sheet1!$A$4:$A$22,[3]Sheet1!$B$4:$B$22)</f>
        <v>1.65</v>
      </c>
      <c r="CH12" s="20">
        <f>CF12-CG12</f>
        <v>59.78</v>
      </c>
      <c r="CI12" s="20"/>
      <c r="CJ12" s="20">
        <f>CD12+CE12+CG12-CF12-CI12</f>
        <v>79.390000000000015</v>
      </c>
      <c r="CK12" s="20"/>
      <c r="CL12" s="20">
        <f t="shared" ref="CL12:CL13" si="32">CK12+CJ12</f>
        <v>79.390000000000015</v>
      </c>
      <c r="CM12" s="20">
        <v>75</v>
      </c>
      <c r="CN12" s="20">
        <v>25</v>
      </c>
      <c r="CO12" s="49"/>
    </row>
    <row r="13" spans="1:93" ht="17.149999999999999" customHeight="1" x14ac:dyDescent="0.25">
      <c r="A13" s="6" t="s">
        <v>5</v>
      </c>
      <c r="B13" s="7" t="s">
        <v>128</v>
      </c>
      <c r="C13" s="20">
        <v>1413</v>
      </c>
      <c r="D13" s="26">
        <v>4158.2491582491584</v>
      </c>
      <c r="E13" s="8">
        <v>40</v>
      </c>
      <c r="F13" s="19"/>
      <c r="G13" s="20"/>
      <c r="H13" s="20"/>
      <c r="I13" s="20"/>
      <c r="J13" s="20"/>
      <c r="K13" s="20"/>
      <c r="L13" s="20"/>
      <c r="M13" s="19"/>
      <c r="N13" s="20"/>
      <c r="O13" s="20"/>
      <c r="P13" s="20"/>
      <c r="Q13" s="20"/>
      <c r="R13" s="20"/>
      <c r="S13" s="19">
        <v>0</v>
      </c>
      <c r="T13" s="20"/>
      <c r="U13" s="20"/>
      <c r="V13" s="20">
        <v>0</v>
      </c>
      <c r="W13" s="20">
        <f>S13+T13+V13-U13</f>
        <v>0</v>
      </c>
      <c r="X13" s="20">
        <v>100</v>
      </c>
      <c r="Y13" s="19">
        <v>0</v>
      </c>
      <c r="Z13" s="20">
        <v>0</v>
      </c>
      <c r="AA13" s="20">
        <v>0</v>
      </c>
      <c r="AB13" s="20">
        <v>0</v>
      </c>
      <c r="AC13" s="20">
        <f>AA13-AB13</f>
        <v>0</v>
      </c>
      <c r="AD13" s="20">
        <f>Y13+Z13+AB13-AA13</f>
        <v>0</v>
      </c>
      <c r="AE13" s="20">
        <v>0</v>
      </c>
      <c r="AF13" s="20">
        <f>+AE13-AC13</f>
        <v>0</v>
      </c>
      <c r="AG13" s="19">
        <f>+AD13</f>
        <v>0</v>
      </c>
      <c r="AH13" s="20">
        <v>100</v>
      </c>
      <c r="AI13" s="20">
        <v>63.024999999999999</v>
      </c>
      <c r="AJ13" s="20"/>
      <c r="AK13" s="20">
        <f>AI13-AJ13</f>
        <v>63.024999999999999</v>
      </c>
      <c r="AL13" s="20">
        <f>AG13+AH13+AJ13-AI13</f>
        <v>36.975000000000001</v>
      </c>
      <c r="AM13" s="20"/>
      <c r="AN13" s="20"/>
      <c r="AO13" s="19">
        <f>+AL13</f>
        <v>36.975000000000001</v>
      </c>
      <c r="AP13" s="20">
        <v>400</v>
      </c>
      <c r="AQ13" s="20">
        <v>17</v>
      </c>
      <c r="AR13" s="20">
        <v>0</v>
      </c>
      <c r="AS13" s="20">
        <f>AQ13-AR13</f>
        <v>17</v>
      </c>
      <c r="AT13" s="20">
        <f>AO13+AP13+AR13-AQ13</f>
        <v>419.97500000000002</v>
      </c>
      <c r="AU13" s="20"/>
      <c r="AV13" s="20"/>
      <c r="AW13" s="20"/>
      <c r="AX13" s="19">
        <f>+AT13</f>
        <v>419.97500000000002</v>
      </c>
      <c r="AY13" s="20">
        <v>0</v>
      </c>
      <c r="AZ13" s="20">
        <v>13.025</v>
      </c>
      <c r="BA13" s="20">
        <v>0</v>
      </c>
      <c r="BB13" s="20">
        <f>AZ13-BA13</f>
        <v>13.025</v>
      </c>
      <c r="BC13" s="20">
        <f>AX13+AY13+BA13-AZ13</f>
        <v>406.95000000000005</v>
      </c>
      <c r="BD13" s="20"/>
      <c r="BE13" s="19">
        <f>+BC13</f>
        <v>406.95000000000005</v>
      </c>
      <c r="BF13" s="20">
        <v>0</v>
      </c>
      <c r="BG13" s="20">
        <v>24.05</v>
      </c>
      <c r="BH13" s="20">
        <v>0</v>
      </c>
      <c r="BI13" s="20">
        <f>+BG13-BH13</f>
        <v>24.05</v>
      </c>
      <c r="BJ13" s="20"/>
      <c r="BK13" s="20">
        <f>BE13+BF13+BH13-BG13-BJ13</f>
        <v>382.90000000000003</v>
      </c>
      <c r="BL13" s="20">
        <v>0</v>
      </c>
      <c r="BM13" s="19">
        <f>+BK13+BJ13</f>
        <v>382.90000000000003</v>
      </c>
      <c r="BN13" s="20">
        <v>0</v>
      </c>
      <c r="BO13" s="20">
        <v>52</v>
      </c>
      <c r="BP13" s="20">
        <v>0</v>
      </c>
      <c r="BQ13" s="20">
        <f>BO13-BP13</f>
        <v>52</v>
      </c>
      <c r="BR13" s="20"/>
      <c r="BS13" s="20">
        <f>BM13+BN13+BP13-BO13-BR13</f>
        <v>330.90000000000003</v>
      </c>
      <c r="BT13" s="20">
        <v>0</v>
      </c>
      <c r="BU13" s="19">
        <f>BS13+BR13</f>
        <v>330.90000000000003</v>
      </c>
      <c r="BV13" s="20">
        <v>0</v>
      </c>
      <c r="BW13" s="20">
        <v>24</v>
      </c>
      <c r="BX13" s="20">
        <v>0</v>
      </c>
      <c r="BY13" s="20">
        <f>BW13-BX13</f>
        <v>24</v>
      </c>
      <c r="BZ13" s="20"/>
      <c r="CA13" s="20">
        <f>BU13+BV13+BX13-BW13-BZ13</f>
        <v>306.90000000000003</v>
      </c>
      <c r="CB13" s="20"/>
      <c r="CC13" s="20"/>
      <c r="CD13" s="19">
        <v>306.90000000000003</v>
      </c>
      <c r="CE13" s="20">
        <v>0</v>
      </c>
      <c r="CF13" s="20">
        <f>_xlfn.XLOOKUP(B13,[2]Sheet1!$A$4:$A$38,[2]Sheet1!$B$4:$B$38)</f>
        <v>40</v>
      </c>
      <c r="CG13" s="20">
        <v>0</v>
      </c>
      <c r="CH13" s="20">
        <f>CF13-CG13</f>
        <v>40</v>
      </c>
      <c r="CI13" s="20"/>
      <c r="CJ13" s="20">
        <f>CD13+CE13+CG13-CF13-CI13</f>
        <v>266.90000000000003</v>
      </c>
      <c r="CK13" s="20"/>
      <c r="CL13" s="20">
        <f t="shared" si="32"/>
        <v>266.90000000000003</v>
      </c>
      <c r="CM13" s="20">
        <v>266</v>
      </c>
      <c r="CN13" s="20"/>
      <c r="CO13" s="49"/>
    </row>
    <row r="14" spans="1:93" ht="17.149999999999999" customHeight="1" x14ac:dyDescent="0.25">
      <c r="A14" s="9"/>
      <c r="B14" s="10" t="s">
        <v>34</v>
      </c>
      <c r="C14" s="21"/>
      <c r="D14" s="10"/>
      <c r="E14" s="11"/>
      <c r="F14" s="21">
        <f t="shared" ref="F14:U14" si="33">SUM(F12)</f>
        <v>64.820000000000022</v>
      </c>
      <c r="G14" s="21">
        <f t="shared" si="33"/>
        <v>50</v>
      </c>
      <c r="H14" s="21">
        <f t="shared" si="33"/>
        <v>42.15</v>
      </c>
      <c r="I14" s="21">
        <f t="shared" si="33"/>
        <v>0</v>
      </c>
      <c r="J14" s="21">
        <f t="shared" si="33"/>
        <v>72.670000000000016</v>
      </c>
      <c r="K14" s="21">
        <f t="shared" si="33"/>
        <v>0</v>
      </c>
      <c r="L14" s="21">
        <f t="shared" si="33"/>
        <v>0</v>
      </c>
      <c r="M14" s="21">
        <f t="shared" si="33"/>
        <v>72.670000000000016</v>
      </c>
      <c r="N14" s="21">
        <f t="shared" si="33"/>
        <v>50</v>
      </c>
      <c r="O14" s="21">
        <f t="shared" si="33"/>
        <v>67.61</v>
      </c>
      <c r="P14" s="21">
        <f t="shared" si="33"/>
        <v>0.59</v>
      </c>
      <c r="Q14" s="21">
        <f t="shared" si="33"/>
        <v>55.65000000000002</v>
      </c>
      <c r="R14" s="21">
        <f t="shared" si="33"/>
        <v>0</v>
      </c>
      <c r="S14" s="21">
        <f t="shared" si="33"/>
        <v>55.65000000000002</v>
      </c>
      <c r="T14" s="21">
        <f t="shared" si="33"/>
        <v>0</v>
      </c>
      <c r="U14" s="21">
        <f t="shared" si="33"/>
        <v>55.83000000000002</v>
      </c>
      <c r="V14" s="21">
        <f t="shared" ref="V14:BA14" si="34">SUM(V12:V13)</f>
        <v>2.17</v>
      </c>
      <c r="W14" s="21">
        <f t="shared" si="34"/>
        <v>1.990000000000002</v>
      </c>
      <c r="X14" s="21">
        <f t="shared" si="34"/>
        <v>170</v>
      </c>
      <c r="Y14" s="21">
        <f t="shared" si="34"/>
        <v>1.990000000000002</v>
      </c>
      <c r="Z14" s="21">
        <f t="shared" si="34"/>
        <v>70</v>
      </c>
      <c r="AA14" s="21">
        <f t="shared" si="34"/>
        <v>72.539999999999992</v>
      </c>
      <c r="AB14" s="21">
        <f t="shared" si="34"/>
        <v>1</v>
      </c>
      <c r="AC14" s="21">
        <f t="shared" si="34"/>
        <v>71.539999999999992</v>
      </c>
      <c r="AD14" s="21">
        <f t="shared" si="34"/>
        <v>0.45000000000001705</v>
      </c>
      <c r="AE14" s="21">
        <f t="shared" si="34"/>
        <v>100</v>
      </c>
      <c r="AF14" s="21">
        <f t="shared" si="34"/>
        <v>28.460000000000008</v>
      </c>
      <c r="AG14" s="21">
        <f t="shared" si="34"/>
        <v>0.45000000000001705</v>
      </c>
      <c r="AH14" s="21">
        <f t="shared" si="34"/>
        <v>200</v>
      </c>
      <c r="AI14" s="21">
        <f t="shared" si="34"/>
        <v>142.66499999999999</v>
      </c>
      <c r="AJ14" s="21">
        <f t="shared" si="34"/>
        <v>0</v>
      </c>
      <c r="AK14" s="21">
        <f t="shared" si="34"/>
        <v>142.66499999999999</v>
      </c>
      <c r="AL14" s="21">
        <f t="shared" si="34"/>
        <v>57.785000000000018</v>
      </c>
      <c r="AM14" s="21">
        <f t="shared" si="34"/>
        <v>0</v>
      </c>
      <c r="AN14" s="21">
        <f t="shared" si="34"/>
        <v>0</v>
      </c>
      <c r="AO14" s="21">
        <f t="shared" si="34"/>
        <v>57.785000000000018</v>
      </c>
      <c r="AP14" s="21">
        <f t="shared" si="34"/>
        <v>500</v>
      </c>
      <c r="AQ14" s="21">
        <f t="shared" si="34"/>
        <v>89</v>
      </c>
      <c r="AR14" s="21">
        <f t="shared" si="34"/>
        <v>0</v>
      </c>
      <c r="AS14" s="21">
        <f t="shared" si="34"/>
        <v>89</v>
      </c>
      <c r="AT14" s="21">
        <f t="shared" si="34"/>
        <v>468.78500000000003</v>
      </c>
      <c r="AU14" s="21">
        <f t="shared" si="34"/>
        <v>0</v>
      </c>
      <c r="AV14" s="21">
        <f t="shared" si="34"/>
        <v>0</v>
      </c>
      <c r="AW14" s="21">
        <f t="shared" si="34"/>
        <v>0</v>
      </c>
      <c r="AX14" s="21">
        <f t="shared" si="34"/>
        <v>468.78500000000003</v>
      </c>
      <c r="AY14" s="21">
        <f t="shared" si="34"/>
        <v>150</v>
      </c>
      <c r="AZ14" s="21">
        <f t="shared" si="34"/>
        <v>66.094999999999999</v>
      </c>
      <c r="BA14" s="21">
        <f t="shared" si="34"/>
        <v>0</v>
      </c>
      <c r="BB14" s="21">
        <f t="shared" ref="BB14:BV14" si="35">SUM(BB12:BB13)</f>
        <v>66.094999999999999</v>
      </c>
      <c r="BC14" s="21">
        <f t="shared" si="35"/>
        <v>552.69000000000005</v>
      </c>
      <c r="BD14" s="21">
        <f t="shared" si="35"/>
        <v>0</v>
      </c>
      <c r="BE14" s="21">
        <f t="shared" si="35"/>
        <v>552.69000000000005</v>
      </c>
      <c r="BF14" s="21">
        <f t="shared" si="35"/>
        <v>0</v>
      </c>
      <c r="BG14" s="21">
        <f t="shared" si="35"/>
        <v>112.89999999999999</v>
      </c>
      <c r="BH14" s="21">
        <f t="shared" si="35"/>
        <v>2</v>
      </c>
      <c r="BI14" s="21">
        <f t="shared" si="35"/>
        <v>110.89999999999999</v>
      </c>
      <c r="BJ14" s="21">
        <f t="shared" si="35"/>
        <v>0</v>
      </c>
      <c r="BK14" s="21">
        <f t="shared" si="35"/>
        <v>441.79000000000008</v>
      </c>
      <c r="BL14" s="21">
        <f t="shared" si="35"/>
        <v>100</v>
      </c>
      <c r="BM14" s="21">
        <f t="shared" si="35"/>
        <v>441.79000000000008</v>
      </c>
      <c r="BN14" s="21">
        <f t="shared" si="35"/>
        <v>0</v>
      </c>
      <c r="BO14" s="21">
        <f t="shared" si="35"/>
        <v>104.1</v>
      </c>
      <c r="BP14" s="21">
        <f t="shared" si="35"/>
        <v>0</v>
      </c>
      <c r="BQ14" s="21">
        <f t="shared" si="35"/>
        <v>104.1</v>
      </c>
      <c r="BR14" s="21">
        <f t="shared" si="35"/>
        <v>0</v>
      </c>
      <c r="BS14" s="21">
        <f t="shared" si="35"/>
        <v>337.69000000000005</v>
      </c>
      <c r="BT14" s="21">
        <f t="shared" si="35"/>
        <v>0</v>
      </c>
      <c r="BU14" s="21">
        <f t="shared" si="35"/>
        <v>337.69000000000005</v>
      </c>
      <c r="BV14" s="21">
        <f t="shared" si="35"/>
        <v>100</v>
      </c>
      <c r="BW14" s="21">
        <v>92.62</v>
      </c>
      <c r="BX14" s="21">
        <v>1</v>
      </c>
      <c r="BY14" s="21">
        <f>SUM(BY12:BY13)</f>
        <v>91.62</v>
      </c>
      <c r="BZ14" s="21">
        <f>SUM(BZ12:BZ13)</f>
        <v>0</v>
      </c>
      <c r="CA14" s="21">
        <f>SUM(CA12:CA13)</f>
        <v>346.07000000000005</v>
      </c>
      <c r="CB14" s="21">
        <f t="shared" ref="CB14:CN14" si="36">SUM(CB12:CB13)</f>
        <v>0</v>
      </c>
      <c r="CC14" s="21">
        <f t="shared" si="36"/>
        <v>0</v>
      </c>
      <c r="CD14" s="21">
        <f t="shared" si="36"/>
        <v>346.07000000000005</v>
      </c>
      <c r="CE14" s="21">
        <f t="shared" si="36"/>
        <v>100</v>
      </c>
      <c r="CF14" s="21">
        <f t="shared" ref="CF14" si="37">SUM(CF12:CF13)</f>
        <v>101.43</v>
      </c>
      <c r="CG14" s="21">
        <f t="shared" ref="CG14" si="38">SUM(CG12:CG13)</f>
        <v>1.65</v>
      </c>
      <c r="CH14" s="21">
        <f t="shared" ref="CH14" si="39">SUM(CH12:CH13)</f>
        <v>99.78</v>
      </c>
      <c r="CI14" s="21">
        <f t="shared" si="36"/>
        <v>0</v>
      </c>
      <c r="CJ14" s="21">
        <f t="shared" si="36"/>
        <v>346.29000000000008</v>
      </c>
      <c r="CK14" s="21">
        <f t="shared" si="36"/>
        <v>0</v>
      </c>
      <c r="CL14" s="21">
        <f t="shared" si="36"/>
        <v>346.29000000000008</v>
      </c>
      <c r="CM14" s="21"/>
      <c r="CN14" s="21">
        <f t="shared" ref="CN14" si="40">SUM(CN12:CN13)</f>
        <v>25</v>
      </c>
      <c r="CO14" s="49"/>
    </row>
    <row r="15" spans="1:93" ht="17.149999999999999" customHeight="1" x14ac:dyDescent="0.25">
      <c r="A15" s="6" t="s">
        <v>7</v>
      </c>
      <c r="B15" s="7" t="s">
        <v>8</v>
      </c>
      <c r="C15" s="20">
        <v>5700</v>
      </c>
      <c r="D15" s="26">
        <v>18648.018648018649</v>
      </c>
      <c r="E15" s="8">
        <v>40</v>
      </c>
      <c r="F15" s="19">
        <f>'24-25'!CI11</f>
        <v>20.400000000000009</v>
      </c>
      <c r="G15" s="20">
        <v>20</v>
      </c>
      <c r="H15" s="20">
        <v>25</v>
      </c>
      <c r="I15" s="20"/>
      <c r="J15" s="20">
        <f>F15+G15+I15-H15</f>
        <v>15.400000000000006</v>
      </c>
      <c r="K15" s="20"/>
      <c r="L15" s="20"/>
      <c r="M15" s="19">
        <f>J15</f>
        <v>15.400000000000006</v>
      </c>
      <c r="N15" s="20">
        <v>25</v>
      </c>
      <c r="O15" s="20">
        <f>38.925-15-10</f>
        <v>13.924999999999997</v>
      </c>
      <c r="P15" s="20">
        <v>1.925</v>
      </c>
      <c r="Q15" s="20">
        <f>M15+N15+P15-O15</f>
        <v>28.400000000000006</v>
      </c>
      <c r="R15" s="20"/>
      <c r="S15" s="19">
        <f>Q15</f>
        <v>28.400000000000006</v>
      </c>
      <c r="T15" s="20"/>
      <c r="U15" s="20">
        <v>32.225000000000009</v>
      </c>
      <c r="V15" s="20">
        <v>33.9</v>
      </c>
      <c r="W15" s="20">
        <f>S15+T15+V15-U15</f>
        <v>30.074999999999996</v>
      </c>
      <c r="X15" s="20">
        <v>50</v>
      </c>
      <c r="Y15" s="19">
        <f>W15</f>
        <v>30.074999999999996</v>
      </c>
      <c r="Z15" s="20">
        <v>50</v>
      </c>
      <c r="AA15" s="20">
        <f>28-10</f>
        <v>18</v>
      </c>
      <c r="AB15" s="20">
        <v>1</v>
      </c>
      <c r="AC15" s="20">
        <f>AA15-AB15</f>
        <v>17</v>
      </c>
      <c r="AD15" s="20">
        <f>Y15+Z15+AB15-AA15</f>
        <v>63.074999999999989</v>
      </c>
      <c r="AE15" s="20">
        <v>10</v>
      </c>
      <c r="AF15" s="20">
        <f>+AE15-AC15</f>
        <v>-7</v>
      </c>
      <c r="AG15" s="19">
        <f>+AD15</f>
        <v>63.074999999999989</v>
      </c>
      <c r="AH15" s="20">
        <v>0</v>
      </c>
      <c r="AI15" s="20">
        <v>25</v>
      </c>
      <c r="AJ15" s="20"/>
      <c r="AK15" s="20">
        <f>AI15-AJ15</f>
        <v>25</v>
      </c>
      <c r="AL15" s="20">
        <f>AG15+AH15+AJ15-AI15</f>
        <v>38.074999999999989</v>
      </c>
      <c r="AM15" s="20"/>
      <c r="AN15" s="20"/>
      <c r="AO15" s="19">
        <f>+AL15</f>
        <v>38.074999999999989</v>
      </c>
      <c r="AP15" s="20">
        <v>0</v>
      </c>
      <c r="AQ15" s="20">
        <v>1.25</v>
      </c>
      <c r="AR15" s="20">
        <v>0.47499999999999998</v>
      </c>
      <c r="AS15" s="20">
        <f>AQ15-AR15</f>
        <v>0.77500000000000002</v>
      </c>
      <c r="AT15" s="20">
        <f>AO15+AP15+AR15-AQ15</f>
        <v>37.29999999999999</v>
      </c>
      <c r="AU15" s="20"/>
      <c r="AV15" s="20"/>
      <c r="AW15" s="20"/>
      <c r="AX15" s="19">
        <f>+AT15</f>
        <v>37.29999999999999</v>
      </c>
      <c r="AY15" s="20">
        <v>25</v>
      </c>
      <c r="AZ15" s="20">
        <v>29.024999999999999</v>
      </c>
      <c r="BA15" s="20">
        <v>0</v>
      </c>
      <c r="BB15" s="20">
        <f>AZ15-BA15</f>
        <v>29.024999999999999</v>
      </c>
      <c r="BC15" s="20">
        <f>AX15+AY15+BA15-AZ15</f>
        <v>33.274999999999991</v>
      </c>
      <c r="BD15" s="20"/>
      <c r="BE15" s="19">
        <f>+BC15</f>
        <v>33.274999999999991</v>
      </c>
      <c r="BF15" s="20">
        <v>0</v>
      </c>
      <c r="BG15" s="20">
        <v>4.9749999999999996</v>
      </c>
      <c r="BH15" s="20">
        <v>2</v>
      </c>
      <c r="BI15" s="20">
        <f>+BG15-BH15</f>
        <v>2.9749999999999996</v>
      </c>
      <c r="BJ15" s="20">
        <v>29.3</v>
      </c>
      <c r="BK15" s="20">
        <f>BE15+BF15+BH15-BG15-BJ15</f>
        <v>0.99999999999998934</v>
      </c>
      <c r="BL15" s="20">
        <v>50</v>
      </c>
      <c r="BM15" s="19">
        <f>+BK15+BJ15</f>
        <v>30.29999999999999</v>
      </c>
      <c r="BN15" s="20">
        <v>0</v>
      </c>
      <c r="BO15" s="20">
        <v>35.475000000000001</v>
      </c>
      <c r="BP15" s="20">
        <v>9.4749999999999996</v>
      </c>
      <c r="BQ15" s="20">
        <f>BO15-BP15</f>
        <v>26</v>
      </c>
      <c r="BR15" s="20">
        <v>4.3</v>
      </c>
      <c r="BS15" s="20">
        <f>BM15+BN15+BP15-BO15-BR15</f>
        <v>-9.7699626167013776E-15</v>
      </c>
      <c r="BT15" s="20"/>
      <c r="BU15" s="19">
        <f>BS15+BR15</f>
        <v>4.2999999999999901</v>
      </c>
      <c r="BV15" s="20">
        <v>50</v>
      </c>
      <c r="BW15" s="20">
        <v>50</v>
      </c>
      <c r="BX15" s="20">
        <v>2</v>
      </c>
      <c r="BY15" s="20">
        <f>BW15-BX15</f>
        <v>48</v>
      </c>
      <c r="BZ15" s="20">
        <v>4.3</v>
      </c>
      <c r="CA15" s="20">
        <f>BU15+BV15+BX15-BW15-BZ15</f>
        <v>1.9999999999999902</v>
      </c>
      <c r="CB15" s="20"/>
      <c r="CC15" s="20"/>
      <c r="CD15" s="19">
        <v>1.9999999999999902</v>
      </c>
      <c r="CE15" s="20">
        <f>_xlfn.XLOOKUP(B15,[4]Sheet2!$A$5:$A$25,[4]Sheet2!$B$5:$B$25)</f>
        <v>50</v>
      </c>
      <c r="CF15" s="20">
        <f>_xlfn.XLOOKUP(B15,[2]Sheet1!$A$4:$A$38,[2]Sheet1!$B$4:$B$38)</f>
        <v>26</v>
      </c>
      <c r="CG15" s="20">
        <f>_xlfn.XLOOKUP(B15,[3]Sheet1!$A$4:$A$22,[3]Sheet1!$B$4:$B$22)</f>
        <v>0.625</v>
      </c>
      <c r="CH15" s="20">
        <f>CF15-CG15</f>
        <v>25.375</v>
      </c>
      <c r="CI15" s="20">
        <v>4.3</v>
      </c>
      <c r="CJ15" s="20">
        <f>CD15+CE15+CG15-CF15-CI15</f>
        <v>22.324999999999992</v>
      </c>
      <c r="CK15" s="20"/>
      <c r="CL15" s="20">
        <f t="shared" ref="CL15:CL16" si="41">CK15+CJ15</f>
        <v>22.324999999999992</v>
      </c>
      <c r="CM15" s="20">
        <v>20</v>
      </c>
      <c r="CN15" s="20">
        <v>50</v>
      </c>
      <c r="CO15" s="49"/>
    </row>
    <row r="16" spans="1:93" ht="17.149999999999999" customHeight="1" x14ac:dyDescent="0.25">
      <c r="A16" s="6" t="s">
        <v>7</v>
      </c>
      <c r="B16" s="7" t="s">
        <v>9</v>
      </c>
      <c r="C16" s="20">
        <v>4800</v>
      </c>
      <c r="D16" s="26">
        <v>22377.622377622378</v>
      </c>
      <c r="E16" s="8">
        <v>96</v>
      </c>
      <c r="F16" s="19">
        <f>'24-25'!CI12</f>
        <v>38.885415999999999</v>
      </c>
      <c r="G16" s="20">
        <v>0</v>
      </c>
      <c r="H16" s="20">
        <v>19</v>
      </c>
      <c r="I16" s="20"/>
      <c r="J16" s="20">
        <f>F16+G16+I16-H16</f>
        <v>19.885415999999999</v>
      </c>
      <c r="K16" s="20"/>
      <c r="L16" s="20"/>
      <c r="M16" s="19">
        <f>J16</f>
        <v>19.885415999999999</v>
      </c>
      <c r="N16" s="20">
        <v>25</v>
      </c>
      <c r="O16" s="20">
        <f>33.895833-15-10</f>
        <v>8.8958330000000032</v>
      </c>
      <c r="P16" s="20">
        <v>0.89580000000000004</v>
      </c>
      <c r="Q16" s="20">
        <f>M16+N16+P16-O16</f>
        <v>36.885382999999997</v>
      </c>
      <c r="R16" s="20"/>
      <c r="S16" s="19">
        <f>Q16</f>
        <v>36.885382999999997</v>
      </c>
      <c r="T16" s="20"/>
      <c r="U16" s="20">
        <v>26.322932999999999</v>
      </c>
      <c r="V16" s="20">
        <v>17.281300000000002</v>
      </c>
      <c r="W16" s="20">
        <f>S16+T16+V16-U16</f>
        <v>27.84375</v>
      </c>
      <c r="X16" s="20">
        <v>50</v>
      </c>
      <c r="Y16" s="19">
        <f>W16</f>
        <v>27.84375</v>
      </c>
      <c r="Z16" s="20">
        <v>50</v>
      </c>
      <c r="AA16" s="20">
        <f>22-10</f>
        <v>12</v>
      </c>
      <c r="AB16" s="20">
        <v>1</v>
      </c>
      <c r="AC16" s="20">
        <f>AA16-AB16</f>
        <v>11</v>
      </c>
      <c r="AD16" s="20">
        <f>Y16+Z16+AB16-AA16</f>
        <v>66.84375</v>
      </c>
      <c r="AE16" s="20">
        <v>10</v>
      </c>
      <c r="AF16" s="20">
        <f>+AE16-AC16</f>
        <v>-1</v>
      </c>
      <c r="AG16" s="19">
        <f>+AD16</f>
        <v>66.84375</v>
      </c>
      <c r="AH16" s="20">
        <v>0</v>
      </c>
      <c r="AI16" s="20">
        <v>25</v>
      </c>
      <c r="AJ16" s="20"/>
      <c r="AK16" s="20">
        <f>AI16-AJ16</f>
        <v>25</v>
      </c>
      <c r="AL16" s="20">
        <f>AG16+AH16+AJ16-AI16</f>
        <v>41.84375</v>
      </c>
      <c r="AM16" s="20"/>
      <c r="AN16" s="20"/>
      <c r="AO16" s="19">
        <f>+AL16</f>
        <v>41.84375</v>
      </c>
      <c r="AP16" s="20">
        <v>0</v>
      </c>
      <c r="AQ16" s="20">
        <v>6</v>
      </c>
      <c r="AR16" s="20">
        <v>0</v>
      </c>
      <c r="AS16" s="20">
        <f>AQ16-AR16</f>
        <v>6</v>
      </c>
      <c r="AT16" s="20">
        <f>AO16+AP16+AR16-AQ16</f>
        <v>35.84375</v>
      </c>
      <c r="AU16" s="20"/>
      <c r="AV16" s="20"/>
      <c r="AW16" s="20"/>
      <c r="AX16" s="19">
        <f>+AT16</f>
        <v>35.84375</v>
      </c>
      <c r="AY16" s="20">
        <v>0</v>
      </c>
      <c r="AZ16" s="20">
        <v>12</v>
      </c>
      <c r="BA16" s="20">
        <v>0</v>
      </c>
      <c r="BB16" s="20">
        <f>AZ16-BA16</f>
        <v>12</v>
      </c>
      <c r="BC16" s="20">
        <f>AX16+AY16+BA16-AZ16</f>
        <v>23.84375</v>
      </c>
      <c r="BD16" s="20"/>
      <c r="BE16" s="19">
        <f>+BC16</f>
        <v>23.84375</v>
      </c>
      <c r="BF16" s="20">
        <v>0</v>
      </c>
      <c r="BG16" s="20">
        <v>9</v>
      </c>
      <c r="BH16" s="20">
        <v>2</v>
      </c>
      <c r="BI16" s="20">
        <f>+BG16-BH16</f>
        <v>7</v>
      </c>
      <c r="BJ16" s="20">
        <v>16.77</v>
      </c>
      <c r="BK16" s="20">
        <f>BE16+BF16+BH16-BG16-BJ16</f>
        <v>7.3750000000000426E-2</v>
      </c>
      <c r="BL16" s="20">
        <v>40</v>
      </c>
      <c r="BM16" s="19">
        <f>+BK16+BJ16</f>
        <v>16.84375</v>
      </c>
      <c r="BN16" s="20">
        <v>0</v>
      </c>
      <c r="BO16" s="20">
        <v>7.2915999999999995E-2</v>
      </c>
      <c r="BP16" s="20">
        <v>0</v>
      </c>
      <c r="BQ16" s="20">
        <f>BO16-BP16</f>
        <v>7.2915999999999995E-2</v>
      </c>
      <c r="BR16" s="20">
        <v>16.77</v>
      </c>
      <c r="BS16" s="20">
        <f>BM16+BN16+BP16-BO16-BR16</f>
        <v>8.3400000000111163E-4</v>
      </c>
      <c r="BT16" s="20"/>
      <c r="BU16" s="19">
        <f>BS16+BR16</f>
        <v>16.770834000000001</v>
      </c>
      <c r="BV16" s="20">
        <v>40</v>
      </c>
      <c r="BW16" s="20">
        <v>15</v>
      </c>
      <c r="BX16" s="20">
        <v>0.65629999999999999</v>
      </c>
      <c r="BY16" s="20">
        <f>BW16-BX16</f>
        <v>14.3437</v>
      </c>
      <c r="BZ16" s="20">
        <v>16.77</v>
      </c>
      <c r="CA16" s="20">
        <f>BU16+BV16+BX16-BW16-BZ16</f>
        <v>25.657134000000003</v>
      </c>
      <c r="CB16" s="20"/>
      <c r="CC16" s="20"/>
      <c r="CD16" s="19">
        <v>25.657134000000003</v>
      </c>
      <c r="CE16" s="20">
        <f>_xlfn.XLOOKUP(B16,[4]Sheet2!$A$5:$A$25,[4]Sheet2!$B$5:$B$25)</f>
        <v>40</v>
      </c>
      <c r="CF16" s="20">
        <f>_xlfn.XLOOKUP(B16,[2]Sheet1!$A$4:$A$38,[2]Sheet1!$B$4:$B$38)</f>
        <v>17</v>
      </c>
      <c r="CG16" s="20">
        <f>_xlfn.XLOOKUP(B16,[3]Sheet1!$A$4:$A$22,[3]Sheet1!$B$4:$B$22)</f>
        <v>0.80210000000000004</v>
      </c>
      <c r="CH16" s="20">
        <f>CF16-CG16</f>
        <v>16.197900000000001</v>
      </c>
      <c r="CI16" s="20">
        <v>16.77</v>
      </c>
      <c r="CJ16" s="20">
        <f>CD16+CE16+CG16-CF16-CI16</f>
        <v>32.689233999999999</v>
      </c>
      <c r="CK16" s="20"/>
      <c r="CL16" s="20">
        <f t="shared" si="41"/>
        <v>32.689233999999999</v>
      </c>
      <c r="CM16" s="20">
        <v>20</v>
      </c>
      <c r="CN16" s="20">
        <v>25</v>
      </c>
      <c r="CO16" s="49"/>
    </row>
    <row r="17" spans="1:93" ht="17.149999999999999" customHeight="1" x14ac:dyDescent="0.25">
      <c r="A17" s="9"/>
      <c r="B17" s="10" t="s">
        <v>35</v>
      </c>
      <c r="C17" s="21"/>
      <c r="D17" s="10"/>
      <c r="E17" s="11"/>
      <c r="F17" s="21">
        <f t="shared" ref="F17:AK17" si="42">SUM(F15:F16)</f>
        <v>59.285416000000012</v>
      </c>
      <c r="G17" s="21">
        <f t="shared" si="42"/>
        <v>20</v>
      </c>
      <c r="H17" s="21">
        <f t="shared" si="42"/>
        <v>44</v>
      </c>
      <c r="I17" s="21">
        <f t="shared" si="42"/>
        <v>0</v>
      </c>
      <c r="J17" s="21">
        <f t="shared" si="42"/>
        <v>35.285416000000005</v>
      </c>
      <c r="K17" s="21">
        <f t="shared" si="42"/>
        <v>0</v>
      </c>
      <c r="L17" s="21">
        <f t="shared" si="42"/>
        <v>0</v>
      </c>
      <c r="M17" s="21">
        <f t="shared" si="42"/>
        <v>35.285416000000005</v>
      </c>
      <c r="N17" s="21">
        <f t="shared" si="42"/>
        <v>50</v>
      </c>
      <c r="O17" s="21">
        <f t="shared" si="42"/>
        <v>22.820833</v>
      </c>
      <c r="P17" s="21">
        <f t="shared" si="42"/>
        <v>2.8208000000000002</v>
      </c>
      <c r="Q17" s="21">
        <f t="shared" si="42"/>
        <v>65.285382999999996</v>
      </c>
      <c r="R17" s="21">
        <f t="shared" si="42"/>
        <v>0</v>
      </c>
      <c r="S17" s="21">
        <f t="shared" si="42"/>
        <v>65.285382999999996</v>
      </c>
      <c r="T17" s="21">
        <f t="shared" si="42"/>
        <v>0</v>
      </c>
      <c r="U17" s="21">
        <f t="shared" si="42"/>
        <v>58.547933000000008</v>
      </c>
      <c r="V17" s="21">
        <f t="shared" si="42"/>
        <v>51.1813</v>
      </c>
      <c r="W17" s="21">
        <f t="shared" si="42"/>
        <v>57.918749999999996</v>
      </c>
      <c r="X17" s="21">
        <f t="shared" si="42"/>
        <v>100</v>
      </c>
      <c r="Y17" s="21">
        <f t="shared" si="42"/>
        <v>57.918749999999996</v>
      </c>
      <c r="Z17" s="21">
        <f t="shared" si="42"/>
        <v>100</v>
      </c>
      <c r="AA17" s="21">
        <f t="shared" si="42"/>
        <v>30</v>
      </c>
      <c r="AB17" s="21">
        <f t="shared" si="42"/>
        <v>2</v>
      </c>
      <c r="AC17" s="21">
        <f t="shared" si="42"/>
        <v>28</v>
      </c>
      <c r="AD17" s="21">
        <f t="shared" si="42"/>
        <v>129.91874999999999</v>
      </c>
      <c r="AE17" s="21">
        <f t="shared" si="42"/>
        <v>20</v>
      </c>
      <c r="AF17" s="21">
        <f t="shared" si="42"/>
        <v>-8</v>
      </c>
      <c r="AG17" s="21">
        <f t="shared" si="42"/>
        <v>129.91874999999999</v>
      </c>
      <c r="AH17" s="21">
        <f t="shared" si="42"/>
        <v>0</v>
      </c>
      <c r="AI17" s="21">
        <f t="shared" si="42"/>
        <v>50</v>
      </c>
      <c r="AJ17" s="21">
        <f t="shared" si="42"/>
        <v>0</v>
      </c>
      <c r="AK17" s="21">
        <f t="shared" si="42"/>
        <v>50</v>
      </c>
      <c r="AL17" s="21">
        <f t="shared" ref="AL17:BQ17" si="43">SUM(AL15:AL16)</f>
        <v>79.918749999999989</v>
      </c>
      <c r="AM17" s="21">
        <f t="shared" si="43"/>
        <v>0</v>
      </c>
      <c r="AN17" s="21">
        <f t="shared" si="43"/>
        <v>0</v>
      </c>
      <c r="AO17" s="21">
        <f t="shared" si="43"/>
        <v>79.918749999999989</v>
      </c>
      <c r="AP17" s="21">
        <f t="shared" si="43"/>
        <v>0</v>
      </c>
      <c r="AQ17" s="21">
        <f t="shared" si="43"/>
        <v>7.25</v>
      </c>
      <c r="AR17" s="21">
        <f t="shared" si="43"/>
        <v>0.47499999999999998</v>
      </c>
      <c r="AS17" s="21">
        <f t="shared" si="43"/>
        <v>6.7750000000000004</v>
      </c>
      <c r="AT17" s="21">
        <f t="shared" si="43"/>
        <v>73.143749999999983</v>
      </c>
      <c r="AU17" s="21">
        <f t="shared" si="43"/>
        <v>0</v>
      </c>
      <c r="AV17" s="21">
        <f t="shared" si="43"/>
        <v>0</v>
      </c>
      <c r="AW17" s="21">
        <f t="shared" si="43"/>
        <v>0</v>
      </c>
      <c r="AX17" s="21">
        <f t="shared" si="43"/>
        <v>73.143749999999983</v>
      </c>
      <c r="AY17" s="21">
        <f t="shared" si="43"/>
        <v>25</v>
      </c>
      <c r="AZ17" s="21">
        <f t="shared" si="43"/>
        <v>41.024999999999999</v>
      </c>
      <c r="BA17" s="21">
        <f t="shared" si="43"/>
        <v>0</v>
      </c>
      <c r="BB17" s="21">
        <f t="shared" si="43"/>
        <v>41.024999999999999</v>
      </c>
      <c r="BC17" s="21">
        <f t="shared" si="43"/>
        <v>57.118749999999991</v>
      </c>
      <c r="BD17" s="21">
        <f t="shared" si="43"/>
        <v>0</v>
      </c>
      <c r="BE17" s="21">
        <f t="shared" si="43"/>
        <v>57.118749999999991</v>
      </c>
      <c r="BF17" s="21">
        <f t="shared" si="43"/>
        <v>0</v>
      </c>
      <c r="BG17" s="21">
        <f t="shared" si="43"/>
        <v>13.975</v>
      </c>
      <c r="BH17" s="21">
        <f t="shared" si="43"/>
        <v>4</v>
      </c>
      <c r="BI17" s="21">
        <f t="shared" si="43"/>
        <v>9.9749999999999996</v>
      </c>
      <c r="BJ17" s="21">
        <f t="shared" si="43"/>
        <v>46.07</v>
      </c>
      <c r="BK17" s="21">
        <f t="shared" si="43"/>
        <v>1.0737499999999898</v>
      </c>
      <c r="BL17" s="21">
        <f t="shared" si="43"/>
        <v>90</v>
      </c>
      <c r="BM17" s="21">
        <f t="shared" si="43"/>
        <v>47.14374999999999</v>
      </c>
      <c r="BN17" s="21">
        <f t="shared" si="43"/>
        <v>0</v>
      </c>
      <c r="BO17" s="21">
        <f t="shared" si="43"/>
        <v>35.547916000000001</v>
      </c>
      <c r="BP17" s="21">
        <f t="shared" si="43"/>
        <v>9.4749999999999996</v>
      </c>
      <c r="BQ17" s="21">
        <f t="shared" si="43"/>
        <v>26.072915999999999</v>
      </c>
      <c r="BR17" s="21">
        <f t="shared" ref="BR17:BV17" si="44">SUM(BR15:BR16)</f>
        <v>21.07</v>
      </c>
      <c r="BS17" s="21">
        <f t="shared" si="44"/>
        <v>8.3399999999134167E-4</v>
      </c>
      <c r="BT17" s="21">
        <f t="shared" si="44"/>
        <v>0</v>
      </c>
      <c r="BU17" s="21">
        <f t="shared" si="44"/>
        <v>21.070833999999991</v>
      </c>
      <c r="BV17" s="21">
        <f t="shared" si="44"/>
        <v>90</v>
      </c>
      <c r="BW17" s="21">
        <v>65</v>
      </c>
      <c r="BX17" s="21">
        <v>2.6562999999999999</v>
      </c>
      <c r="BY17" s="21">
        <f>SUM(BY15:BY16)</f>
        <v>62.343699999999998</v>
      </c>
      <c r="BZ17" s="21">
        <f>SUM(BZ15:BZ16)</f>
        <v>21.07</v>
      </c>
      <c r="CA17" s="21">
        <f>SUM(CA15:CA16)</f>
        <v>27.657133999999992</v>
      </c>
      <c r="CB17" s="21">
        <f t="shared" ref="CB17:CN17" si="45">SUM(CB15:CB16)</f>
        <v>0</v>
      </c>
      <c r="CC17" s="21">
        <f t="shared" si="45"/>
        <v>0</v>
      </c>
      <c r="CD17" s="21">
        <f t="shared" si="45"/>
        <v>27.657133999999992</v>
      </c>
      <c r="CE17" s="21">
        <f t="shared" si="45"/>
        <v>90</v>
      </c>
      <c r="CF17" s="21">
        <f t="shared" ref="CF17" si="46">SUM(CF15:CF16)</f>
        <v>43</v>
      </c>
      <c r="CG17" s="21">
        <f t="shared" ref="CG17" si="47">SUM(CG15:CG16)</f>
        <v>1.4271</v>
      </c>
      <c r="CH17" s="21">
        <f t="shared" ref="CH17" si="48">SUM(CH15:CH16)</f>
        <v>41.572900000000004</v>
      </c>
      <c r="CI17" s="21">
        <f t="shared" si="45"/>
        <v>21.07</v>
      </c>
      <c r="CJ17" s="21">
        <f t="shared" si="45"/>
        <v>55.014233999999988</v>
      </c>
      <c r="CK17" s="21">
        <f t="shared" si="45"/>
        <v>0</v>
      </c>
      <c r="CL17" s="21">
        <f t="shared" si="45"/>
        <v>55.014233999999988</v>
      </c>
      <c r="CM17" s="21"/>
      <c r="CN17" s="21">
        <f t="shared" ref="CN17" si="49">SUM(CN15:CN16)</f>
        <v>75</v>
      </c>
      <c r="CO17" s="49"/>
    </row>
    <row r="18" spans="1:93" ht="17.149999999999999" customHeight="1" x14ac:dyDescent="0.25">
      <c r="A18" s="6" t="s">
        <v>10</v>
      </c>
      <c r="B18" s="7" t="s">
        <v>11</v>
      </c>
      <c r="C18" s="20">
        <v>950</v>
      </c>
      <c r="D18" s="26">
        <v>3885.003885003885</v>
      </c>
      <c r="E18" s="8">
        <v>100</v>
      </c>
      <c r="F18" s="19">
        <f>'24-25'!CI14</f>
        <v>72.320000000000022</v>
      </c>
      <c r="G18" s="20">
        <v>0</v>
      </c>
      <c r="H18" s="20">
        <v>43</v>
      </c>
      <c r="I18" s="20"/>
      <c r="J18" s="20">
        <f>F18+G18+I18-H18</f>
        <v>29.320000000000022</v>
      </c>
      <c r="K18" s="20"/>
      <c r="L18" s="20"/>
      <c r="M18" s="19">
        <f>J18</f>
        <v>29.320000000000022</v>
      </c>
      <c r="N18" s="20">
        <v>70</v>
      </c>
      <c r="O18" s="20">
        <v>43.46</v>
      </c>
      <c r="P18" s="20">
        <v>2.46</v>
      </c>
      <c r="Q18" s="20">
        <f>M18+N18+P18-O18</f>
        <v>58.320000000000014</v>
      </c>
      <c r="R18" s="20"/>
      <c r="S18" s="19">
        <f>Q18</f>
        <v>58.320000000000014</v>
      </c>
      <c r="T18" s="20"/>
      <c r="U18" s="20">
        <v>28.400000000000013</v>
      </c>
      <c r="V18" s="20">
        <v>1.4</v>
      </c>
      <c r="W18" s="20">
        <f>S18+T18+V18-U18</f>
        <v>31.32</v>
      </c>
      <c r="X18" s="20">
        <v>75</v>
      </c>
      <c r="Y18" s="19">
        <f>W18</f>
        <v>31.32</v>
      </c>
      <c r="Z18" s="20">
        <v>75</v>
      </c>
      <c r="AA18" s="20">
        <v>45.05</v>
      </c>
      <c r="AB18" s="20">
        <v>1</v>
      </c>
      <c r="AC18" s="20">
        <f>AA18-AB18</f>
        <v>44.05</v>
      </c>
      <c r="AD18" s="20">
        <f>Y18+Z18+AB18-AA18</f>
        <v>62.269999999999996</v>
      </c>
      <c r="AE18" s="20">
        <v>70</v>
      </c>
      <c r="AF18" s="20">
        <f>+AE18-AC18</f>
        <v>25.950000000000003</v>
      </c>
      <c r="AG18" s="19">
        <f>+AD18</f>
        <v>62.269999999999996</v>
      </c>
      <c r="AH18" s="20">
        <v>75</v>
      </c>
      <c r="AI18" s="20">
        <v>36.01</v>
      </c>
      <c r="AJ18" s="20"/>
      <c r="AK18" s="20">
        <f>AI18-AJ18</f>
        <v>36.01</v>
      </c>
      <c r="AL18" s="20">
        <f>AG18+AH18+AJ18-AI18</f>
        <v>101.25999999999999</v>
      </c>
      <c r="AM18" s="20"/>
      <c r="AN18" s="20"/>
      <c r="AO18" s="19">
        <f>+AL18</f>
        <v>101.25999999999999</v>
      </c>
      <c r="AP18" s="20">
        <v>100</v>
      </c>
      <c r="AQ18" s="20">
        <v>49.21</v>
      </c>
      <c r="AR18" s="20">
        <v>0.21</v>
      </c>
      <c r="AS18" s="20">
        <f>AQ18-AR18</f>
        <v>49</v>
      </c>
      <c r="AT18" s="20">
        <f>AO18+AP18+AR18-AQ18</f>
        <v>152.26</v>
      </c>
      <c r="AU18" s="20"/>
      <c r="AV18" s="20"/>
      <c r="AW18" s="20"/>
      <c r="AX18" s="19">
        <f>+AT18</f>
        <v>152.26</v>
      </c>
      <c r="AY18" s="20">
        <v>0</v>
      </c>
      <c r="AZ18" s="20">
        <v>32</v>
      </c>
      <c r="BA18" s="20">
        <v>0</v>
      </c>
      <c r="BB18" s="20">
        <f>AZ18-BA18</f>
        <v>32</v>
      </c>
      <c r="BC18" s="20">
        <f>AX18+AY18+BA18-AZ18</f>
        <v>120.25999999999999</v>
      </c>
      <c r="BD18" s="20"/>
      <c r="BE18" s="19">
        <f>+BC18</f>
        <v>120.25999999999999</v>
      </c>
      <c r="BF18" s="20">
        <v>0</v>
      </c>
      <c r="BG18" s="20">
        <v>48</v>
      </c>
      <c r="BH18" s="20">
        <v>0</v>
      </c>
      <c r="BI18" s="20">
        <f>+BG18-BH18</f>
        <v>48</v>
      </c>
      <c r="BJ18" s="20"/>
      <c r="BK18" s="20">
        <f>BE18+BF18+BH18-BG18-BJ18</f>
        <v>72.259999999999991</v>
      </c>
      <c r="BL18" s="20">
        <v>50</v>
      </c>
      <c r="BM18" s="19">
        <f>+BK18+BJ18</f>
        <v>72.259999999999991</v>
      </c>
      <c r="BN18" s="20">
        <v>0</v>
      </c>
      <c r="BO18" s="20">
        <v>40</v>
      </c>
      <c r="BP18" s="20">
        <v>0</v>
      </c>
      <c r="BQ18" s="20">
        <f>BO18-BP18</f>
        <v>40</v>
      </c>
      <c r="BR18" s="20"/>
      <c r="BS18" s="20">
        <f>BM18+BN18+BP18-BO18-BR18</f>
        <v>32.259999999999991</v>
      </c>
      <c r="BT18" s="20"/>
      <c r="BU18" s="19">
        <f>BS18+BR18</f>
        <v>32.259999999999991</v>
      </c>
      <c r="BV18" s="20">
        <v>50</v>
      </c>
      <c r="BW18" s="20">
        <v>46</v>
      </c>
      <c r="BX18" s="20">
        <v>7</v>
      </c>
      <c r="BY18" s="20">
        <f>BW18-BX18</f>
        <v>39</v>
      </c>
      <c r="BZ18" s="20"/>
      <c r="CA18" s="20">
        <f>BU18+BV18+BX18-BW18-BZ18</f>
        <v>43.259999999999991</v>
      </c>
      <c r="CB18" s="20"/>
      <c r="CC18" s="20"/>
      <c r="CD18" s="19">
        <v>43.259999999999991</v>
      </c>
      <c r="CE18" s="20">
        <f>_xlfn.XLOOKUP(B18,[4]Sheet2!$A$5:$A$25,[4]Sheet2!$B$5:$B$25)</f>
        <v>75</v>
      </c>
      <c r="CF18" s="20">
        <f>_xlfn.XLOOKUP(B18,[2]Sheet1!$A$4:$A$38,[2]Sheet1!$B$4:$B$38)</f>
        <v>61</v>
      </c>
      <c r="CG18" s="20">
        <f>_xlfn.XLOOKUP(B18,[3]Sheet1!$A$4:$A$22,[3]Sheet1!$B$4:$B$22)</f>
        <v>1.86</v>
      </c>
      <c r="CH18" s="20">
        <f>CF18-CG18</f>
        <v>59.14</v>
      </c>
      <c r="CI18" s="20"/>
      <c r="CJ18" s="20">
        <f>CD18+CE18+CG18-CF18-CI18</f>
        <v>59.11999999999999</v>
      </c>
      <c r="CK18" s="20"/>
      <c r="CL18" s="20">
        <f t="shared" ref="CL18:CL22" si="50">CK18+CJ18</f>
        <v>59.11999999999999</v>
      </c>
      <c r="CM18" s="20">
        <v>59</v>
      </c>
      <c r="CN18" s="20">
        <v>50</v>
      </c>
      <c r="CO18" s="49"/>
    </row>
    <row r="19" spans="1:93" ht="17.149999999999999" customHeight="1" x14ac:dyDescent="0.25">
      <c r="A19" s="6" t="s">
        <v>10</v>
      </c>
      <c r="B19" s="7" t="s">
        <v>12</v>
      </c>
      <c r="C19" s="20">
        <v>790</v>
      </c>
      <c r="D19" s="26">
        <v>2079.1245791245792</v>
      </c>
      <c r="E19" s="8">
        <v>20</v>
      </c>
      <c r="F19" s="19">
        <f>'24-25'!CI15</f>
        <v>0.64999999999992042</v>
      </c>
      <c r="G19" s="20">
        <v>200</v>
      </c>
      <c r="H19" s="20">
        <v>110.65</v>
      </c>
      <c r="I19" s="20"/>
      <c r="J19" s="20">
        <f>F19+G19+I19-H19</f>
        <v>89.999999999999915</v>
      </c>
      <c r="K19" s="20"/>
      <c r="L19" s="20"/>
      <c r="M19" s="19">
        <f>J19</f>
        <v>89.999999999999915</v>
      </c>
      <c r="N19" s="20">
        <v>350</v>
      </c>
      <c r="O19" s="20">
        <v>159.5</v>
      </c>
      <c r="P19" s="20">
        <v>8.5</v>
      </c>
      <c r="Q19" s="20">
        <f>M19+N19+P19-O19</f>
        <v>288.99999999999989</v>
      </c>
      <c r="R19" s="20"/>
      <c r="S19" s="19">
        <f>Q19</f>
        <v>288.99999999999989</v>
      </c>
      <c r="T19" s="20"/>
      <c r="U19" s="20">
        <v>77.049999999999898</v>
      </c>
      <c r="V19" s="20">
        <v>8.3000000000000007</v>
      </c>
      <c r="W19" s="20">
        <f>S19+T19+V19-U19</f>
        <v>220.25</v>
      </c>
      <c r="X19" s="20"/>
      <c r="Y19" s="19">
        <f>W19</f>
        <v>220.25</v>
      </c>
      <c r="Z19" s="20">
        <v>0</v>
      </c>
      <c r="AA19" s="20">
        <v>46.45</v>
      </c>
      <c r="AB19" s="20">
        <v>3</v>
      </c>
      <c r="AC19" s="20">
        <f>AA19-AB19</f>
        <v>43.45</v>
      </c>
      <c r="AD19" s="20">
        <f>Y19+Z19+AB19-AA19</f>
        <v>176.8</v>
      </c>
      <c r="AE19" s="20">
        <v>100</v>
      </c>
      <c r="AF19" s="20">
        <f>+AE19-AC19</f>
        <v>56.55</v>
      </c>
      <c r="AG19" s="19">
        <f>+AD19</f>
        <v>176.8</v>
      </c>
      <c r="AH19" s="20">
        <v>0</v>
      </c>
      <c r="AI19" s="20">
        <v>53.5</v>
      </c>
      <c r="AJ19" s="20"/>
      <c r="AK19" s="20">
        <f>AI19-AJ19</f>
        <v>53.5</v>
      </c>
      <c r="AL19" s="20">
        <f>AG19+AH19+AJ19-AI19</f>
        <v>123.30000000000001</v>
      </c>
      <c r="AM19" s="20"/>
      <c r="AN19" s="20"/>
      <c r="AO19" s="19">
        <f>+AL19</f>
        <v>123.30000000000001</v>
      </c>
      <c r="AP19" s="20">
        <v>0</v>
      </c>
      <c r="AQ19" s="20">
        <v>33.65</v>
      </c>
      <c r="AR19" s="20">
        <v>0.65</v>
      </c>
      <c r="AS19" s="20">
        <f>AQ19-AR19</f>
        <v>33</v>
      </c>
      <c r="AT19" s="20">
        <f>AO19+AP19+AR19-AQ19</f>
        <v>90.300000000000011</v>
      </c>
      <c r="AU19" s="20"/>
      <c r="AV19" s="20"/>
      <c r="AW19" s="20"/>
      <c r="AX19" s="19">
        <f>+AT19</f>
        <v>90.300000000000011</v>
      </c>
      <c r="AY19" s="20">
        <v>0</v>
      </c>
      <c r="AZ19" s="20">
        <v>64</v>
      </c>
      <c r="BA19" s="20">
        <v>0</v>
      </c>
      <c r="BB19" s="20">
        <f>AZ19-BA19</f>
        <v>64</v>
      </c>
      <c r="BC19" s="20">
        <f>AX19+AY19+BA19-AZ19</f>
        <v>26.300000000000011</v>
      </c>
      <c r="BD19" s="20"/>
      <c r="BE19" s="19">
        <f>+BC19</f>
        <v>26.300000000000011</v>
      </c>
      <c r="BF19" s="20">
        <v>0</v>
      </c>
      <c r="BG19" s="20">
        <v>25</v>
      </c>
      <c r="BH19" s="20">
        <v>0</v>
      </c>
      <c r="BI19" s="20">
        <f>+BG19-BH19</f>
        <v>25</v>
      </c>
      <c r="BJ19" s="20"/>
      <c r="BK19" s="20">
        <f>BE19+BF19+BH19-BG19-BJ19</f>
        <v>1.3000000000000114</v>
      </c>
      <c r="BL19" s="20">
        <v>0</v>
      </c>
      <c r="BM19" s="19">
        <f>+BK19+BJ19</f>
        <v>1.3000000000000114</v>
      </c>
      <c r="BN19" s="20">
        <v>0</v>
      </c>
      <c r="BO19" s="20">
        <v>0</v>
      </c>
      <c r="BP19" s="20">
        <v>0</v>
      </c>
      <c r="BQ19" s="20">
        <f>BO19-BP19</f>
        <v>0</v>
      </c>
      <c r="BR19" s="20"/>
      <c r="BS19" s="20">
        <f>BM19+BN19+BP19-BO19-BR19</f>
        <v>1.3000000000000114</v>
      </c>
      <c r="BT19" s="20">
        <v>0</v>
      </c>
      <c r="BU19" s="19">
        <f>BS19+BR19</f>
        <v>1.3000000000000114</v>
      </c>
      <c r="BV19" s="20">
        <v>0</v>
      </c>
      <c r="BW19" s="20">
        <v>14</v>
      </c>
      <c r="BX19" s="20">
        <v>21.55</v>
      </c>
      <c r="BY19" s="20">
        <f>BW19-BX19</f>
        <v>-7.5500000000000007</v>
      </c>
      <c r="BZ19" s="20"/>
      <c r="CA19" s="20">
        <f>BU19+BV19+BX19-BW19-BZ19</f>
        <v>8.8500000000000121</v>
      </c>
      <c r="CB19" s="20"/>
      <c r="CC19" s="20"/>
      <c r="CD19" s="19">
        <v>8.8500000000000121</v>
      </c>
      <c r="CE19" s="20">
        <v>0</v>
      </c>
      <c r="CF19" s="20">
        <v>0</v>
      </c>
      <c r="CG19" s="20">
        <f>_xlfn.XLOOKUP(B19,[3]Sheet1!$A$4:$A$22,[3]Sheet1!$B$4:$B$22)</f>
        <v>4.8499999999999996</v>
      </c>
      <c r="CH19" s="20">
        <f>CF19-CG19</f>
        <v>-4.8499999999999996</v>
      </c>
      <c r="CI19" s="20"/>
      <c r="CJ19" s="20">
        <f>CD19+CE19+CG19-CF19-CI19</f>
        <v>13.700000000000012</v>
      </c>
      <c r="CK19" s="20"/>
      <c r="CL19" s="20">
        <f t="shared" si="50"/>
        <v>13.700000000000012</v>
      </c>
      <c r="CM19" s="20">
        <v>13</v>
      </c>
      <c r="CN19" s="20"/>
      <c r="CO19" s="49"/>
    </row>
    <row r="20" spans="1:93" ht="17.149999999999999" customHeight="1" x14ac:dyDescent="0.25">
      <c r="A20" s="6" t="s">
        <v>10</v>
      </c>
      <c r="B20" s="7" t="s">
        <v>146</v>
      </c>
      <c r="C20" s="20">
        <v>1872</v>
      </c>
      <c r="D20" s="26">
        <v>5637.63</v>
      </c>
      <c r="E20" s="8">
        <v>30</v>
      </c>
      <c r="F20" s="19"/>
      <c r="G20" s="20"/>
      <c r="H20" s="20"/>
      <c r="I20" s="20"/>
      <c r="J20" s="20"/>
      <c r="K20" s="20"/>
      <c r="L20" s="20"/>
      <c r="M20" s="19"/>
      <c r="N20" s="20"/>
      <c r="O20" s="20"/>
      <c r="P20" s="20"/>
      <c r="Q20" s="20"/>
      <c r="R20" s="20"/>
      <c r="S20" s="19"/>
      <c r="T20" s="20"/>
      <c r="U20" s="20"/>
      <c r="V20" s="20"/>
      <c r="W20" s="20"/>
      <c r="X20" s="20"/>
      <c r="Y20" s="19"/>
      <c r="Z20" s="20"/>
      <c r="AA20" s="20"/>
      <c r="AB20" s="20"/>
      <c r="AC20" s="20"/>
      <c r="AD20" s="20"/>
      <c r="AE20" s="20"/>
      <c r="AF20" s="20"/>
      <c r="AG20" s="19">
        <f>+AD20</f>
        <v>0</v>
      </c>
      <c r="AH20" s="20">
        <v>0</v>
      </c>
      <c r="AI20" s="20">
        <v>0</v>
      </c>
      <c r="AJ20" s="20"/>
      <c r="AK20" s="20">
        <f>AI20-AJ20</f>
        <v>0</v>
      </c>
      <c r="AL20" s="20">
        <f>AG20+AH20+AJ20-AI20</f>
        <v>0</v>
      </c>
      <c r="AM20" s="20"/>
      <c r="AN20" s="20"/>
      <c r="AO20" s="19">
        <f>+AL20</f>
        <v>0</v>
      </c>
      <c r="AP20" s="20">
        <v>150</v>
      </c>
      <c r="AQ20" s="20">
        <v>0</v>
      </c>
      <c r="AR20" s="20">
        <v>0</v>
      </c>
      <c r="AS20" s="20">
        <f>AQ20-AR20</f>
        <v>0</v>
      </c>
      <c r="AT20" s="20">
        <f>AO20+AP20+AR20-AQ20</f>
        <v>150</v>
      </c>
      <c r="AU20" s="20"/>
      <c r="AV20" s="20"/>
      <c r="AW20" s="20"/>
      <c r="AX20" s="19">
        <f>+AT20</f>
        <v>150</v>
      </c>
      <c r="AY20" s="20">
        <v>0</v>
      </c>
      <c r="AZ20" s="20">
        <v>58.133333</v>
      </c>
      <c r="BA20" s="20">
        <v>0</v>
      </c>
      <c r="BB20" s="20">
        <f>AZ20-BA20</f>
        <v>58.133333</v>
      </c>
      <c r="BC20" s="20">
        <f>AX20+AY20+BA20-AZ20</f>
        <v>91.866667000000007</v>
      </c>
      <c r="BD20" s="20"/>
      <c r="BE20" s="19">
        <f>+BC20</f>
        <v>91.866667000000007</v>
      </c>
      <c r="BF20" s="20">
        <v>0</v>
      </c>
      <c r="BG20" s="20">
        <v>91</v>
      </c>
      <c r="BH20" s="20">
        <v>0</v>
      </c>
      <c r="BI20" s="20">
        <f>+BG20-BH20</f>
        <v>91</v>
      </c>
      <c r="BJ20" s="20"/>
      <c r="BK20" s="20">
        <f>BE20+BF20+BH20-BG20-BJ20</f>
        <v>0.86666700000000674</v>
      </c>
      <c r="BL20" s="20">
        <v>150</v>
      </c>
      <c r="BM20" s="19">
        <f>+BK20+BJ20</f>
        <v>0.86666700000000674</v>
      </c>
      <c r="BN20" s="20">
        <v>0</v>
      </c>
      <c r="BO20" s="20">
        <v>0</v>
      </c>
      <c r="BP20" s="20">
        <v>0</v>
      </c>
      <c r="BQ20" s="20">
        <f>BO20-BP20</f>
        <v>0</v>
      </c>
      <c r="BR20" s="20"/>
      <c r="BS20" s="20">
        <f>BM20+BN20+BP20-BO20-BR20</f>
        <v>0.86666700000000674</v>
      </c>
      <c r="BT20" s="20"/>
      <c r="BU20" s="19">
        <f>BS20+BR20</f>
        <v>0.86666700000000674</v>
      </c>
      <c r="BV20" s="20">
        <v>200</v>
      </c>
      <c r="BW20" s="20">
        <v>85.333399999999997</v>
      </c>
      <c r="BX20" s="20">
        <v>0</v>
      </c>
      <c r="BY20" s="20">
        <f>BW20-BX20</f>
        <v>85.333399999999997</v>
      </c>
      <c r="BZ20" s="20"/>
      <c r="CA20" s="20">
        <f>BU20+BV20+BX20-BW20-BZ20</f>
        <v>115.53326700000001</v>
      </c>
      <c r="CB20" s="20"/>
      <c r="CC20" s="20"/>
      <c r="CD20" s="19">
        <v>115.53326700000001</v>
      </c>
      <c r="CE20" s="20">
        <f>_xlfn.XLOOKUP(B20,[4]Sheet2!$A$5:$A$25,[4]Sheet2!$B$5:$B$25)</f>
        <v>100</v>
      </c>
      <c r="CF20" s="20">
        <f>_xlfn.XLOOKUP(B20,[2]Sheet1!$A$4:$A$38,[2]Sheet1!$B$4:$B$38)</f>
        <v>108.2333</v>
      </c>
      <c r="CG20" s="20">
        <v>0</v>
      </c>
      <c r="CH20" s="20">
        <f>CF20-CG20</f>
        <v>108.2333</v>
      </c>
      <c r="CI20" s="20"/>
      <c r="CJ20" s="20">
        <f>CD20+CE20+CG20-CF20-CI20</f>
        <v>107.29996700000002</v>
      </c>
      <c r="CK20" s="20"/>
      <c r="CL20" s="20">
        <f t="shared" si="50"/>
        <v>107.29996700000002</v>
      </c>
      <c r="CM20" s="20">
        <v>55</v>
      </c>
      <c r="CN20" s="20"/>
      <c r="CO20" s="49"/>
    </row>
    <row r="21" spans="1:93" ht="17.149999999999999" customHeight="1" x14ac:dyDescent="0.25">
      <c r="A21" s="6" t="s">
        <v>10</v>
      </c>
      <c r="B21" s="7" t="s">
        <v>13</v>
      </c>
      <c r="C21" s="20">
        <v>1516</v>
      </c>
      <c r="D21" s="26">
        <v>3885.003885003885</v>
      </c>
      <c r="E21" s="8">
        <v>25</v>
      </c>
      <c r="F21" s="19">
        <f>'24-25'!CI16</f>
        <v>64.119999999999948</v>
      </c>
      <c r="G21" s="20">
        <v>0</v>
      </c>
      <c r="H21" s="20">
        <v>43</v>
      </c>
      <c r="I21" s="20"/>
      <c r="J21" s="20">
        <f>F21+G21+I21-H21</f>
        <v>21.119999999999948</v>
      </c>
      <c r="K21" s="20"/>
      <c r="L21" s="20"/>
      <c r="M21" s="19">
        <f>J21</f>
        <v>21.119999999999948</v>
      </c>
      <c r="N21" s="20">
        <v>150</v>
      </c>
      <c r="O21" s="20">
        <v>79.64</v>
      </c>
      <c r="P21" s="20">
        <v>0.64</v>
      </c>
      <c r="Q21" s="20">
        <f>M21+N21+P21-O21</f>
        <v>92.119999999999933</v>
      </c>
      <c r="R21" s="20"/>
      <c r="S21" s="19">
        <f>Q21</f>
        <v>92.119999999999933</v>
      </c>
      <c r="T21" s="20"/>
      <c r="U21" s="20">
        <v>17.999999999999929</v>
      </c>
      <c r="V21" s="20">
        <v>2</v>
      </c>
      <c r="W21" s="20">
        <f>S21+T21+V21-U21</f>
        <v>76.12</v>
      </c>
      <c r="X21" s="20">
        <v>50</v>
      </c>
      <c r="Y21" s="19">
        <f>W21</f>
        <v>76.12</v>
      </c>
      <c r="Z21" s="20">
        <v>50</v>
      </c>
      <c r="AA21" s="20">
        <v>19.2</v>
      </c>
      <c r="AB21" s="20">
        <v>1</v>
      </c>
      <c r="AC21" s="20">
        <f>AA21-AB21</f>
        <v>18.2</v>
      </c>
      <c r="AD21" s="20">
        <f>Y21+Z21+AB21-AA21</f>
        <v>107.92</v>
      </c>
      <c r="AE21" s="20">
        <v>50</v>
      </c>
      <c r="AF21" s="20">
        <f>+AE21-AC21</f>
        <v>31.8</v>
      </c>
      <c r="AG21" s="19">
        <f>+AD21</f>
        <v>107.92</v>
      </c>
      <c r="AH21" s="20">
        <v>100</v>
      </c>
      <c r="AI21" s="20">
        <v>55</v>
      </c>
      <c r="AJ21" s="20"/>
      <c r="AK21" s="20">
        <f>AI21-AJ21</f>
        <v>55</v>
      </c>
      <c r="AL21" s="20">
        <f>AG21+AH21+AJ21-AI21</f>
        <v>152.92000000000002</v>
      </c>
      <c r="AM21" s="20"/>
      <c r="AN21" s="20"/>
      <c r="AO21" s="19">
        <f>+AL21</f>
        <v>152.92000000000002</v>
      </c>
      <c r="AP21" s="20">
        <v>0</v>
      </c>
      <c r="AQ21" s="20">
        <v>21</v>
      </c>
      <c r="AR21" s="20">
        <v>0</v>
      </c>
      <c r="AS21" s="20">
        <f>AQ21-AR21</f>
        <v>21</v>
      </c>
      <c r="AT21" s="20">
        <f>AO21+AP21+AR21-AQ21</f>
        <v>131.92000000000002</v>
      </c>
      <c r="AU21" s="20"/>
      <c r="AV21" s="20"/>
      <c r="AW21" s="20"/>
      <c r="AX21" s="19">
        <f>+AT21</f>
        <v>131.92000000000002</v>
      </c>
      <c r="AY21" s="20">
        <v>50</v>
      </c>
      <c r="AZ21" s="20">
        <v>60</v>
      </c>
      <c r="BA21" s="20">
        <v>0</v>
      </c>
      <c r="BB21" s="20">
        <f>AZ21-BA21</f>
        <v>60</v>
      </c>
      <c r="BC21" s="20">
        <f>AX21+AY21+BA21-AZ21</f>
        <v>121.92000000000002</v>
      </c>
      <c r="BD21" s="20"/>
      <c r="BE21" s="19">
        <f>+BC21</f>
        <v>121.92000000000002</v>
      </c>
      <c r="BF21" s="20">
        <v>0</v>
      </c>
      <c r="BG21" s="20">
        <v>40.08</v>
      </c>
      <c r="BH21" s="20">
        <v>0</v>
      </c>
      <c r="BI21" s="20">
        <f>+BG21-BH21</f>
        <v>40.08</v>
      </c>
      <c r="BJ21" s="20"/>
      <c r="BK21" s="20">
        <f>BE21+BF21+BH21-BG21-BJ21</f>
        <v>81.840000000000018</v>
      </c>
      <c r="BL21" s="20">
        <v>50</v>
      </c>
      <c r="BM21" s="19">
        <f>+BK21+BJ21</f>
        <v>81.840000000000018</v>
      </c>
      <c r="BN21" s="20">
        <v>0</v>
      </c>
      <c r="BO21" s="20">
        <v>29.08</v>
      </c>
      <c r="BP21" s="20">
        <v>0</v>
      </c>
      <c r="BQ21" s="20">
        <f>BO21-BP21</f>
        <v>29.08</v>
      </c>
      <c r="BR21" s="20"/>
      <c r="BS21" s="20">
        <f>BM21+BN21+BP21-BO21-BR21</f>
        <v>52.760000000000019</v>
      </c>
      <c r="BT21" s="20"/>
      <c r="BU21" s="19">
        <f>BS21+BR21</f>
        <v>52.760000000000019</v>
      </c>
      <c r="BV21" s="20">
        <v>100</v>
      </c>
      <c r="BW21" s="20">
        <v>82</v>
      </c>
      <c r="BX21" s="20">
        <v>1</v>
      </c>
      <c r="BY21" s="20">
        <f>BW21-BX21</f>
        <v>81</v>
      </c>
      <c r="BZ21" s="20"/>
      <c r="CA21" s="20">
        <f>BU21+BV21+BX21-BW21-BZ21</f>
        <v>71.760000000000019</v>
      </c>
      <c r="CB21" s="20"/>
      <c r="CC21" s="20"/>
      <c r="CD21" s="19">
        <v>71.760000000000019</v>
      </c>
      <c r="CE21" s="20">
        <f>_xlfn.XLOOKUP(B21,[4]Sheet2!$A$5:$A$25,[4]Sheet2!$B$5:$B$25)</f>
        <v>50</v>
      </c>
      <c r="CF21" s="20">
        <f>_xlfn.XLOOKUP(B21,[2]Sheet1!$A$4:$A$38,[2]Sheet1!$B$4:$B$38)</f>
        <v>55</v>
      </c>
      <c r="CG21" s="20">
        <v>0</v>
      </c>
      <c r="CH21" s="20">
        <f>CF21-CG21</f>
        <v>55</v>
      </c>
      <c r="CI21" s="20"/>
      <c r="CJ21" s="20">
        <f>CD21+CE21+CG21-CF21-CI21</f>
        <v>66.760000000000019</v>
      </c>
      <c r="CK21" s="20"/>
      <c r="CL21" s="20">
        <f t="shared" si="50"/>
        <v>66.760000000000019</v>
      </c>
      <c r="CM21" s="20">
        <v>66</v>
      </c>
      <c r="CN21" s="20">
        <v>100</v>
      </c>
      <c r="CO21" s="49"/>
    </row>
    <row r="22" spans="1:93" ht="17.149999999999999" customHeight="1" x14ac:dyDescent="0.25">
      <c r="A22" s="6" t="s">
        <v>10</v>
      </c>
      <c r="B22" s="7" t="s">
        <v>169</v>
      </c>
      <c r="C22" s="20"/>
      <c r="D22" s="26"/>
      <c r="E22" s="8"/>
      <c r="F22" s="19"/>
      <c r="G22" s="20"/>
      <c r="H22" s="20"/>
      <c r="I22" s="20"/>
      <c r="J22" s="20"/>
      <c r="K22" s="20"/>
      <c r="L22" s="20"/>
      <c r="M22" s="19"/>
      <c r="N22" s="20"/>
      <c r="O22" s="20"/>
      <c r="P22" s="20"/>
      <c r="Q22" s="20"/>
      <c r="R22" s="20"/>
      <c r="S22" s="19"/>
      <c r="T22" s="20"/>
      <c r="U22" s="20"/>
      <c r="V22" s="20"/>
      <c r="W22" s="20"/>
      <c r="X22" s="20"/>
      <c r="Y22" s="19"/>
      <c r="Z22" s="20"/>
      <c r="AA22" s="20"/>
      <c r="AB22" s="20"/>
      <c r="AC22" s="20"/>
      <c r="AD22" s="20"/>
      <c r="AE22" s="20"/>
      <c r="AF22" s="20"/>
      <c r="AG22" s="19"/>
      <c r="AH22" s="20"/>
      <c r="AI22" s="20"/>
      <c r="AJ22" s="20"/>
      <c r="AK22" s="20"/>
      <c r="AL22" s="20"/>
      <c r="AM22" s="20"/>
      <c r="AN22" s="20"/>
      <c r="AO22" s="19"/>
      <c r="AP22" s="20"/>
      <c r="AQ22" s="20"/>
      <c r="AR22" s="20"/>
      <c r="AS22" s="20"/>
      <c r="AT22" s="20"/>
      <c r="AU22" s="20"/>
      <c r="AV22" s="20"/>
      <c r="AW22" s="20"/>
      <c r="AX22" s="19"/>
      <c r="AY22" s="20"/>
      <c r="AZ22" s="20"/>
      <c r="BA22" s="20"/>
      <c r="BB22" s="20"/>
      <c r="BC22" s="20"/>
      <c r="BD22" s="20"/>
      <c r="BE22" s="19"/>
      <c r="BF22" s="20"/>
      <c r="BG22" s="20"/>
      <c r="BH22" s="20"/>
      <c r="BI22" s="20"/>
      <c r="BJ22" s="20"/>
      <c r="BK22" s="20"/>
      <c r="BL22" s="20"/>
      <c r="BM22" s="19"/>
      <c r="BN22" s="20"/>
      <c r="BO22" s="20"/>
      <c r="BP22" s="20"/>
      <c r="BQ22" s="20"/>
      <c r="BR22" s="20"/>
      <c r="BS22" s="20"/>
      <c r="BT22" s="20"/>
      <c r="BU22" s="19"/>
      <c r="BV22" s="20"/>
      <c r="BW22" s="20"/>
      <c r="BX22" s="20"/>
      <c r="BY22" s="20"/>
      <c r="BZ22" s="20"/>
      <c r="CA22" s="20"/>
      <c r="CB22" s="20"/>
      <c r="CC22" s="20"/>
      <c r="CD22" s="19"/>
      <c r="CE22" s="20"/>
      <c r="CF22" s="20"/>
      <c r="CG22" s="20"/>
      <c r="CH22" s="20"/>
      <c r="CI22" s="20"/>
      <c r="CJ22" s="20"/>
      <c r="CK22" s="20"/>
      <c r="CL22" s="20">
        <f t="shared" si="50"/>
        <v>0</v>
      </c>
      <c r="CM22" s="20"/>
      <c r="CN22" s="20">
        <v>800</v>
      </c>
      <c r="CO22" s="49"/>
    </row>
    <row r="23" spans="1:93" ht="17.149999999999999" customHeight="1" x14ac:dyDescent="0.25">
      <c r="A23" s="9"/>
      <c r="B23" s="10" t="s">
        <v>36</v>
      </c>
      <c r="C23" s="21"/>
      <c r="D23" s="10"/>
      <c r="E23" s="11"/>
      <c r="F23" s="21">
        <f t="shared" ref="F23:AK23" si="51">SUM(F18:F21)</f>
        <v>137.08999999999989</v>
      </c>
      <c r="G23" s="21">
        <f t="shared" si="51"/>
        <v>200</v>
      </c>
      <c r="H23" s="21">
        <f t="shared" si="51"/>
        <v>196.65</v>
      </c>
      <c r="I23" s="21">
        <f t="shared" si="51"/>
        <v>0</v>
      </c>
      <c r="J23" s="21">
        <f t="shared" si="51"/>
        <v>140.43999999999988</v>
      </c>
      <c r="K23" s="21">
        <f t="shared" si="51"/>
        <v>0</v>
      </c>
      <c r="L23" s="21">
        <f t="shared" si="51"/>
        <v>0</v>
      </c>
      <c r="M23" s="21">
        <f t="shared" si="51"/>
        <v>140.43999999999988</v>
      </c>
      <c r="N23" s="21">
        <f t="shared" si="51"/>
        <v>570</v>
      </c>
      <c r="O23" s="21">
        <f t="shared" si="51"/>
        <v>282.60000000000002</v>
      </c>
      <c r="P23" s="21">
        <f t="shared" si="51"/>
        <v>11.600000000000001</v>
      </c>
      <c r="Q23" s="21">
        <f t="shared" si="51"/>
        <v>439.43999999999983</v>
      </c>
      <c r="R23" s="21">
        <f t="shared" si="51"/>
        <v>0</v>
      </c>
      <c r="S23" s="21">
        <f t="shared" si="51"/>
        <v>439.43999999999983</v>
      </c>
      <c r="T23" s="21">
        <f t="shared" si="51"/>
        <v>0</v>
      </c>
      <c r="U23" s="21">
        <f t="shared" si="51"/>
        <v>123.44999999999983</v>
      </c>
      <c r="V23" s="21">
        <f t="shared" si="51"/>
        <v>11.700000000000001</v>
      </c>
      <c r="W23" s="21">
        <f t="shared" si="51"/>
        <v>327.69</v>
      </c>
      <c r="X23" s="21">
        <f t="shared" si="51"/>
        <v>125</v>
      </c>
      <c r="Y23" s="21">
        <f t="shared" si="51"/>
        <v>327.69</v>
      </c>
      <c r="Z23" s="21">
        <f t="shared" si="51"/>
        <v>125</v>
      </c>
      <c r="AA23" s="21">
        <f t="shared" si="51"/>
        <v>110.7</v>
      </c>
      <c r="AB23" s="21">
        <f t="shared" si="51"/>
        <v>5</v>
      </c>
      <c r="AC23" s="21">
        <f t="shared" si="51"/>
        <v>105.7</v>
      </c>
      <c r="AD23" s="21">
        <f t="shared" si="51"/>
        <v>346.99</v>
      </c>
      <c r="AE23" s="21">
        <f t="shared" si="51"/>
        <v>220</v>
      </c>
      <c r="AF23" s="21">
        <f t="shared" si="51"/>
        <v>114.3</v>
      </c>
      <c r="AG23" s="21">
        <f t="shared" si="51"/>
        <v>346.99</v>
      </c>
      <c r="AH23" s="21">
        <f t="shared" si="51"/>
        <v>175</v>
      </c>
      <c r="AI23" s="21">
        <f t="shared" si="51"/>
        <v>144.51</v>
      </c>
      <c r="AJ23" s="21">
        <f t="shared" si="51"/>
        <v>0</v>
      </c>
      <c r="AK23" s="21">
        <f t="shared" si="51"/>
        <v>144.51</v>
      </c>
      <c r="AL23" s="21">
        <f t="shared" ref="AL23:BQ23" si="52">SUM(AL18:AL21)</f>
        <v>377.48</v>
      </c>
      <c r="AM23" s="21">
        <f t="shared" si="52"/>
        <v>0</v>
      </c>
      <c r="AN23" s="21">
        <f t="shared" si="52"/>
        <v>0</v>
      </c>
      <c r="AO23" s="21">
        <f t="shared" si="52"/>
        <v>377.48</v>
      </c>
      <c r="AP23" s="21">
        <f t="shared" si="52"/>
        <v>250</v>
      </c>
      <c r="AQ23" s="21">
        <f t="shared" si="52"/>
        <v>103.86</v>
      </c>
      <c r="AR23" s="21">
        <f t="shared" si="52"/>
        <v>0.86</v>
      </c>
      <c r="AS23" s="21">
        <f t="shared" si="52"/>
        <v>103</v>
      </c>
      <c r="AT23" s="21">
        <f t="shared" si="52"/>
        <v>524.48</v>
      </c>
      <c r="AU23" s="21">
        <f t="shared" si="52"/>
        <v>0</v>
      </c>
      <c r="AV23" s="21">
        <f t="shared" si="52"/>
        <v>0</v>
      </c>
      <c r="AW23" s="21">
        <f t="shared" si="52"/>
        <v>0</v>
      </c>
      <c r="AX23" s="21">
        <f t="shared" si="52"/>
        <v>524.48</v>
      </c>
      <c r="AY23" s="21">
        <f t="shared" si="52"/>
        <v>50</v>
      </c>
      <c r="AZ23" s="21">
        <f t="shared" si="52"/>
        <v>214.13333299999999</v>
      </c>
      <c r="BA23" s="21">
        <f t="shared" si="52"/>
        <v>0</v>
      </c>
      <c r="BB23" s="21">
        <f t="shared" si="52"/>
        <v>214.13333299999999</v>
      </c>
      <c r="BC23" s="21">
        <f t="shared" si="52"/>
        <v>360.34666700000002</v>
      </c>
      <c r="BD23" s="21">
        <f t="shared" si="52"/>
        <v>0</v>
      </c>
      <c r="BE23" s="21">
        <f t="shared" si="52"/>
        <v>360.34666700000002</v>
      </c>
      <c r="BF23" s="21">
        <f t="shared" si="52"/>
        <v>0</v>
      </c>
      <c r="BG23" s="21">
        <f t="shared" si="52"/>
        <v>204.07999999999998</v>
      </c>
      <c r="BH23" s="21">
        <f t="shared" si="52"/>
        <v>0</v>
      </c>
      <c r="BI23" s="21">
        <f t="shared" si="52"/>
        <v>204.07999999999998</v>
      </c>
      <c r="BJ23" s="21">
        <f t="shared" si="52"/>
        <v>0</v>
      </c>
      <c r="BK23" s="21">
        <f t="shared" si="52"/>
        <v>156.26666700000004</v>
      </c>
      <c r="BL23" s="21">
        <f t="shared" si="52"/>
        <v>250</v>
      </c>
      <c r="BM23" s="21">
        <f t="shared" si="52"/>
        <v>156.26666700000004</v>
      </c>
      <c r="BN23" s="21">
        <f t="shared" si="52"/>
        <v>0</v>
      </c>
      <c r="BO23" s="21">
        <f t="shared" si="52"/>
        <v>69.08</v>
      </c>
      <c r="BP23" s="21">
        <f t="shared" si="52"/>
        <v>0</v>
      </c>
      <c r="BQ23" s="21">
        <f t="shared" si="52"/>
        <v>69.08</v>
      </c>
      <c r="BR23" s="21">
        <f t="shared" ref="BR23:BV23" si="53">SUM(BR18:BR21)</f>
        <v>0</v>
      </c>
      <c r="BS23" s="21">
        <f t="shared" si="53"/>
        <v>87.186667000000028</v>
      </c>
      <c r="BT23" s="21">
        <f t="shared" si="53"/>
        <v>0</v>
      </c>
      <c r="BU23" s="21">
        <f t="shared" si="53"/>
        <v>87.186667000000028</v>
      </c>
      <c r="BV23" s="21">
        <f t="shared" si="53"/>
        <v>350</v>
      </c>
      <c r="BW23" s="21">
        <v>227.33339999999998</v>
      </c>
      <c r="BX23" s="21">
        <v>29.55</v>
      </c>
      <c r="BY23" s="21">
        <f>SUM(BY18:BY21)</f>
        <v>197.7834</v>
      </c>
      <c r="BZ23" s="21">
        <f>SUM(BZ18:BZ21)</f>
        <v>0</v>
      </c>
      <c r="CA23" s="21">
        <f>SUM(CA18:CA21)</f>
        <v>239.40326700000003</v>
      </c>
      <c r="CB23" s="21">
        <f t="shared" ref="CB23:CC23" si="54">SUM(CB18:CB21)</f>
        <v>0</v>
      </c>
      <c r="CC23" s="21">
        <f t="shared" si="54"/>
        <v>0</v>
      </c>
      <c r="CD23" s="21">
        <f>SUM(CD18:CD22)</f>
        <v>239.40326700000003</v>
      </c>
      <c r="CE23" s="21">
        <f t="shared" ref="CE23:CN23" si="55">SUM(CE18:CE22)</f>
        <v>225</v>
      </c>
      <c r="CF23" s="21">
        <f t="shared" si="55"/>
        <v>224.23329999999999</v>
      </c>
      <c r="CG23" s="21">
        <f t="shared" si="55"/>
        <v>6.71</v>
      </c>
      <c r="CH23" s="21">
        <f t="shared" si="55"/>
        <v>217.52330000000001</v>
      </c>
      <c r="CI23" s="21">
        <f t="shared" si="55"/>
        <v>0</v>
      </c>
      <c r="CJ23" s="21">
        <f t="shared" si="55"/>
        <v>246.87996700000005</v>
      </c>
      <c r="CK23" s="21">
        <f t="shared" si="55"/>
        <v>0</v>
      </c>
      <c r="CL23" s="21">
        <f t="shared" si="55"/>
        <v>246.87996700000005</v>
      </c>
      <c r="CM23" s="21"/>
      <c r="CN23" s="21">
        <f t="shared" ref="CN23" si="56">SUM(CN18:CN22)</f>
        <v>950</v>
      </c>
      <c r="CO23" s="49"/>
    </row>
    <row r="24" spans="1:93" ht="17.149999999999999" customHeight="1" x14ac:dyDescent="0.25">
      <c r="A24" s="6" t="s">
        <v>14</v>
      </c>
      <c r="B24" s="7" t="s">
        <v>50</v>
      </c>
      <c r="C24" s="20">
        <v>1538</v>
      </c>
      <c r="D24" s="26">
        <v>5283.6052836052841</v>
      </c>
      <c r="E24" s="8">
        <v>100</v>
      </c>
      <c r="F24" s="19">
        <f>'24-25'!CI18</f>
        <v>72.98</v>
      </c>
      <c r="G24" s="20">
        <v>0</v>
      </c>
      <c r="H24" s="20">
        <v>32.15</v>
      </c>
      <c r="I24" s="20"/>
      <c r="J24" s="20">
        <f>F24+G24+I24-H24</f>
        <v>40.830000000000005</v>
      </c>
      <c r="K24" s="20"/>
      <c r="L24" s="20"/>
      <c r="M24" s="19">
        <f>J24</f>
        <v>40.830000000000005</v>
      </c>
      <c r="N24" s="20">
        <v>50</v>
      </c>
      <c r="O24" s="20">
        <v>60.35</v>
      </c>
      <c r="P24" s="20">
        <v>2.5499999999999998</v>
      </c>
      <c r="Q24" s="20">
        <f>M24+N24+P24-O24</f>
        <v>33.030000000000008</v>
      </c>
      <c r="R24" s="20"/>
      <c r="S24" s="19">
        <f>Q24</f>
        <v>33.030000000000008</v>
      </c>
      <c r="T24" s="20"/>
      <c r="U24" s="20">
        <v>36.610000000000007</v>
      </c>
      <c r="V24" s="20">
        <v>12.2</v>
      </c>
      <c r="W24" s="20">
        <f>S24+T24+V24-U24</f>
        <v>8.6199999999999974</v>
      </c>
      <c r="X24" s="20">
        <v>100</v>
      </c>
      <c r="Y24" s="19">
        <f>W24</f>
        <v>8.6199999999999974</v>
      </c>
      <c r="Z24" s="20">
        <v>100</v>
      </c>
      <c r="AA24" s="20">
        <v>32</v>
      </c>
      <c r="AB24" s="20">
        <v>1.01</v>
      </c>
      <c r="AC24" s="20">
        <f>AA24-AB24</f>
        <v>30.99</v>
      </c>
      <c r="AD24" s="20">
        <f>Y24+Z24+AB24-AA24</f>
        <v>77.63000000000001</v>
      </c>
      <c r="AE24" s="20">
        <v>50</v>
      </c>
      <c r="AF24" s="20">
        <f>+AE24-AC24</f>
        <v>19.010000000000002</v>
      </c>
      <c r="AG24" s="19">
        <f>+AD24</f>
        <v>77.63000000000001</v>
      </c>
      <c r="AH24" s="20">
        <v>0</v>
      </c>
      <c r="AI24" s="20">
        <v>46.06</v>
      </c>
      <c r="AJ24" s="20"/>
      <c r="AK24" s="20">
        <f>AI24-AJ24</f>
        <v>46.06</v>
      </c>
      <c r="AL24" s="20">
        <f>AG24+AH24+AJ24-AI24</f>
        <v>31.570000000000007</v>
      </c>
      <c r="AM24" s="20"/>
      <c r="AN24" s="20"/>
      <c r="AO24" s="19">
        <f>+AL24</f>
        <v>31.570000000000007</v>
      </c>
      <c r="AP24" s="20">
        <v>100</v>
      </c>
      <c r="AQ24" s="20">
        <v>24.71</v>
      </c>
      <c r="AR24" s="20">
        <v>0.71</v>
      </c>
      <c r="AS24" s="20">
        <f>AQ24-AR24</f>
        <v>24</v>
      </c>
      <c r="AT24" s="20">
        <f>AO24+AP24+AR24-AQ24</f>
        <v>107.57</v>
      </c>
      <c r="AU24" s="20"/>
      <c r="AV24" s="20"/>
      <c r="AW24" s="20"/>
      <c r="AX24" s="19">
        <f>+AT24</f>
        <v>107.57</v>
      </c>
      <c r="AY24" s="20">
        <v>70</v>
      </c>
      <c r="AZ24" s="20">
        <v>25</v>
      </c>
      <c r="BA24" s="20">
        <v>0</v>
      </c>
      <c r="BB24" s="20">
        <f>AZ24-BA24</f>
        <v>25</v>
      </c>
      <c r="BC24" s="20">
        <f>AX24+AY24+BA24-AZ24</f>
        <v>152.57</v>
      </c>
      <c r="BD24" s="20"/>
      <c r="BE24" s="19">
        <f>+BC24</f>
        <v>152.57</v>
      </c>
      <c r="BF24" s="20">
        <v>0</v>
      </c>
      <c r="BG24" s="20">
        <v>29</v>
      </c>
      <c r="BH24" s="20">
        <v>1</v>
      </c>
      <c r="BI24" s="20">
        <f>+BG24-BH24</f>
        <v>28</v>
      </c>
      <c r="BJ24" s="20"/>
      <c r="BK24" s="20">
        <f>BE24+BF24+BH24-BG24-BJ24</f>
        <v>124.57</v>
      </c>
      <c r="BL24" s="20">
        <v>0</v>
      </c>
      <c r="BM24" s="19">
        <f>+BK24+BJ24</f>
        <v>124.57</v>
      </c>
      <c r="BN24" s="20">
        <v>0</v>
      </c>
      <c r="BO24" s="20">
        <v>19</v>
      </c>
      <c r="BP24" s="20">
        <v>0</v>
      </c>
      <c r="BQ24" s="20">
        <f>BO24-BP24</f>
        <v>19</v>
      </c>
      <c r="BR24" s="20"/>
      <c r="BS24" s="20">
        <f>BM24+BN24+BP24-BO24-BR24</f>
        <v>105.57</v>
      </c>
      <c r="BT24" s="20">
        <v>0</v>
      </c>
      <c r="BU24" s="19">
        <f>BS24+BR24</f>
        <v>105.57</v>
      </c>
      <c r="BV24" s="20">
        <v>0</v>
      </c>
      <c r="BW24" s="20">
        <v>24</v>
      </c>
      <c r="BX24" s="20">
        <v>7.47</v>
      </c>
      <c r="BY24" s="20">
        <f>BW24-BX24</f>
        <v>16.53</v>
      </c>
      <c r="BZ24" s="20"/>
      <c r="CA24" s="20">
        <f>BU24+BV24+BX24-BW24-BZ24</f>
        <v>89.039999999999992</v>
      </c>
      <c r="CB24" s="20"/>
      <c r="CC24" s="20"/>
      <c r="CD24" s="19">
        <v>89.039999999999992</v>
      </c>
      <c r="CE24" s="20">
        <f>_xlfn.XLOOKUP(B24,[4]Sheet2!$A$5:$A$25,[4]Sheet2!$B$5:$B$25)</f>
        <v>25</v>
      </c>
      <c r="CF24" s="20">
        <f>_xlfn.XLOOKUP(B24,[2]Sheet1!$A$4:$A$38,[2]Sheet1!$B$4:$B$38)</f>
        <v>18</v>
      </c>
      <c r="CG24" s="20">
        <f>_xlfn.XLOOKUP(B24,[3]Sheet1!$A$4:$A$22,[3]Sheet1!$B$4:$B$22)</f>
        <v>1.66</v>
      </c>
      <c r="CH24" s="20">
        <f>CF24-CG24</f>
        <v>16.34</v>
      </c>
      <c r="CI24" s="20"/>
      <c r="CJ24" s="20">
        <f>CD24+CE24+CG24-CF24-CI24</f>
        <v>97.699999999999989</v>
      </c>
      <c r="CK24" s="20"/>
      <c r="CL24" s="20">
        <f t="shared" ref="CL24:CL27" si="57">CK24+CJ24</f>
        <v>97.699999999999989</v>
      </c>
      <c r="CM24" s="20">
        <v>35</v>
      </c>
      <c r="CN24" s="20">
        <v>25</v>
      </c>
      <c r="CO24" s="49"/>
    </row>
    <row r="25" spans="1:93" ht="17.149999999999999" customHeight="1" x14ac:dyDescent="0.25">
      <c r="A25" s="6" t="s">
        <v>14</v>
      </c>
      <c r="B25" s="7" t="s">
        <v>134</v>
      </c>
      <c r="C25" s="20">
        <v>900</v>
      </c>
      <c r="D25" s="26">
        <v>3030.3</v>
      </c>
      <c r="E25" s="8">
        <v>30</v>
      </c>
      <c r="F25" s="19">
        <v>0</v>
      </c>
      <c r="G25" s="20">
        <v>0</v>
      </c>
      <c r="H25" s="20">
        <v>0</v>
      </c>
      <c r="I25" s="20"/>
      <c r="J25" s="20">
        <f>F25+G25+I25-H25</f>
        <v>0</v>
      </c>
      <c r="K25" s="20"/>
      <c r="L25" s="20"/>
      <c r="M25" s="19">
        <f>J25</f>
        <v>0</v>
      </c>
      <c r="N25" s="20">
        <v>0</v>
      </c>
      <c r="O25" s="20">
        <v>0</v>
      </c>
      <c r="P25" s="20">
        <v>0</v>
      </c>
      <c r="Q25" s="20">
        <f>M25+N25+P25-O25</f>
        <v>0</v>
      </c>
      <c r="R25" s="20">
        <v>243</v>
      </c>
      <c r="S25" s="19">
        <f>Q25</f>
        <v>0</v>
      </c>
      <c r="T25" s="40">
        <v>263</v>
      </c>
      <c r="U25" s="40">
        <v>89</v>
      </c>
      <c r="V25" s="20">
        <v>0</v>
      </c>
      <c r="W25" s="20">
        <f>S25+T25+V25-U25</f>
        <v>174</v>
      </c>
      <c r="X25" s="20">
        <v>100</v>
      </c>
      <c r="Y25" s="19">
        <f>W25</f>
        <v>174</v>
      </c>
      <c r="Z25" s="20">
        <v>100</v>
      </c>
      <c r="AA25" s="20">
        <f>42-10</f>
        <v>32</v>
      </c>
      <c r="AB25" s="20">
        <v>0</v>
      </c>
      <c r="AC25" s="20">
        <f>AA25-AB25</f>
        <v>32</v>
      </c>
      <c r="AD25" s="20">
        <f>Y25+Z25+AB25-AA25</f>
        <v>242</v>
      </c>
      <c r="AE25" s="20">
        <v>100</v>
      </c>
      <c r="AF25" s="20">
        <f>+AE25-AC25</f>
        <v>68</v>
      </c>
      <c r="AG25" s="19">
        <f>+AD25</f>
        <v>242</v>
      </c>
      <c r="AH25" s="20">
        <v>0</v>
      </c>
      <c r="AI25" s="20">
        <v>24</v>
      </c>
      <c r="AJ25" s="20"/>
      <c r="AK25" s="20">
        <f>AI25-AJ25</f>
        <v>24</v>
      </c>
      <c r="AL25" s="20">
        <f>AG25+AH25+AJ25-AI25</f>
        <v>218</v>
      </c>
      <c r="AM25" s="20"/>
      <c r="AN25" s="20"/>
      <c r="AO25" s="19">
        <f>+AL25</f>
        <v>218</v>
      </c>
      <c r="AP25" s="20">
        <v>0</v>
      </c>
      <c r="AQ25" s="20">
        <v>23.133333</v>
      </c>
      <c r="AR25" s="20">
        <v>0</v>
      </c>
      <c r="AS25" s="20">
        <f>AQ25-AR25</f>
        <v>23.133333</v>
      </c>
      <c r="AT25" s="20">
        <f>AO25+AP25+AR25-AQ25</f>
        <v>194.86666700000001</v>
      </c>
      <c r="AU25" s="20"/>
      <c r="AV25" s="20"/>
      <c r="AW25" s="20"/>
      <c r="AX25" s="19">
        <f>+AT25</f>
        <v>194.86666700000001</v>
      </c>
      <c r="AY25" s="20">
        <v>0</v>
      </c>
      <c r="AZ25" s="20">
        <v>20.666665999999999</v>
      </c>
      <c r="BA25" s="20">
        <v>0</v>
      </c>
      <c r="BB25" s="20">
        <f>AZ25-BA25</f>
        <v>20.666665999999999</v>
      </c>
      <c r="BC25" s="20">
        <f>AX25+AY25+BA25-AZ25</f>
        <v>174.20000100000001</v>
      </c>
      <c r="BD25" s="20"/>
      <c r="BE25" s="19">
        <f>+BC25</f>
        <v>174.20000100000001</v>
      </c>
      <c r="BF25" s="20">
        <v>3.3000000000171781E-5</v>
      </c>
      <c r="BG25" s="20">
        <v>14</v>
      </c>
      <c r="BH25" s="20">
        <v>2.7332999999999998</v>
      </c>
      <c r="BI25" s="20">
        <f>+BG25-BH25</f>
        <v>11.2667</v>
      </c>
      <c r="BJ25" s="20"/>
      <c r="BK25" s="20">
        <f>BE25+BF25+BH25-BG25-BJ25</f>
        <v>162.933334</v>
      </c>
      <c r="BL25" s="20">
        <v>0</v>
      </c>
      <c r="BM25" s="19">
        <f>+BK25+BJ25</f>
        <v>162.933334</v>
      </c>
      <c r="BN25" s="20">
        <v>0</v>
      </c>
      <c r="BO25" s="20">
        <v>10</v>
      </c>
      <c r="BP25" s="20">
        <v>0</v>
      </c>
      <c r="BQ25" s="20">
        <f>BO25-BP25</f>
        <v>10</v>
      </c>
      <c r="BR25" s="20"/>
      <c r="BS25" s="20">
        <f>BM25+BN25+BP25-BO25-BR25</f>
        <v>152.933334</v>
      </c>
      <c r="BT25" s="20">
        <v>0</v>
      </c>
      <c r="BU25" s="19">
        <f>BS25+BR25</f>
        <v>152.933334</v>
      </c>
      <c r="BV25" s="20">
        <v>0</v>
      </c>
      <c r="BW25" s="20">
        <v>0</v>
      </c>
      <c r="BX25" s="20">
        <v>0.56669999999999998</v>
      </c>
      <c r="BY25" s="20">
        <f>BW25-BX25</f>
        <v>-0.56669999999999998</v>
      </c>
      <c r="BZ25" s="20"/>
      <c r="CA25" s="20">
        <f>BU25+BV25+BX25-BW25-BZ25</f>
        <v>153.500034</v>
      </c>
      <c r="CB25" s="20"/>
      <c r="CC25" s="20"/>
      <c r="CD25" s="19">
        <v>153.500034</v>
      </c>
      <c r="CE25" s="20">
        <v>0</v>
      </c>
      <c r="CF25" s="20">
        <v>0</v>
      </c>
      <c r="CG25" s="20">
        <f>_xlfn.XLOOKUP(B25,[3]Sheet1!$A$4:$A$22,[3]Sheet1!$B$4:$B$22)</f>
        <v>11.333299999999999</v>
      </c>
      <c r="CH25" s="20">
        <f>CF25-CG25</f>
        <v>-11.333299999999999</v>
      </c>
      <c r="CI25" s="20"/>
      <c r="CJ25" s="20">
        <f>CD25+CE25+CG25-CF25-CI25</f>
        <v>164.83333400000001</v>
      </c>
      <c r="CK25" s="20"/>
      <c r="CL25" s="20">
        <f t="shared" si="57"/>
        <v>164.83333400000001</v>
      </c>
      <c r="CM25" s="20"/>
      <c r="CN25" s="20"/>
      <c r="CO25" s="49"/>
    </row>
    <row r="26" spans="1:93" ht="17.149999999999999" customHeight="1" x14ac:dyDescent="0.25">
      <c r="A26" s="6" t="s">
        <v>14</v>
      </c>
      <c r="B26" s="7" t="s">
        <v>135</v>
      </c>
      <c r="C26" s="20">
        <v>1872</v>
      </c>
      <c r="D26" s="26">
        <v>5637.6262626262624</v>
      </c>
      <c r="E26" s="8">
        <v>30</v>
      </c>
      <c r="F26" s="19"/>
      <c r="G26" s="20"/>
      <c r="H26" s="20"/>
      <c r="I26" s="20"/>
      <c r="J26" s="20"/>
      <c r="K26" s="20"/>
      <c r="L26" s="20"/>
      <c r="M26" s="19"/>
      <c r="N26" s="20"/>
      <c r="O26" s="20"/>
      <c r="P26" s="20"/>
      <c r="Q26" s="20"/>
      <c r="R26" s="20"/>
      <c r="S26" s="19"/>
      <c r="T26" s="42"/>
      <c r="U26" s="42"/>
      <c r="V26" s="20"/>
      <c r="W26" s="20"/>
      <c r="X26" s="20"/>
      <c r="Y26" s="19">
        <f>W26</f>
        <v>0</v>
      </c>
      <c r="Z26" s="20">
        <v>50</v>
      </c>
      <c r="AA26" s="20"/>
      <c r="AB26" s="20"/>
      <c r="AC26" s="20">
        <f>AA26-AB26</f>
        <v>0</v>
      </c>
      <c r="AD26" s="20">
        <f>Y26+Z26+AB26-AA26</f>
        <v>50</v>
      </c>
      <c r="AE26" s="20">
        <v>0</v>
      </c>
      <c r="AF26" s="20">
        <f>+AE26-AC26</f>
        <v>0</v>
      </c>
      <c r="AG26" s="19">
        <f>+AD26</f>
        <v>50</v>
      </c>
      <c r="AH26" s="20">
        <v>150</v>
      </c>
      <c r="AI26" s="20">
        <v>34</v>
      </c>
      <c r="AJ26" s="20"/>
      <c r="AK26" s="20">
        <f>AI26-AJ26</f>
        <v>34</v>
      </c>
      <c r="AL26" s="20">
        <f>AG26+AH26+AJ26-AI26</f>
        <v>166</v>
      </c>
      <c r="AM26" s="20"/>
      <c r="AN26" s="20"/>
      <c r="AO26" s="19">
        <f>+AL26</f>
        <v>166</v>
      </c>
      <c r="AP26" s="20">
        <v>0</v>
      </c>
      <c r="AQ26" s="20">
        <v>39</v>
      </c>
      <c r="AR26" s="20">
        <v>0</v>
      </c>
      <c r="AS26" s="20">
        <f>AQ26-AR26</f>
        <v>39</v>
      </c>
      <c r="AT26" s="20">
        <f>AO26+AP26+AR26-AQ26</f>
        <v>127</v>
      </c>
      <c r="AU26" s="20"/>
      <c r="AV26" s="20"/>
      <c r="AW26" s="20"/>
      <c r="AX26" s="19">
        <f>+AT26</f>
        <v>127</v>
      </c>
      <c r="AY26" s="20">
        <v>100</v>
      </c>
      <c r="AZ26" s="20">
        <v>43.166665999999999</v>
      </c>
      <c r="BA26" s="20">
        <v>0</v>
      </c>
      <c r="BB26" s="20">
        <f>AZ26-BA26</f>
        <v>43.166665999999999</v>
      </c>
      <c r="BC26" s="20">
        <f>AX26+AY26+BA26-AZ26</f>
        <v>183.83333400000001</v>
      </c>
      <c r="BD26" s="20"/>
      <c r="BE26" s="19">
        <f>+BC26</f>
        <v>183.83333400000001</v>
      </c>
      <c r="BF26" s="20">
        <v>0</v>
      </c>
      <c r="BG26" s="20">
        <v>30</v>
      </c>
      <c r="BH26" s="20">
        <v>0</v>
      </c>
      <c r="BI26" s="20">
        <f>+BG26-BH26</f>
        <v>30</v>
      </c>
      <c r="BJ26" s="20"/>
      <c r="BK26" s="20">
        <f>BE26+BF26+BH26-BG26-BJ26</f>
        <v>153.83333400000001</v>
      </c>
      <c r="BL26" s="20">
        <v>0</v>
      </c>
      <c r="BM26" s="19">
        <f>+BK26+BJ26</f>
        <v>153.83333400000001</v>
      </c>
      <c r="BN26" s="20">
        <v>0</v>
      </c>
      <c r="BO26" s="20">
        <v>44</v>
      </c>
      <c r="BP26" s="20">
        <v>0</v>
      </c>
      <c r="BQ26" s="20">
        <f>BO26-BP26</f>
        <v>44</v>
      </c>
      <c r="BR26" s="20"/>
      <c r="BS26" s="20">
        <f>BM26+BN26+BP26-BO26-BR26</f>
        <v>109.83333400000001</v>
      </c>
      <c r="BT26" s="20">
        <v>0</v>
      </c>
      <c r="BU26" s="19">
        <f>BS26+BR26</f>
        <v>109.83333400000001</v>
      </c>
      <c r="BV26" s="20">
        <v>0</v>
      </c>
      <c r="BW26" s="20">
        <v>36</v>
      </c>
      <c r="BX26" s="20">
        <v>0</v>
      </c>
      <c r="BY26" s="20">
        <f>BW26-BX26</f>
        <v>36</v>
      </c>
      <c r="BZ26" s="20"/>
      <c r="CA26" s="20">
        <f>BU26+BV26+BX26-BW26-BZ26</f>
        <v>73.833334000000008</v>
      </c>
      <c r="CB26" s="20"/>
      <c r="CC26" s="20"/>
      <c r="CD26" s="19">
        <v>73.833334000000008</v>
      </c>
      <c r="CE26" s="20">
        <f>_xlfn.XLOOKUP(B26,[4]Sheet2!$A$5:$A$25,[4]Sheet2!$B$5:$B$25)</f>
        <v>50</v>
      </c>
      <c r="CF26" s="20">
        <f>_xlfn.XLOOKUP(B26,[2]Sheet1!$A$4:$A$38,[2]Sheet1!$B$4:$B$38)</f>
        <v>26</v>
      </c>
      <c r="CG26" s="20">
        <v>0</v>
      </c>
      <c r="CH26" s="20">
        <f>CF26-CG26</f>
        <v>26</v>
      </c>
      <c r="CI26" s="20"/>
      <c r="CJ26" s="20">
        <f>CD26+CE26+CG26-CF26-CI26</f>
        <v>97.833334000000008</v>
      </c>
      <c r="CK26" s="20"/>
      <c r="CL26" s="20">
        <f t="shared" si="57"/>
        <v>97.833334000000008</v>
      </c>
      <c r="CM26" s="20">
        <v>65</v>
      </c>
      <c r="CN26" s="20">
        <v>75</v>
      </c>
      <c r="CO26" s="49"/>
    </row>
    <row r="27" spans="1:93" ht="17.149999999999999" customHeight="1" x14ac:dyDescent="0.25">
      <c r="A27" s="6" t="s">
        <v>14</v>
      </c>
      <c r="B27" s="7" t="s">
        <v>51</v>
      </c>
      <c r="C27" s="20">
        <v>1248</v>
      </c>
      <c r="D27" s="26">
        <v>3758.4175084175081</v>
      </c>
      <c r="E27" s="8">
        <v>20</v>
      </c>
      <c r="F27" s="19">
        <f>'24-25'!CI19</f>
        <v>85.700000000000017</v>
      </c>
      <c r="G27" s="20">
        <v>0</v>
      </c>
      <c r="H27" s="20">
        <v>80</v>
      </c>
      <c r="I27" s="20"/>
      <c r="J27" s="20">
        <f>F27+G27+I27-H27</f>
        <v>5.7000000000000171</v>
      </c>
      <c r="K27" s="24"/>
      <c r="L27" s="20"/>
      <c r="M27" s="19">
        <f>J27</f>
        <v>5.7000000000000171</v>
      </c>
      <c r="N27" s="20">
        <v>150</v>
      </c>
      <c r="O27" s="20">
        <v>20.149999999999999</v>
      </c>
      <c r="P27" s="20">
        <v>0.15</v>
      </c>
      <c r="Q27" s="20">
        <f>M27+N27+P27-O27</f>
        <v>135.70000000000002</v>
      </c>
      <c r="R27" s="24"/>
      <c r="S27" s="19">
        <f>Q27</f>
        <v>135.70000000000002</v>
      </c>
      <c r="T27" s="20"/>
      <c r="U27" s="20">
        <v>74.300000000000026</v>
      </c>
      <c r="V27" s="20">
        <v>8.3000000000000007</v>
      </c>
      <c r="W27" s="20">
        <f>S27+T27+V27-U27</f>
        <v>69.7</v>
      </c>
      <c r="X27" s="24">
        <v>50</v>
      </c>
      <c r="Y27" s="19">
        <f>W27</f>
        <v>69.7</v>
      </c>
      <c r="Z27" s="20"/>
      <c r="AA27" s="20">
        <v>60</v>
      </c>
      <c r="AB27" s="20">
        <v>0</v>
      </c>
      <c r="AC27" s="20">
        <f>AA27-AB27</f>
        <v>60</v>
      </c>
      <c r="AD27" s="20">
        <f>Y27+Z27+AB27-AA27</f>
        <v>9.7000000000000028</v>
      </c>
      <c r="AE27" s="20">
        <v>60</v>
      </c>
      <c r="AF27" s="20">
        <f>+AE27-AC27</f>
        <v>0</v>
      </c>
      <c r="AG27" s="19">
        <f>+AD27</f>
        <v>9.7000000000000028</v>
      </c>
      <c r="AH27" s="20">
        <v>0</v>
      </c>
      <c r="AI27" s="20">
        <v>9</v>
      </c>
      <c r="AJ27" s="20"/>
      <c r="AK27" s="20">
        <f>AI27-AJ27</f>
        <v>9</v>
      </c>
      <c r="AL27" s="20">
        <f>AG27+AH27+AJ27-AI27</f>
        <v>0.70000000000000284</v>
      </c>
      <c r="AM27" s="20"/>
      <c r="AN27" s="20"/>
      <c r="AO27" s="19">
        <f>+AL27</f>
        <v>0.70000000000000284</v>
      </c>
      <c r="AP27" s="20">
        <v>0</v>
      </c>
      <c r="AQ27" s="20">
        <v>0</v>
      </c>
      <c r="AR27" s="20">
        <v>0</v>
      </c>
      <c r="AS27" s="20">
        <f>AQ27-AR27</f>
        <v>0</v>
      </c>
      <c r="AT27" s="20">
        <f>AO27+AP27+AR27-AQ27</f>
        <v>0.70000000000000284</v>
      </c>
      <c r="AU27" s="20"/>
      <c r="AV27" s="20"/>
      <c r="AW27" s="20"/>
      <c r="AX27" s="19">
        <f>+AT27</f>
        <v>0.70000000000000284</v>
      </c>
      <c r="AY27" s="20">
        <v>0</v>
      </c>
      <c r="AZ27" s="20">
        <v>0</v>
      </c>
      <c r="BA27" s="20">
        <v>0</v>
      </c>
      <c r="BB27" s="20">
        <f>AZ27-BA27</f>
        <v>0</v>
      </c>
      <c r="BC27" s="20">
        <f>AX27+AY27+BA27-AZ27</f>
        <v>0.70000000000000284</v>
      </c>
      <c r="BD27" s="20"/>
      <c r="BE27" s="19">
        <f>+BC27</f>
        <v>0.70000000000000284</v>
      </c>
      <c r="BF27" s="20">
        <v>0</v>
      </c>
      <c r="BG27" s="20">
        <v>0</v>
      </c>
      <c r="BH27" s="20">
        <v>0</v>
      </c>
      <c r="BI27" s="20">
        <f>+BG27-BH27</f>
        <v>0</v>
      </c>
      <c r="BJ27" s="20"/>
      <c r="BK27" s="20">
        <f>BE27+BF27+BH27-BG27-BJ27</f>
        <v>0.70000000000000284</v>
      </c>
      <c r="BL27" s="20">
        <v>0</v>
      </c>
      <c r="BM27" s="19">
        <f>+BK27+BJ27</f>
        <v>0.70000000000000284</v>
      </c>
      <c r="BN27" s="20">
        <v>0</v>
      </c>
      <c r="BO27" s="20">
        <v>0</v>
      </c>
      <c r="BP27" s="20">
        <v>0</v>
      </c>
      <c r="BQ27" s="20">
        <f>BO27-BP27</f>
        <v>0</v>
      </c>
      <c r="BR27" s="20"/>
      <c r="BS27" s="20">
        <f>BM27+BN27+BP27-BO27-BR27</f>
        <v>0.70000000000000284</v>
      </c>
      <c r="BT27" s="20">
        <v>0</v>
      </c>
      <c r="BU27" s="19">
        <f>BS27+BR27</f>
        <v>0.70000000000000284</v>
      </c>
      <c r="BV27" s="20">
        <v>0</v>
      </c>
      <c r="BW27" s="20">
        <v>0</v>
      </c>
      <c r="BX27" s="20">
        <v>0</v>
      </c>
      <c r="BY27" s="20">
        <f>BW27-BX27</f>
        <v>0</v>
      </c>
      <c r="BZ27" s="20"/>
      <c r="CA27" s="20">
        <f>BU27+BV27+BX27-BW27-BZ27</f>
        <v>0.70000000000000284</v>
      </c>
      <c r="CB27" s="20"/>
      <c r="CC27" s="20"/>
      <c r="CD27" s="19">
        <v>0.70000000000000284</v>
      </c>
      <c r="CE27" s="20">
        <v>0</v>
      </c>
      <c r="CF27" s="20">
        <v>0</v>
      </c>
      <c r="CG27" s="20">
        <f>_xlfn.XLOOKUP(B27,[3]Sheet1!$A$4:$A$22,[3]Sheet1!$B$4:$B$22)</f>
        <v>1</v>
      </c>
      <c r="CH27" s="20">
        <f>CF27-CG27</f>
        <v>-1</v>
      </c>
      <c r="CI27" s="20"/>
      <c r="CJ27" s="20">
        <f>CD27+CE27+CG27-CF27-CI27</f>
        <v>1.7000000000000028</v>
      </c>
      <c r="CK27" s="20"/>
      <c r="CL27" s="20">
        <f t="shared" si="57"/>
        <v>1.7000000000000028</v>
      </c>
      <c r="CM27" s="20"/>
      <c r="CN27" s="20"/>
      <c r="CO27" s="49"/>
    </row>
    <row r="28" spans="1:93" ht="17.149999999999999" customHeight="1" x14ac:dyDescent="0.25">
      <c r="A28" s="9"/>
      <c r="B28" s="10" t="s">
        <v>37</v>
      </c>
      <c r="C28" s="21"/>
      <c r="D28" s="10"/>
      <c r="E28" s="11"/>
      <c r="F28" s="21">
        <f t="shared" ref="F28:AK28" si="58">SUM(F24:F27)</f>
        <v>158.68</v>
      </c>
      <c r="G28" s="21">
        <f t="shared" si="58"/>
        <v>0</v>
      </c>
      <c r="H28" s="21">
        <f t="shared" si="58"/>
        <v>112.15</v>
      </c>
      <c r="I28" s="21">
        <f t="shared" si="58"/>
        <v>0</v>
      </c>
      <c r="J28" s="21">
        <f t="shared" si="58"/>
        <v>46.530000000000022</v>
      </c>
      <c r="K28" s="21">
        <f t="shared" si="58"/>
        <v>0</v>
      </c>
      <c r="L28" s="21">
        <f t="shared" si="58"/>
        <v>0</v>
      </c>
      <c r="M28" s="21">
        <f t="shared" si="58"/>
        <v>46.530000000000022</v>
      </c>
      <c r="N28" s="21">
        <f t="shared" si="58"/>
        <v>200</v>
      </c>
      <c r="O28" s="21">
        <f t="shared" si="58"/>
        <v>80.5</v>
      </c>
      <c r="P28" s="21">
        <f t="shared" si="58"/>
        <v>2.6999999999999997</v>
      </c>
      <c r="Q28" s="21">
        <f t="shared" si="58"/>
        <v>168.73000000000002</v>
      </c>
      <c r="R28" s="21">
        <f t="shared" si="58"/>
        <v>243</v>
      </c>
      <c r="S28" s="21">
        <f t="shared" si="58"/>
        <v>168.73000000000002</v>
      </c>
      <c r="T28" s="21">
        <f t="shared" si="58"/>
        <v>263</v>
      </c>
      <c r="U28" s="21">
        <f t="shared" si="58"/>
        <v>199.91000000000003</v>
      </c>
      <c r="V28" s="21">
        <f t="shared" si="58"/>
        <v>20.5</v>
      </c>
      <c r="W28" s="21">
        <f t="shared" si="58"/>
        <v>252.32</v>
      </c>
      <c r="X28" s="21">
        <f t="shared" si="58"/>
        <v>250</v>
      </c>
      <c r="Y28" s="21">
        <f t="shared" si="58"/>
        <v>252.32</v>
      </c>
      <c r="Z28" s="21">
        <f t="shared" si="58"/>
        <v>250</v>
      </c>
      <c r="AA28" s="21">
        <f t="shared" si="58"/>
        <v>124</v>
      </c>
      <c r="AB28" s="21">
        <f t="shared" si="58"/>
        <v>1.01</v>
      </c>
      <c r="AC28" s="21">
        <f t="shared" si="58"/>
        <v>122.99</v>
      </c>
      <c r="AD28" s="21">
        <f t="shared" si="58"/>
        <v>379.33</v>
      </c>
      <c r="AE28" s="21">
        <f t="shared" si="58"/>
        <v>210</v>
      </c>
      <c r="AF28" s="21">
        <f t="shared" si="58"/>
        <v>87.01</v>
      </c>
      <c r="AG28" s="21">
        <f t="shared" si="58"/>
        <v>379.33</v>
      </c>
      <c r="AH28" s="21">
        <f t="shared" si="58"/>
        <v>150</v>
      </c>
      <c r="AI28" s="21">
        <f t="shared" si="58"/>
        <v>113.06</v>
      </c>
      <c r="AJ28" s="21">
        <f t="shared" si="58"/>
        <v>0</v>
      </c>
      <c r="AK28" s="21">
        <f t="shared" si="58"/>
        <v>113.06</v>
      </c>
      <c r="AL28" s="21">
        <f t="shared" ref="AL28:BQ28" si="59">SUM(AL24:AL27)</f>
        <v>416.27</v>
      </c>
      <c r="AM28" s="21">
        <f t="shared" si="59"/>
        <v>0</v>
      </c>
      <c r="AN28" s="21">
        <f t="shared" si="59"/>
        <v>0</v>
      </c>
      <c r="AO28" s="21">
        <f t="shared" si="59"/>
        <v>416.27</v>
      </c>
      <c r="AP28" s="21">
        <f t="shared" si="59"/>
        <v>100</v>
      </c>
      <c r="AQ28" s="21">
        <f t="shared" si="59"/>
        <v>86.843333000000001</v>
      </c>
      <c r="AR28" s="21">
        <f t="shared" si="59"/>
        <v>0.71</v>
      </c>
      <c r="AS28" s="21">
        <f t="shared" si="59"/>
        <v>86.133332999999993</v>
      </c>
      <c r="AT28" s="21">
        <f t="shared" si="59"/>
        <v>430.13666699999999</v>
      </c>
      <c r="AU28" s="21">
        <f t="shared" si="59"/>
        <v>0</v>
      </c>
      <c r="AV28" s="21">
        <f t="shared" si="59"/>
        <v>0</v>
      </c>
      <c r="AW28" s="21">
        <f t="shared" si="59"/>
        <v>0</v>
      </c>
      <c r="AX28" s="21">
        <f t="shared" si="59"/>
        <v>430.13666699999999</v>
      </c>
      <c r="AY28" s="21">
        <f t="shared" si="59"/>
        <v>170</v>
      </c>
      <c r="AZ28" s="21">
        <f t="shared" si="59"/>
        <v>88.833331999999999</v>
      </c>
      <c r="BA28" s="21">
        <f t="shared" si="59"/>
        <v>0</v>
      </c>
      <c r="BB28" s="21">
        <f t="shared" si="59"/>
        <v>88.833331999999999</v>
      </c>
      <c r="BC28" s="21">
        <f t="shared" si="59"/>
        <v>511.303335</v>
      </c>
      <c r="BD28" s="21">
        <f t="shared" si="59"/>
        <v>0</v>
      </c>
      <c r="BE28" s="21">
        <f t="shared" si="59"/>
        <v>511.303335</v>
      </c>
      <c r="BF28" s="21">
        <f t="shared" si="59"/>
        <v>3.3000000000171781E-5</v>
      </c>
      <c r="BG28" s="21">
        <f t="shared" si="59"/>
        <v>73</v>
      </c>
      <c r="BH28" s="21">
        <f t="shared" si="59"/>
        <v>3.7332999999999998</v>
      </c>
      <c r="BI28" s="21">
        <f t="shared" si="59"/>
        <v>69.2667</v>
      </c>
      <c r="BJ28" s="21">
        <f t="shared" si="59"/>
        <v>0</v>
      </c>
      <c r="BK28" s="21">
        <f t="shared" si="59"/>
        <v>442.03666800000002</v>
      </c>
      <c r="BL28" s="21">
        <f t="shared" si="59"/>
        <v>0</v>
      </c>
      <c r="BM28" s="21">
        <f t="shared" si="59"/>
        <v>442.03666800000002</v>
      </c>
      <c r="BN28" s="21">
        <f t="shared" si="59"/>
        <v>0</v>
      </c>
      <c r="BO28" s="21">
        <f t="shared" si="59"/>
        <v>73</v>
      </c>
      <c r="BP28" s="21">
        <f t="shared" si="59"/>
        <v>0</v>
      </c>
      <c r="BQ28" s="21">
        <f t="shared" si="59"/>
        <v>73</v>
      </c>
      <c r="BR28" s="21">
        <f t="shared" ref="BR28:BV28" si="60">SUM(BR24:BR27)</f>
        <v>0</v>
      </c>
      <c r="BS28" s="21">
        <f t="shared" si="60"/>
        <v>369.03666800000002</v>
      </c>
      <c r="BT28" s="21">
        <f t="shared" si="60"/>
        <v>0</v>
      </c>
      <c r="BU28" s="21">
        <f t="shared" si="60"/>
        <v>369.03666800000002</v>
      </c>
      <c r="BV28" s="21">
        <f t="shared" si="60"/>
        <v>0</v>
      </c>
      <c r="BW28" s="21">
        <v>60</v>
      </c>
      <c r="BX28" s="21">
        <v>8.0366999999999997</v>
      </c>
      <c r="BY28" s="21">
        <f>SUM(BY24:BY27)</f>
        <v>51.963300000000004</v>
      </c>
      <c r="BZ28" s="21">
        <f>SUM(BZ24:BZ27)</f>
        <v>0</v>
      </c>
      <c r="CA28" s="21">
        <f>SUM(CA24:CA27)</f>
        <v>317.07336800000002</v>
      </c>
      <c r="CB28" s="21">
        <f t="shared" ref="CB28:CN28" si="61">SUM(CB24:CB27)</f>
        <v>0</v>
      </c>
      <c r="CC28" s="21">
        <f t="shared" si="61"/>
        <v>0</v>
      </c>
      <c r="CD28" s="21">
        <f t="shared" si="61"/>
        <v>317.07336800000002</v>
      </c>
      <c r="CE28" s="21">
        <f t="shared" si="61"/>
        <v>75</v>
      </c>
      <c r="CF28" s="21">
        <f t="shared" ref="CF28" si="62">SUM(CF24:CF27)</f>
        <v>44</v>
      </c>
      <c r="CG28" s="21">
        <f t="shared" ref="CG28" si="63">SUM(CG24:CG27)</f>
        <v>13.9933</v>
      </c>
      <c r="CH28" s="21">
        <f t="shared" ref="CH28" si="64">SUM(CH24:CH27)</f>
        <v>30.006700000000002</v>
      </c>
      <c r="CI28" s="21">
        <f t="shared" si="61"/>
        <v>0</v>
      </c>
      <c r="CJ28" s="21">
        <f t="shared" si="61"/>
        <v>362.06666799999999</v>
      </c>
      <c r="CK28" s="21">
        <f t="shared" si="61"/>
        <v>0</v>
      </c>
      <c r="CL28" s="21">
        <f t="shared" si="61"/>
        <v>362.06666799999999</v>
      </c>
      <c r="CM28" s="21"/>
      <c r="CN28" s="21">
        <f t="shared" ref="CN28" si="65">SUM(CN24:CN27)</f>
        <v>100</v>
      </c>
      <c r="CO28" s="49"/>
    </row>
    <row r="29" spans="1:93" ht="17.149999999999999" customHeight="1" x14ac:dyDescent="0.25">
      <c r="A29" s="6" t="s">
        <v>15</v>
      </c>
      <c r="B29" s="7" t="s">
        <v>16</v>
      </c>
      <c r="C29" s="20">
        <v>2577</v>
      </c>
      <c r="D29" s="26">
        <v>10101.010101010103</v>
      </c>
      <c r="E29" s="8">
        <v>20</v>
      </c>
      <c r="F29" s="19">
        <f>'24-25'!CI21</f>
        <v>7.6999999999999318</v>
      </c>
      <c r="G29" s="20">
        <v>0</v>
      </c>
      <c r="H29" s="20">
        <v>7.6999999999999993</v>
      </c>
      <c r="I29" s="20"/>
      <c r="J29" s="20">
        <f>F29+G29+I29-H29</f>
        <v>-6.7501559897209518E-14</v>
      </c>
      <c r="K29" s="24"/>
      <c r="L29" s="20"/>
      <c r="M29" s="19">
        <f>J29</f>
        <v>-6.7501559897209518E-14</v>
      </c>
      <c r="N29" s="20">
        <v>0</v>
      </c>
      <c r="O29" s="20">
        <v>8.5</v>
      </c>
      <c r="P29" s="20">
        <v>8.5</v>
      </c>
      <c r="Q29" s="20">
        <f>M29+N29+P29-O29</f>
        <v>-6.7501559897209518E-14</v>
      </c>
      <c r="R29" s="24"/>
      <c r="S29" s="19">
        <f>Q29</f>
        <v>-6.7501559897209518E-14</v>
      </c>
      <c r="T29" s="20"/>
      <c r="U29" s="20">
        <v>43.699999999999925</v>
      </c>
      <c r="V29" s="20">
        <v>76.55</v>
      </c>
      <c r="W29" s="20">
        <f>S29+T29+V29-U29</f>
        <v>32.85</v>
      </c>
      <c r="X29" s="24"/>
      <c r="Y29" s="19">
        <f>W29</f>
        <v>32.85</v>
      </c>
      <c r="Z29" s="20">
        <v>0</v>
      </c>
      <c r="AA29" s="20">
        <v>4</v>
      </c>
      <c r="AB29" s="20">
        <v>0</v>
      </c>
      <c r="AC29" s="20">
        <f>AA29-AB29</f>
        <v>4</v>
      </c>
      <c r="AD29" s="20">
        <f>Y29+Z29+AB29-AA29</f>
        <v>28.85</v>
      </c>
      <c r="AE29" s="20">
        <v>0</v>
      </c>
      <c r="AF29" s="20">
        <f>+AE29-AC29</f>
        <v>-4</v>
      </c>
      <c r="AG29" s="19">
        <f>+AD29</f>
        <v>28.85</v>
      </c>
      <c r="AH29" s="20">
        <v>0</v>
      </c>
      <c r="AI29" s="20">
        <v>15</v>
      </c>
      <c r="AJ29" s="20">
        <v>3</v>
      </c>
      <c r="AK29" s="20">
        <f>AI29-AJ29</f>
        <v>12</v>
      </c>
      <c r="AL29" s="20">
        <f>AG29+AH29+AJ29-AI29</f>
        <v>16.850000000000001</v>
      </c>
      <c r="AM29" s="20"/>
      <c r="AN29" s="20"/>
      <c r="AO29" s="19">
        <f>+AL29</f>
        <v>16.850000000000001</v>
      </c>
      <c r="AP29" s="20">
        <v>0</v>
      </c>
      <c r="AQ29" s="20">
        <v>4.8</v>
      </c>
      <c r="AR29" s="20">
        <v>4.7</v>
      </c>
      <c r="AS29" s="20">
        <f>AQ29-AR29</f>
        <v>9.9999999999999645E-2</v>
      </c>
      <c r="AT29" s="20">
        <f>AO29+AP29+AR29-AQ29</f>
        <v>16.75</v>
      </c>
      <c r="AU29" s="20"/>
      <c r="AV29" s="20"/>
      <c r="AW29" s="20"/>
      <c r="AX29" s="19">
        <f>+AT29</f>
        <v>16.75</v>
      </c>
      <c r="AY29" s="20">
        <v>0</v>
      </c>
      <c r="AZ29" s="20">
        <v>0</v>
      </c>
      <c r="BA29" s="20">
        <v>0</v>
      </c>
      <c r="BB29" s="20">
        <f>AZ29-BA29</f>
        <v>0</v>
      </c>
      <c r="BC29" s="20">
        <f>AX29+AY29+BA29-AZ29</f>
        <v>16.75</v>
      </c>
      <c r="BD29" s="20"/>
      <c r="BE29" s="19">
        <f>+BC29</f>
        <v>16.75</v>
      </c>
      <c r="BF29" s="20">
        <v>0</v>
      </c>
      <c r="BG29" s="20">
        <v>9</v>
      </c>
      <c r="BH29" s="20">
        <v>12</v>
      </c>
      <c r="BI29" s="20">
        <f>+BG29-BH29</f>
        <v>-3</v>
      </c>
      <c r="BJ29" s="20">
        <v>1.75</v>
      </c>
      <c r="BK29" s="20">
        <f>BE29+BF29+BH29-BG29-BJ29</f>
        <v>18</v>
      </c>
      <c r="BL29" s="20">
        <v>0</v>
      </c>
      <c r="BM29" s="19">
        <f>+BK29+BJ29</f>
        <v>19.75</v>
      </c>
      <c r="BN29" s="20">
        <v>0</v>
      </c>
      <c r="BO29" s="20">
        <v>7.7</v>
      </c>
      <c r="BP29" s="20">
        <v>4.7</v>
      </c>
      <c r="BQ29" s="20">
        <f>BO29-BP29</f>
        <v>3</v>
      </c>
      <c r="BR29" s="20">
        <v>16.75</v>
      </c>
      <c r="BS29" s="20">
        <f>BM29+BN29+BP29-BO29-BR29</f>
        <v>0</v>
      </c>
      <c r="BT29" s="20">
        <v>0</v>
      </c>
      <c r="BU29" s="19">
        <f>BS29+BR29</f>
        <v>16.75</v>
      </c>
      <c r="BV29" s="20">
        <v>0</v>
      </c>
      <c r="BW29" s="20">
        <v>0</v>
      </c>
      <c r="BX29" s="20">
        <v>0</v>
      </c>
      <c r="BY29" s="20">
        <f>BW29-BX29</f>
        <v>0</v>
      </c>
      <c r="BZ29" s="20">
        <v>16.75</v>
      </c>
      <c r="CA29" s="20">
        <f>BU29+BV29+BX29-BW29-BZ29</f>
        <v>0</v>
      </c>
      <c r="CB29" s="20"/>
      <c r="CC29" s="20"/>
      <c r="CD29" s="19">
        <v>0</v>
      </c>
      <c r="CE29" s="20">
        <f>_xlfn.XLOOKUP(B29,[4]Sheet2!$A$5:$A$25,[4]Sheet2!$B$5:$B$25)</f>
        <v>477</v>
      </c>
      <c r="CF29" s="20">
        <f>_xlfn.XLOOKUP(B29,[2]Sheet1!$A$4:$A$38,[2]Sheet1!$B$4:$B$38)</f>
        <v>22</v>
      </c>
      <c r="CG29" s="20">
        <v>0</v>
      </c>
      <c r="CH29" s="20">
        <f>CF29-CG29</f>
        <v>22</v>
      </c>
      <c r="CI29" s="20">
        <v>16.75</v>
      </c>
      <c r="CJ29" s="20">
        <f>CD29+CE29+CG29-CF29-CI29</f>
        <v>438.25</v>
      </c>
      <c r="CK29" s="20"/>
      <c r="CL29" s="20">
        <f t="shared" ref="CL29:CL33" si="66">CK29+CJ29</f>
        <v>438.25</v>
      </c>
      <c r="CM29" s="20">
        <v>100</v>
      </c>
      <c r="CN29" s="20"/>
      <c r="CO29" s="49"/>
    </row>
    <row r="30" spans="1:93" ht="17.149999999999999" customHeight="1" x14ac:dyDescent="0.25">
      <c r="A30" s="6" t="s">
        <v>15</v>
      </c>
      <c r="B30" s="7" t="s">
        <v>151</v>
      </c>
      <c r="C30" s="20">
        <v>3450</v>
      </c>
      <c r="D30" s="26">
        <f>505.050505050505*30</f>
        <v>15151.51515151515</v>
      </c>
      <c r="E30" s="8">
        <v>30</v>
      </c>
      <c r="F30" s="19"/>
      <c r="G30" s="20"/>
      <c r="H30" s="20"/>
      <c r="I30" s="20"/>
      <c r="J30" s="20"/>
      <c r="K30" s="24"/>
      <c r="L30" s="20"/>
      <c r="M30" s="19"/>
      <c r="N30" s="20"/>
      <c r="O30" s="20"/>
      <c r="P30" s="20"/>
      <c r="Q30" s="20"/>
      <c r="R30" s="24"/>
      <c r="S30" s="19"/>
      <c r="T30" s="20"/>
      <c r="U30" s="20"/>
      <c r="V30" s="20"/>
      <c r="W30" s="20"/>
      <c r="X30" s="24"/>
      <c r="Y30" s="19"/>
      <c r="Z30" s="20"/>
      <c r="AA30" s="20"/>
      <c r="AB30" s="20"/>
      <c r="AC30" s="20"/>
      <c r="AD30" s="20"/>
      <c r="AE30" s="20"/>
      <c r="AF30" s="20"/>
      <c r="AG30" s="19"/>
      <c r="AH30" s="20"/>
      <c r="AI30" s="20"/>
      <c r="AJ30" s="20"/>
      <c r="AK30" s="20"/>
      <c r="AL30" s="20"/>
      <c r="AM30" s="20"/>
      <c r="AN30" s="20"/>
      <c r="AO30" s="19"/>
      <c r="AP30" s="20"/>
      <c r="AQ30" s="20"/>
      <c r="AR30" s="20"/>
      <c r="AS30" s="20"/>
      <c r="AT30" s="20">
        <f>AO30+AP30+AR30-AQ30</f>
        <v>0</v>
      </c>
      <c r="AU30" s="20"/>
      <c r="AV30" s="20"/>
      <c r="AW30" s="20"/>
      <c r="AX30" s="19">
        <f>+AT30</f>
        <v>0</v>
      </c>
      <c r="AY30" s="20">
        <v>600</v>
      </c>
      <c r="AZ30" s="20">
        <v>79.033332999999999</v>
      </c>
      <c r="BA30" s="20">
        <v>0</v>
      </c>
      <c r="BB30" s="20">
        <f>AZ30-BA30</f>
        <v>79.033332999999999</v>
      </c>
      <c r="BC30" s="20">
        <f>AX30+AY30+BA30-AZ30</f>
        <v>520.96666700000003</v>
      </c>
      <c r="BD30" s="20"/>
      <c r="BE30" s="19">
        <f>+BC30</f>
        <v>520.96666700000003</v>
      </c>
      <c r="BF30" s="20">
        <v>0</v>
      </c>
      <c r="BG30" s="20">
        <v>152.1</v>
      </c>
      <c r="BH30" s="20">
        <v>0</v>
      </c>
      <c r="BI30" s="20">
        <f>+BG30-BH30</f>
        <v>152.1</v>
      </c>
      <c r="BJ30" s="20"/>
      <c r="BK30" s="20">
        <f>BE30+BF30+BH30-BG30-BJ30</f>
        <v>368.86666700000001</v>
      </c>
      <c r="BL30" s="20">
        <v>0</v>
      </c>
      <c r="BM30" s="19">
        <f>+BK30+BJ30</f>
        <v>368.86666700000001</v>
      </c>
      <c r="BN30" s="20">
        <v>0</v>
      </c>
      <c r="BO30" s="20">
        <v>224.33333300000001</v>
      </c>
      <c r="BP30" s="20">
        <v>0</v>
      </c>
      <c r="BQ30" s="20">
        <f>BO30-BP30</f>
        <v>224.33333300000001</v>
      </c>
      <c r="BR30" s="20"/>
      <c r="BS30" s="20">
        <f>BM30+BN30+BP30-BO30-BR30</f>
        <v>144.533334</v>
      </c>
      <c r="BT30" s="20">
        <v>0</v>
      </c>
      <c r="BU30" s="19">
        <f>BS30+BR30</f>
        <v>144.533334</v>
      </c>
      <c r="BV30" s="20">
        <v>0</v>
      </c>
      <c r="BW30" s="20">
        <v>129.33330000000001</v>
      </c>
      <c r="BX30" s="20">
        <v>0</v>
      </c>
      <c r="BY30" s="20">
        <f>BW30-BX30</f>
        <v>129.33330000000001</v>
      </c>
      <c r="BZ30" s="20"/>
      <c r="CA30" s="20">
        <f>BU30+BV30+BX30-BW30-BZ30</f>
        <v>15.200033999999988</v>
      </c>
      <c r="CB30" s="20"/>
      <c r="CC30" s="20"/>
      <c r="CD30" s="19">
        <v>15.200033999999988</v>
      </c>
      <c r="CE30" s="20">
        <f>_xlfn.XLOOKUP(B30,[4]Sheet2!$A$5:$A$25,[4]Sheet2!$B$5:$B$25)</f>
        <v>500</v>
      </c>
      <c r="CF30" s="20">
        <f>_xlfn.XLOOKUP(B30,[2]Sheet1!$A$4:$A$38,[2]Sheet1!$B$4:$B$38)</f>
        <v>105.33340000000001</v>
      </c>
      <c r="CG30" s="20">
        <v>0</v>
      </c>
      <c r="CH30" s="20">
        <f>CF30-CG30</f>
        <v>105.33340000000001</v>
      </c>
      <c r="CI30" s="20"/>
      <c r="CJ30" s="20">
        <f>CD30+CE30+CG30-CF30-CI30</f>
        <v>409.86663399999998</v>
      </c>
      <c r="CK30" s="20"/>
      <c r="CL30" s="20">
        <f t="shared" si="66"/>
        <v>409.86663399999998</v>
      </c>
      <c r="CM30" s="20">
        <v>100</v>
      </c>
      <c r="CN30" s="20"/>
      <c r="CO30" s="49"/>
    </row>
    <row r="31" spans="1:93" ht="17.149999999999999" customHeight="1" x14ac:dyDescent="0.25">
      <c r="A31" s="6" t="s">
        <v>15</v>
      </c>
      <c r="B31" s="7" t="s">
        <v>112</v>
      </c>
      <c r="C31" s="20">
        <v>2577</v>
      </c>
      <c r="D31" s="26">
        <v>10101.010101010103</v>
      </c>
      <c r="E31" s="8">
        <v>20</v>
      </c>
      <c r="F31" s="19">
        <f>'24-25'!CI22</f>
        <v>487</v>
      </c>
      <c r="G31" s="20">
        <v>0</v>
      </c>
      <c r="H31" s="20">
        <v>68.400000000000006</v>
      </c>
      <c r="I31" s="20"/>
      <c r="J31" s="20">
        <f>F31+G31+I31-H31</f>
        <v>418.6</v>
      </c>
      <c r="K31" s="24"/>
      <c r="L31" s="20"/>
      <c r="M31" s="19">
        <f>J31</f>
        <v>418.6</v>
      </c>
      <c r="N31" s="20">
        <v>0</v>
      </c>
      <c r="O31" s="20">
        <f>224.2-150</f>
        <v>74.199999999999989</v>
      </c>
      <c r="P31" s="20">
        <v>0</v>
      </c>
      <c r="Q31" s="20">
        <f>M31+N31+P31-O31</f>
        <v>344.40000000000003</v>
      </c>
      <c r="R31" s="24"/>
      <c r="S31" s="19">
        <f>Q31</f>
        <v>344.40000000000003</v>
      </c>
      <c r="T31" s="20"/>
      <c r="U31" s="20">
        <v>156.00000000000006</v>
      </c>
      <c r="V31" s="20">
        <v>100</v>
      </c>
      <c r="W31" s="20">
        <f>S31+T31+V31-U31</f>
        <v>288.39999999999998</v>
      </c>
      <c r="X31" s="24"/>
      <c r="Y31" s="19">
        <f>W31</f>
        <v>288.39999999999998</v>
      </c>
      <c r="Z31" s="20">
        <v>0</v>
      </c>
      <c r="AA31" s="20">
        <v>123</v>
      </c>
      <c r="AB31" s="20">
        <v>0</v>
      </c>
      <c r="AC31" s="20">
        <f>AA31-AB31</f>
        <v>123</v>
      </c>
      <c r="AD31" s="20">
        <f>Y31+Z31+AB31-AA31</f>
        <v>165.39999999999998</v>
      </c>
      <c r="AE31" s="20">
        <v>200</v>
      </c>
      <c r="AF31" s="20">
        <f>+AE31-AC31</f>
        <v>77</v>
      </c>
      <c r="AG31" s="19">
        <f>+AD31</f>
        <v>165.39999999999998</v>
      </c>
      <c r="AH31" s="20">
        <v>0</v>
      </c>
      <c r="AI31" s="20">
        <v>73</v>
      </c>
      <c r="AJ31" s="20"/>
      <c r="AK31" s="20">
        <f>AI31-AJ31</f>
        <v>73</v>
      </c>
      <c r="AL31" s="20">
        <f>AG31+AH31+AJ31-AI31</f>
        <v>92.399999999999977</v>
      </c>
      <c r="AM31" s="20"/>
      <c r="AN31" s="20"/>
      <c r="AO31" s="19">
        <f>+AL31</f>
        <v>92.399999999999977</v>
      </c>
      <c r="AP31" s="20">
        <v>0</v>
      </c>
      <c r="AQ31" s="20">
        <v>129.9</v>
      </c>
      <c r="AR31" s="20">
        <v>50</v>
      </c>
      <c r="AS31" s="20">
        <f>AQ31-AR31</f>
        <v>79.900000000000006</v>
      </c>
      <c r="AT31" s="20">
        <f>AO31+AP31+AR31-AQ31</f>
        <v>12.499999999999972</v>
      </c>
      <c r="AU31" s="20"/>
      <c r="AV31" s="20"/>
      <c r="AW31" s="20"/>
      <c r="AX31" s="19">
        <f>+AT31</f>
        <v>12.499999999999972</v>
      </c>
      <c r="AY31" s="20">
        <v>0</v>
      </c>
      <c r="AZ31" s="20">
        <v>11</v>
      </c>
      <c r="BA31" s="20">
        <v>0</v>
      </c>
      <c r="BB31" s="20">
        <f>AZ31-BA31</f>
        <v>11</v>
      </c>
      <c r="BC31" s="20">
        <f>AX31+AY31+BA31-AZ31</f>
        <v>1.4999999999999716</v>
      </c>
      <c r="BD31" s="20"/>
      <c r="BE31" s="19">
        <f>+BC31</f>
        <v>1.4999999999999716</v>
      </c>
      <c r="BF31" s="20">
        <v>0</v>
      </c>
      <c r="BG31" s="20">
        <v>1</v>
      </c>
      <c r="BH31" s="20">
        <v>0</v>
      </c>
      <c r="BI31" s="20">
        <f>+BG31-BH31</f>
        <v>1</v>
      </c>
      <c r="BJ31" s="20"/>
      <c r="BK31" s="20">
        <f>BE31+BF31+BH31-BG31-BJ31</f>
        <v>0.49999999999997158</v>
      </c>
      <c r="BL31" s="20">
        <v>0</v>
      </c>
      <c r="BM31" s="19">
        <f>+BK31+BJ31</f>
        <v>0.49999999999997158</v>
      </c>
      <c r="BN31" s="20">
        <v>0</v>
      </c>
      <c r="BO31" s="20">
        <v>0</v>
      </c>
      <c r="BP31" s="20">
        <v>0</v>
      </c>
      <c r="BQ31" s="20">
        <f>BO31-BP31</f>
        <v>0</v>
      </c>
      <c r="BR31" s="20"/>
      <c r="BS31" s="20">
        <f>BM31+BN31+BP31-BO31-BR31</f>
        <v>0.49999999999997158</v>
      </c>
      <c r="BT31" s="20">
        <v>0</v>
      </c>
      <c r="BU31" s="19">
        <f>BS31+BR31</f>
        <v>0.49999999999997158</v>
      </c>
      <c r="BV31" s="20">
        <v>0</v>
      </c>
      <c r="BW31" s="20">
        <v>1.35</v>
      </c>
      <c r="BX31" s="20">
        <v>9.5500000000000007</v>
      </c>
      <c r="BY31" s="20">
        <f>BW31-BX31</f>
        <v>-8.2000000000000011</v>
      </c>
      <c r="BZ31" s="20"/>
      <c r="CA31" s="20">
        <f>BU31+BV31+BX31-BW31-BZ31</f>
        <v>8.6999999999999726</v>
      </c>
      <c r="CB31" s="20"/>
      <c r="CC31" s="20"/>
      <c r="CD31" s="19">
        <v>8.6999999999999726</v>
      </c>
      <c r="CE31" s="20">
        <v>0</v>
      </c>
      <c r="CF31" s="20">
        <f>_xlfn.XLOOKUP(B31,[2]Sheet1!$A$4:$A$38,[2]Sheet1!$B$4:$B$38)</f>
        <v>8</v>
      </c>
      <c r="CG31" s="20">
        <f>_xlfn.XLOOKUP(B31,[3]Sheet1!$A$4:$A$22,[3]Sheet1!$B$4:$B$22)</f>
        <v>1.45</v>
      </c>
      <c r="CH31" s="20">
        <f>CF31-CG31</f>
        <v>6.55</v>
      </c>
      <c r="CI31" s="20"/>
      <c r="CJ31" s="20">
        <f>CD31+CE31+CG31-CF31-CI31</f>
        <v>2.1499999999999719</v>
      </c>
      <c r="CK31" s="20"/>
      <c r="CL31" s="20">
        <f t="shared" si="66"/>
        <v>2.1499999999999719</v>
      </c>
      <c r="CM31" s="20"/>
      <c r="CN31" s="20"/>
      <c r="CO31" s="49"/>
    </row>
    <row r="32" spans="1:93" ht="17.149999999999999" customHeight="1" x14ac:dyDescent="0.25">
      <c r="A32" s="6" t="s">
        <v>15</v>
      </c>
      <c r="B32" s="7" t="s">
        <v>26</v>
      </c>
      <c r="C32" s="20">
        <v>2469</v>
      </c>
      <c r="D32" s="26">
        <v>10878.010878010879</v>
      </c>
      <c r="E32" s="8">
        <v>40</v>
      </c>
      <c r="F32" s="19">
        <f>'24-25'!CI23</f>
        <v>43.480000000000004</v>
      </c>
      <c r="G32" s="20">
        <v>0</v>
      </c>
      <c r="H32" s="20">
        <v>26.925000000000001</v>
      </c>
      <c r="I32" s="20"/>
      <c r="J32" s="20">
        <f>F32+G32+I32-H32</f>
        <v>16.555000000000003</v>
      </c>
      <c r="K32" s="20"/>
      <c r="L32" s="20"/>
      <c r="M32" s="19">
        <f>J32</f>
        <v>16.555000000000003</v>
      </c>
      <c r="N32" s="20">
        <v>0</v>
      </c>
      <c r="O32" s="20">
        <f>18.85-7</f>
        <v>11.850000000000001</v>
      </c>
      <c r="P32" s="20">
        <v>2.6</v>
      </c>
      <c r="Q32" s="20">
        <f>M32+N32+P32-O32</f>
        <v>7.3050000000000033</v>
      </c>
      <c r="R32" s="20"/>
      <c r="S32" s="19">
        <f>Q32</f>
        <v>7.3050000000000033</v>
      </c>
      <c r="T32" s="20"/>
      <c r="U32" s="20">
        <v>11.455000000000004</v>
      </c>
      <c r="V32" s="20">
        <v>19.25</v>
      </c>
      <c r="W32" s="20">
        <f>S32+T32+V32-U32</f>
        <v>15.1</v>
      </c>
      <c r="X32" s="20">
        <v>50</v>
      </c>
      <c r="Y32" s="19">
        <f>W32</f>
        <v>15.1</v>
      </c>
      <c r="Z32" s="20">
        <v>50</v>
      </c>
      <c r="AA32" s="20">
        <v>16.5</v>
      </c>
      <c r="AB32" s="20">
        <v>1</v>
      </c>
      <c r="AC32" s="20">
        <f>AA32-AB32</f>
        <v>15.5</v>
      </c>
      <c r="AD32" s="20">
        <f>Y32+Z32+AB32-AA32</f>
        <v>49.599999999999994</v>
      </c>
      <c r="AE32" s="20">
        <v>40</v>
      </c>
      <c r="AF32" s="20">
        <f>+AE32-AC32</f>
        <v>24.5</v>
      </c>
      <c r="AG32" s="19">
        <f>+AD32</f>
        <v>49.599999999999994</v>
      </c>
      <c r="AH32" s="20">
        <v>0</v>
      </c>
      <c r="AI32" s="20">
        <v>20</v>
      </c>
      <c r="AJ32" s="20"/>
      <c r="AK32" s="20">
        <f>AI32-AJ32</f>
        <v>20</v>
      </c>
      <c r="AL32" s="20">
        <f>AG32+AH32+AJ32-AI32</f>
        <v>29.599999999999994</v>
      </c>
      <c r="AM32" s="20"/>
      <c r="AN32" s="20"/>
      <c r="AO32" s="19">
        <f>+AL32</f>
        <v>29.599999999999994</v>
      </c>
      <c r="AP32" s="20">
        <v>20</v>
      </c>
      <c r="AQ32" s="20">
        <v>16</v>
      </c>
      <c r="AR32" s="20">
        <v>0</v>
      </c>
      <c r="AS32" s="20">
        <f>AQ32-AR32</f>
        <v>16</v>
      </c>
      <c r="AT32" s="20">
        <f>AO32+AP32+AR32-AQ32</f>
        <v>33.599999999999994</v>
      </c>
      <c r="AU32" s="20"/>
      <c r="AV32" s="20"/>
      <c r="AW32" s="20"/>
      <c r="AX32" s="19">
        <f>+AT32</f>
        <v>33.599999999999994</v>
      </c>
      <c r="AY32" s="20">
        <v>0</v>
      </c>
      <c r="AZ32" s="20">
        <v>9</v>
      </c>
      <c r="BA32" s="20">
        <v>0</v>
      </c>
      <c r="BB32" s="20">
        <f>AZ32-BA32</f>
        <v>9</v>
      </c>
      <c r="BC32" s="20">
        <f>AX32+AY32+BA32-AZ32</f>
        <v>24.599999999999994</v>
      </c>
      <c r="BD32" s="20"/>
      <c r="BE32" s="19">
        <f>+BC32</f>
        <v>24.599999999999994</v>
      </c>
      <c r="BF32" s="20">
        <v>0</v>
      </c>
      <c r="BG32" s="20">
        <v>7</v>
      </c>
      <c r="BH32" s="20">
        <v>0</v>
      </c>
      <c r="BI32" s="20">
        <f>+BG32-BH32</f>
        <v>7</v>
      </c>
      <c r="BJ32" s="20">
        <v>14.75</v>
      </c>
      <c r="BK32" s="20">
        <f>BE32+BF32+BH32-BG32-BJ32</f>
        <v>2.8499999999999943</v>
      </c>
      <c r="BL32" s="20">
        <v>50</v>
      </c>
      <c r="BM32" s="19">
        <f>+BK32+BJ32</f>
        <v>17.599999999999994</v>
      </c>
      <c r="BN32" s="20">
        <v>0</v>
      </c>
      <c r="BO32" s="20">
        <v>2.375</v>
      </c>
      <c r="BP32" s="20">
        <v>0</v>
      </c>
      <c r="BQ32" s="20">
        <f>BO32-BP32</f>
        <v>2.375</v>
      </c>
      <c r="BR32" s="20">
        <v>14.75</v>
      </c>
      <c r="BS32" s="20">
        <f>BM32+BN32+BP32-BO32-BR32</f>
        <v>0.47499999999999432</v>
      </c>
      <c r="BT32" s="20"/>
      <c r="BU32" s="19">
        <f>BS32+BR32</f>
        <v>15.224999999999994</v>
      </c>
      <c r="BV32" s="20">
        <v>50</v>
      </c>
      <c r="BW32" s="20">
        <v>32.1</v>
      </c>
      <c r="BX32" s="20">
        <v>4.9749999999999996</v>
      </c>
      <c r="BY32" s="20">
        <f>BW32-BX32</f>
        <v>27.125</v>
      </c>
      <c r="BZ32" s="20">
        <v>14.75</v>
      </c>
      <c r="CA32" s="20">
        <f>BU32+BV32+BX32-BW32-BZ32</f>
        <v>23.349999999999987</v>
      </c>
      <c r="CB32" s="20"/>
      <c r="CC32" s="20"/>
      <c r="CD32" s="19">
        <v>23.349999999999987</v>
      </c>
      <c r="CE32" s="20">
        <f>_xlfn.XLOOKUP(B32,[4]Sheet2!$A$5:$A$25,[4]Sheet2!$B$5:$B$25)</f>
        <v>40</v>
      </c>
      <c r="CF32" s="20">
        <f>_xlfn.XLOOKUP(B32,[2]Sheet1!$A$4:$A$38,[2]Sheet1!$B$4:$B$38)</f>
        <v>33.274999999999999</v>
      </c>
      <c r="CG32" s="20">
        <f>_xlfn.XLOOKUP(B32,[3]Sheet1!$A$4:$A$22,[3]Sheet1!$B$4:$B$22)</f>
        <v>1.9000000000000001</v>
      </c>
      <c r="CH32" s="20">
        <f>CF32-CG32</f>
        <v>31.375</v>
      </c>
      <c r="CI32" s="20">
        <v>14.75</v>
      </c>
      <c r="CJ32" s="20">
        <f>CD32+CE32+CG32-CF32-CI32</f>
        <v>17.224999999999987</v>
      </c>
      <c r="CK32" s="20"/>
      <c r="CL32" s="20">
        <f t="shared" si="66"/>
        <v>17.224999999999987</v>
      </c>
      <c r="CM32" s="20">
        <v>17</v>
      </c>
      <c r="CN32" s="20">
        <v>20</v>
      </c>
      <c r="CO32" s="49"/>
    </row>
    <row r="33" spans="1:93" ht="17.149999999999999" customHeight="1" x14ac:dyDescent="0.25">
      <c r="A33" s="6" t="s">
        <v>15</v>
      </c>
      <c r="B33" s="7" t="s">
        <v>17</v>
      </c>
      <c r="C33" s="20">
        <v>3340</v>
      </c>
      <c r="D33" s="26">
        <v>18648.018648018646</v>
      </c>
      <c r="E33" s="8">
        <v>96</v>
      </c>
      <c r="F33" s="19">
        <f>'24-25'!CI24</f>
        <v>30.743382999999994</v>
      </c>
      <c r="G33" s="20">
        <v>0</v>
      </c>
      <c r="H33" s="20">
        <v>11</v>
      </c>
      <c r="I33" s="20"/>
      <c r="J33" s="20">
        <f>F33+G33+I33-H33</f>
        <v>19.743382999999994</v>
      </c>
      <c r="K33" s="20"/>
      <c r="L33" s="20"/>
      <c r="M33" s="19">
        <f>J33</f>
        <v>19.743382999999994</v>
      </c>
      <c r="N33" s="20">
        <v>25</v>
      </c>
      <c r="O33" s="20">
        <v>7.1458329999999997</v>
      </c>
      <c r="P33" s="20">
        <v>2.1457999999999999</v>
      </c>
      <c r="Q33" s="20">
        <f>M33+N33+P33-O33</f>
        <v>39.743349999999992</v>
      </c>
      <c r="R33" s="20"/>
      <c r="S33" s="19">
        <f>Q33</f>
        <v>39.743349999999992</v>
      </c>
      <c r="T33" s="20"/>
      <c r="U33" s="20">
        <v>42.826633999999991</v>
      </c>
      <c r="V33" s="20">
        <v>21.281199999999998</v>
      </c>
      <c r="W33" s="20">
        <f>S33+T33+V33-U33</f>
        <v>18.197915999999999</v>
      </c>
      <c r="X33" s="20"/>
      <c r="Y33" s="19">
        <f>W33</f>
        <v>18.197915999999999</v>
      </c>
      <c r="Z33" s="20">
        <v>0</v>
      </c>
      <c r="AA33" s="20">
        <v>5</v>
      </c>
      <c r="AB33" s="20">
        <v>1</v>
      </c>
      <c r="AC33" s="20">
        <f>AA33-AB33</f>
        <v>4</v>
      </c>
      <c r="AD33" s="20">
        <f>Y33+Z33+AB33-AA33</f>
        <v>14.197915999999999</v>
      </c>
      <c r="AE33" s="20">
        <v>20</v>
      </c>
      <c r="AF33" s="20">
        <f>+AE33-AC33</f>
        <v>16</v>
      </c>
      <c r="AG33" s="19">
        <f>+AD33</f>
        <v>14.197915999999999</v>
      </c>
      <c r="AH33" s="20">
        <v>40</v>
      </c>
      <c r="AI33" s="20">
        <v>25</v>
      </c>
      <c r="AJ33" s="20"/>
      <c r="AK33" s="20">
        <f>AI33-AJ33</f>
        <v>25</v>
      </c>
      <c r="AL33" s="20">
        <f>AG33+AH33+AJ33-AI33</f>
        <v>29.197915999999999</v>
      </c>
      <c r="AM33" s="20"/>
      <c r="AN33" s="20"/>
      <c r="AO33" s="19">
        <f>+AL33</f>
        <v>29.197915999999999</v>
      </c>
      <c r="AP33" s="20">
        <v>30</v>
      </c>
      <c r="AQ33" s="20">
        <v>15</v>
      </c>
      <c r="AR33" s="20">
        <v>0</v>
      </c>
      <c r="AS33" s="20">
        <f>AQ33-AR33</f>
        <v>15</v>
      </c>
      <c r="AT33" s="20">
        <f>AO33+AP33+AR33-AQ33</f>
        <v>44.197915999999999</v>
      </c>
      <c r="AU33" s="20"/>
      <c r="AV33" s="20"/>
      <c r="AW33" s="20"/>
      <c r="AX33" s="19">
        <f>+AT33</f>
        <v>44.197915999999999</v>
      </c>
      <c r="AY33" s="20">
        <v>0</v>
      </c>
      <c r="AZ33" s="20">
        <v>5.03125</v>
      </c>
      <c r="BA33" s="20">
        <v>0</v>
      </c>
      <c r="BB33" s="20">
        <f>AZ33-BA33</f>
        <v>5.03125</v>
      </c>
      <c r="BC33" s="20">
        <f>AX33+AY33+BA33-AZ33</f>
        <v>39.166665999999999</v>
      </c>
      <c r="BD33" s="20"/>
      <c r="BE33" s="19">
        <f>+BC33</f>
        <v>39.166665999999999</v>
      </c>
      <c r="BF33" s="20">
        <v>0</v>
      </c>
      <c r="BG33" s="20">
        <v>17</v>
      </c>
      <c r="BH33" s="20">
        <v>0</v>
      </c>
      <c r="BI33" s="20">
        <f>+BG33-BH33</f>
        <v>17</v>
      </c>
      <c r="BJ33" s="20">
        <v>0.45</v>
      </c>
      <c r="BK33" s="20">
        <f>BE33+BF33+BH33-BG33-BJ33</f>
        <v>21.716666</v>
      </c>
      <c r="BL33" s="20">
        <v>25</v>
      </c>
      <c r="BM33" s="19">
        <f>+BK33+BJ33</f>
        <v>22.166665999999999</v>
      </c>
      <c r="BN33" s="20">
        <v>0</v>
      </c>
      <c r="BO33" s="20">
        <v>20</v>
      </c>
      <c r="BP33" s="20">
        <v>5</v>
      </c>
      <c r="BQ33" s="20">
        <f>BO33-BP33</f>
        <v>15</v>
      </c>
      <c r="BR33" s="20">
        <v>0.45</v>
      </c>
      <c r="BS33" s="20">
        <f>BM33+BN33+BP33-BO33-BR33</f>
        <v>6.7166659999999991</v>
      </c>
      <c r="BT33" s="20"/>
      <c r="BU33" s="19">
        <f>BS33+BR33</f>
        <v>7.1666659999999993</v>
      </c>
      <c r="BV33" s="20">
        <v>25</v>
      </c>
      <c r="BW33" s="20">
        <v>17</v>
      </c>
      <c r="BX33" s="20">
        <v>0.125</v>
      </c>
      <c r="BY33" s="20">
        <f>BW33-BX33</f>
        <v>16.875</v>
      </c>
      <c r="BZ33" s="20">
        <v>0.45</v>
      </c>
      <c r="CA33" s="20">
        <f>BU33+BV33+BX33-BW33-BZ33</f>
        <v>14.841666</v>
      </c>
      <c r="CB33" s="20"/>
      <c r="CC33" s="20"/>
      <c r="CD33" s="19">
        <v>14.841666</v>
      </c>
      <c r="CE33" s="20">
        <f>_xlfn.XLOOKUP(B33,[4]Sheet2!$A$5:$A$25,[4]Sheet2!$B$5:$B$25)</f>
        <v>25</v>
      </c>
      <c r="CF33" s="20">
        <f>_xlfn.XLOOKUP(B33,[2]Sheet1!$A$4:$A$38,[2]Sheet1!$B$4:$B$38)</f>
        <v>19</v>
      </c>
      <c r="CG33" s="20">
        <f>_xlfn.XLOOKUP(B33,[3]Sheet1!$A$4:$A$22,[3]Sheet1!$B$4:$B$22)</f>
        <v>0.67710000000000004</v>
      </c>
      <c r="CH33" s="20">
        <f>CF33-CG33</f>
        <v>18.322900000000001</v>
      </c>
      <c r="CI33" s="20">
        <v>0.45</v>
      </c>
      <c r="CJ33" s="20">
        <f>CD33+CE33+CG33-CF33-CI33</f>
        <v>21.068766000000007</v>
      </c>
      <c r="CK33" s="20"/>
      <c r="CL33" s="20">
        <f t="shared" si="66"/>
        <v>21.068766000000007</v>
      </c>
      <c r="CM33" s="20">
        <v>15</v>
      </c>
      <c r="CN33" s="20">
        <v>25</v>
      </c>
      <c r="CO33" s="49"/>
    </row>
    <row r="34" spans="1:93" ht="17.149999999999999" customHeight="1" x14ac:dyDescent="0.25">
      <c r="A34" s="9"/>
      <c r="B34" s="10" t="s">
        <v>38</v>
      </c>
      <c r="C34" s="21"/>
      <c r="D34" s="10"/>
      <c r="E34" s="11"/>
      <c r="F34" s="21">
        <f t="shared" ref="F34:AK34" si="67">SUM(F29:F33)</f>
        <v>568.92338299999994</v>
      </c>
      <c r="G34" s="21">
        <f t="shared" si="67"/>
        <v>0</v>
      </c>
      <c r="H34" s="21">
        <f t="shared" si="67"/>
        <v>114.02500000000001</v>
      </c>
      <c r="I34" s="21">
        <f t="shared" si="67"/>
        <v>0</v>
      </c>
      <c r="J34" s="21">
        <f t="shared" si="67"/>
        <v>454.89838299999997</v>
      </c>
      <c r="K34" s="21">
        <f t="shared" si="67"/>
        <v>0</v>
      </c>
      <c r="L34" s="21">
        <f t="shared" si="67"/>
        <v>0</v>
      </c>
      <c r="M34" s="21">
        <f t="shared" si="67"/>
        <v>454.89838299999997</v>
      </c>
      <c r="N34" s="21">
        <f t="shared" si="67"/>
        <v>25</v>
      </c>
      <c r="O34" s="21">
        <f t="shared" si="67"/>
        <v>101.69583299999998</v>
      </c>
      <c r="P34" s="21">
        <f t="shared" si="67"/>
        <v>13.245799999999999</v>
      </c>
      <c r="Q34" s="21">
        <f t="shared" si="67"/>
        <v>391.44835</v>
      </c>
      <c r="R34" s="21">
        <f t="shared" si="67"/>
        <v>0</v>
      </c>
      <c r="S34" s="21">
        <f t="shared" si="67"/>
        <v>391.44835</v>
      </c>
      <c r="T34" s="21">
        <f t="shared" si="67"/>
        <v>0</v>
      </c>
      <c r="U34" s="21">
        <f t="shared" si="67"/>
        <v>253.98163399999999</v>
      </c>
      <c r="V34" s="21">
        <f t="shared" si="67"/>
        <v>217.08120000000002</v>
      </c>
      <c r="W34" s="21">
        <f t="shared" si="67"/>
        <v>354.54791600000004</v>
      </c>
      <c r="X34" s="21">
        <f t="shared" si="67"/>
        <v>50</v>
      </c>
      <c r="Y34" s="21">
        <f t="shared" si="67"/>
        <v>354.54791600000004</v>
      </c>
      <c r="Z34" s="21">
        <f t="shared" si="67"/>
        <v>50</v>
      </c>
      <c r="AA34" s="21">
        <f t="shared" si="67"/>
        <v>148.5</v>
      </c>
      <c r="AB34" s="21">
        <f t="shared" si="67"/>
        <v>2</v>
      </c>
      <c r="AC34" s="21">
        <f t="shared" si="67"/>
        <v>146.5</v>
      </c>
      <c r="AD34" s="21">
        <f t="shared" si="67"/>
        <v>258.04791599999999</v>
      </c>
      <c r="AE34" s="21">
        <f t="shared" si="67"/>
        <v>260</v>
      </c>
      <c r="AF34" s="21">
        <f t="shared" si="67"/>
        <v>113.5</v>
      </c>
      <c r="AG34" s="21">
        <f t="shared" si="67"/>
        <v>258.04791599999999</v>
      </c>
      <c r="AH34" s="21">
        <f t="shared" si="67"/>
        <v>40</v>
      </c>
      <c r="AI34" s="21">
        <f t="shared" si="67"/>
        <v>133</v>
      </c>
      <c r="AJ34" s="21">
        <f t="shared" si="67"/>
        <v>3</v>
      </c>
      <c r="AK34" s="21">
        <f t="shared" si="67"/>
        <v>130</v>
      </c>
      <c r="AL34" s="21">
        <f t="shared" ref="AL34:BQ34" si="68">SUM(AL29:AL33)</f>
        <v>168.04791599999996</v>
      </c>
      <c r="AM34" s="21">
        <f t="shared" si="68"/>
        <v>0</v>
      </c>
      <c r="AN34" s="21">
        <f t="shared" si="68"/>
        <v>0</v>
      </c>
      <c r="AO34" s="21">
        <f t="shared" si="68"/>
        <v>168.04791599999996</v>
      </c>
      <c r="AP34" s="21">
        <f t="shared" si="68"/>
        <v>50</v>
      </c>
      <c r="AQ34" s="21">
        <f t="shared" si="68"/>
        <v>165.70000000000002</v>
      </c>
      <c r="AR34" s="21">
        <f t="shared" si="68"/>
        <v>54.7</v>
      </c>
      <c r="AS34" s="21">
        <f t="shared" si="68"/>
        <v>111</v>
      </c>
      <c r="AT34" s="21">
        <f t="shared" si="68"/>
        <v>107.04791599999996</v>
      </c>
      <c r="AU34" s="21">
        <f t="shared" si="68"/>
        <v>0</v>
      </c>
      <c r="AV34" s="21">
        <f t="shared" si="68"/>
        <v>0</v>
      </c>
      <c r="AW34" s="21">
        <f t="shared" si="68"/>
        <v>0</v>
      </c>
      <c r="AX34" s="21">
        <f t="shared" si="68"/>
        <v>107.04791599999996</v>
      </c>
      <c r="AY34" s="21">
        <f t="shared" si="68"/>
        <v>600</v>
      </c>
      <c r="AZ34" s="21">
        <f t="shared" si="68"/>
        <v>104.064583</v>
      </c>
      <c r="BA34" s="21">
        <f t="shared" si="68"/>
        <v>0</v>
      </c>
      <c r="BB34" s="21">
        <f t="shared" si="68"/>
        <v>104.064583</v>
      </c>
      <c r="BC34" s="21">
        <f t="shared" si="68"/>
        <v>602.98333300000002</v>
      </c>
      <c r="BD34" s="21">
        <f t="shared" si="68"/>
        <v>0</v>
      </c>
      <c r="BE34" s="21">
        <f t="shared" si="68"/>
        <v>602.98333300000002</v>
      </c>
      <c r="BF34" s="21">
        <f t="shared" si="68"/>
        <v>0</v>
      </c>
      <c r="BG34" s="21">
        <f t="shared" si="68"/>
        <v>186.1</v>
      </c>
      <c r="BH34" s="21">
        <f t="shared" si="68"/>
        <v>12</v>
      </c>
      <c r="BI34" s="21">
        <f t="shared" si="68"/>
        <v>174.1</v>
      </c>
      <c r="BJ34" s="21">
        <f t="shared" si="68"/>
        <v>16.95</v>
      </c>
      <c r="BK34" s="21">
        <f t="shared" si="68"/>
        <v>411.933333</v>
      </c>
      <c r="BL34" s="21">
        <f t="shared" si="68"/>
        <v>75</v>
      </c>
      <c r="BM34" s="21">
        <f t="shared" si="68"/>
        <v>428.88333300000005</v>
      </c>
      <c r="BN34" s="21">
        <f t="shared" si="68"/>
        <v>0</v>
      </c>
      <c r="BO34" s="21">
        <f t="shared" si="68"/>
        <v>254.408333</v>
      </c>
      <c r="BP34" s="21">
        <f t="shared" si="68"/>
        <v>9.6999999999999993</v>
      </c>
      <c r="BQ34" s="21">
        <f t="shared" si="68"/>
        <v>244.70833300000001</v>
      </c>
      <c r="BR34" s="21">
        <f t="shared" ref="BR34:BV34" si="69">SUM(BR29:BR33)</f>
        <v>31.95</v>
      </c>
      <c r="BS34" s="21">
        <f t="shared" si="69"/>
        <v>152.22499999999997</v>
      </c>
      <c r="BT34" s="21">
        <f t="shared" si="69"/>
        <v>0</v>
      </c>
      <c r="BU34" s="21">
        <f t="shared" si="69"/>
        <v>184.17499999999995</v>
      </c>
      <c r="BV34" s="21">
        <f t="shared" si="69"/>
        <v>75</v>
      </c>
      <c r="BW34" s="21">
        <v>179.7833</v>
      </c>
      <c r="BX34" s="21">
        <v>14.65</v>
      </c>
      <c r="BY34" s="21">
        <f>SUM(BY29:BY33)</f>
        <v>165.13330000000002</v>
      </c>
      <c r="BZ34" s="21">
        <f>SUM(BZ29:BZ33)</f>
        <v>31.95</v>
      </c>
      <c r="CA34" s="21">
        <f>SUM(CA29:CA33)</f>
        <v>62.091699999999946</v>
      </c>
      <c r="CB34" s="21">
        <f t="shared" ref="CB34:CN34" si="70">SUM(CB29:CB33)</f>
        <v>0</v>
      </c>
      <c r="CC34" s="21">
        <f t="shared" si="70"/>
        <v>0</v>
      </c>
      <c r="CD34" s="21">
        <f t="shared" si="70"/>
        <v>62.091699999999946</v>
      </c>
      <c r="CE34" s="21">
        <f t="shared" si="70"/>
        <v>1042</v>
      </c>
      <c r="CF34" s="21">
        <f t="shared" ref="CF34" si="71">SUM(CF29:CF33)</f>
        <v>187.60840000000002</v>
      </c>
      <c r="CG34" s="21">
        <f t="shared" ref="CG34" si="72">SUM(CG29:CG33)</f>
        <v>4.0270999999999999</v>
      </c>
      <c r="CH34" s="21">
        <f t="shared" ref="CH34" si="73">SUM(CH29:CH33)</f>
        <v>183.58130000000003</v>
      </c>
      <c r="CI34" s="21">
        <f t="shared" si="70"/>
        <v>31.95</v>
      </c>
      <c r="CJ34" s="21">
        <f t="shared" si="70"/>
        <v>888.56039999999996</v>
      </c>
      <c r="CK34" s="21">
        <f t="shared" si="70"/>
        <v>0</v>
      </c>
      <c r="CL34" s="21">
        <f t="shared" si="70"/>
        <v>888.56039999999996</v>
      </c>
      <c r="CM34" s="21"/>
      <c r="CN34" s="21">
        <f t="shared" ref="CN34" si="74">SUM(CN29:CN33)</f>
        <v>45</v>
      </c>
      <c r="CO34" s="49"/>
    </row>
    <row r="35" spans="1:93" ht="17.149999999999999" customHeight="1" x14ac:dyDescent="0.25">
      <c r="A35" s="6" t="s">
        <v>18</v>
      </c>
      <c r="B35" s="7" t="s">
        <v>27</v>
      </c>
      <c r="C35" s="20">
        <v>1928</v>
      </c>
      <c r="D35" s="26">
        <v>6993.0069930069931</v>
      </c>
      <c r="E35" s="8">
        <v>100</v>
      </c>
      <c r="F35" s="19">
        <f>'24-25'!CI26</f>
        <v>0</v>
      </c>
      <c r="G35" s="20">
        <v>0</v>
      </c>
      <c r="H35" s="20">
        <v>0</v>
      </c>
      <c r="I35" s="20"/>
      <c r="J35" s="20">
        <f>F35+G35+I35-H35</f>
        <v>0</v>
      </c>
      <c r="K35" s="20"/>
      <c r="L35" s="20"/>
      <c r="M35" s="19">
        <f>J35</f>
        <v>0</v>
      </c>
      <c r="N35" s="20">
        <v>0</v>
      </c>
      <c r="O35" s="20">
        <v>0</v>
      </c>
      <c r="P35" s="20">
        <v>0</v>
      </c>
      <c r="Q35" s="20">
        <f>M35+N35+P35-O35</f>
        <v>0</v>
      </c>
      <c r="R35" s="20"/>
      <c r="S35" s="19">
        <f>Q35</f>
        <v>0</v>
      </c>
      <c r="T35" s="20"/>
      <c r="U35" s="20">
        <v>0</v>
      </c>
      <c r="V35" s="20">
        <v>0</v>
      </c>
      <c r="W35" s="20">
        <f>S35+T35+V35-U35</f>
        <v>0</v>
      </c>
      <c r="X35" s="20">
        <v>15</v>
      </c>
      <c r="Y35" s="19">
        <f>W35</f>
        <v>0</v>
      </c>
      <c r="Z35" s="20">
        <v>0</v>
      </c>
      <c r="AA35" s="20">
        <v>0</v>
      </c>
      <c r="AB35" s="20">
        <v>0</v>
      </c>
      <c r="AC35" s="20">
        <f>AA35-AB35</f>
        <v>0</v>
      </c>
      <c r="AD35" s="20">
        <f>Y35+Z35+AB35-AA35</f>
        <v>0</v>
      </c>
      <c r="AE35" s="20">
        <v>15</v>
      </c>
      <c r="AF35" s="20">
        <f>+AE35-AC35</f>
        <v>15</v>
      </c>
      <c r="AG35" s="19">
        <f>+AD35</f>
        <v>0</v>
      </c>
      <c r="AH35" s="20">
        <v>14</v>
      </c>
      <c r="AI35" s="20">
        <v>10</v>
      </c>
      <c r="AJ35" s="20"/>
      <c r="AK35" s="20">
        <f>AI35-AJ35</f>
        <v>10</v>
      </c>
      <c r="AL35" s="20">
        <f>AG35+AH35+AJ35-AI35</f>
        <v>4</v>
      </c>
      <c r="AM35" s="20"/>
      <c r="AN35" s="20"/>
      <c r="AO35" s="19">
        <f>+AL35</f>
        <v>4</v>
      </c>
      <c r="AP35" s="20">
        <v>0</v>
      </c>
      <c r="AQ35" s="20">
        <v>0</v>
      </c>
      <c r="AR35" s="20">
        <v>0</v>
      </c>
      <c r="AS35" s="20">
        <f>AQ35-AR35</f>
        <v>0</v>
      </c>
      <c r="AT35" s="20">
        <f>AO35+AP35+AR35-AQ35</f>
        <v>4</v>
      </c>
      <c r="AU35" s="20"/>
      <c r="AV35" s="20"/>
      <c r="AW35" s="20"/>
      <c r="AX35" s="19">
        <f>+AT35</f>
        <v>4</v>
      </c>
      <c r="AY35" s="20">
        <v>14</v>
      </c>
      <c r="AZ35" s="20">
        <v>2</v>
      </c>
      <c r="BA35" s="20">
        <v>0</v>
      </c>
      <c r="BB35" s="20">
        <f>AZ35-BA35</f>
        <v>2</v>
      </c>
      <c r="BC35" s="20">
        <f>AX35+AY35+BA35-AZ35</f>
        <v>16</v>
      </c>
      <c r="BD35" s="20"/>
      <c r="BE35" s="19">
        <f>+BC35</f>
        <v>16</v>
      </c>
      <c r="BF35" s="20">
        <v>0</v>
      </c>
      <c r="BG35" s="20">
        <v>6</v>
      </c>
      <c r="BH35" s="20">
        <v>0</v>
      </c>
      <c r="BI35" s="20">
        <f>+BG35-BH35</f>
        <v>6</v>
      </c>
      <c r="BJ35" s="20"/>
      <c r="BK35" s="20">
        <f>BE35+BF35+BH35-BG35-BJ35</f>
        <v>10</v>
      </c>
      <c r="BL35" s="20">
        <v>0</v>
      </c>
      <c r="BM35" s="19">
        <f>+BK35+BJ35</f>
        <v>10</v>
      </c>
      <c r="BN35" s="20">
        <v>0</v>
      </c>
      <c r="BO35" s="20">
        <v>3</v>
      </c>
      <c r="BP35" s="20">
        <v>0</v>
      </c>
      <c r="BQ35" s="20">
        <f>BO35-BP35</f>
        <v>3</v>
      </c>
      <c r="BR35" s="20"/>
      <c r="BS35" s="20">
        <f>BM35+BN35+BP35-BO35-BR35</f>
        <v>7</v>
      </c>
      <c r="BT35" s="20">
        <v>0</v>
      </c>
      <c r="BU35" s="19">
        <f>BS35+BR35</f>
        <v>7</v>
      </c>
      <c r="BV35" s="20">
        <v>0</v>
      </c>
      <c r="BW35" s="20">
        <v>3</v>
      </c>
      <c r="BX35" s="20">
        <v>0</v>
      </c>
      <c r="BY35" s="20">
        <f>BW35-BX35</f>
        <v>3</v>
      </c>
      <c r="BZ35" s="20"/>
      <c r="CA35" s="20">
        <f>BU35+BV35+BX35-BW35-BZ35</f>
        <v>4</v>
      </c>
      <c r="CB35" s="20"/>
      <c r="CC35" s="20"/>
      <c r="CD35" s="19">
        <v>4</v>
      </c>
      <c r="CE35" s="20">
        <v>0</v>
      </c>
      <c r="CF35" s="20">
        <f>_xlfn.XLOOKUP(B35,[2]Sheet1!$A$4:$A$38,[2]Sheet1!$B$4:$B$38)</f>
        <v>1</v>
      </c>
      <c r="CG35" s="20">
        <v>0</v>
      </c>
      <c r="CH35" s="20">
        <f>CF35-CG35</f>
        <v>1</v>
      </c>
      <c r="CI35" s="20"/>
      <c r="CJ35" s="20">
        <f>CD35+CE35+CG35-CF35-CI35</f>
        <v>3</v>
      </c>
      <c r="CK35" s="20"/>
      <c r="CL35" s="20">
        <f t="shared" ref="CL35:CL39" si="75">CK35+CJ35</f>
        <v>3</v>
      </c>
      <c r="CM35" s="20"/>
      <c r="CN35" s="20">
        <v>15</v>
      </c>
      <c r="CO35" s="49"/>
    </row>
    <row r="36" spans="1:93" ht="17.149999999999999" customHeight="1" x14ac:dyDescent="0.25">
      <c r="A36" s="6" t="s">
        <v>18</v>
      </c>
      <c r="B36" s="7" t="s">
        <v>29</v>
      </c>
      <c r="C36" s="20">
        <v>1928</v>
      </c>
      <c r="D36" s="26">
        <v>6993.0069930069931</v>
      </c>
      <c r="E36" s="8">
        <v>100</v>
      </c>
      <c r="F36" s="19">
        <f>'24-25'!CI27</f>
        <v>23.69</v>
      </c>
      <c r="G36" s="20">
        <v>0</v>
      </c>
      <c r="H36" s="20">
        <v>0</v>
      </c>
      <c r="I36" s="20"/>
      <c r="J36" s="20">
        <f>F36+G36+I36-H36</f>
        <v>23.69</v>
      </c>
      <c r="K36" s="20"/>
      <c r="L36" s="20"/>
      <c r="M36" s="19">
        <f>J36</f>
        <v>23.69</v>
      </c>
      <c r="N36" s="20">
        <v>0</v>
      </c>
      <c r="O36" s="20">
        <v>0</v>
      </c>
      <c r="P36" s="20">
        <v>0</v>
      </c>
      <c r="Q36" s="20">
        <f>M36+N36+P36-O36</f>
        <v>23.69</v>
      </c>
      <c r="R36" s="20"/>
      <c r="S36" s="19">
        <f>Q36</f>
        <v>23.69</v>
      </c>
      <c r="T36" s="20"/>
      <c r="U36" s="20">
        <v>0</v>
      </c>
      <c r="V36" s="20">
        <v>0</v>
      </c>
      <c r="W36" s="20">
        <f>S36+T36+V36-U36</f>
        <v>23.69</v>
      </c>
      <c r="X36" s="20"/>
      <c r="Y36" s="19">
        <f>W36</f>
        <v>23.69</v>
      </c>
      <c r="Z36" s="20">
        <v>0</v>
      </c>
      <c r="AA36" s="20">
        <v>0</v>
      </c>
      <c r="AB36" s="20">
        <v>0</v>
      </c>
      <c r="AC36" s="20">
        <f>AA36-AB36</f>
        <v>0</v>
      </c>
      <c r="AD36" s="20">
        <f>Y36+Z36+AB36-AA36</f>
        <v>23.69</v>
      </c>
      <c r="AE36" s="20">
        <v>0</v>
      </c>
      <c r="AF36" s="20">
        <f>+AE36-AC36</f>
        <v>0</v>
      </c>
      <c r="AG36" s="19">
        <f>+AD36</f>
        <v>23.69</v>
      </c>
      <c r="AH36" s="20">
        <v>0</v>
      </c>
      <c r="AI36" s="20">
        <v>0</v>
      </c>
      <c r="AJ36" s="20"/>
      <c r="AK36" s="20">
        <f>AI36-AJ36</f>
        <v>0</v>
      </c>
      <c r="AL36" s="20">
        <f>AG36+AH36+AJ36-AI36</f>
        <v>23.69</v>
      </c>
      <c r="AM36" s="20"/>
      <c r="AN36" s="20"/>
      <c r="AO36" s="19">
        <f>+AL36</f>
        <v>23.69</v>
      </c>
      <c r="AP36" s="20">
        <v>0</v>
      </c>
      <c r="AQ36" s="20">
        <v>0</v>
      </c>
      <c r="AR36" s="20">
        <v>0</v>
      </c>
      <c r="AS36" s="20">
        <f>AQ36-AR36</f>
        <v>0</v>
      </c>
      <c r="AT36" s="20">
        <f>AO36+AP36+AR36-AQ36</f>
        <v>23.69</v>
      </c>
      <c r="AU36" s="20"/>
      <c r="AV36" s="20"/>
      <c r="AW36" s="20"/>
      <c r="AX36" s="19">
        <f>+AT36</f>
        <v>23.69</v>
      </c>
      <c r="AY36" s="20">
        <v>0</v>
      </c>
      <c r="AZ36" s="20">
        <v>0</v>
      </c>
      <c r="BA36" s="20">
        <v>0</v>
      </c>
      <c r="BB36" s="20">
        <f>AZ36-BA36</f>
        <v>0</v>
      </c>
      <c r="BC36" s="20">
        <f>AX36+AY36+BA36-AZ36</f>
        <v>23.69</v>
      </c>
      <c r="BD36" s="20"/>
      <c r="BE36" s="19">
        <f>+BC36</f>
        <v>23.69</v>
      </c>
      <c r="BF36" s="20">
        <v>0</v>
      </c>
      <c r="BG36" s="20">
        <v>0</v>
      </c>
      <c r="BH36" s="20">
        <v>0</v>
      </c>
      <c r="BI36" s="20">
        <f>+BG36-BH36</f>
        <v>0</v>
      </c>
      <c r="BJ36" s="20"/>
      <c r="BK36" s="20">
        <f>BE36+BF36+BH36-BG36-BJ36</f>
        <v>23.69</v>
      </c>
      <c r="BL36" s="20">
        <v>0</v>
      </c>
      <c r="BM36" s="19">
        <f>+BK36+BJ36</f>
        <v>23.69</v>
      </c>
      <c r="BN36" s="20">
        <v>0</v>
      </c>
      <c r="BO36" s="20">
        <v>0</v>
      </c>
      <c r="BP36" s="20">
        <v>0</v>
      </c>
      <c r="BQ36" s="20">
        <f>BO36-BP36</f>
        <v>0</v>
      </c>
      <c r="BR36" s="20"/>
      <c r="BS36" s="20">
        <f>BM36+BN36+BP36-BO36-BR36</f>
        <v>23.69</v>
      </c>
      <c r="BT36" s="20">
        <v>0</v>
      </c>
      <c r="BU36" s="19">
        <f>BS36+BR36</f>
        <v>23.69</v>
      </c>
      <c r="BV36" s="20">
        <v>0</v>
      </c>
      <c r="BW36" s="20">
        <v>0</v>
      </c>
      <c r="BX36" s="20">
        <v>0</v>
      </c>
      <c r="BY36" s="20">
        <f>BW36-BX36</f>
        <v>0</v>
      </c>
      <c r="BZ36" s="20"/>
      <c r="CA36" s="20">
        <f>BU36+BV36+BX36-BW36-BZ36</f>
        <v>23.69</v>
      </c>
      <c r="CB36" s="20"/>
      <c r="CC36" s="20"/>
      <c r="CD36" s="19">
        <v>23.69</v>
      </c>
      <c r="CE36" s="20">
        <v>0</v>
      </c>
      <c r="CF36" s="20">
        <v>0</v>
      </c>
      <c r="CG36" s="20">
        <v>0</v>
      </c>
      <c r="CH36" s="20">
        <f>CF36-CG36</f>
        <v>0</v>
      </c>
      <c r="CI36" s="20"/>
      <c r="CJ36" s="20">
        <f>CD36+CE36+CG36-CF36-CI36</f>
        <v>23.69</v>
      </c>
      <c r="CK36" s="20"/>
      <c r="CL36" s="20">
        <f t="shared" si="75"/>
        <v>23.69</v>
      </c>
      <c r="CM36" s="20"/>
      <c r="CN36" s="20">
        <v>15</v>
      </c>
      <c r="CO36" s="49"/>
    </row>
    <row r="37" spans="1:93" ht="17.149999999999999" customHeight="1" x14ac:dyDescent="0.25">
      <c r="A37" s="6" t="s">
        <v>18</v>
      </c>
      <c r="B37" s="7" t="s">
        <v>28</v>
      </c>
      <c r="C37" s="20">
        <v>1928</v>
      </c>
      <c r="D37" s="26">
        <v>6993.0069930069931</v>
      </c>
      <c r="E37" s="8">
        <v>100</v>
      </c>
      <c r="F37" s="19">
        <f>'24-25'!CI28</f>
        <v>0</v>
      </c>
      <c r="G37" s="20">
        <v>0</v>
      </c>
      <c r="H37" s="20">
        <v>0</v>
      </c>
      <c r="I37" s="20"/>
      <c r="J37" s="20">
        <f>F37+G37+I37-H37</f>
        <v>0</v>
      </c>
      <c r="K37" s="20"/>
      <c r="L37" s="20"/>
      <c r="M37" s="19">
        <f>J37</f>
        <v>0</v>
      </c>
      <c r="N37" s="20">
        <v>0</v>
      </c>
      <c r="O37" s="20">
        <v>0</v>
      </c>
      <c r="P37" s="20">
        <v>0</v>
      </c>
      <c r="Q37" s="20">
        <f>M37+N37+P37-O37</f>
        <v>0</v>
      </c>
      <c r="R37" s="20"/>
      <c r="S37" s="19">
        <f>Q37</f>
        <v>0</v>
      </c>
      <c r="T37" s="20"/>
      <c r="U37" s="20">
        <v>0</v>
      </c>
      <c r="V37" s="20">
        <v>0</v>
      </c>
      <c r="W37" s="20">
        <f>S37+T37+V37-U37</f>
        <v>0</v>
      </c>
      <c r="X37" s="20"/>
      <c r="Y37" s="19">
        <f>W37</f>
        <v>0</v>
      </c>
      <c r="Z37" s="20">
        <v>0</v>
      </c>
      <c r="AA37" s="20">
        <v>0</v>
      </c>
      <c r="AB37" s="20">
        <v>0</v>
      </c>
      <c r="AC37" s="20">
        <f>AA37-AB37</f>
        <v>0</v>
      </c>
      <c r="AD37" s="20">
        <f>Y37+Z37+AB37-AA37</f>
        <v>0</v>
      </c>
      <c r="AE37" s="20">
        <v>0</v>
      </c>
      <c r="AF37" s="20">
        <f>+AE37-AC37</f>
        <v>0</v>
      </c>
      <c r="AG37" s="19">
        <f>+AD37</f>
        <v>0</v>
      </c>
      <c r="AH37" s="20">
        <v>0</v>
      </c>
      <c r="AI37" s="20">
        <v>0</v>
      </c>
      <c r="AJ37" s="20"/>
      <c r="AK37" s="20">
        <f>AI37-AJ37</f>
        <v>0</v>
      </c>
      <c r="AL37" s="20">
        <f>AG37+AH37+AJ37-AI37</f>
        <v>0</v>
      </c>
      <c r="AM37" s="20"/>
      <c r="AN37" s="20"/>
      <c r="AO37" s="19">
        <f>+AL37</f>
        <v>0</v>
      </c>
      <c r="AP37" s="20">
        <v>0</v>
      </c>
      <c r="AQ37" s="20">
        <v>0</v>
      </c>
      <c r="AR37" s="20">
        <v>0</v>
      </c>
      <c r="AS37" s="20">
        <f>AQ37-AR37</f>
        <v>0</v>
      </c>
      <c r="AT37" s="20">
        <f>AO37+AP37+AR37-AQ37</f>
        <v>0</v>
      </c>
      <c r="AU37" s="20"/>
      <c r="AV37" s="20"/>
      <c r="AW37" s="20"/>
      <c r="AX37" s="19">
        <f>+AT37</f>
        <v>0</v>
      </c>
      <c r="AY37" s="20">
        <v>0</v>
      </c>
      <c r="AZ37" s="20">
        <v>0</v>
      </c>
      <c r="BA37" s="20">
        <v>0</v>
      </c>
      <c r="BB37" s="20">
        <f>AZ37-BA37</f>
        <v>0</v>
      </c>
      <c r="BC37" s="20">
        <f>AX37+AY37+BA37-AZ37</f>
        <v>0</v>
      </c>
      <c r="BD37" s="20"/>
      <c r="BE37" s="19">
        <f>+BC37</f>
        <v>0</v>
      </c>
      <c r="BF37" s="20">
        <v>0</v>
      </c>
      <c r="BG37" s="20">
        <v>0</v>
      </c>
      <c r="BH37" s="20">
        <v>0</v>
      </c>
      <c r="BI37" s="20">
        <f>+BG37-BH37</f>
        <v>0</v>
      </c>
      <c r="BJ37" s="20"/>
      <c r="BK37" s="20">
        <f>BE37+BF37+BH37-BG37-BJ37</f>
        <v>0</v>
      </c>
      <c r="BL37" s="20">
        <v>0</v>
      </c>
      <c r="BM37" s="19">
        <f>+BK37+BJ37</f>
        <v>0</v>
      </c>
      <c r="BN37" s="20">
        <v>0</v>
      </c>
      <c r="BO37" s="20">
        <v>0</v>
      </c>
      <c r="BP37" s="20">
        <v>0</v>
      </c>
      <c r="BQ37" s="20">
        <f>BO37-BP37</f>
        <v>0</v>
      </c>
      <c r="BR37" s="20"/>
      <c r="BS37" s="20">
        <f>BM37+BN37+BP37-BO37-BR37</f>
        <v>0</v>
      </c>
      <c r="BT37" s="20">
        <v>0</v>
      </c>
      <c r="BU37" s="19">
        <f>BS37+BR37</f>
        <v>0</v>
      </c>
      <c r="BV37" s="20">
        <v>0</v>
      </c>
      <c r="BW37" s="20">
        <v>0</v>
      </c>
      <c r="BX37" s="20">
        <v>0</v>
      </c>
      <c r="BY37" s="20">
        <f>BW37-BX37</f>
        <v>0</v>
      </c>
      <c r="BZ37" s="20"/>
      <c r="CA37" s="20">
        <f>BU37+BV37+BX37-BW37-BZ37</f>
        <v>0</v>
      </c>
      <c r="CB37" s="20"/>
      <c r="CC37" s="20"/>
      <c r="CD37" s="19">
        <v>0</v>
      </c>
      <c r="CE37" s="20">
        <v>0</v>
      </c>
      <c r="CF37" s="20">
        <v>0</v>
      </c>
      <c r="CG37" s="20">
        <v>0</v>
      </c>
      <c r="CH37" s="20">
        <f>CF37-CG37</f>
        <v>0</v>
      </c>
      <c r="CI37" s="20"/>
      <c r="CJ37" s="20">
        <f>CD37+CE37+CG37-CF37-CI37</f>
        <v>0</v>
      </c>
      <c r="CK37" s="20"/>
      <c r="CL37" s="20">
        <f t="shared" si="75"/>
        <v>0</v>
      </c>
      <c r="CM37" s="20"/>
      <c r="CN37" s="20">
        <v>15</v>
      </c>
      <c r="CO37" s="49"/>
    </row>
    <row r="38" spans="1:93" ht="17.149999999999999" customHeight="1" x14ac:dyDescent="0.25">
      <c r="A38" s="6" t="s">
        <v>18</v>
      </c>
      <c r="B38" s="7" t="s">
        <v>30</v>
      </c>
      <c r="C38" s="20">
        <v>1928</v>
      </c>
      <c r="D38" s="26">
        <v>6993.0069930069931</v>
      </c>
      <c r="E38" s="8">
        <v>100</v>
      </c>
      <c r="F38" s="19">
        <f>'24-25'!CI29</f>
        <v>19</v>
      </c>
      <c r="G38" s="20">
        <v>0</v>
      </c>
      <c r="H38" s="20">
        <v>4</v>
      </c>
      <c r="I38" s="20"/>
      <c r="J38" s="20">
        <f>F38+G38+I38-H38</f>
        <v>15</v>
      </c>
      <c r="K38" s="20"/>
      <c r="L38" s="20"/>
      <c r="M38" s="19">
        <f>J38</f>
        <v>15</v>
      </c>
      <c r="N38" s="20">
        <v>0</v>
      </c>
      <c r="O38" s="20">
        <f>15-10</f>
        <v>5</v>
      </c>
      <c r="P38" s="20">
        <v>0</v>
      </c>
      <c r="Q38" s="20">
        <f>M38+N38+P38-O38</f>
        <v>10</v>
      </c>
      <c r="R38" s="20"/>
      <c r="S38" s="19">
        <f>Q38</f>
        <v>10</v>
      </c>
      <c r="T38" s="20"/>
      <c r="U38" s="20">
        <v>10</v>
      </c>
      <c r="V38" s="20">
        <v>0</v>
      </c>
      <c r="W38" s="20">
        <f>S38+T38+V38-U38</f>
        <v>0</v>
      </c>
      <c r="X38" s="20">
        <v>15</v>
      </c>
      <c r="Y38" s="19">
        <f>W38</f>
        <v>0</v>
      </c>
      <c r="Z38" s="20">
        <v>0</v>
      </c>
      <c r="AA38" s="20">
        <v>0</v>
      </c>
      <c r="AB38" s="20">
        <v>0</v>
      </c>
      <c r="AC38" s="20">
        <f>AA38-AB38</f>
        <v>0</v>
      </c>
      <c r="AD38" s="20">
        <f>Y38+Z38+AB38-AA38</f>
        <v>0</v>
      </c>
      <c r="AE38" s="20">
        <v>15</v>
      </c>
      <c r="AF38" s="20">
        <f>+AE38-AC38</f>
        <v>15</v>
      </c>
      <c r="AG38" s="19">
        <f>+AD38</f>
        <v>0</v>
      </c>
      <c r="AH38" s="20">
        <v>14</v>
      </c>
      <c r="AI38" s="20">
        <v>9</v>
      </c>
      <c r="AJ38" s="20"/>
      <c r="AK38" s="20">
        <f>AI38-AJ38</f>
        <v>9</v>
      </c>
      <c r="AL38" s="20">
        <f>AG38+AH38+AJ38-AI38</f>
        <v>5</v>
      </c>
      <c r="AM38" s="20"/>
      <c r="AN38" s="20"/>
      <c r="AO38" s="19">
        <f>+AL38</f>
        <v>5</v>
      </c>
      <c r="AP38" s="20">
        <v>0</v>
      </c>
      <c r="AQ38" s="20">
        <v>0</v>
      </c>
      <c r="AR38" s="20">
        <v>0</v>
      </c>
      <c r="AS38" s="20">
        <f>AQ38-AR38</f>
        <v>0</v>
      </c>
      <c r="AT38" s="20">
        <f>AO38+AP38+AR38-AQ38</f>
        <v>5</v>
      </c>
      <c r="AU38" s="20"/>
      <c r="AV38" s="20"/>
      <c r="AW38" s="20"/>
      <c r="AX38" s="19">
        <f>+AT38</f>
        <v>5</v>
      </c>
      <c r="AY38" s="20">
        <v>13</v>
      </c>
      <c r="AZ38" s="20">
        <v>2</v>
      </c>
      <c r="BA38" s="20">
        <v>0</v>
      </c>
      <c r="BB38" s="20">
        <f>AZ38-BA38</f>
        <v>2</v>
      </c>
      <c r="BC38" s="20">
        <f>AX38+AY38+BA38-AZ38</f>
        <v>16</v>
      </c>
      <c r="BD38" s="20"/>
      <c r="BE38" s="19">
        <f>+BC38</f>
        <v>16</v>
      </c>
      <c r="BF38" s="20">
        <v>0</v>
      </c>
      <c r="BG38" s="20">
        <v>4</v>
      </c>
      <c r="BH38" s="20">
        <v>0</v>
      </c>
      <c r="BI38" s="20">
        <f>+BG38-BH38</f>
        <v>4</v>
      </c>
      <c r="BJ38" s="20"/>
      <c r="BK38" s="20">
        <f>BE38+BF38+BH38-BG38-BJ38</f>
        <v>12</v>
      </c>
      <c r="BL38" s="20">
        <v>0</v>
      </c>
      <c r="BM38" s="19">
        <f>+BK38+BJ38</f>
        <v>12</v>
      </c>
      <c r="BN38" s="20">
        <v>0</v>
      </c>
      <c r="BO38" s="20">
        <v>5</v>
      </c>
      <c r="BP38" s="20">
        <v>0</v>
      </c>
      <c r="BQ38" s="20">
        <f>BO38-BP38</f>
        <v>5</v>
      </c>
      <c r="BR38" s="20"/>
      <c r="BS38" s="20">
        <f>BM38+BN38+BP38-BO38-BR38</f>
        <v>7</v>
      </c>
      <c r="BT38" s="20">
        <v>0</v>
      </c>
      <c r="BU38" s="19">
        <f>BS38+BR38</f>
        <v>7</v>
      </c>
      <c r="BV38" s="20">
        <v>0</v>
      </c>
      <c r="BW38" s="20">
        <v>3</v>
      </c>
      <c r="BX38" s="20">
        <v>0</v>
      </c>
      <c r="BY38" s="20">
        <f>BW38-BX38</f>
        <v>3</v>
      </c>
      <c r="BZ38" s="20"/>
      <c r="CA38" s="20">
        <f>BU38+BV38+BX38-BW38-BZ38</f>
        <v>4</v>
      </c>
      <c r="CB38" s="20"/>
      <c r="CC38" s="20"/>
      <c r="CD38" s="19">
        <v>4</v>
      </c>
      <c r="CE38" s="20">
        <v>0</v>
      </c>
      <c r="CF38" s="20">
        <f>_xlfn.XLOOKUP(B38,[2]Sheet1!$A$4:$A$38,[2]Sheet1!$B$4:$B$38)</f>
        <v>2</v>
      </c>
      <c r="CG38" s="20">
        <v>0</v>
      </c>
      <c r="CH38" s="20">
        <f>CF38-CG38</f>
        <v>2</v>
      </c>
      <c r="CI38" s="20"/>
      <c r="CJ38" s="20">
        <f>CD38+CE38+CG38-CF38-CI38</f>
        <v>2</v>
      </c>
      <c r="CK38" s="20"/>
      <c r="CL38" s="20">
        <f t="shared" si="75"/>
        <v>2</v>
      </c>
      <c r="CM38" s="20"/>
      <c r="CN38" s="20">
        <v>15</v>
      </c>
      <c r="CO38" s="49"/>
    </row>
    <row r="39" spans="1:93" ht="17.149999999999999" customHeight="1" x14ac:dyDescent="0.25">
      <c r="A39" s="6" t="s">
        <v>18</v>
      </c>
      <c r="B39" s="7" t="s">
        <v>31</v>
      </c>
      <c r="C39" s="20">
        <v>1928</v>
      </c>
      <c r="D39" s="26">
        <v>6993.0069930069931</v>
      </c>
      <c r="E39" s="8">
        <v>100</v>
      </c>
      <c r="F39" s="19">
        <f>'24-25'!CI30</f>
        <v>16.71</v>
      </c>
      <c r="G39" s="20">
        <v>0</v>
      </c>
      <c r="H39" s="20">
        <v>3</v>
      </c>
      <c r="I39" s="20"/>
      <c r="J39" s="20">
        <f>F39+G39+I39-H39</f>
        <v>13.71</v>
      </c>
      <c r="K39" s="20"/>
      <c r="L39" s="20"/>
      <c r="M39" s="19">
        <f>J39</f>
        <v>13.71</v>
      </c>
      <c r="N39" s="20">
        <v>0</v>
      </c>
      <c r="O39" s="20">
        <f>13-8</f>
        <v>5</v>
      </c>
      <c r="P39" s="20">
        <v>0</v>
      </c>
      <c r="Q39" s="20">
        <f>M39+N39+P39-O39</f>
        <v>8.7100000000000009</v>
      </c>
      <c r="R39" s="20"/>
      <c r="S39" s="19">
        <f>Q39</f>
        <v>8.7100000000000009</v>
      </c>
      <c r="T39" s="20"/>
      <c r="U39" s="20">
        <v>8</v>
      </c>
      <c r="V39" s="20">
        <v>0</v>
      </c>
      <c r="W39" s="20">
        <f>S39+T39+V39-U39</f>
        <v>0.71000000000000085</v>
      </c>
      <c r="X39" s="20">
        <v>15</v>
      </c>
      <c r="Y39" s="19">
        <f>W39</f>
        <v>0.71000000000000085</v>
      </c>
      <c r="Z39" s="20">
        <v>0</v>
      </c>
      <c r="AA39" s="20">
        <v>0</v>
      </c>
      <c r="AB39" s="20">
        <v>0</v>
      </c>
      <c r="AC39" s="20">
        <f>AA39-AB39</f>
        <v>0</v>
      </c>
      <c r="AD39" s="20">
        <f>Y39+Z39+AB39-AA39</f>
        <v>0.71000000000000085</v>
      </c>
      <c r="AE39" s="20">
        <v>15</v>
      </c>
      <c r="AF39" s="20">
        <f>+AE39-AC39</f>
        <v>15</v>
      </c>
      <c r="AG39" s="19">
        <f>+AD39</f>
        <v>0.71000000000000085</v>
      </c>
      <c r="AH39" s="20">
        <v>14</v>
      </c>
      <c r="AI39" s="20">
        <v>9</v>
      </c>
      <c r="AJ39" s="20"/>
      <c r="AK39" s="20">
        <f>AI39-AJ39</f>
        <v>9</v>
      </c>
      <c r="AL39" s="20">
        <f>AG39+AH39+AJ39-AI39</f>
        <v>5.7100000000000009</v>
      </c>
      <c r="AM39" s="20"/>
      <c r="AN39" s="20"/>
      <c r="AO39" s="19">
        <f>+AL39</f>
        <v>5.7100000000000009</v>
      </c>
      <c r="AP39" s="20">
        <v>0</v>
      </c>
      <c r="AQ39" s="20">
        <v>0</v>
      </c>
      <c r="AR39" s="20">
        <v>0</v>
      </c>
      <c r="AS39" s="20">
        <f>AQ39-AR39</f>
        <v>0</v>
      </c>
      <c r="AT39" s="20">
        <f>AO39+AP39+AR39-AQ39</f>
        <v>5.7100000000000009</v>
      </c>
      <c r="AU39" s="20"/>
      <c r="AV39" s="20"/>
      <c r="AW39" s="20"/>
      <c r="AX39" s="19">
        <f>+AT39</f>
        <v>5.7100000000000009</v>
      </c>
      <c r="AY39" s="20">
        <v>14</v>
      </c>
      <c r="AZ39" s="20">
        <v>3.01</v>
      </c>
      <c r="BA39" s="20">
        <v>0</v>
      </c>
      <c r="BB39" s="20">
        <f>AZ39-BA39</f>
        <v>3.01</v>
      </c>
      <c r="BC39" s="20">
        <f>AX39+AY39+BA39-AZ39</f>
        <v>16.700000000000003</v>
      </c>
      <c r="BD39" s="20"/>
      <c r="BE39" s="19">
        <f>+BC39</f>
        <v>16.700000000000003</v>
      </c>
      <c r="BF39" s="20">
        <v>0</v>
      </c>
      <c r="BG39" s="20">
        <v>4</v>
      </c>
      <c r="BH39" s="20">
        <v>0</v>
      </c>
      <c r="BI39" s="20">
        <f>+BG39-BH39</f>
        <v>4</v>
      </c>
      <c r="BJ39" s="20"/>
      <c r="BK39" s="20">
        <f>BE39+BF39+BH39-BG39-BJ39</f>
        <v>12.700000000000003</v>
      </c>
      <c r="BL39" s="20">
        <v>0</v>
      </c>
      <c r="BM39" s="19">
        <f>+BK39+BJ39</f>
        <v>12.700000000000003</v>
      </c>
      <c r="BN39" s="20">
        <v>0</v>
      </c>
      <c r="BO39" s="20">
        <v>5</v>
      </c>
      <c r="BP39" s="20">
        <v>0</v>
      </c>
      <c r="BQ39" s="20">
        <f>BO39-BP39</f>
        <v>5</v>
      </c>
      <c r="BR39" s="20"/>
      <c r="BS39" s="20">
        <f>BM39+BN39+BP39-BO39-BR39</f>
        <v>7.7000000000000028</v>
      </c>
      <c r="BT39" s="20">
        <v>0</v>
      </c>
      <c r="BU39" s="19">
        <f>BS39+BR39</f>
        <v>7.7000000000000028</v>
      </c>
      <c r="BV39" s="20">
        <v>0</v>
      </c>
      <c r="BW39" s="20">
        <v>4</v>
      </c>
      <c r="BX39" s="20">
        <v>0</v>
      </c>
      <c r="BY39" s="20">
        <f>BW39-BX39</f>
        <v>4</v>
      </c>
      <c r="BZ39" s="20"/>
      <c r="CA39" s="20">
        <f>BU39+BV39+BX39-BW39-BZ39</f>
        <v>3.7000000000000028</v>
      </c>
      <c r="CB39" s="20"/>
      <c r="CC39" s="20"/>
      <c r="CD39" s="19">
        <v>3.7000000000000028</v>
      </c>
      <c r="CE39" s="20">
        <v>0</v>
      </c>
      <c r="CF39" s="20">
        <f>_xlfn.XLOOKUP(B39,[2]Sheet1!$A$4:$A$38,[2]Sheet1!$B$4:$B$38)</f>
        <v>3</v>
      </c>
      <c r="CG39" s="20">
        <v>0</v>
      </c>
      <c r="CH39" s="20">
        <f>CF39-CG39</f>
        <v>3</v>
      </c>
      <c r="CI39" s="20"/>
      <c r="CJ39" s="20">
        <f>CD39+CE39+CG39-CF39-CI39</f>
        <v>0.70000000000000284</v>
      </c>
      <c r="CK39" s="20"/>
      <c r="CL39" s="20">
        <f t="shared" si="75"/>
        <v>0.70000000000000284</v>
      </c>
      <c r="CM39" s="20"/>
      <c r="CN39" s="20">
        <v>15</v>
      </c>
      <c r="CO39" s="49"/>
    </row>
    <row r="40" spans="1:93" ht="17.149999999999999" customHeight="1" x14ac:dyDescent="0.25">
      <c r="A40" s="9"/>
      <c r="B40" s="10" t="s">
        <v>39</v>
      </c>
      <c r="C40" s="21"/>
      <c r="D40" s="10"/>
      <c r="E40" s="11"/>
      <c r="F40" s="21">
        <f t="shared" ref="F40:AK40" si="76">SUM(F35:F39)</f>
        <v>59.4</v>
      </c>
      <c r="G40" s="21">
        <f t="shared" si="76"/>
        <v>0</v>
      </c>
      <c r="H40" s="21">
        <f t="shared" si="76"/>
        <v>7</v>
      </c>
      <c r="I40" s="21">
        <f t="shared" si="76"/>
        <v>0</v>
      </c>
      <c r="J40" s="21">
        <f t="shared" si="76"/>
        <v>52.4</v>
      </c>
      <c r="K40" s="21">
        <f t="shared" si="76"/>
        <v>0</v>
      </c>
      <c r="L40" s="21">
        <f t="shared" si="76"/>
        <v>0</v>
      </c>
      <c r="M40" s="21">
        <f t="shared" si="76"/>
        <v>52.4</v>
      </c>
      <c r="N40" s="21">
        <f t="shared" si="76"/>
        <v>0</v>
      </c>
      <c r="O40" s="21">
        <f t="shared" si="76"/>
        <v>10</v>
      </c>
      <c r="P40" s="21">
        <f t="shared" si="76"/>
        <v>0</v>
      </c>
      <c r="Q40" s="21">
        <f t="shared" si="76"/>
        <v>42.4</v>
      </c>
      <c r="R40" s="21">
        <f t="shared" si="76"/>
        <v>0</v>
      </c>
      <c r="S40" s="21">
        <f t="shared" si="76"/>
        <v>42.4</v>
      </c>
      <c r="T40" s="21">
        <f t="shared" si="76"/>
        <v>0</v>
      </c>
      <c r="U40" s="21">
        <f t="shared" si="76"/>
        <v>18</v>
      </c>
      <c r="V40" s="21">
        <f t="shared" si="76"/>
        <v>0</v>
      </c>
      <c r="W40" s="21">
        <f t="shared" si="76"/>
        <v>24.400000000000002</v>
      </c>
      <c r="X40" s="21">
        <f t="shared" si="76"/>
        <v>45</v>
      </c>
      <c r="Y40" s="21">
        <f t="shared" si="76"/>
        <v>24.400000000000002</v>
      </c>
      <c r="Z40" s="21">
        <f t="shared" si="76"/>
        <v>0</v>
      </c>
      <c r="AA40" s="21">
        <f t="shared" si="76"/>
        <v>0</v>
      </c>
      <c r="AB40" s="21">
        <f t="shared" si="76"/>
        <v>0</v>
      </c>
      <c r="AC40" s="21">
        <f t="shared" si="76"/>
        <v>0</v>
      </c>
      <c r="AD40" s="21">
        <f t="shared" si="76"/>
        <v>24.400000000000002</v>
      </c>
      <c r="AE40" s="21">
        <f t="shared" si="76"/>
        <v>45</v>
      </c>
      <c r="AF40" s="21">
        <f t="shared" si="76"/>
        <v>45</v>
      </c>
      <c r="AG40" s="21">
        <f t="shared" si="76"/>
        <v>24.400000000000002</v>
      </c>
      <c r="AH40" s="21">
        <f t="shared" si="76"/>
        <v>42</v>
      </c>
      <c r="AI40" s="21">
        <f t="shared" si="76"/>
        <v>28</v>
      </c>
      <c r="AJ40" s="21">
        <f t="shared" si="76"/>
        <v>0</v>
      </c>
      <c r="AK40" s="21">
        <f t="shared" si="76"/>
        <v>28</v>
      </c>
      <c r="AL40" s="21">
        <f t="shared" ref="AL40:BQ40" si="77">SUM(AL35:AL39)</f>
        <v>38.4</v>
      </c>
      <c r="AM40" s="21">
        <f t="shared" si="77"/>
        <v>0</v>
      </c>
      <c r="AN40" s="21">
        <f t="shared" si="77"/>
        <v>0</v>
      </c>
      <c r="AO40" s="21">
        <f t="shared" si="77"/>
        <v>38.4</v>
      </c>
      <c r="AP40" s="21">
        <f t="shared" si="77"/>
        <v>0</v>
      </c>
      <c r="AQ40" s="21">
        <f t="shared" si="77"/>
        <v>0</v>
      </c>
      <c r="AR40" s="21">
        <f t="shared" si="77"/>
        <v>0</v>
      </c>
      <c r="AS40" s="21">
        <f t="shared" si="77"/>
        <v>0</v>
      </c>
      <c r="AT40" s="21">
        <f t="shared" si="77"/>
        <v>38.4</v>
      </c>
      <c r="AU40" s="21">
        <f t="shared" si="77"/>
        <v>0</v>
      </c>
      <c r="AV40" s="21">
        <f t="shared" si="77"/>
        <v>0</v>
      </c>
      <c r="AW40" s="21">
        <f t="shared" si="77"/>
        <v>0</v>
      </c>
      <c r="AX40" s="21">
        <f t="shared" si="77"/>
        <v>38.4</v>
      </c>
      <c r="AY40" s="21">
        <f t="shared" si="77"/>
        <v>41</v>
      </c>
      <c r="AZ40" s="21">
        <f t="shared" si="77"/>
        <v>7.01</v>
      </c>
      <c r="BA40" s="21">
        <f t="shared" si="77"/>
        <v>0</v>
      </c>
      <c r="BB40" s="21">
        <f t="shared" si="77"/>
        <v>7.01</v>
      </c>
      <c r="BC40" s="21">
        <f t="shared" si="77"/>
        <v>72.39</v>
      </c>
      <c r="BD40" s="21">
        <f t="shared" si="77"/>
        <v>0</v>
      </c>
      <c r="BE40" s="21">
        <f t="shared" si="77"/>
        <v>72.39</v>
      </c>
      <c r="BF40" s="21">
        <f t="shared" si="77"/>
        <v>0</v>
      </c>
      <c r="BG40" s="21">
        <f t="shared" si="77"/>
        <v>14</v>
      </c>
      <c r="BH40" s="21">
        <f t="shared" si="77"/>
        <v>0</v>
      </c>
      <c r="BI40" s="21">
        <f t="shared" si="77"/>
        <v>14</v>
      </c>
      <c r="BJ40" s="21">
        <f t="shared" si="77"/>
        <v>0</v>
      </c>
      <c r="BK40" s="21">
        <f t="shared" si="77"/>
        <v>58.39</v>
      </c>
      <c r="BL40" s="21">
        <f t="shared" si="77"/>
        <v>0</v>
      </c>
      <c r="BM40" s="21">
        <f t="shared" si="77"/>
        <v>58.39</v>
      </c>
      <c r="BN40" s="21">
        <f t="shared" si="77"/>
        <v>0</v>
      </c>
      <c r="BO40" s="21">
        <f t="shared" si="77"/>
        <v>13</v>
      </c>
      <c r="BP40" s="21">
        <f t="shared" si="77"/>
        <v>0</v>
      </c>
      <c r="BQ40" s="21">
        <f t="shared" si="77"/>
        <v>13</v>
      </c>
      <c r="BR40" s="21">
        <f t="shared" ref="BR40:BV40" si="78">SUM(BR35:BR39)</f>
        <v>0</v>
      </c>
      <c r="BS40" s="21">
        <f t="shared" si="78"/>
        <v>45.39</v>
      </c>
      <c r="BT40" s="21">
        <f t="shared" si="78"/>
        <v>0</v>
      </c>
      <c r="BU40" s="21">
        <f t="shared" si="78"/>
        <v>45.39</v>
      </c>
      <c r="BV40" s="21">
        <f t="shared" si="78"/>
        <v>0</v>
      </c>
      <c r="BW40" s="21">
        <v>10</v>
      </c>
      <c r="BX40" s="21">
        <v>0</v>
      </c>
      <c r="BY40" s="21">
        <f>SUM(BY35:BY39)</f>
        <v>10</v>
      </c>
      <c r="BZ40" s="21">
        <f>SUM(BZ35:BZ39)</f>
        <v>0</v>
      </c>
      <c r="CA40" s="21">
        <f>SUM(CA35:CA39)</f>
        <v>35.39</v>
      </c>
      <c r="CB40" s="21">
        <f t="shared" ref="CB40:CN40" si="79">SUM(CB35:CB39)</f>
        <v>0</v>
      </c>
      <c r="CC40" s="21">
        <f t="shared" si="79"/>
        <v>0</v>
      </c>
      <c r="CD40" s="21">
        <f t="shared" si="79"/>
        <v>35.39</v>
      </c>
      <c r="CE40" s="21">
        <f t="shared" si="79"/>
        <v>0</v>
      </c>
      <c r="CF40" s="21">
        <f t="shared" ref="CF40" si="80">SUM(CF35:CF39)</f>
        <v>6</v>
      </c>
      <c r="CG40" s="21">
        <f t="shared" ref="CG40" si="81">SUM(CG35:CG39)</f>
        <v>0</v>
      </c>
      <c r="CH40" s="21">
        <f t="shared" ref="CH40" si="82">SUM(CH35:CH39)</f>
        <v>6</v>
      </c>
      <c r="CI40" s="21">
        <f t="shared" ref="CI40" si="83">SUM(CI35:CI39)</f>
        <v>0</v>
      </c>
      <c r="CJ40" s="21">
        <f t="shared" si="79"/>
        <v>29.390000000000004</v>
      </c>
      <c r="CK40" s="21">
        <f t="shared" si="79"/>
        <v>0</v>
      </c>
      <c r="CL40" s="21">
        <f t="shared" si="79"/>
        <v>29.390000000000004</v>
      </c>
      <c r="CM40" s="21"/>
      <c r="CN40" s="21">
        <f t="shared" ref="CN40" si="84">SUM(CN35:CN39)</f>
        <v>75</v>
      </c>
      <c r="CO40" s="49"/>
    </row>
    <row r="41" spans="1:93" ht="17.149999999999999" customHeight="1" x14ac:dyDescent="0.25">
      <c r="A41" s="6" t="s">
        <v>19</v>
      </c>
      <c r="B41" s="7" t="s">
        <v>20</v>
      </c>
      <c r="C41" s="20">
        <v>2454</v>
      </c>
      <c r="D41" s="26">
        <v>7614.6076146076139</v>
      </c>
      <c r="E41" s="8">
        <v>20</v>
      </c>
      <c r="F41" s="19">
        <f>'24-25'!CI32</f>
        <v>38.4</v>
      </c>
      <c r="G41" s="20">
        <v>0</v>
      </c>
      <c r="H41" s="20">
        <v>20</v>
      </c>
      <c r="I41" s="20"/>
      <c r="J41" s="20">
        <f>F41+G41+I41-H41</f>
        <v>18.399999999999999</v>
      </c>
      <c r="K41" s="20"/>
      <c r="L41" s="20"/>
      <c r="M41" s="19">
        <f>J41</f>
        <v>18.399999999999999</v>
      </c>
      <c r="N41" s="20">
        <v>25</v>
      </c>
      <c r="O41" s="20">
        <v>13.95</v>
      </c>
      <c r="P41" s="20">
        <v>3.95</v>
      </c>
      <c r="Q41" s="20">
        <f>M41+N41+P41-O41</f>
        <v>33.400000000000006</v>
      </c>
      <c r="R41" s="20"/>
      <c r="S41" s="19">
        <f>Q41</f>
        <v>33.400000000000006</v>
      </c>
      <c r="T41" s="20"/>
      <c r="U41" s="20">
        <v>2.0500000000000043</v>
      </c>
      <c r="V41" s="20">
        <v>2.0499999999999998</v>
      </c>
      <c r="W41" s="20">
        <f>S41+T41+V41-U41</f>
        <v>33.4</v>
      </c>
      <c r="X41" s="20"/>
      <c r="Y41" s="19">
        <f>W41</f>
        <v>33.4</v>
      </c>
      <c r="Z41" s="20">
        <v>0</v>
      </c>
      <c r="AA41" s="20">
        <v>9</v>
      </c>
      <c r="AB41" s="20">
        <v>0</v>
      </c>
      <c r="AC41" s="20">
        <f>AA41-AB41</f>
        <v>9</v>
      </c>
      <c r="AD41" s="20">
        <f>Y41+Z41+AB41-AA41</f>
        <v>24.4</v>
      </c>
      <c r="AE41" s="20">
        <v>0</v>
      </c>
      <c r="AF41" s="20">
        <f>+AE41-AC41</f>
        <v>-9</v>
      </c>
      <c r="AG41" s="19">
        <f>+AD41</f>
        <v>24.4</v>
      </c>
      <c r="AH41" s="20">
        <v>0</v>
      </c>
      <c r="AI41" s="20">
        <v>8</v>
      </c>
      <c r="AJ41" s="20"/>
      <c r="AK41" s="20">
        <f>AI41-AJ41</f>
        <v>8</v>
      </c>
      <c r="AL41" s="20">
        <f>AG41+AH41+AJ41-AI41</f>
        <v>16.399999999999999</v>
      </c>
      <c r="AM41" s="20"/>
      <c r="AN41" s="20"/>
      <c r="AO41" s="19">
        <f>+AL41</f>
        <v>16.399999999999999</v>
      </c>
      <c r="AP41" s="20">
        <v>0</v>
      </c>
      <c r="AQ41" s="20">
        <v>0</v>
      </c>
      <c r="AR41" s="20">
        <v>0</v>
      </c>
      <c r="AS41" s="20">
        <f>AQ41-AR41</f>
        <v>0</v>
      </c>
      <c r="AT41" s="20">
        <f>AO41+AP41+AR41-AQ41</f>
        <v>16.399999999999999</v>
      </c>
      <c r="AU41" s="20"/>
      <c r="AV41" s="20"/>
      <c r="AW41" s="20"/>
      <c r="AX41" s="19">
        <f>+AT41</f>
        <v>16.399999999999999</v>
      </c>
      <c r="AY41" s="20">
        <v>0</v>
      </c>
      <c r="AZ41" s="20">
        <v>1</v>
      </c>
      <c r="BA41" s="20">
        <v>0</v>
      </c>
      <c r="BB41" s="20">
        <f>AZ41-BA41</f>
        <v>1</v>
      </c>
      <c r="BC41" s="20">
        <f>AX41+AY41+BA41-AZ41</f>
        <v>15.399999999999999</v>
      </c>
      <c r="BD41" s="20"/>
      <c r="BE41" s="19">
        <f>+BC41</f>
        <v>15.399999999999999</v>
      </c>
      <c r="BF41" s="20">
        <v>0</v>
      </c>
      <c r="BG41" s="20">
        <v>4</v>
      </c>
      <c r="BH41" s="20">
        <v>3</v>
      </c>
      <c r="BI41" s="20">
        <f>+BG41-BH41</f>
        <v>1</v>
      </c>
      <c r="BJ41" s="20"/>
      <c r="BK41" s="20">
        <f>BE41+BF41+BH41-BG41-BJ41</f>
        <v>14.399999999999999</v>
      </c>
      <c r="BL41" s="20">
        <v>0</v>
      </c>
      <c r="BM41" s="19">
        <f>+BK41+BJ41</f>
        <v>14.399999999999999</v>
      </c>
      <c r="BN41" s="20">
        <v>0</v>
      </c>
      <c r="BO41" s="20">
        <v>5</v>
      </c>
      <c r="BP41" s="20">
        <v>0</v>
      </c>
      <c r="BQ41" s="20">
        <f>BO41-BP41</f>
        <v>5</v>
      </c>
      <c r="BR41" s="20"/>
      <c r="BS41" s="20">
        <f>BM41+BN41+BP41-BO41-BR41</f>
        <v>9.3999999999999986</v>
      </c>
      <c r="BT41" s="20">
        <v>0</v>
      </c>
      <c r="BU41" s="19">
        <f>BS41+BR41</f>
        <v>9.3999999999999986</v>
      </c>
      <c r="BV41" s="20">
        <v>0</v>
      </c>
      <c r="BW41" s="20">
        <v>0</v>
      </c>
      <c r="BX41" s="20">
        <v>2.4500000000000002</v>
      </c>
      <c r="BY41" s="20">
        <f>BW41-BX41</f>
        <v>-2.4500000000000002</v>
      </c>
      <c r="BZ41" s="20"/>
      <c r="CA41" s="20">
        <f>BU41+BV41+BX41-BW41-BZ41</f>
        <v>11.849999999999998</v>
      </c>
      <c r="CB41" s="20"/>
      <c r="CC41" s="20"/>
      <c r="CD41" s="19">
        <v>11.849999999999998</v>
      </c>
      <c r="CE41" s="20">
        <f>_xlfn.XLOOKUP(B41,[4]Sheet2!$A$5:$A$25,[4]Sheet2!$B$5:$B$25)</f>
        <v>20</v>
      </c>
      <c r="CF41" s="20">
        <f>_xlfn.XLOOKUP(B41,[2]Sheet1!$A$4:$A$38,[2]Sheet1!$B$4:$B$38)</f>
        <v>16</v>
      </c>
      <c r="CG41" s="20">
        <v>0</v>
      </c>
      <c r="CH41" s="20">
        <f>CF41-CG41</f>
        <v>16</v>
      </c>
      <c r="CI41" s="20"/>
      <c r="CJ41" s="20">
        <f>CD41+CE41+CG41-CF41-CI41</f>
        <v>15.849999999999998</v>
      </c>
      <c r="CK41" s="20"/>
      <c r="CL41" s="20">
        <f t="shared" ref="CL41:CL42" si="85">CK41+CJ41</f>
        <v>15.849999999999998</v>
      </c>
      <c r="CM41" s="20"/>
      <c r="CN41" s="20"/>
      <c r="CO41" s="49"/>
    </row>
    <row r="42" spans="1:93" ht="17.149999999999999" customHeight="1" x14ac:dyDescent="0.25">
      <c r="A42" s="6" t="s">
        <v>19</v>
      </c>
      <c r="B42" s="7" t="s">
        <v>21</v>
      </c>
      <c r="C42" s="20">
        <v>1618</v>
      </c>
      <c r="D42" s="26">
        <v>5633.2556332556333</v>
      </c>
      <c r="E42" s="8">
        <v>50</v>
      </c>
      <c r="F42" s="19">
        <f>'24-25'!CI33</f>
        <v>61.080000000000005</v>
      </c>
      <c r="G42" s="20">
        <v>0</v>
      </c>
      <c r="H42" s="20">
        <v>1</v>
      </c>
      <c r="I42" s="20"/>
      <c r="J42" s="20">
        <f>F42+G42+I42-H42</f>
        <v>60.080000000000005</v>
      </c>
      <c r="K42" s="20"/>
      <c r="L42" s="20"/>
      <c r="M42" s="19">
        <f>J42</f>
        <v>60.080000000000005</v>
      </c>
      <c r="N42" s="20">
        <v>0</v>
      </c>
      <c r="O42" s="20">
        <v>0.56000000000000005</v>
      </c>
      <c r="P42" s="20">
        <v>0.56000000000000005</v>
      </c>
      <c r="Q42" s="20">
        <f>M42+N42+P42-O42</f>
        <v>60.080000000000005</v>
      </c>
      <c r="R42" s="20"/>
      <c r="S42" s="19">
        <f>Q42</f>
        <v>60.080000000000005</v>
      </c>
      <c r="T42" s="20"/>
      <c r="U42" s="20">
        <v>0</v>
      </c>
      <c r="V42" s="20">
        <v>0</v>
      </c>
      <c r="W42" s="20">
        <f>S42+T42+V42-U42</f>
        <v>60.080000000000005</v>
      </c>
      <c r="X42" s="20"/>
      <c r="Y42" s="19">
        <f>W42</f>
        <v>60.080000000000005</v>
      </c>
      <c r="Z42" s="20">
        <v>0</v>
      </c>
      <c r="AA42" s="20">
        <v>0</v>
      </c>
      <c r="AB42" s="20">
        <v>0</v>
      </c>
      <c r="AC42" s="20">
        <f>AA42-AB42</f>
        <v>0</v>
      </c>
      <c r="AD42" s="20">
        <f>Y42+Z42+AB42-AA42</f>
        <v>60.080000000000005</v>
      </c>
      <c r="AE42" s="20">
        <v>0</v>
      </c>
      <c r="AF42" s="20">
        <f>+AE42-AC42</f>
        <v>0</v>
      </c>
      <c r="AG42" s="19">
        <f>+AD42</f>
        <v>60.080000000000005</v>
      </c>
      <c r="AH42" s="20">
        <v>0</v>
      </c>
      <c r="AI42" s="20">
        <v>0</v>
      </c>
      <c r="AJ42" s="20"/>
      <c r="AK42" s="20">
        <f>AI42-AJ42</f>
        <v>0</v>
      </c>
      <c r="AL42" s="20">
        <f>AG42+AH42+AJ42-AI42</f>
        <v>60.080000000000005</v>
      </c>
      <c r="AM42" s="20"/>
      <c r="AN42" s="20"/>
      <c r="AO42" s="19">
        <f>+AL42</f>
        <v>60.080000000000005</v>
      </c>
      <c r="AP42" s="20">
        <v>0</v>
      </c>
      <c r="AQ42" s="20">
        <v>0</v>
      </c>
      <c r="AR42" s="20">
        <v>0</v>
      </c>
      <c r="AS42" s="20">
        <f>AQ42-AR42</f>
        <v>0</v>
      </c>
      <c r="AT42" s="20">
        <f>AO42+AP42+AR42-AQ42</f>
        <v>60.080000000000005</v>
      </c>
      <c r="AU42" s="20"/>
      <c r="AV42" s="20"/>
      <c r="AW42" s="20"/>
      <c r="AX42" s="19">
        <f>+AT42</f>
        <v>60.080000000000005</v>
      </c>
      <c r="AY42" s="20">
        <v>0</v>
      </c>
      <c r="AZ42" s="20">
        <v>0</v>
      </c>
      <c r="BA42" s="20">
        <v>0</v>
      </c>
      <c r="BB42" s="20">
        <f>AZ42-BA42</f>
        <v>0</v>
      </c>
      <c r="BC42" s="20">
        <f>AX42+AY42+BA42-AZ42</f>
        <v>60.080000000000005</v>
      </c>
      <c r="BD42" s="20"/>
      <c r="BE42" s="19">
        <f>+BC42</f>
        <v>60.080000000000005</v>
      </c>
      <c r="BF42" s="20">
        <v>0</v>
      </c>
      <c r="BG42" s="20">
        <v>0</v>
      </c>
      <c r="BH42" s="20">
        <v>0</v>
      </c>
      <c r="BI42" s="20">
        <f>+BG42-BH42</f>
        <v>0</v>
      </c>
      <c r="BJ42" s="20"/>
      <c r="BK42" s="20">
        <f>BE42+BF42+BH42-BG42-BJ42</f>
        <v>60.080000000000005</v>
      </c>
      <c r="BL42" s="20">
        <v>0</v>
      </c>
      <c r="BM42" s="19">
        <f>+BK42+BJ42</f>
        <v>60.080000000000005</v>
      </c>
      <c r="BN42" s="20">
        <v>0</v>
      </c>
      <c r="BO42" s="20">
        <v>0</v>
      </c>
      <c r="BP42" s="20">
        <v>0</v>
      </c>
      <c r="BQ42" s="20">
        <f>BO42-BP42</f>
        <v>0</v>
      </c>
      <c r="BR42" s="20"/>
      <c r="BS42" s="20">
        <f>BM42+BN42+BP42-BO42-BR42</f>
        <v>60.080000000000005</v>
      </c>
      <c r="BT42" s="20">
        <v>0</v>
      </c>
      <c r="BU42" s="19">
        <f>BS42+BR42</f>
        <v>60.080000000000005</v>
      </c>
      <c r="BV42" s="20">
        <v>0</v>
      </c>
      <c r="BW42" s="20">
        <v>0</v>
      </c>
      <c r="BX42" s="20">
        <v>1.76</v>
      </c>
      <c r="BY42" s="20">
        <f>BW42-BX42</f>
        <v>-1.76</v>
      </c>
      <c r="BZ42" s="20"/>
      <c r="CA42" s="20">
        <f>BU42+BV42+BX42-BW42-BZ42</f>
        <v>61.84</v>
      </c>
      <c r="CB42" s="20"/>
      <c r="CC42" s="20"/>
      <c r="CD42" s="19">
        <v>61.84</v>
      </c>
      <c r="CE42" s="20">
        <f>_xlfn.XLOOKUP(B42,[4]Sheet2!$A$5:$A$25,[4]Sheet2!$B$5:$B$25)</f>
        <v>10</v>
      </c>
      <c r="CF42" s="20">
        <f>_xlfn.XLOOKUP(B42,[2]Sheet1!$A$4:$A$38,[2]Sheet1!$B$4:$B$38)</f>
        <v>1</v>
      </c>
      <c r="CG42" s="20">
        <v>0</v>
      </c>
      <c r="CH42" s="20">
        <f>CF42-CG42</f>
        <v>1</v>
      </c>
      <c r="CI42" s="20"/>
      <c r="CJ42" s="20">
        <f>CD42+CE42+CG42-CF42-CI42</f>
        <v>70.84</v>
      </c>
      <c r="CK42" s="20"/>
      <c r="CL42" s="20">
        <f t="shared" si="85"/>
        <v>70.84</v>
      </c>
      <c r="CM42" s="20"/>
      <c r="CN42" s="20"/>
      <c r="CO42" s="49"/>
    </row>
    <row r="43" spans="1:93" ht="17.149999999999999" customHeight="1" x14ac:dyDescent="0.25">
      <c r="A43" s="9"/>
      <c r="B43" s="10" t="s">
        <v>40</v>
      </c>
      <c r="C43" s="21"/>
      <c r="D43" s="10"/>
      <c r="E43" s="11"/>
      <c r="F43" s="21">
        <f t="shared" ref="F43:AK43" si="86">SUM(F41:F42)</f>
        <v>99.48</v>
      </c>
      <c r="G43" s="21">
        <f t="shared" si="86"/>
        <v>0</v>
      </c>
      <c r="H43" s="21">
        <f t="shared" si="86"/>
        <v>21</v>
      </c>
      <c r="I43" s="21">
        <f t="shared" si="86"/>
        <v>0</v>
      </c>
      <c r="J43" s="21">
        <f t="shared" si="86"/>
        <v>78.48</v>
      </c>
      <c r="K43" s="21">
        <f t="shared" si="86"/>
        <v>0</v>
      </c>
      <c r="L43" s="21">
        <f t="shared" si="86"/>
        <v>0</v>
      </c>
      <c r="M43" s="21">
        <f t="shared" si="86"/>
        <v>78.48</v>
      </c>
      <c r="N43" s="21">
        <f t="shared" si="86"/>
        <v>25</v>
      </c>
      <c r="O43" s="21">
        <f t="shared" si="86"/>
        <v>14.51</v>
      </c>
      <c r="P43" s="21">
        <f t="shared" si="86"/>
        <v>4.51</v>
      </c>
      <c r="Q43" s="21">
        <f t="shared" si="86"/>
        <v>93.480000000000018</v>
      </c>
      <c r="R43" s="21">
        <f t="shared" si="86"/>
        <v>0</v>
      </c>
      <c r="S43" s="21">
        <f t="shared" si="86"/>
        <v>93.480000000000018</v>
      </c>
      <c r="T43" s="21">
        <f t="shared" si="86"/>
        <v>0</v>
      </c>
      <c r="U43" s="21">
        <f t="shared" si="86"/>
        <v>2.0500000000000043</v>
      </c>
      <c r="V43" s="21">
        <f t="shared" si="86"/>
        <v>2.0499999999999998</v>
      </c>
      <c r="W43" s="21">
        <f t="shared" si="86"/>
        <v>93.48</v>
      </c>
      <c r="X43" s="21">
        <f t="shared" si="86"/>
        <v>0</v>
      </c>
      <c r="Y43" s="21">
        <f t="shared" si="86"/>
        <v>93.48</v>
      </c>
      <c r="Z43" s="21">
        <f t="shared" si="86"/>
        <v>0</v>
      </c>
      <c r="AA43" s="21">
        <f t="shared" si="86"/>
        <v>9</v>
      </c>
      <c r="AB43" s="21">
        <f t="shared" si="86"/>
        <v>0</v>
      </c>
      <c r="AC43" s="21">
        <f t="shared" si="86"/>
        <v>9</v>
      </c>
      <c r="AD43" s="21">
        <f t="shared" si="86"/>
        <v>84.48</v>
      </c>
      <c r="AE43" s="21">
        <f t="shared" si="86"/>
        <v>0</v>
      </c>
      <c r="AF43" s="21">
        <f t="shared" si="86"/>
        <v>-9</v>
      </c>
      <c r="AG43" s="21">
        <f t="shared" si="86"/>
        <v>84.48</v>
      </c>
      <c r="AH43" s="21">
        <f t="shared" si="86"/>
        <v>0</v>
      </c>
      <c r="AI43" s="21">
        <f t="shared" si="86"/>
        <v>8</v>
      </c>
      <c r="AJ43" s="21">
        <f t="shared" si="86"/>
        <v>0</v>
      </c>
      <c r="AK43" s="21">
        <f t="shared" si="86"/>
        <v>8</v>
      </c>
      <c r="AL43" s="21">
        <f t="shared" ref="AL43:BQ43" si="87">SUM(AL41:AL42)</f>
        <v>76.48</v>
      </c>
      <c r="AM43" s="21">
        <f t="shared" si="87"/>
        <v>0</v>
      </c>
      <c r="AN43" s="21">
        <f t="shared" si="87"/>
        <v>0</v>
      </c>
      <c r="AO43" s="21">
        <f t="shared" si="87"/>
        <v>76.48</v>
      </c>
      <c r="AP43" s="21">
        <f t="shared" si="87"/>
        <v>0</v>
      </c>
      <c r="AQ43" s="21">
        <f t="shared" si="87"/>
        <v>0</v>
      </c>
      <c r="AR43" s="21">
        <f t="shared" si="87"/>
        <v>0</v>
      </c>
      <c r="AS43" s="21">
        <f t="shared" si="87"/>
        <v>0</v>
      </c>
      <c r="AT43" s="21">
        <f t="shared" si="87"/>
        <v>76.48</v>
      </c>
      <c r="AU43" s="21">
        <f t="shared" si="87"/>
        <v>0</v>
      </c>
      <c r="AV43" s="21">
        <f t="shared" si="87"/>
        <v>0</v>
      </c>
      <c r="AW43" s="21">
        <f t="shared" si="87"/>
        <v>0</v>
      </c>
      <c r="AX43" s="21">
        <f t="shared" si="87"/>
        <v>76.48</v>
      </c>
      <c r="AY43" s="21">
        <f t="shared" si="87"/>
        <v>0</v>
      </c>
      <c r="AZ43" s="21">
        <f t="shared" si="87"/>
        <v>1</v>
      </c>
      <c r="BA43" s="21">
        <f t="shared" si="87"/>
        <v>0</v>
      </c>
      <c r="BB43" s="21">
        <f t="shared" si="87"/>
        <v>1</v>
      </c>
      <c r="BC43" s="21">
        <f t="shared" si="87"/>
        <v>75.48</v>
      </c>
      <c r="BD43" s="21">
        <f t="shared" si="87"/>
        <v>0</v>
      </c>
      <c r="BE43" s="21">
        <f t="shared" si="87"/>
        <v>75.48</v>
      </c>
      <c r="BF43" s="21">
        <f t="shared" si="87"/>
        <v>0</v>
      </c>
      <c r="BG43" s="21">
        <f t="shared" si="87"/>
        <v>4</v>
      </c>
      <c r="BH43" s="21">
        <f t="shared" si="87"/>
        <v>3</v>
      </c>
      <c r="BI43" s="21">
        <f t="shared" si="87"/>
        <v>1</v>
      </c>
      <c r="BJ43" s="21">
        <f t="shared" si="87"/>
        <v>0</v>
      </c>
      <c r="BK43" s="21">
        <f t="shared" si="87"/>
        <v>74.48</v>
      </c>
      <c r="BL43" s="21">
        <f t="shared" si="87"/>
        <v>0</v>
      </c>
      <c r="BM43" s="21">
        <f t="shared" si="87"/>
        <v>74.48</v>
      </c>
      <c r="BN43" s="21">
        <f t="shared" si="87"/>
        <v>0</v>
      </c>
      <c r="BO43" s="21">
        <f t="shared" si="87"/>
        <v>5</v>
      </c>
      <c r="BP43" s="21">
        <f t="shared" si="87"/>
        <v>0</v>
      </c>
      <c r="BQ43" s="21">
        <f t="shared" si="87"/>
        <v>5</v>
      </c>
      <c r="BR43" s="21">
        <f t="shared" ref="BR43:BV43" si="88">SUM(BR41:BR42)</f>
        <v>0</v>
      </c>
      <c r="BS43" s="21">
        <f t="shared" si="88"/>
        <v>69.48</v>
      </c>
      <c r="BT43" s="21">
        <f t="shared" si="88"/>
        <v>0</v>
      </c>
      <c r="BU43" s="21">
        <f t="shared" si="88"/>
        <v>69.48</v>
      </c>
      <c r="BV43" s="21">
        <f t="shared" si="88"/>
        <v>0</v>
      </c>
      <c r="BW43" s="21">
        <v>0</v>
      </c>
      <c r="BX43" s="21">
        <v>4.21</v>
      </c>
      <c r="BY43" s="21">
        <f>SUM(BY41:BY42)</f>
        <v>-4.21</v>
      </c>
      <c r="BZ43" s="21">
        <f>SUM(BZ41:BZ42)</f>
        <v>0</v>
      </c>
      <c r="CA43" s="21">
        <f>SUM(CA41:CA42)</f>
        <v>73.69</v>
      </c>
      <c r="CB43" s="21">
        <f t="shared" ref="CB43:CN43" si="89">SUM(CB41:CB42)</f>
        <v>0</v>
      </c>
      <c r="CC43" s="21">
        <f t="shared" si="89"/>
        <v>0</v>
      </c>
      <c r="CD43" s="21">
        <f t="shared" si="89"/>
        <v>73.69</v>
      </c>
      <c r="CE43" s="21">
        <f t="shared" si="89"/>
        <v>30</v>
      </c>
      <c r="CF43" s="21">
        <f t="shared" ref="CF43" si="90">SUM(CF41:CF42)</f>
        <v>17</v>
      </c>
      <c r="CG43" s="21">
        <f t="shared" ref="CG43" si="91">SUM(CG41:CG42)</f>
        <v>0</v>
      </c>
      <c r="CH43" s="21">
        <f t="shared" ref="CH43" si="92">SUM(CH41:CH42)</f>
        <v>17</v>
      </c>
      <c r="CI43" s="21">
        <f t="shared" si="89"/>
        <v>0</v>
      </c>
      <c r="CJ43" s="21">
        <f t="shared" si="89"/>
        <v>86.69</v>
      </c>
      <c r="CK43" s="21">
        <f t="shared" si="89"/>
        <v>0</v>
      </c>
      <c r="CL43" s="21">
        <f t="shared" si="89"/>
        <v>86.69</v>
      </c>
      <c r="CM43" s="21"/>
      <c r="CN43" s="21">
        <f t="shared" ref="CN43" si="93">SUM(CN41:CN42)</f>
        <v>0</v>
      </c>
      <c r="CO43" s="49"/>
    </row>
    <row r="44" spans="1:93" ht="17.149999999999999" customHeight="1" x14ac:dyDescent="0.25">
      <c r="A44" s="6" t="s">
        <v>47</v>
      </c>
      <c r="B44" s="7" t="s">
        <v>48</v>
      </c>
      <c r="C44" s="20">
        <v>1320</v>
      </c>
      <c r="D44" s="26">
        <v>4755.2447552447557</v>
      </c>
      <c r="E44" s="8">
        <v>24</v>
      </c>
      <c r="F44" s="19">
        <f>'24-25'!CI35</f>
        <v>4.9600000000000009</v>
      </c>
      <c r="G44" s="20">
        <v>0</v>
      </c>
      <c r="H44" s="20">
        <v>4</v>
      </c>
      <c r="I44" s="20"/>
      <c r="J44" s="20">
        <f>F44+G44+I44-H44</f>
        <v>0.96000000000000085</v>
      </c>
      <c r="K44" s="20"/>
      <c r="L44" s="20"/>
      <c r="M44" s="19">
        <f>J44</f>
        <v>0.96000000000000085</v>
      </c>
      <c r="N44" s="20">
        <v>0</v>
      </c>
      <c r="O44" s="20">
        <v>0</v>
      </c>
      <c r="P44" s="20">
        <v>0</v>
      </c>
      <c r="Q44" s="20">
        <f>M44+N44+P44-O44</f>
        <v>0.96000000000000085</v>
      </c>
      <c r="R44" s="20">
        <f>15+25</f>
        <v>40</v>
      </c>
      <c r="S44" s="19">
        <f>Q44</f>
        <v>0.96000000000000085</v>
      </c>
      <c r="T44" s="40">
        <v>40</v>
      </c>
      <c r="U44" s="20">
        <v>10.001667000000001</v>
      </c>
      <c r="V44" s="20">
        <v>0</v>
      </c>
      <c r="W44" s="20">
        <f>S44+T44+V44-U44</f>
        <v>30.958333</v>
      </c>
      <c r="X44" s="20">
        <v>10</v>
      </c>
      <c r="Y44" s="19">
        <f>W44</f>
        <v>30.958333</v>
      </c>
      <c r="Z44" s="20">
        <v>10</v>
      </c>
      <c r="AA44" s="20">
        <v>6.2083329999999997</v>
      </c>
      <c r="AB44" s="20">
        <v>0</v>
      </c>
      <c r="AC44" s="20">
        <f>AA44-AB44</f>
        <v>6.2083329999999997</v>
      </c>
      <c r="AD44" s="20">
        <f>Y44+Z44+AB44-AA44</f>
        <v>34.75</v>
      </c>
      <c r="AE44" s="20">
        <v>5</v>
      </c>
      <c r="AF44" s="20">
        <f>+AE44-AC44</f>
        <v>-1.2083329999999997</v>
      </c>
      <c r="AG44" s="19">
        <f>+AD44</f>
        <v>34.75</v>
      </c>
      <c r="AH44" s="20">
        <v>0</v>
      </c>
      <c r="AI44" s="20">
        <v>29</v>
      </c>
      <c r="AJ44" s="20"/>
      <c r="AK44" s="20">
        <f>AI44-AJ44</f>
        <v>29</v>
      </c>
      <c r="AL44" s="20">
        <f>AG44+AH44+AJ44-AI44</f>
        <v>5.75</v>
      </c>
      <c r="AM44" s="20"/>
      <c r="AN44" s="20"/>
      <c r="AO44" s="19">
        <f>+AL44</f>
        <v>5.75</v>
      </c>
      <c r="AP44" s="20">
        <v>0</v>
      </c>
      <c r="AQ44" s="20">
        <v>0</v>
      </c>
      <c r="AR44" s="20">
        <v>0</v>
      </c>
      <c r="AS44" s="20">
        <f>AQ44-AR44</f>
        <v>0</v>
      </c>
      <c r="AT44" s="20">
        <f>AO44+AP44+AR44-AQ44</f>
        <v>5.75</v>
      </c>
      <c r="AU44" s="20"/>
      <c r="AV44" s="20"/>
      <c r="AW44" s="20"/>
      <c r="AX44" s="19">
        <f>+AT44</f>
        <v>5.75</v>
      </c>
      <c r="AY44" s="20">
        <v>0</v>
      </c>
      <c r="AZ44" s="20">
        <v>1</v>
      </c>
      <c r="BA44" s="20">
        <v>0</v>
      </c>
      <c r="BB44" s="20">
        <f>AZ44-BA44</f>
        <v>1</v>
      </c>
      <c r="BC44" s="20">
        <f>AX44+AY44+BA44-AZ44</f>
        <v>4.75</v>
      </c>
      <c r="BD44" s="20"/>
      <c r="BE44" s="19">
        <f>+BC44</f>
        <v>4.75</v>
      </c>
      <c r="BF44" s="20">
        <v>0</v>
      </c>
      <c r="BG44" s="20">
        <v>4</v>
      </c>
      <c r="BH44" s="20">
        <v>0</v>
      </c>
      <c r="BI44" s="20">
        <f>+BG44-BH44</f>
        <v>4</v>
      </c>
      <c r="BJ44" s="20"/>
      <c r="BK44" s="20">
        <f>BE44+BF44+BH44-BG44-BJ44</f>
        <v>0.75</v>
      </c>
      <c r="BL44" s="20">
        <v>25</v>
      </c>
      <c r="BM44" s="19">
        <f>+BK44+BJ44</f>
        <v>0.75</v>
      </c>
      <c r="BN44" s="20">
        <v>0</v>
      </c>
      <c r="BO44" s="20">
        <v>3</v>
      </c>
      <c r="BP44" s="20">
        <v>3</v>
      </c>
      <c r="BQ44" s="20">
        <f>BO44-BP44</f>
        <v>0</v>
      </c>
      <c r="BR44" s="20"/>
      <c r="BS44" s="20">
        <f>BM44+BN44+BP44-BO44-BR44</f>
        <v>0.75</v>
      </c>
      <c r="BT44" s="20">
        <v>25</v>
      </c>
      <c r="BU44" s="19">
        <f>BS44+BR44</f>
        <v>0.75</v>
      </c>
      <c r="BV44" s="20">
        <v>0</v>
      </c>
      <c r="BW44" s="20">
        <v>0</v>
      </c>
      <c r="BX44" s="20">
        <v>0</v>
      </c>
      <c r="BY44" s="20">
        <f>BW44-BX44</f>
        <v>0</v>
      </c>
      <c r="BZ44" s="20"/>
      <c r="CA44" s="20">
        <f>BU44+BV44+BX44-BW44-BZ44</f>
        <v>0.75</v>
      </c>
      <c r="CB44" s="20"/>
      <c r="CC44" s="20"/>
      <c r="CD44" s="19">
        <v>0.75</v>
      </c>
      <c r="CE44" s="20">
        <v>0</v>
      </c>
      <c r="CF44" s="20">
        <v>0</v>
      </c>
      <c r="CG44" s="20">
        <v>0</v>
      </c>
      <c r="CH44" s="20">
        <f>CF44-CG44</f>
        <v>0</v>
      </c>
      <c r="CI44" s="20"/>
      <c r="CJ44" s="20">
        <f>CD44+CE44+CG44-CF44-CI44</f>
        <v>0.75</v>
      </c>
      <c r="CK44" s="20"/>
      <c r="CL44" s="20">
        <f t="shared" ref="CL44:CL45" si="94">CK44+CJ44</f>
        <v>0.75</v>
      </c>
      <c r="CM44" s="20"/>
      <c r="CN44" s="20"/>
      <c r="CO44" s="49"/>
    </row>
    <row r="45" spans="1:93" ht="17.149999999999999" customHeight="1" x14ac:dyDescent="0.25">
      <c r="A45" s="6" t="s">
        <v>47</v>
      </c>
      <c r="B45" s="7" t="s">
        <v>49</v>
      </c>
      <c r="C45" s="20">
        <v>2628</v>
      </c>
      <c r="D45" s="26">
        <v>9370.6293706293691</v>
      </c>
      <c r="E45" s="8">
        <v>36</v>
      </c>
      <c r="F45" s="19">
        <f>'24-25'!CI36</f>
        <v>20.442233000000002</v>
      </c>
      <c r="G45" s="20">
        <v>0</v>
      </c>
      <c r="H45" s="20">
        <v>17</v>
      </c>
      <c r="I45" s="20"/>
      <c r="J45" s="20">
        <f>F45+G45+I45-H45</f>
        <v>3.4422330000000017</v>
      </c>
      <c r="K45" s="20"/>
      <c r="L45" s="20"/>
      <c r="M45" s="19">
        <f>J45</f>
        <v>3.4422330000000017</v>
      </c>
      <c r="N45" s="20">
        <v>0</v>
      </c>
      <c r="O45" s="20">
        <v>2.7777E-2</v>
      </c>
      <c r="P45" s="20">
        <v>0</v>
      </c>
      <c r="Q45" s="20">
        <f>M45+N45+P45-O45</f>
        <v>3.4144560000000017</v>
      </c>
      <c r="R45" s="20">
        <v>45</v>
      </c>
      <c r="S45" s="19">
        <f>Q45</f>
        <v>3.4144560000000017</v>
      </c>
      <c r="T45" s="40">
        <v>45</v>
      </c>
      <c r="U45" s="20">
        <v>5.997790000000002</v>
      </c>
      <c r="V45" s="20">
        <v>0</v>
      </c>
      <c r="W45" s="20">
        <f>S45+T45+V45-U45</f>
        <v>42.416665999999999</v>
      </c>
      <c r="X45" s="20">
        <v>20</v>
      </c>
      <c r="Y45" s="19">
        <f>W45</f>
        <v>42.416665999999999</v>
      </c>
      <c r="Z45" s="20">
        <v>20</v>
      </c>
      <c r="AA45" s="20">
        <f>35.083333-30</f>
        <v>5.0833330000000032</v>
      </c>
      <c r="AB45" s="20">
        <v>0</v>
      </c>
      <c r="AC45" s="20">
        <f>AA45-AB45</f>
        <v>5.0833330000000032</v>
      </c>
      <c r="AD45" s="20">
        <f>Y45+Z45+AB45-AA45</f>
        <v>57.333332999999996</v>
      </c>
      <c r="AE45" s="20">
        <v>5</v>
      </c>
      <c r="AF45" s="20">
        <f>+AE45-AC45</f>
        <v>-8.333300000000321E-2</v>
      </c>
      <c r="AG45" s="19">
        <f>+AD45</f>
        <v>57.333332999999996</v>
      </c>
      <c r="AH45" s="20">
        <v>0</v>
      </c>
      <c r="AI45" s="20">
        <v>17</v>
      </c>
      <c r="AJ45" s="20"/>
      <c r="AK45" s="20">
        <f>AI45-AJ45</f>
        <v>17</v>
      </c>
      <c r="AL45" s="20">
        <f>AG45+AH45+AJ45-AI45</f>
        <v>40.333332999999996</v>
      </c>
      <c r="AM45" s="20"/>
      <c r="AN45" s="20"/>
      <c r="AO45" s="19">
        <f>+AL45</f>
        <v>40.333332999999996</v>
      </c>
      <c r="AP45" s="20">
        <v>0</v>
      </c>
      <c r="AQ45" s="20">
        <v>0</v>
      </c>
      <c r="AR45" s="20">
        <v>0</v>
      </c>
      <c r="AS45" s="20">
        <f>AQ45-AR45</f>
        <v>0</v>
      </c>
      <c r="AT45" s="20">
        <f>AO45+AP45+AR45-AQ45</f>
        <v>40.333332999999996</v>
      </c>
      <c r="AU45" s="20"/>
      <c r="AV45" s="20"/>
      <c r="AW45" s="20"/>
      <c r="AX45" s="19">
        <f>+AT45</f>
        <v>40.333332999999996</v>
      </c>
      <c r="AY45" s="20">
        <v>0</v>
      </c>
      <c r="AZ45" s="20">
        <v>1</v>
      </c>
      <c r="BA45" s="20">
        <v>0</v>
      </c>
      <c r="BB45" s="20">
        <f>AZ45-BA45</f>
        <v>1</v>
      </c>
      <c r="BC45" s="20">
        <f>AX45+AY45+BA45-AZ45</f>
        <v>39.333332999999996</v>
      </c>
      <c r="BD45" s="20"/>
      <c r="BE45" s="19">
        <f>+BC45</f>
        <v>39.333332999999996</v>
      </c>
      <c r="BF45" s="20">
        <v>0</v>
      </c>
      <c r="BG45" s="20">
        <v>2</v>
      </c>
      <c r="BH45" s="20">
        <v>1</v>
      </c>
      <c r="BI45" s="20">
        <f>+BG45-BH45</f>
        <v>1</v>
      </c>
      <c r="BJ45" s="20"/>
      <c r="BK45" s="20">
        <f>BE45+BF45+BH45-BG45-BJ45</f>
        <v>38.333332999999996</v>
      </c>
      <c r="BL45" s="20">
        <v>0</v>
      </c>
      <c r="BM45" s="19">
        <f>+BK45+BJ45</f>
        <v>38.333332999999996</v>
      </c>
      <c r="BN45" s="20">
        <v>0</v>
      </c>
      <c r="BO45" s="20">
        <v>7</v>
      </c>
      <c r="BP45" s="20">
        <v>1.8889</v>
      </c>
      <c r="BQ45" s="20">
        <f>BO45-BP45</f>
        <v>5.1111000000000004</v>
      </c>
      <c r="BR45" s="20"/>
      <c r="BS45" s="20">
        <f>BM45+BN45+BP45-BO45-BR45</f>
        <v>33.222232999999996</v>
      </c>
      <c r="BT45" s="20">
        <v>0</v>
      </c>
      <c r="BU45" s="19">
        <f>BS45+BR45</f>
        <v>33.222232999999996</v>
      </c>
      <c r="BV45" s="20">
        <v>0</v>
      </c>
      <c r="BW45" s="20">
        <v>10</v>
      </c>
      <c r="BX45" s="20">
        <v>0</v>
      </c>
      <c r="BY45" s="20">
        <f>BW45-BX45</f>
        <v>10</v>
      </c>
      <c r="BZ45" s="20"/>
      <c r="CA45" s="20">
        <f>BU45+BV45+BX45-BW45-BZ45</f>
        <v>23.222232999999996</v>
      </c>
      <c r="CB45" s="20"/>
      <c r="CC45" s="20"/>
      <c r="CD45" s="19">
        <v>23.222232999999996</v>
      </c>
      <c r="CE45" s="20">
        <v>0</v>
      </c>
      <c r="CF45" s="20">
        <v>0</v>
      </c>
      <c r="CG45" s="20">
        <v>0</v>
      </c>
      <c r="CH45" s="20">
        <f>CF45-CG45</f>
        <v>0</v>
      </c>
      <c r="CI45" s="20"/>
      <c r="CJ45" s="20">
        <f>CD45+CE45+CG45-CF45-CI45</f>
        <v>23.222232999999996</v>
      </c>
      <c r="CK45" s="20"/>
      <c r="CL45" s="20">
        <f t="shared" si="94"/>
        <v>23.222232999999996</v>
      </c>
      <c r="CM45" s="20"/>
      <c r="CN45" s="20"/>
      <c r="CO45" s="49"/>
    </row>
    <row r="46" spans="1:93" ht="17.149999999999999" customHeight="1" x14ac:dyDescent="0.25">
      <c r="A46" s="9"/>
      <c r="B46" s="10" t="s">
        <v>131</v>
      </c>
      <c r="C46" s="21"/>
      <c r="D46" s="10"/>
      <c r="E46" s="11"/>
      <c r="F46" s="21">
        <f t="shared" ref="F46:AK46" si="95">SUM(F44:F45)</f>
        <v>25.402233000000003</v>
      </c>
      <c r="G46" s="21">
        <f t="shared" si="95"/>
        <v>0</v>
      </c>
      <c r="H46" s="21">
        <f t="shared" si="95"/>
        <v>21</v>
      </c>
      <c r="I46" s="21">
        <f t="shared" si="95"/>
        <v>0</v>
      </c>
      <c r="J46" s="21">
        <f t="shared" si="95"/>
        <v>4.4022330000000025</v>
      </c>
      <c r="K46" s="21">
        <f t="shared" si="95"/>
        <v>0</v>
      </c>
      <c r="L46" s="21">
        <f t="shared" si="95"/>
        <v>0</v>
      </c>
      <c r="M46" s="21">
        <f t="shared" si="95"/>
        <v>4.4022330000000025</v>
      </c>
      <c r="N46" s="21">
        <f t="shared" si="95"/>
        <v>0</v>
      </c>
      <c r="O46" s="21">
        <f t="shared" si="95"/>
        <v>2.7777E-2</v>
      </c>
      <c r="P46" s="21">
        <f t="shared" si="95"/>
        <v>0</v>
      </c>
      <c r="Q46" s="21">
        <f t="shared" si="95"/>
        <v>4.3744560000000021</v>
      </c>
      <c r="R46" s="21">
        <f t="shared" si="95"/>
        <v>85</v>
      </c>
      <c r="S46" s="21">
        <f t="shared" si="95"/>
        <v>4.3744560000000021</v>
      </c>
      <c r="T46" s="21">
        <f t="shared" si="95"/>
        <v>85</v>
      </c>
      <c r="U46" s="21">
        <f t="shared" si="95"/>
        <v>15.999457000000003</v>
      </c>
      <c r="V46" s="21">
        <f t="shared" si="95"/>
        <v>0</v>
      </c>
      <c r="W46" s="21">
        <f t="shared" si="95"/>
        <v>73.374999000000003</v>
      </c>
      <c r="X46" s="21">
        <f t="shared" si="95"/>
        <v>30</v>
      </c>
      <c r="Y46" s="21">
        <f t="shared" si="95"/>
        <v>73.374999000000003</v>
      </c>
      <c r="Z46" s="21">
        <f t="shared" si="95"/>
        <v>30</v>
      </c>
      <c r="AA46" s="21">
        <f t="shared" si="95"/>
        <v>11.291666000000003</v>
      </c>
      <c r="AB46" s="21">
        <f t="shared" si="95"/>
        <v>0</v>
      </c>
      <c r="AC46" s="21">
        <f t="shared" si="95"/>
        <v>11.291666000000003</v>
      </c>
      <c r="AD46" s="21">
        <f t="shared" si="95"/>
        <v>92.083332999999996</v>
      </c>
      <c r="AE46" s="21">
        <f t="shared" si="95"/>
        <v>10</v>
      </c>
      <c r="AF46" s="21">
        <f t="shared" si="95"/>
        <v>-1.2916660000000029</v>
      </c>
      <c r="AG46" s="21">
        <f t="shared" si="95"/>
        <v>92.083332999999996</v>
      </c>
      <c r="AH46" s="21">
        <f t="shared" si="95"/>
        <v>0</v>
      </c>
      <c r="AI46" s="21">
        <f t="shared" si="95"/>
        <v>46</v>
      </c>
      <c r="AJ46" s="21">
        <f t="shared" si="95"/>
        <v>0</v>
      </c>
      <c r="AK46" s="21">
        <f t="shared" si="95"/>
        <v>46</v>
      </c>
      <c r="AL46" s="21">
        <f t="shared" ref="AL46:BQ46" si="96">SUM(AL44:AL45)</f>
        <v>46.083332999999996</v>
      </c>
      <c r="AM46" s="21">
        <f t="shared" si="96"/>
        <v>0</v>
      </c>
      <c r="AN46" s="21">
        <f t="shared" si="96"/>
        <v>0</v>
      </c>
      <c r="AO46" s="21">
        <f t="shared" si="96"/>
        <v>46.083332999999996</v>
      </c>
      <c r="AP46" s="21">
        <f t="shared" si="96"/>
        <v>0</v>
      </c>
      <c r="AQ46" s="21">
        <f t="shared" si="96"/>
        <v>0</v>
      </c>
      <c r="AR46" s="21">
        <f t="shared" si="96"/>
        <v>0</v>
      </c>
      <c r="AS46" s="21">
        <f t="shared" si="96"/>
        <v>0</v>
      </c>
      <c r="AT46" s="21">
        <f t="shared" si="96"/>
        <v>46.083332999999996</v>
      </c>
      <c r="AU46" s="21">
        <f t="shared" si="96"/>
        <v>0</v>
      </c>
      <c r="AV46" s="21">
        <f t="shared" si="96"/>
        <v>0</v>
      </c>
      <c r="AW46" s="21">
        <f t="shared" si="96"/>
        <v>0</v>
      </c>
      <c r="AX46" s="21">
        <f t="shared" si="96"/>
        <v>46.083332999999996</v>
      </c>
      <c r="AY46" s="21">
        <f t="shared" si="96"/>
        <v>0</v>
      </c>
      <c r="AZ46" s="21">
        <f t="shared" si="96"/>
        <v>2</v>
      </c>
      <c r="BA46" s="21">
        <f t="shared" si="96"/>
        <v>0</v>
      </c>
      <c r="BB46" s="21">
        <f t="shared" si="96"/>
        <v>2</v>
      </c>
      <c r="BC46" s="21">
        <f t="shared" si="96"/>
        <v>44.083332999999996</v>
      </c>
      <c r="BD46" s="21">
        <f t="shared" si="96"/>
        <v>0</v>
      </c>
      <c r="BE46" s="21">
        <f t="shared" si="96"/>
        <v>44.083332999999996</v>
      </c>
      <c r="BF46" s="21">
        <f t="shared" si="96"/>
        <v>0</v>
      </c>
      <c r="BG46" s="21">
        <f t="shared" si="96"/>
        <v>6</v>
      </c>
      <c r="BH46" s="21">
        <f t="shared" si="96"/>
        <v>1</v>
      </c>
      <c r="BI46" s="21">
        <f t="shared" si="96"/>
        <v>5</v>
      </c>
      <c r="BJ46" s="21">
        <f t="shared" si="96"/>
        <v>0</v>
      </c>
      <c r="BK46" s="21">
        <f t="shared" si="96"/>
        <v>39.083332999999996</v>
      </c>
      <c r="BL46" s="21">
        <f t="shared" si="96"/>
        <v>25</v>
      </c>
      <c r="BM46" s="21">
        <f t="shared" si="96"/>
        <v>39.083332999999996</v>
      </c>
      <c r="BN46" s="21">
        <f t="shared" si="96"/>
        <v>0</v>
      </c>
      <c r="BO46" s="21">
        <f t="shared" si="96"/>
        <v>10</v>
      </c>
      <c r="BP46" s="21">
        <f t="shared" si="96"/>
        <v>4.8888999999999996</v>
      </c>
      <c r="BQ46" s="21">
        <f t="shared" si="96"/>
        <v>5.1111000000000004</v>
      </c>
      <c r="BR46" s="21">
        <f t="shared" ref="BR46:BV46" si="97">SUM(BR44:BR45)</f>
        <v>0</v>
      </c>
      <c r="BS46" s="21">
        <f t="shared" si="97"/>
        <v>33.972232999999996</v>
      </c>
      <c r="BT46" s="21">
        <f t="shared" si="97"/>
        <v>25</v>
      </c>
      <c r="BU46" s="21">
        <f t="shared" si="97"/>
        <v>33.972232999999996</v>
      </c>
      <c r="BV46" s="21">
        <f t="shared" si="97"/>
        <v>0</v>
      </c>
      <c r="BW46" s="21">
        <v>10</v>
      </c>
      <c r="BX46" s="21">
        <v>0</v>
      </c>
      <c r="BY46" s="21">
        <f>SUM(BY44:BY45)</f>
        <v>10</v>
      </c>
      <c r="BZ46" s="21">
        <f>SUM(BZ44:BZ45)</f>
        <v>0</v>
      </c>
      <c r="CA46" s="21">
        <f>SUM(CA44:CA45)</f>
        <v>23.972232999999996</v>
      </c>
      <c r="CB46" s="21">
        <f t="shared" ref="CB46:CN46" si="98">SUM(CB44:CB45)</f>
        <v>0</v>
      </c>
      <c r="CC46" s="21">
        <f t="shared" si="98"/>
        <v>0</v>
      </c>
      <c r="CD46" s="21">
        <f t="shared" si="98"/>
        <v>23.972232999999996</v>
      </c>
      <c r="CE46" s="21">
        <f t="shared" si="98"/>
        <v>0</v>
      </c>
      <c r="CF46" s="21">
        <f t="shared" ref="CF46" si="99">SUM(CF44:CF45)</f>
        <v>0</v>
      </c>
      <c r="CG46" s="21">
        <f t="shared" ref="CG46" si="100">SUM(CG44:CG45)</f>
        <v>0</v>
      </c>
      <c r="CH46" s="21">
        <f t="shared" ref="CH46" si="101">SUM(CH44:CH45)</f>
        <v>0</v>
      </c>
      <c r="CI46" s="21">
        <f t="shared" si="98"/>
        <v>0</v>
      </c>
      <c r="CJ46" s="21">
        <f t="shared" si="98"/>
        <v>23.972232999999996</v>
      </c>
      <c r="CK46" s="21">
        <f t="shared" si="98"/>
        <v>0</v>
      </c>
      <c r="CL46" s="21">
        <f t="shared" si="98"/>
        <v>23.972232999999996</v>
      </c>
      <c r="CM46" s="21"/>
      <c r="CN46" s="21">
        <f t="shared" ref="CN46" si="102">SUM(CN44:CN45)</f>
        <v>0</v>
      </c>
      <c r="CO46" s="49"/>
    </row>
    <row r="47" spans="1:93" ht="17.149999999999999" customHeight="1" x14ac:dyDescent="0.25">
      <c r="A47" s="6" t="s">
        <v>54</v>
      </c>
      <c r="B47" s="7" t="s">
        <v>52</v>
      </c>
      <c r="C47" s="20">
        <v>1488</v>
      </c>
      <c r="D47" s="26">
        <v>4675.3246753246767</v>
      </c>
      <c r="E47" s="8">
        <v>24</v>
      </c>
      <c r="F47" s="19">
        <f>'24-25'!CI38</f>
        <v>60.754965999999968</v>
      </c>
      <c r="G47" s="20">
        <v>0</v>
      </c>
      <c r="H47" s="20">
        <v>21.625</v>
      </c>
      <c r="I47" s="20">
        <v>8.7082999999999995</v>
      </c>
      <c r="J47" s="20">
        <f>F47+G47+I47-H47</f>
        <v>47.838265999999962</v>
      </c>
      <c r="K47" s="20"/>
      <c r="L47" s="20"/>
      <c r="M47" s="19">
        <f>J47</f>
        <v>47.838265999999962</v>
      </c>
      <c r="N47" s="20">
        <v>0</v>
      </c>
      <c r="O47" s="20">
        <v>35.5</v>
      </c>
      <c r="P47" s="20">
        <v>10.5</v>
      </c>
      <c r="Q47" s="20">
        <f>M47+N47+P47-O47</f>
        <v>22.838265999999962</v>
      </c>
      <c r="R47" s="20"/>
      <c r="S47" s="19">
        <f>Q47</f>
        <v>22.838265999999962</v>
      </c>
      <c r="T47" s="20"/>
      <c r="U47" s="20">
        <v>12.629932999999962</v>
      </c>
      <c r="V47" s="20">
        <v>3.625</v>
      </c>
      <c r="W47" s="20">
        <f>S47+T47+V47-U47</f>
        <v>13.833333</v>
      </c>
      <c r="X47" s="20"/>
      <c r="Y47" s="19">
        <f>W47</f>
        <v>13.833333</v>
      </c>
      <c r="Z47" s="20">
        <v>0</v>
      </c>
      <c r="AA47" s="20">
        <v>16.833333</v>
      </c>
      <c r="AB47" s="20">
        <v>3</v>
      </c>
      <c r="AC47" s="20">
        <f>AA47-AB47</f>
        <v>13.833333</v>
      </c>
      <c r="AD47" s="20">
        <f>Y47+Z47+AB47-AA47</f>
        <v>0</v>
      </c>
      <c r="AE47" s="20">
        <v>0</v>
      </c>
      <c r="AF47" s="20">
        <f>+AE47-AC47</f>
        <v>-13.833333</v>
      </c>
      <c r="AG47" s="19">
        <f>+AD47</f>
        <v>0</v>
      </c>
      <c r="AH47" s="20">
        <v>0</v>
      </c>
      <c r="AI47" s="20">
        <v>0</v>
      </c>
      <c r="AJ47" s="20"/>
      <c r="AK47" s="20">
        <f>AI47-AJ47</f>
        <v>0</v>
      </c>
      <c r="AL47" s="20">
        <f>AG47+AH47+AJ47-AI47</f>
        <v>0</v>
      </c>
      <c r="AM47" s="20"/>
      <c r="AN47" s="20"/>
      <c r="AO47" s="19">
        <f>+AL47</f>
        <v>0</v>
      </c>
      <c r="AP47" s="20">
        <v>100</v>
      </c>
      <c r="AQ47" s="20">
        <v>82.708332999999996</v>
      </c>
      <c r="AR47" s="20">
        <v>0.5</v>
      </c>
      <c r="AS47" s="20">
        <f>AQ47-AR47</f>
        <v>82.208332999999996</v>
      </c>
      <c r="AT47" s="20">
        <f>AO47+AP47+AR47-AQ47</f>
        <v>17.791667000000004</v>
      </c>
      <c r="AU47" s="20"/>
      <c r="AV47" s="20"/>
      <c r="AW47" s="20"/>
      <c r="AX47" s="19">
        <f>+AT47</f>
        <v>17.791667000000004</v>
      </c>
      <c r="AY47" s="20">
        <v>100</v>
      </c>
      <c r="AZ47" s="20">
        <v>47.791665999999999</v>
      </c>
      <c r="BA47" s="20">
        <v>0</v>
      </c>
      <c r="BB47" s="20">
        <f t="shared" ref="BB47:BB54" si="103">AZ47-BA47</f>
        <v>47.791665999999999</v>
      </c>
      <c r="BC47" s="20">
        <f t="shared" ref="BC47:BC54" si="104">AX47+AY47+BA47-AZ47</f>
        <v>70.000000999999997</v>
      </c>
      <c r="BD47" s="20"/>
      <c r="BE47" s="19">
        <f t="shared" ref="BE47:BE54" si="105">+BC47</f>
        <v>70.000000999999997</v>
      </c>
      <c r="BF47" s="20">
        <v>0</v>
      </c>
      <c r="BG47" s="20">
        <v>48.25</v>
      </c>
      <c r="BH47" s="20">
        <v>0</v>
      </c>
      <c r="BI47" s="20">
        <f t="shared" ref="BI47:BI54" si="106">+BG47-BH47</f>
        <v>48.25</v>
      </c>
      <c r="BJ47" s="20"/>
      <c r="BK47" s="20">
        <f t="shared" ref="BK47:BK54" si="107">BE47+BF47+BH47-BG47-BJ47</f>
        <v>21.750000999999997</v>
      </c>
      <c r="BL47" s="20">
        <v>150</v>
      </c>
      <c r="BM47" s="19">
        <f t="shared" ref="BM47:BM54" si="108">+BK47+BJ47</f>
        <v>21.750000999999997</v>
      </c>
      <c r="BN47" s="20">
        <v>0</v>
      </c>
      <c r="BO47" s="20">
        <v>21</v>
      </c>
      <c r="BP47" s="20">
        <v>0</v>
      </c>
      <c r="BQ47" s="20">
        <f t="shared" ref="BQ47:BQ54" si="109">BO47-BP47</f>
        <v>21</v>
      </c>
      <c r="BR47" s="20"/>
      <c r="BS47" s="20">
        <f t="shared" ref="BS47:BS54" si="110">BM47+BN47+BP47-BO47-BR47</f>
        <v>0.75000099999999748</v>
      </c>
      <c r="BT47" s="20"/>
      <c r="BU47" s="19">
        <f t="shared" ref="BU47:BU54" si="111">BS47+BR47</f>
        <v>0.75000099999999748</v>
      </c>
      <c r="BV47" s="20">
        <v>150</v>
      </c>
      <c r="BW47" s="20">
        <v>55</v>
      </c>
      <c r="BX47" s="20">
        <v>10.75</v>
      </c>
      <c r="BY47" s="20">
        <f t="shared" ref="BY47:BY54" si="112">BW47-BX47</f>
        <v>44.25</v>
      </c>
      <c r="BZ47" s="20"/>
      <c r="CA47" s="20">
        <f t="shared" ref="CA47:CA54" si="113">BU47+BV47+BX47-BW47-BZ47</f>
        <v>106.500001</v>
      </c>
      <c r="CB47" s="20"/>
      <c r="CC47" s="20"/>
      <c r="CD47" s="19">
        <v>106.500001</v>
      </c>
      <c r="CE47" s="20">
        <v>0</v>
      </c>
      <c r="CF47" s="20">
        <f>_xlfn.XLOOKUP(B47,[2]Sheet1!$A$4:$A$38,[2]Sheet1!$B$4:$B$38)</f>
        <v>27</v>
      </c>
      <c r="CG47" s="20">
        <v>0</v>
      </c>
      <c r="CH47" s="20">
        <f t="shared" ref="CH47:CH54" si="114">CF47-CG47</f>
        <v>27</v>
      </c>
      <c r="CI47" s="20"/>
      <c r="CJ47" s="20">
        <f t="shared" ref="CJ47:CJ54" si="115">CD47+CE47+CG47-CF47-CI47</f>
        <v>79.500000999999997</v>
      </c>
      <c r="CK47" s="20"/>
      <c r="CL47" s="20">
        <f t="shared" ref="CL47:CL54" si="116">CK47+CJ47</f>
        <v>79.500000999999997</v>
      </c>
      <c r="CM47" s="20">
        <v>25</v>
      </c>
      <c r="CN47" s="20">
        <v>50</v>
      </c>
      <c r="CO47" s="49"/>
    </row>
    <row r="48" spans="1:93" ht="17.149999999999999" customHeight="1" x14ac:dyDescent="0.25">
      <c r="A48" s="6" t="s">
        <v>54</v>
      </c>
      <c r="B48" s="7" t="s">
        <v>53</v>
      </c>
      <c r="C48" s="20">
        <v>1488</v>
      </c>
      <c r="D48" s="26">
        <v>4675.3246753246767</v>
      </c>
      <c r="E48" s="8">
        <v>24</v>
      </c>
      <c r="F48" s="19">
        <f>'24-25'!CI39</f>
        <v>125.37840000000006</v>
      </c>
      <c r="G48" s="20">
        <v>0</v>
      </c>
      <c r="H48" s="20">
        <v>22.625</v>
      </c>
      <c r="I48" s="20">
        <v>7.7083000000000004</v>
      </c>
      <c r="J48" s="20">
        <f>F48+G48+I48-H48</f>
        <v>110.46170000000006</v>
      </c>
      <c r="K48" s="20"/>
      <c r="L48" s="20"/>
      <c r="M48" s="19">
        <f>J48</f>
        <v>110.46170000000006</v>
      </c>
      <c r="N48" s="20">
        <v>0</v>
      </c>
      <c r="O48" s="20">
        <v>100.04166600000001</v>
      </c>
      <c r="P48" s="20">
        <v>13.041700000000001</v>
      </c>
      <c r="Q48" s="20">
        <f>M48+N48+P48-O48</f>
        <v>23.461734000000064</v>
      </c>
      <c r="R48" s="20"/>
      <c r="S48" s="19">
        <f>Q48</f>
        <v>23.461734000000064</v>
      </c>
      <c r="T48" s="20"/>
      <c r="U48" s="20">
        <v>3.4010000000641583E-3</v>
      </c>
      <c r="V48" s="20">
        <v>0</v>
      </c>
      <c r="W48" s="20">
        <f>S48+T48+V48-U48</f>
        <v>23.458333</v>
      </c>
      <c r="X48" s="20"/>
      <c r="Y48" s="19">
        <f>W48</f>
        <v>23.458333</v>
      </c>
      <c r="Z48" s="20">
        <v>0</v>
      </c>
      <c r="AA48" s="20">
        <v>27.25</v>
      </c>
      <c r="AB48" s="20">
        <v>3.7917000000000001</v>
      </c>
      <c r="AC48" s="20">
        <f>AA48-AB48</f>
        <v>23.458300000000001</v>
      </c>
      <c r="AD48" s="20">
        <f>Y48+Z48+AB48-AA48</f>
        <v>3.2999999998395424E-5</v>
      </c>
      <c r="AE48" s="20">
        <v>0</v>
      </c>
      <c r="AF48" s="20">
        <f>+AE48-AC48</f>
        <v>-23.458300000000001</v>
      </c>
      <c r="AG48" s="19">
        <f>+AD48</f>
        <v>3.2999999998395424E-5</v>
      </c>
      <c r="AH48" s="20">
        <v>0</v>
      </c>
      <c r="AI48" s="20">
        <v>0</v>
      </c>
      <c r="AJ48" s="20"/>
      <c r="AK48" s="20">
        <f>AI48-AJ48</f>
        <v>0</v>
      </c>
      <c r="AL48" s="20">
        <f>AG48+AH48+AJ48-AI48</f>
        <v>3.2999999998395424E-5</v>
      </c>
      <c r="AM48" s="20"/>
      <c r="AN48" s="20"/>
      <c r="AO48" s="19">
        <f>+AL48</f>
        <v>3.2999999998395424E-5</v>
      </c>
      <c r="AP48" s="20">
        <v>100</v>
      </c>
      <c r="AQ48" s="20">
        <v>86.625</v>
      </c>
      <c r="AR48" s="20">
        <v>0.41670000000000001</v>
      </c>
      <c r="AS48" s="20">
        <f>AQ48-AR48</f>
        <v>86.208299999999994</v>
      </c>
      <c r="AT48" s="20">
        <f>AO48+AP48+AR48-AQ48</f>
        <v>13.791733000000008</v>
      </c>
      <c r="AU48" s="20"/>
      <c r="AV48" s="20"/>
      <c r="AW48" s="20"/>
      <c r="AX48" s="19">
        <f>+AT48</f>
        <v>13.791733000000008</v>
      </c>
      <c r="AY48" s="20">
        <v>100</v>
      </c>
      <c r="AZ48" s="20">
        <v>38.791665999999999</v>
      </c>
      <c r="BA48" s="20">
        <v>0</v>
      </c>
      <c r="BB48" s="20">
        <f t="shared" si="103"/>
        <v>38.791665999999999</v>
      </c>
      <c r="BC48" s="20">
        <f t="shared" si="104"/>
        <v>75.000067000000001</v>
      </c>
      <c r="BD48" s="20"/>
      <c r="BE48" s="19">
        <f t="shared" si="105"/>
        <v>75.000067000000001</v>
      </c>
      <c r="BF48" s="20">
        <v>0</v>
      </c>
      <c r="BG48" s="20">
        <v>51.125</v>
      </c>
      <c r="BH48" s="20">
        <v>0</v>
      </c>
      <c r="BI48" s="20">
        <f t="shared" si="106"/>
        <v>51.125</v>
      </c>
      <c r="BJ48" s="20"/>
      <c r="BK48" s="20">
        <f t="shared" si="107"/>
        <v>23.875067000000001</v>
      </c>
      <c r="BL48" s="20">
        <v>150</v>
      </c>
      <c r="BM48" s="19">
        <f t="shared" si="108"/>
        <v>23.875067000000001</v>
      </c>
      <c r="BN48" s="20">
        <v>0</v>
      </c>
      <c r="BO48" s="20">
        <v>23</v>
      </c>
      <c r="BP48" s="20">
        <v>0</v>
      </c>
      <c r="BQ48" s="20">
        <f t="shared" si="109"/>
        <v>23</v>
      </c>
      <c r="BR48" s="20"/>
      <c r="BS48" s="20">
        <f t="shared" si="110"/>
        <v>0.87506700000000137</v>
      </c>
      <c r="BT48" s="20"/>
      <c r="BU48" s="19">
        <f t="shared" si="111"/>
        <v>0.87506700000000137</v>
      </c>
      <c r="BV48" s="20">
        <v>150</v>
      </c>
      <c r="BW48" s="20">
        <v>59</v>
      </c>
      <c r="BX48" s="20">
        <v>10.875</v>
      </c>
      <c r="BY48" s="20">
        <f t="shared" si="112"/>
        <v>48.125</v>
      </c>
      <c r="BZ48" s="20"/>
      <c r="CA48" s="20">
        <f t="shared" si="113"/>
        <v>102.750067</v>
      </c>
      <c r="CB48" s="20"/>
      <c r="CC48" s="20"/>
      <c r="CD48" s="19">
        <v>102.750067</v>
      </c>
      <c r="CE48" s="20">
        <v>0</v>
      </c>
      <c r="CF48" s="20">
        <f>_xlfn.XLOOKUP(B48,[2]Sheet1!$A$4:$A$38,[2]Sheet1!$B$4:$B$38)</f>
        <v>27</v>
      </c>
      <c r="CG48" s="20">
        <v>0</v>
      </c>
      <c r="CH48" s="20">
        <f t="shared" si="114"/>
        <v>27</v>
      </c>
      <c r="CI48" s="20"/>
      <c r="CJ48" s="20">
        <f t="shared" si="115"/>
        <v>75.750067000000001</v>
      </c>
      <c r="CK48" s="20"/>
      <c r="CL48" s="20">
        <f t="shared" si="116"/>
        <v>75.750067000000001</v>
      </c>
      <c r="CM48" s="20">
        <v>25</v>
      </c>
      <c r="CN48" s="20">
        <v>50</v>
      </c>
      <c r="CO48" s="49"/>
    </row>
    <row r="49" spans="1:93" ht="17.149999999999999" customHeight="1" x14ac:dyDescent="0.25">
      <c r="A49" s="6" t="s">
        <v>54</v>
      </c>
      <c r="B49" s="7" t="s">
        <v>60</v>
      </c>
      <c r="C49" s="20">
        <v>1920</v>
      </c>
      <c r="D49" s="26">
        <v>6464.727272727273</v>
      </c>
      <c r="E49" s="8">
        <v>24</v>
      </c>
      <c r="F49" s="19">
        <f>'24-25'!CI40</f>
        <v>46.835032999999996</v>
      </c>
      <c r="G49" s="20">
        <v>0</v>
      </c>
      <c r="H49" s="20">
        <v>22</v>
      </c>
      <c r="I49" s="20">
        <v>4.7916999999999996</v>
      </c>
      <c r="J49" s="20">
        <f>F49+G49+I49-H49</f>
        <v>29.626732999999994</v>
      </c>
      <c r="K49" s="20"/>
      <c r="L49" s="20"/>
      <c r="M49" s="19">
        <f>J49</f>
        <v>29.626732999999994</v>
      </c>
      <c r="N49" s="20">
        <v>0</v>
      </c>
      <c r="O49" s="20">
        <v>23.833333</v>
      </c>
      <c r="P49" s="20">
        <v>18.75</v>
      </c>
      <c r="Q49" s="20">
        <f>M49+N49+P49-O49</f>
        <v>24.543399999999995</v>
      </c>
      <c r="R49" s="20"/>
      <c r="S49" s="19">
        <f>Q49</f>
        <v>24.543399999999995</v>
      </c>
      <c r="T49" s="20"/>
      <c r="U49" s="20">
        <v>12.210066999999992</v>
      </c>
      <c r="V49" s="20">
        <v>12</v>
      </c>
      <c r="W49" s="20">
        <f>S49+T49+V49-U49</f>
        <v>24.333333</v>
      </c>
      <c r="X49" s="20">
        <v>50</v>
      </c>
      <c r="Y49" s="19">
        <f>W49</f>
        <v>24.333333</v>
      </c>
      <c r="Z49" s="20">
        <v>50</v>
      </c>
      <c r="AA49" s="20">
        <v>4</v>
      </c>
      <c r="AB49" s="20">
        <v>0</v>
      </c>
      <c r="AC49" s="20">
        <f>AA49-AB49</f>
        <v>4</v>
      </c>
      <c r="AD49" s="20">
        <f>Y49+Z49+AB49-AA49</f>
        <v>70.333332999999996</v>
      </c>
      <c r="AE49" s="20">
        <v>50</v>
      </c>
      <c r="AF49" s="20">
        <f>+AE49-AC49</f>
        <v>46</v>
      </c>
      <c r="AG49" s="19">
        <f>+AD49</f>
        <v>70.333332999999996</v>
      </c>
      <c r="AH49" s="20">
        <v>0</v>
      </c>
      <c r="AI49" s="20">
        <v>13.5</v>
      </c>
      <c r="AJ49" s="20"/>
      <c r="AK49" s="20">
        <f>AI49-AJ49</f>
        <v>13.5</v>
      </c>
      <c r="AL49" s="20">
        <f>AG49+AH49+AJ49-AI49</f>
        <v>56.833332999999996</v>
      </c>
      <c r="AM49" s="20"/>
      <c r="AN49" s="20"/>
      <c r="AO49" s="19">
        <f>+AL49</f>
        <v>56.833332999999996</v>
      </c>
      <c r="AP49" s="20">
        <v>0</v>
      </c>
      <c r="AQ49" s="20">
        <v>10.583333</v>
      </c>
      <c r="AR49" s="20">
        <v>1.5832999999999999</v>
      </c>
      <c r="AS49" s="20">
        <f>AQ49-AR49</f>
        <v>9.0000330000000002</v>
      </c>
      <c r="AT49" s="20">
        <f>AO49+AP49+AR49-AQ49</f>
        <v>47.833299999999994</v>
      </c>
      <c r="AU49" s="20"/>
      <c r="AV49" s="20"/>
      <c r="AW49" s="20"/>
      <c r="AX49" s="19">
        <f>+AT49</f>
        <v>47.833299999999994</v>
      </c>
      <c r="AY49" s="20">
        <v>50</v>
      </c>
      <c r="AZ49" s="20">
        <v>27</v>
      </c>
      <c r="BA49" s="20">
        <v>0</v>
      </c>
      <c r="BB49" s="20">
        <f t="shared" si="103"/>
        <v>27</v>
      </c>
      <c r="BC49" s="20">
        <f t="shared" si="104"/>
        <v>70.833299999999994</v>
      </c>
      <c r="BD49" s="20"/>
      <c r="BE49" s="19">
        <f t="shared" si="105"/>
        <v>70.833299999999994</v>
      </c>
      <c r="BF49" s="20">
        <v>0</v>
      </c>
      <c r="BG49" s="20">
        <v>14.125</v>
      </c>
      <c r="BH49" s="20">
        <v>0</v>
      </c>
      <c r="BI49" s="20">
        <f t="shared" si="106"/>
        <v>14.125</v>
      </c>
      <c r="BJ49" s="20"/>
      <c r="BK49" s="20">
        <f t="shared" si="107"/>
        <v>56.708299999999994</v>
      </c>
      <c r="BL49" s="20">
        <v>50</v>
      </c>
      <c r="BM49" s="19">
        <f t="shared" si="108"/>
        <v>56.708299999999994</v>
      </c>
      <c r="BN49" s="20">
        <v>0</v>
      </c>
      <c r="BO49" s="20">
        <v>22</v>
      </c>
      <c r="BP49" s="20">
        <v>0</v>
      </c>
      <c r="BQ49" s="20">
        <f t="shared" si="109"/>
        <v>22</v>
      </c>
      <c r="BR49" s="20"/>
      <c r="BS49" s="20">
        <f t="shared" si="110"/>
        <v>34.708299999999994</v>
      </c>
      <c r="BT49" s="20"/>
      <c r="BU49" s="19">
        <f t="shared" si="111"/>
        <v>34.708299999999994</v>
      </c>
      <c r="BV49" s="20">
        <v>40</v>
      </c>
      <c r="BW49" s="20">
        <v>23.041699999999999</v>
      </c>
      <c r="BX49" s="20">
        <v>3</v>
      </c>
      <c r="BY49" s="20">
        <f t="shared" si="112"/>
        <v>20.041699999999999</v>
      </c>
      <c r="BZ49" s="20"/>
      <c r="CA49" s="20">
        <f t="shared" si="113"/>
        <v>54.666599999999995</v>
      </c>
      <c r="CB49" s="20">
        <v>10</v>
      </c>
      <c r="CC49" s="20"/>
      <c r="CD49" s="19">
        <v>54.666599999999995</v>
      </c>
      <c r="CE49" s="20">
        <v>0</v>
      </c>
      <c r="CF49" s="20">
        <f>_xlfn.XLOOKUP(B49,[2]Sheet1!$A$4:$A$38,[2]Sheet1!$B$4:$B$38)</f>
        <v>16</v>
      </c>
      <c r="CG49" s="20">
        <f>_xlfn.XLOOKUP(B49,[3]Sheet1!$A$4:$A$22,[3]Sheet1!$B$4:$B$22)</f>
        <v>8.875</v>
      </c>
      <c r="CH49" s="20">
        <f t="shared" si="114"/>
        <v>7.125</v>
      </c>
      <c r="CI49" s="20"/>
      <c r="CJ49" s="20">
        <f t="shared" si="115"/>
        <v>47.541599999999995</v>
      </c>
      <c r="CK49" s="20"/>
      <c r="CL49" s="20">
        <f t="shared" si="116"/>
        <v>47.541599999999995</v>
      </c>
      <c r="CM49" s="20">
        <v>25</v>
      </c>
      <c r="CN49" s="20">
        <v>50</v>
      </c>
      <c r="CO49" s="49"/>
    </row>
    <row r="50" spans="1:93" ht="17.149999999999999" customHeight="1" x14ac:dyDescent="0.25">
      <c r="A50" s="6" t="s">
        <v>54</v>
      </c>
      <c r="B50" s="7" t="s">
        <v>61</v>
      </c>
      <c r="C50" s="20">
        <v>1920</v>
      </c>
      <c r="D50" s="26">
        <v>6464.727272727273</v>
      </c>
      <c r="E50" s="8">
        <v>24</v>
      </c>
      <c r="F50" s="19">
        <f>'24-25'!CI41</f>
        <v>73.875066000000004</v>
      </c>
      <c r="G50" s="20">
        <v>0</v>
      </c>
      <c r="H50" s="20">
        <v>22</v>
      </c>
      <c r="I50" s="20">
        <v>3.3332999999999999</v>
      </c>
      <c r="J50" s="20">
        <f>F50+G50+I50-H50</f>
        <v>55.208365999999998</v>
      </c>
      <c r="K50" s="20"/>
      <c r="L50" s="20"/>
      <c r="M50" s="19">
        <f>J50</f>
        <v>55.208365999999998</v>
      </c>
      <c r="N50" s="20">
        <v>0</v>
      </c>
      <c r="O50" s="20">
        <v>26.458333</v>
      </c>
      <c r="P50" s="20">
        <v>17.375</v>
      </c>
      <c r="Q50" s="20">
        <f>M50+N50+P50-O50</f>
        <v>46.125033000000002</v>
      </c>
      <c r="R50" s="20"/>
      <c r="S50" s="19">
        <f>Q50</f>
        <v>46.125033000000002</v>
      </c>
      <c r="T50" s="20"/>
      <c r="U50" s="20">
        <v>13</v>
      </c>
      <c r="V50" s="20">
        <v>3.4582999999999999</v>
      </c>
      <c r="W50" s="20">
        <f>S50+T50+V50-U50</f>
        <v>36.583333000000003</v>
      </c>
      <c r="X50" s="20">
        <v>50</v>
      </c>
      <c r="Y50" s="19">
        <f>W50</f>
        <v>36.583333000000003</v>
      </c>
      <c r="Z50" s="20">
        <v>50</v>
      </c>
      <c r="AA50" s="20">
        <v>16</v>
      </c>
      <c r="AB50" s="20">
        <v>0</v>
      </c>
      <c r="AC50" s="20">
        <f>AA50-AB50</f>
        <v>16</v>
      </c>
      <c r="AD50" s="20">
        <f>Y50+Z50+AB50-AA50</f>
        <v>70.58333300000001</v>
      </c>
      <c r="AE50" s="20">
        <v>50</v>
      </c>
      <c r="AF50" s="20">
        <f>+AE50-AC50</f>
        <v>34</v>
      </c>
      <c r="AG50" s="19">
        <f>+AD50</f>
        <v>70.58333300000001</v>
      </c>
      <c r="AH50" s="20">
        <v>0</v>
      </c>
      <c r="AI50" s="20">
        <v>21.208333</v>
      </c>
      <c r="AJ50" s="20"/>
      <c r="AK50" s="20">
        <f>AI50-AJ50</f>
        <v>21.208333</v>
      </c>
      <c r="AL50" s="20">
        <f>AG50+AH50+AJ50-AI50</f>
        <v>49.375000000000014</v>
      </c>
      <c r="AM50" s="20"/>
      <c r="AN50" s="20"/>
      <c r="AO50" s="19">
        <f>+AL50</f>
        <v>49.375000000000014</v>
      </c>
      <c r="AP50" s="20">
        <v>0</v>
      </c>
      <c r="AQ50" s="20">
        <v>10.208333</v>
      </c>
      <c r="AR50" s="20">
        <v>1.2082999999999999</v>
      </c>
      <c r="AS50" s="20">
        <f>AQ50-AR50</f>
        <v>9.0000330000000002</v>
      </c>
      <c r="AT50" s="20">
        <f>AO50+AP50+AR50-AQ50</f>
        <v>40.374967000000012</v>
      </c>
      <c r="AU50" s="20"/>
      <c r="AV50" s="20"/>
      <c r="AW50" s="20"/>
      <c r="AX50" s="19">
        <f>+AT50</f>
        <v>40.374967000000012</v>
      </c>
      <c r="AY50" s="20">
        <v>50</v>
      </c>
      <c r="AZ50" s="20">
        <v>10</v>
      </c>
      <c r="BA50" s="20">
        <v>0</v>
      </c>
      <c r="BB50" s="20">
        <f t="shared" si="103"/>
        <v>10</v>
      </c>
      <c r="BC50" s="20">
        <f t="shared" si="104"/>
        <v>80.374967000000012</v>
      </c>
      <c r="BD50" s="20"/>
      <c r="BE50" s="19">
        <f t="shared" si="105"/>
        <v>80.374967000000012</v>
      </c>
      <c r="BF50" s="20">
        <v>0</v>
      </c>
      <c r="BG50" s="20">
        <v>12.041665999999999</v>
      </c>
      <c r="BH50" s="20">
        <v>0</v>
      </c>
      <c r="BI50" s="20">
        <f t="shared" si="106"/>
        <v>12.041665999999999</v>
      </c>
      <c r="BJ50" s="20"/>
      <c r="BK50" s="20">
        <f t="shared" si="107"/>
        <v>68.333301000000006</v>
      </c>
      <c r="BL50" s="20">
        <v>50</v>
      </c>
      <c r="BM50" s="19">
        <f t="shared" si="108"/>
        <v>68.333301000000006</v>
      </c>
      <c r="BN50" s="20">
        <v>0</v>
      </c>
      <c r="BO50" s="20">
        <v>21</v>
      </c>
      <c r="BP50" s="20">
        <v>0</v>
      </c>
      <c r="BQ50" s="20">
        <f t="shared" si="109"/>
        <v>21</v>
      </c>
      <c r="BR50" s="20"/>
      <c r="BS50" s="20">
        <f t="shared" si="110"/>
        <v>47.333301000000006</v>
      </c>
      <c r="BT50" s="20"/>
      <c r="BU50" s="19">
        <f t="shared" si="111"/>
        <v>47.333301000000006</v>
      </c>
      <c r="BV50" s="20">
        <v>40</v>
      </c>
      <c r="BW50" s="20">
        <v>23.041699999999999</v>
      </c>
      <c r="BX50" s="20">
        <v>2.1667000000000001</v>
      </c>
      <c r="BY50" s="20">
        <f t="shared" si="112"/>
        <v>20.875</v>
      </c>
      <c r="BZ50" s="20"/>
      <c r="CA50" s="20">
        <f t="shared" si="113"/>
        <v>66.458301000000006</v>
      </c>
      <c r="CB50" s="20">
        <v>10</v>
      </c>
      <c r="CC50" s="20"/>
      <c r="CD50" s="19">
        <v>66.458301000000006</v>
      </c>
      <c r="CE50" s="20">
        <v>0</v>
      </c>
      <c r="CF50" s="20">
        <f>_xlfn.XLOOKUP(B50,[2]Sheet1!$A$4:$A$38,[2]Sheet1!$B$4:$B$38)</f>
        <v>12.9999</v>
      </c>
      <c r="CG50" s="20">
        <f>_xlfn.XLOOKUP(B50,[3]Sheet1!$A$4:$A$22,[3]Sheet1!$B$4:$B$22)</f>
        <v>3.2082999999999999</v>
      </c>
      <c r="CH50" s="20">
        <f t="shared" si="114"/>
        <v>9.7916000000000007</v>
      </c>
      <c r="CI50" s="20"/>
      <c r="CJ50" s="20">
        <f t="shared" si="115"/>
        <v>56.666701000000003</v>
      </c>
      <c r="CK50" s="20"/>
      <c r="CL50" s="20">
        <f t="shared" si="116"/>
        <v>56.666701000000003</v>
      </c>
      <c r="CM50" s="20">
        <v>25</v>
      </c>
      <c r="CN50" s="20">
        <v>50</v>
      </c>
      <c r="CO50" s="49"/>
    </row>
    <row r="51" spans="1:93" ht="17.149999999999999" customHeight="1" x14ac:dyDescent="0.25">
      <c r="A51" s="6" t="s">
        <v>54</v>
      </c>
      <c r="B51" s="7" t="s">
        <v>152</v>
      </c>
      <c r="C51" s="20">
        <v>1725</v>
      </c>
      <c r="D51" s="26">
        <v>5714.2857142857138</v>
      </c>
      <c r="E51" s="8">
        <v>36</v>
      </c>
      <c r="F51" s="19"/>
      <c r="G51" s="20"/>
      <c r="H51" s="20"/>
      <c r="I51" s="20"/>
      <c r="J51" s="20"/>
      <c r="K51" s="20"/>
      <c r="L51" s="20"/>
      <c r="M51" s="19"/>
      <c r="N51" s="20"/>
      <c r="O51" s="20"/>
      <c r="P51" s="20"/>
      <c r="Q51" s="20"/>
      <c r="R51" s="20"/>
      <c r="S51" s="19"/>
      <c r="T51" s="20"/>
      <c r="U51" s="20"/>
      <c r="V51" s="20"/>
      <c r="W51" s="20"/>
      <c r="X51" s="20"/>
      <c r="Y51" s="19"/>
      <c r="Z51" s="20"/>
      <c r="AA51" s="20"/>
      <c r="AB51" s="20"/>
      <c r="AC51" s="20"/>
      <c r="AD51" s="20"/>
      <c r="AE51" s="20"/>
      <c r="AF51" s="20"/>
      <c r="AG51" s="19"/>
      <c r="AH51" s="20"/>
      <c r="AI51" s="20"/>
      <c r="AJ51" s="20"/>
      <c r="AK51" s="20"/>
      <c r="AL51" s="20"/>
      <c r="AM51" s="20"/>
      <c r="AN51" s="20"/>
      <c r="AO51" s="19"/>
      <c r="AP51" s="20"/>
      <c r="AQ51" s="20"/>
      <c r="AR51" s="20"/>
      <c r="AS51" s="20"/>
      <c r="AT51" s="20"/>
      <c r="AU51" s="20"/>
      <c r="AV51" s="20"/>
      <c r="AW51" s="20"/>
      <c r="AX51" s="19"/>
      <c r="AY51" s="20"/>
      <c r="AZ51" s="20"/>
      <c r="BA51" s="20"/>
      <c r="BB51" s="20">
        <f t="shared" si="103"/>
        <v>0</v>
      </c>
      <c r="BC51" s="20">
        <f t="shared" si="104"/>
        <v>0</v>
      </c>
      <c r="BD51" s="20">
        <v>200</v>
      </c>
      <c r="BE51" s="19">
        <f t="shared" si="105"/>
        <v>0</v>
      </c>
      <c r="BF51" s="20">
        <v>200</v>
      </c>
      <c r="BG51" s="20">
        <v>25</v>
      </c>
      <c r="BH51" s="20">
        <v>0</v>
      </c>
      <c r="BI51" s="20">
        <f t="shared" si="106"/>
        <v>25</v>
      </c>
      <c r="BJ51" s="20"/>
      <c r="BK51" s="20">
        <f t="shared" si="107"/>
        <v>175</v>
      </c>
      <c r="BL51" s="20">
        <f>_xlfn.XLOOKUP(B51,'[5]Product List'!$A:$A,'[5]Product List'!$B:$B,0)</f>
        <v>0</v>
      </c>
      <c r="BM51" s="19">
        <f t="shared" si="108"/>
        <v>175</v>
      </c>
      <c r="BN51" s="20">
        <v>0</v>
      </c>
      <c r="BO51" s="20">
        <v>30</v>
      </c>
      <c r="BP51" s="20">
        <v>0</v>
      </c>
      <c r="BQ51" s="20">
        <f t="shared" si="109"/>
        <v>30</v>
      </c>
      <c r="BR51" s="20"/>
      <c r="BS51" s="20">
        <f t="shared" si="110"/>
        <v>145</v>
      </c>
      <c r="BT51" s="20">
        <f>_xlfn.XLOOKUP(J51,'[5]Product List'!$A:$A,'[5]Product List'!$B:$B,0)</f>
        <v>0</v>
      </c>
      <c r="BU51" s="19">
        <f t="shared" si="111"/>
        <v>145</v>
      </c>
      <c r="BV51" s="20">
        <v>0</v>
      </c>
      <c r="BW51" s="20">
        <v>6</v>
      </c>
      <c r="BX51" s="20">
        <v>0</v>
      </c>
      <c r="BY51" s="20">
        <f t="shared" si="112"/>
        <v>6</v>
      </c>
      <c r="BZ51" s="20"/>
      <c r="CA51" s="20">
        <f t="shared" si="113"/>
        <v>139</v>
      </c>
      <c r="CB51" s="20"/>
      <c r="CC51" s="20"/>
      <c r="CD51" s="19">
        <v>139</v>
      </c>
      <c r="CE51" s="20">
        <v>0</v>
      </c>
      <c r="CF51" s="20">
        <f>_xlfn.XLOOKUP(B51,[2]Sheet1!$A$4:$A$38,[2]Sheet1!$B$4:$B$38)</f>
        <v>8</v>
      </c>
      <c r="CG51" s="20">
        <v>0</v>
      </c>
      <c r="CH51" s="20">
        <f t="shared" si="114"/>
        <v>8</v>
      </c>
      <c r="CI51" s="20"/>
      <c r="CJ51" s="20">
        <f t="shared" si="115"/>
        <v>131</v>
      </c>
      <c r="CK51" s="20"/>
      <c r="CL51" s="20">
        <f t="shared" si="116"/>
        <v>131</v>
      </c>
      <c r="CM51" s="20">
        <v>10</v>
      </c>
      <c r="CN51" s="20"/>
      <c r="CO51" s="49"/>
    </row>
    <row r="52" spans="1:93" ht="17.149999999999999" customHeight="1" x14ac:dyDescent="0.25">
      <c r="A52" s="6" t="s">
        <v>54</v>
      </c>
      <c r="B52" s="7" t="s">
        <v>153</v>
      </c>
      <c r="C52" s="20">
        <v>1725</v>
      </c>
      <c r="D52" s="26">
        <v>5714.2857142857138</v>
      </c>
      <c r="E52" s="8">
        <v>36</v>
      </c>
      <c r="F52" s="19"/>
      <c r="G52" s="20"/>
      <c r="H52" s="20"/>
      <c r="I52" s="20"/>
      <c r="J52" s="20"/>
      <c r="K52" s="20"/>
      <c r="L52" s="20"/>
      <c r="M52" s="19"/>
      <c r="N52" s="20"/>
      <c r="O52" s="20"/>
      <c r="P52" s="20"/>
      <c r="Q52" s="20"/>
      <c r="R52" s="20"/>
      <c r="S52" s="19"/>
      <c r="T52" s="20"/>
      <c r="U52" s="20"/>
      <c r="V52" s="20"/>
      <c r="W52" s="20"/>
      <c r="X52" s="20"/>
      <c r="Y52" s="19"/>
      <c r="Z52" s="20"/>
      <c r="AA52" s="20"/>
      <c r="AB52" s="20"/>
      <c r="AC52" s="20"/>
      <c r="AD52" s="20"/>
      <c r="AE52" s="20"/>
      <c r="AF52" s="20"/>
      <c r="AG52" s="19"/>
      <c r="AH52" s="20"/>
      <c r="AI52" s="20"/>
      <c r="AJ52" s="20"/>
      <c r="AK52" s="20"/>
      <c r="AL52" s="20"/>
      <c r="AM52" s="20"/>
      <c r="AN52" s="20"/>
      <c r="AO52" s="19"/>
      <c r="AP52" s="20"/>
      <c r="AQ52" s="20"/>
      <c r="AR52" s="20"/>
      <c r="AS52" s="20"/>
      <c r="AT52" s="20"/>
      <c r="AU52" s="20"/>
      <c r="AV52" s="20"/>
      <c r="AW52" s="20"/>
      <c r="AX52" s="19"/>
      <c r="AY52" s="20"/>
      <c r="AZ52" s="20"/>
      <c r="BA52" s="20"/>
      <c r="BB52" s="20">
        <f t="shared" si="103"/>
        <v>0</v>
      </c>
      <c r="BC52" s="20">
        <f t="shared" si="104"/>
        <v>0</v>
      </c>
      <c r="BD52" s="20">
        <v>200</v>
      </c>
      <c r="BE52" s="19">
        <f t="shared" si="105"/>
        <v>0</v>
      </c>
      <c r="BF52" s="20">
        <v>200</v>
      </c>
      <c r="BG52" s="20">
        <v>25.083333</v>
      </c>
      <c r="BH52" s="20">
        <v>0</v>
      </c>
      <c r="BI52" s="20">
        <f t="shared" si="106"/>
        <v>25.083333</v>
      </c>
      <c r="BJ52" s="20"/>
      <c r="BK52" s="20">
        <f t="shared" si="107"/>
        <v>174.91666699999999</v>
      </c>
      <c r="BL52" s="20">
        <f>_xlfn.XLOOKUP(B52,'[5]Product List'!$A:$A,'[5]Product List'!$B:$B,0)</f>
        <v>0</v>
      </c>
      <c r="BM52" s="19">
        <f t="shared" si="108"/>
        <v>174.91666699999999</v>
      </c>
      <c r="BN52" s="20">
        <v>0</v>
      </c>
      <c r="BO52" s="20">
        <v>31</v>
      </c>
      <c r="BP52" s="20">
        <v>0</v>
      </c>
      <c r="BQ52" s="20">
        <f t="shared" si="109"/>
        <v>31</v>
      </c>
      <c r="BR52" s="20"/>
      <c r="BS52" s="20">
        <f t="shared" si="110"/>
        <v>143.91666699999999</v>
      </c>
      <c r="BT52" s="20">
        <f>_xlfn.XLOOKUP(J52,'[5]Product List'!$A:$A,'[5]Product List'!$B:$B,0)</f>
        <v>0</v>
      </c>
      <c r="BU52" s="19">
        <f t="shared" si="111"/>
        <v>143.91666699999999</v>
      </c>
      <c r="BV52" s="20">
        <v>0</v>
      </c>
      <c r="BW52" s="20">
        <v>6</v>
      </c>
      <c r="BX52" s="20">
        <v>0</v>
      </c>
      <c r="BY52" s="20">
        <f t="shared" si="112"/>
        <v>6</v>
      </c>
      <c r="BZ52" s="20"/>
      <c r="CA52" s="20">
        <f t="shared" si="113"/>
        <v>137.91666699999999</v>
      </c>
      <c r="CB52" s="20"/>
      <c r="CC52" s="20"/>
      <c r="CD52" s="19">
        <v>137.91666699999999</v>
      </c>
      <c r="CE52" s="20">
        <v>0</v>
      </c>
      <c r="CF52" s="20">
        <f>_xlfn.XLOOKUP(B52,[2]Sheet1!$A$4:$A$38,[2]Sheet1!$B$4:$B$38)</f>
        <v>8</v>
      </c>
      <c r="CG52" s="20">
        <v>0</v>
      </c>
      <c r="CH52" s="20">
        <f t="shared" si="114"/>
        <v>8</v>
      </c>
      <c r="CI52" s="20"/>
      <c r="CJ52" s="20">
        <f t="shared" si="115"/>
        <v>129.91666699999999</v>
      </c>
      <c r="CK52" s="20"/>
      <c r="CL52" s="20">
        <f t="shared" si="116"/>
        <v>129.91666699999999</v>
      </c>
      <c r="CM52" s="20">
        <v>10</v>
      </c>
      <c r="CN52" s="20"/>
      <c r="CO52" s="49"/>
    </row>
    <row r="53" spans="1:93" ht="17.149999999999999" customHeight="1" x14ac:dyDescent="0.25">
      <c r="A53" s="6" t="s">
        <v>54</v>
      </c>
      <c r="B53" s="7" t="s">
        <v>154</v>
      </c>
      <c r="C53" s="20">
        <v>1900</v>
      </c>
      <c r="D53" s="26">
        <v>5844.1558441558445</v>
      </c>
      <c r="E53" s="8">
        <v>12</v>
      </c>
      <c r="F53" s="19"/>
      <c r="G53" s="20"/>
      <c r="H53" s="20"/>
      <c r="I53" s="20"/>
      <c r="J53" s="20"/>
      <c r="K53" s="20"/>
      <c r="L53" s="20"/>
      <c r="M53" s="19"/>
      <c r="N53" s="20"/>
      <c r="O53" s="20"/>
      <c r="P53" s="20"/>
      <c r="Q53" s="20"/>
      <c r="R53" s="20"/>
      <c r="S53" s="19"/>
      <c r="T53" s="20"/>
      <c r="U53" s="20"/>
      <c r="V53" s="20"/>
      <c r="W53" s="20"/>
      <c r="X53" s="20"/>
      <c r="Y53" s="19"/>
      <c r="Z53" s="20"/>
      <c r="AA53" s="20"/>
      <c r="AB53" s="20"/>
      <c r="AC53" s="20"/>
      <c r="AD53" s="20"/>
      <c r="AE53" s="20"/>
      <c r="AF53" s="20"/>
      <c r="AG53" s="19"/>
      <c r="AH53" s="20"/>
      <c r="AI53" s="20"/>
      <c r="AJ53" s="20"/>
      <c r="AK53" s="20"/>
      <c r="AL53" s="20"/>
      <c r="AM53" s="20"/>
      <c r="AN53" s="20"/>
      <c r="AO53" s="19"/>
      <c r="AP53" s="20"/>
      <c r="AQ53" s="20"/>
      <c r="AR53" s="20"/>
      <c r="AS53" s="20"/>
      <c r="AT53" s="20"/>
      <c r="AU53" s="20"/>
      <c r="AV53" s="20"/>
      <c r="AW53" s="20"/>
      <c r="AX53" s="19"/>
      <c r="AY53" s="20"/>
      <c r="AZ53" s="20"/>
      <c r="BA53" s="20"/>
      <c r="BB53" s="20">
        <f t="shared" si="103"/>
        <v>0</v>
      </c>
      <c r="BC53" s="20">
        <f t="shared" si="104"/>
        <v>0</v>
      </c>
      <c r="BD53" s="20">
        <v>100</v>
      </c>
      <c r="BE53" s="19">
        <f t="shared" si="105"/>
        <v>0</v>
      </c>
      <c r="BF53" s="20">
        <v>100</v>
      </c>
      <c r="BG53" s="20">
        <v>23.25</v>
      </c>
      <c r="BH53" s="20">
        <v>0</v>
      </c>
      <c r="BI53" s="20">
        <f t="shared" si="106"/>
        <v>23.25</v>
      </c>
      <c r="BJ53" s="20"/>
      <c r="BK53" s="20">
        <f t="shared" si="107"/>
        <v>76.75</v>
      </c>
      <c r="BL53" s="20">
        <f>_xlfn.XLOOKUP(B53,'[5]Product List'!$A:$A,'[5]Product List'!$B:$B,0)</f>
        <v>0</v>
      </c>
      <c r="BM53" s="19">
        <f t="shared" si="108"/>
        <v>76.75</v>
      </c>
      <c r="BN53" s="20">
        <v>0</v>
      </c>
      <c r="BO53" s="20">
        <v>36</v>
      </c>
      <c r="BP53" s="20">
        <v>0</v>
      </c>
      <c r="BQ53" s="20">
        <f t="shared" si="109"/>
        <v>36</v>
      </c>
      <c r="BR53" s="20"/>
      <c r="BS53" s="20">
        <f t="shared" si="110"/>
        <v>40.75</v>
      </c>
      <c r="BT53" s="20">
        <f>_xlfn.XLOOKUP(J53,'[5]Product List'!$A:$A,'[5]Product List'!$B:$B,0)</f>
        <v>0</v>
      </c>
      <c r="BU53" s="19">
        <f t="shared" si="111"/>
        <v>40.75</v>
      </c>
      <c r="BV53" s="20">
        <v>0</v>
      </c>
      <c r="BW53" s="20">
        <v>21</v>
      </c>
      <c r="BX53" s="20">
        <v>0</v>
      </c>
      <c r="BY53" s="20">
        <f t="shared" si="112"/>
        <v>21</v>
      </c>
      <c r="BZ53" s="20"/>
      <c r="CA53" s="20">
        <f t="shared" si="113"/>
        <v>19.75</v>
      </c>
      <c r="CB53" s="20"/>
      <c r="CC53" s="20"/>
      <c r="CD53" s="19">
        <v>19.75</v>
      </c>
      <c r="CE53" s="20">
        <v>0</v>
      </c>
      <c r="CF53" s="20">
        <f>_xlfn.XLOOKUP(B53,[2]Sheet1!$A$4:$A$38,[2]Sheet1!$B$4:$B$38)</f>
        <v>5</v>
      </c>
      <c r="CG53" s="20">
        <v>0</v>
      </c>
      <c r="CH53" s="20">
        <f t="shared" si="114"/>
        <v>5</v>
      </c>
      <c r="CI53" s="20"/>
      <c r="CJ53" s="20">
        <f t="shared" si="115"/>
        <v>14.75</v>
      </c>
      <c r="CK53" s="20"/>
      <c r="CL53" s="20">
        <f t="shared" si="116"/>
        <v>14.75</v>
      </c>
      <c r="CM53" s="20">
        <v>14</v>
      </c>
      <c r="CN53" s="20">
        <v>50</v>
      </c>
      <c r="CO53" s="49"/>
    </row>
    <row r="54" spans="1:93" ht="17.149999999999999" customHeight="1" x14ac:dyDescent="0.25">
      <c r="A54" s="6" t="s">
        <v>54</v>
      </c>
      <c r="B54" s="7" t="s">
        <v>155</v>
      </c>
      <c r="C54" s="20">
        <v>1900</v>
      </c>
      <c r="D54" s="26">
        <v>5844.1558441558445</v>
      </c>
      <c r="E54" s="8">
        <v>12</v>
      </c>
      <c r="F54" s="19"/>
      <c r="G54" s="20"/>
      <c r="H54" s="20"/>
      <c r="I54" s="20"/>
      <c r="J54" s="20"/>
      <c r="K54" s="20"/>
      <c r="L54" s="20"/>
      <c r="M54" s="19"/>
      <c r="N54" s="20"/>
      <c r="O54" s="20"/>
      <c r="P54" s="20"/>
      <c r="Q54" s="20"/>
      <c r="R54" s="20"/>
      <c r="S54" s="19"/>
      <c r="T54" s="20"/>
      <c r="U54" s="20"/>
      <c r="V54" s="20"/>
      <c r="W54" s="20"/>
      <c r="X54" s="20"/>
      <c r="Y54" s="19"/>
      <c r="Z54" s="20"/>
      <c r="AA54" s="20"/>
      <c r="AB54" s="20"/>
      <c r="AC54" s="20"/>
      <c r="AD54" s="20"/>
      <c r="AE54" s="20"/>
      <c r="AF54" s="20"/>
      <c r="AG54" s="19"/>
      <c r="AH54" s="20"/>
      <c r="AI54" s="20"/>
      <c r="AJ54" s="20"/>
      <c r="AK54" s="20"/>
      <c r="AL54" s="20"/>
      <c r="AM54" s="20"/>
      <c r="AN54" s="20"/>
      <c r="AO54" s="19"/>
      <c r="AP54" s="20"/>
      <c r="AQ54" s="20"/>
      <c r="AR54" s="20"/>
      <c r="AS54" s="20"/>
      <c r="AT54" s="20"/>
      <c r="AU54" s="20"/>
      <c r="AV54" s="20"/>
      <c r="AW54" s="20"/>
      <c r="AX54" s="19"/>
      <c r="AY54" s="20"/>
      <c r="AZ54" s="20"/>
      <c r="BA54" s="20"/>
      <c r="BB54" s="20">
        <f t="shared" si="103"/>
        <v>0</v>
      </c>
      <c r="BC54" s="20">
        <f t="shared" si="104"/>
        <v>0</v>
      </c>
      <c r="BD54" s="20">
        <v>100</v>
      </c>
      <c r="BE54" s="19">
        <f t="shared" si="105"/>
        <v>0</v>
      </c>
      <c r="BF54" s="20">
        <v>100</v>
      </c>
      <c r="BG54" s="20">
        <v>24</v>
      </c>
      <c r="BH54" s="20">
        <v>0</v>
      </c>
      <c r="BI54" s="20">
        <f t="shared" si="106"/>
        <v>24</v>
      </c>
      <c r="BJ54" s="20"/>
      <c r="BK54" s="20">
        <f t="shared" si="107"/>
        <v>76</v>
      </c>
      <c r="BL54" s="20">
        <f>_xlfn.XLOOKUP(B54,'[5]Product List'!$A:$A,'[5]Product List'!$B:$B,0)</f>
        <v>0</v>
      </c>
      <c r="BM54" s="19">
        <f t="shared" si="108"/>
        <v>76</v>
      </c>
      <c r="BN54" s="20">
        <v>0</v>
      </c>
      <c r="BO54" s="20">
        <v>36</v>
      </c>
      <c r="BP54" s="20">
        <v>0</v>
      </c>
      <c r="BQ54" s="20">
        <f t="shared" si="109"/>
        <v>36</v>
      </c>
      <c r="BR54" s="20"/>
      <c r="BS54" s="20">
        <f t="shared" si="110"/>
        <v>40</v>
      </c>
      <c r="BT54" s="20">
        <f>_xlfn.XLOOKUP(J54,'[5]Product List'!$A:$A,'[5]Product List'!$B:$B,0)</f>
        <v>0</v>
      </c>
      <c r="BU54" s="19">
        <f t="shared" si="111"/>
        <v>40</v>
      </c>
      <c r="BV54" s="20">
        <v>0</v>
      </c>
      <c r="BW54" s="20">
        <v>21</v>
      </c>
      <c r="BX54" s="20">
        <v>0</v>
      </c>
      <c r="BY54" s="20">
        <f t="shared" si="112"/>
        <v>21</v>
      </c>
      <c r="BZ54" s="20"/>
      <c r="CA54" s="20">
        <f t="shared" si="113"/>
        <v>19</v>
      </c>
      <c r="CB54" s="20"/>
      <c r="CC54" s="20"/>
      <c r="CD54" s="19">
        <v>19</v>
      </c>
      <c r="CE54" s="20">
        <v>0</v>
      </c>
      <c r="CF54" s="20">
        <f>_xlfn.XLOOKUP(B54,[2]Sheet1!$A$4:$A$38,[2]Sheet1!$B$4:$B$38)</f>
        <v>5</v>
      </c>
      <c r="CG54" s="20">
        <v>0</v>
      </c>
      <c r="CH54" s="20">
        <f t="shared" si="114"/>
        <v>5</v>
      </c>
      <c r="CI54" s="20"/>
      <c r="CJ54" s="20">
        <f t="shared" si="115"/>
        <v>14</v>
      </c>
      <c r="CK54" s="20"/>
      <c r="CL54" s="20">
        <f t="shared" si="116"/>
        <v>14</v>
      </c>
      <c r="CM54" s="20">
        <v>14</v>
      </c>
      <c r="CN54" s="20">
        <v>50</v>
      </c>
      <c r="CO54" s="49"/>
    </row>
    <row r="55" spans="1:93" ht="17.149999999999999" customHeight="1" x14ac:dyDescent="0.25">
      <c r="A55" s="9"/>
      <c r="B55" s="10" t="s">
        <v>130</v>
      </c>
      <c r="C55" s="21"/>
      <c r="D55" s="10"/>
      <c r="E55" s="11"/>
      <c r="F55" s="21">
        <f t="shared" ref="F55:AW55" si="117">SUM(F47:F50)</f>
        <v>306.84346500000004</v>
      </c>
      <c r="G55" s="21">
        <f t="shared" si="117"/>
        <v>0</v>
      </c>
      <c r="H55" s="21">
        <f t="shared" si="117"/>
        <v>88.25</v>
      </c>
      <c r="I55" s="21">
        <f t="shared" si="117"/>
        <v>24.541599999999999</v>
      </c>
      <c r="J55" s="21">
        <f t="shared" si="117"/>
        <v>243.13506500000005</v>
      </c>
      <c r="K55" s="21">
        <f t="shared" si="117"/>
        <v>0</v>
      </c>
      <c r="L55" s="21">
        <f t="shared" si="117"/>
        <v>0</v>
      </c>
      <c r="M55" s="21">
        <f t="shared" si="117"/>
        <v>243.13506500000005</v>
      </c>
      <c r="N55" s="21">
        <f t="shared" si="117"/>
        <v>0</v>
      </c>
      <c r="O55" s="21">
        <f t="shared" si="117"/>
        <v>185.83333200000004</v>
      </c>
      <c r="P55" s="21">
        <f t="shared" si="117"/>
        <v>59.666699999999999</v>
      </c>
      <c r="Q55" s="21">
        <f t="shared" si="117"/>
        <v>116.96843300000002</v>
      </c>
      <c r="R55" s="21">
        <f t="shared" si="117"/>
        <v>0</v>
      </c>
      <c r="S55" s="21">
        <f t="shared" si="117"/>
        <v>116.96843300000002</v>
      </c>
      <c r="T55" s="21">
        <f t="shared" si="117"/>
        <v>0</v>
      </c>
      <c r="U55" s="21">
        <f t="shared" si="117"/>
        <v>37.843401000000014</v>
      </c>
      <c r="V55" s="21">
        <f t="shared" si="117"/>
        <v>19.083300000000001</v>
      </c>
      <c r="W55" s="21">
        <f t="shared" si="117"/>
        <v>98.208332000000013</v>
      </c>
      <c r="X55" s="21">
        <f t="shared" si="117"/>
        <v>100</v>
      </c>
      <c r="Y55" s="21">
        <f t="shared" si="117"/>
        <v>98.208332000000013</v>
      </c>
      <c r="Z55" s="21">
        <f t="shared" si="117"/>
        <v>100</v>
      </c>
      <c r="AA55" s="21">
        <f t="shared" si="117"/>
        <v>64.083332999999996</v>
      </c>
      <c r="AB55" s="21">
        <f t="shared" si="117"/>
        <v>6.7917000000000005</v>
      </c>
      <c r="AC55" s="21">
        <f t="shared" si="117"/>
        <v>57.291633000000004</v>
      </c>
      <c r="AD55" s="21">
        <f t="shared" si="117"/>
        <v>140.91669899999999</v>
      </c>
      <c r="AE55" s="21">
        <f t="shared" si="117"/>
        <v>100</v>
      </c>
      <c r="AF55" s="21">
        <f t="shared" si="117"/>
        <v>42.708366999999996</v>
      </c>
      <c r="AG55" s="21">
        <f t="shared" si="117"/>
        <v>140.91669899999999</v>
      </c>
      <c r="AH55" s="21">
        <f t="shared" si="117"/>
        <v>0</v>
      </c>
      <c r="AI55" s="21">
        <f t="shared" si="117"/>
        <v>34.708332999999996</v>
      </c>
      <c r="AJ55" s="21">
        <f t="shared" si="117"/>
        <v>0</v>
      </c>
      <c r="AK55" s="21">
        <f t="shared" si="117"/>
        <v>34.708332999999996</v>
      </c>
      <c r="AL55" s="21">
        <f t="shared" si="117"/>
        <v>106.20836600000001</v>
      </c>
      <c r="AM55" s="21">
        <f t="shared" si="117"/>
        <v>0</v>
      </c>
      <c r="AN55" s="21">
        <f t="shared" si="117"/>
        <v>0</v>
      </c>
      <c r="AO55" s="21">
        <f t="shared" si="117"/>
        <v>106.20836600000001</v>
      </c>
      <c r="AP55" s="21">
        <f t="shared" si="117"/>
        <v>200</v>
      </c>
      <c r="AQ55" s="21">
        <f t="shared" si="117"/>
        <v>190.124999</v>
      </c>
      <c r="AR55" s="21">
        <f t="shared" si="117"/>
        <v>3.7082999999999999</v>
      </c>
      <c r="AS55" s="21">
        <f t="shared" si="117"/>
        <v>186.41669899999999</v>
      </c>
      <c r="AT55" s="21">
        <f t="shared" si="117"/>
        <v>119.79166700000002</v>
      </c>
      <c r="AU55" s="21">
        <f t="shared" si="117"/>
        <v>0</v>
      </c>
      <c r="AV55" s="21">
        <f t="shared" si="117"/>
        <v>0</v>
      </c>
      <c r="AW55" s="21">
        <f t="shared" si="117"/>
        <v>0</v>
      </c>
      <c r="AX55" s="21">
        <f t="shared" ref="AX55:BV55" si="118">SUM(AX47:AX54)</f>
        <v>119.79166700000002</v>
      </c>
      <c r="AY55" s="21">
        <f t="shared" si="118"/>
        <v>300</v>
      </c>
      <c r="AZ55" s="21">
        <f t="shared" si="118"/>
        <v>123.583332</v>
      </c>
      <c r="BA55" s="21">
        <f t="shared" si="118"/>
        <v>0</v>
      </c>
      <c r="BB55" s="21">
        <f t="shared" si="118"/>
        <v>123.583332</v>
      </c>
      <c r="BC55" s="21">
        <f t="shared" si="118"/>
        <v>296.20833500000003</v>
      </c>
      <c r="BD55" s="21">
        <f t="shared" si="118"/>
        <v>600</v>
      </c>
      <c r="BE55" s="21">
        <f t="shared" si="118"/>
        <v>296.20833500000003</v>
      </c>
      <c r="BF55" s="21">
        <f t="shared" si="118"/>
        <v>600</v>
      </c>
      <c r="BG55" s="21">
        <f t="shared" si="118"/>
        <v>222.874999</v>
      </c>
      <c r="BH55" s="21">
        <f t="shared" si="118"/>
        <v>0</v>
      </c>
      <c r="BI55" s="21">
        <f t="shared" si="118"/>
        <v>222.874999</v>
      </c>
      <c r="BJ55" s="21">
        <f t="shared" si="118"/>
        <v>0</v>
      </c>
      <c r="BK55" s="21">
        <f t="shared" si="118"/>
        <v>673.33333600000003</v>
      </c>
      <c r="BL55" s="21">
        <f t="shared" si="118"/>
        <v>400</v>
      </c>
      <c r="BM55" s="21">
        <f t="shared" si="118"/>
        <v>673.33333600000003</v>
      </c>
      <c r="BN55" s="21">
        <f t="shared" si="118"/>
        <v>0</v>
      </c>
      <c r="BO55" s="21">
        <f t="shared" si="118"/>
        <v>220</v>
      </c>
      <c r="BP55" s="21">
        <f t="shared" si="118"/>
        <v>0</v>
      </c>
      <c r="BQ55" s="21">
        <f t="shared" si="118"/>
        <v>220</v>
      </c>
      <c r="BR55" s="21">
        <f t="shared" si="118"/>
        <v>0</v>
      </c>
      <c r="BS55" s="21">
        <f t="shared" si="118"/>
        <v>453.33333600000003</v>
      </c>
      <c r="BT55" s="21">
        <f t="shared" si="118"/>
        <v>0</v>
      </c>
      <c r="BU55" s="21">
        <f t="shared" si="118"/>
        <v>453.33333600000003</v>
      </c>
      <c r="BV55" s="21">
        <f t="shared" si="118"/>
        <v>380</v>
      </c>
      <c r="BW55" s="21">
        <v>214.08339999999998</v>
      </c>
      <c r="BX55" s="21">
        <v>26.791699999999999</v>
      </c>
      <c r="BY55" s="21">
        <f>SUM(BY47:BY54)</f>
        <v>187.29169999999999</v>
      </c>
      <c r="BZ55" s="21">
        <f>SUM(BZ47:BZ54)</f>
        <v>0</v>
      </c>
      <c r="CA55" s="21">
        <f>SUM(CA47:CA54)</f>
        <v>646.04163600000004</v>
      </c>
      <c r="CB55" s="21">
        <f t="shared" ref="CB55:CN55" si="119">SUM(CB47:CB54)</f>
        <v>20</v>
      </c>
      <c r="CC55" s="21">
        <f t="shared" si="119"/>
        <v>0</v>
      </c>
      <c r="CD55" s="21">
        <f t="shared" si="119"/>
        <v>646.04163600000004</v>
      </c>
      <c r="CE55" s="21">
        <f t="shared" si="119"/>
        <v>0</v>
      </c>
      <c r="CF55" s="21">
        <f t="shared" ref="CF55" si="120">SUM(CF47:CF54)</f>
        <v>108.9999</v>
      </c>
      <c r="CG55" s="21">
        <f t="shared" ref="CG55" si="121">SUM(CG47:CG54)</f>
        <v>12.083299999999999</v>
      </c>
      <c r="CH55" s="21">
        <f t="shared" ref="CH55" si="122">SUM(CH47:CH54)</f>
        <v>96.916600000000003</v>
      </c>
      <c r="CI55" s="21">
        <f t="shared" si="119"/>
        <v>0</v>
      </c>
      <c r="CJ55" s="21">
        <f t="shared" si="119"/>
        <v>549.12503600000002</v>
      </c>
      <c r="CK55" s="21">
        <f t="shared" si="119"/>
        <v>0</v>
      </c>
      <c r="CL55" s="21">
        <f t="shared" si="119"/>
        <v>549.12503600000002</v>
      </c>
      <c r="CM55" s="21"/>
      <c r="CN55" s="21">
        <f t="shared" ref="CN55" si="123">SUM(CN47:CN54)</f>
        <v>300</v>
      </c>
      <c r="CO55" s="49"/>
    </row>
    <row r="56" spans="1:93" ht="17.149999999999999" customHeight="1" x14ac:dyDescent="0.25">
      <c r="A56" s="6" t="s">
        <v>46</v>
      </c>
      <c r="B56" s="7" t="s">
        <v>43</v>
      </c>
      <c r="C56" s="20">
        <v>750</v>
      </c>
      <c r="D56" s="26">
        <v>2746.212121212121</v>
      </c>
      <c r="E56" s="8">
        <v>24</v>
      </c>
      <c r="F56" s="19">
        <f>'24-25'!CI43</f>
        <v>302.32503300000008</v>
      </c>
      <c r="G56" s="20">
        <v>0</v>
      </c>
      <c r="H56" s="20">
        <v>69.625</v>
      </c>
      <c r="I56" s="20"/>
      <c r="J56" s="20">
        <f>F56+G56+I56-H56</f>
        <v>232.70003300000008</v>
      </c>
      <c r="K56" s="20"/>
      <c r="L56" s="20"/>
      <c r="M56" s="19">
        <f>J56</f>
        <v>232.70003300000008</v>
      </c>
      <c r="N56" s="20">
        <v>0</v>
      </c>
      <c r="O56" s="20">
        <v>244.25</v>
      </c>
      <c r="P56" s="20">
        <v>14.666700000000001</v>
      </c>
      <c r="Q56" s="20">
        <f>M56+N56+P56-O56</f>
        <v>3.1167330000000675</v>
      </c>
      <c r="R56" s="20"/>
      <c r="S56" s="19">
        <f>Q56</f>
        <v>3.1167330000000675</v>
      </c>
      <c r="T56" s="20"/>
      <c r="U56" s="20">
        <v>42.116767000000067</v>
      </c>
      <c r="V56" s="20">
        <v>41.541699999999999</v>
      </c>
      <c r="W56" s="20">
        <f>S56+T56+V56-U56</f>
        <v>2.5416659999999993</v>
      </c>
      <c r="X56" s="20">
        <v>300</v>
      </c>
      <c r="Y56" s="19">
        <f>W56</f>
        <v>2.5416659999999993</v>
      </c>
      <c r="Z56" s="20">
        <v>585</v>
      </c>
      <c r="AA56" s="20">
        <v>380.45833200000004</v>
      </c>
      <c r="AB56" s="20">
        <v>10</v>
      </c>
      <c r="AC56" s="20">
        <f>AA56-AB56</f>
        <v>370.45833200000004</v>
      </c>
      <c r="AD56" s="20">
        <f>Y56+Z56+AB56-AA56</f>
        <v>217.08333399999992</v>
      </c>
      <c r="AE56" s="20">
        <v>400</v>
      </c>
      <c r="AF56" s="20">
        <f>+AE56-AC56</f>
        <v>29.541667999999959</v>
      </c>
      <c r="AG56" s="19">
        <f>+AD56</f>
        <v>217.08333399999992</v>
      </c>
      <c r="AH56" s="20">
        <v>0</v>
      </c>
      <c r="AI56" s="20">
        <v>197.70833300000001</v>
      </c>
      <c r="AJ56" s="20"/>
      <c r="AK56" s="20">
        <f>AI56-AJ56</f>
        <v>197.70833300000001</v>
      </c>
      <c r="AL56" s="20">
        <f>AG56+AH56+AJ56-AI56</f>
        <v>19.375000999999912</v>
      </c>
      <c r="AM56" s="20"/>
      <c r="AN56" s="20"/>
      <c r="AO56" s="19">
        <f>+AL56</f>
        <v>19.375000999999912</v>
      </c>
      <c r="AP56" s="20">
        <v>250</v>
      </c>
      <c r="AQ56" s="20">
        <v>55.583333000000003</v>
      </c>
      <c r="AR56" s="20">
        <v>0.54169999999999996</v>
      </c>
      <c r="AS56" s="20">
        <f>AQ56-AR56</f>
        <v>55.041633000000004</v>
      </c>
      <c r="AT56" s="20">
        <f>AO56+AP56+AR56-AQ56</f>
        <v>214.33336799999987</v>
      </c>
      <c r="AU56" s="20"/>
      <c r="AV56" s="20"/>
      <c r="AW56" s="20"/>
      <c r="AX56" s="19">
        <f>+AT56</f>
        <v>214.33336799999987</v>
      </c>
      <c r="AY56" s="20">
        <v>250</v>
      </c>
      <c r="AZ56" s="20">
        <v>79</v>
      </c>
      <c r="BA56" s="20">
        <v>0</v>
      </c>
      <c r="BB56" s="20">
        <f>AZ56-BA56</f>
        <v>79</v>
      </c>
      <c r="BC56" s="20">
        <f>AX56+AY56+BA56-AZ56</f>
        <v>385.33336799999984</v>
      </c>
      <c r="BD56" s="20"/>
      <c r="BE56" s="19">
        <f>+BC56</f>
        <v>385.33336799999984</v>
      </c>
      <c r="BF56" s="20">
        <v>0</v>
      </c>
      <c r="BG56" s="20">
        <v>218.83333300000001</v>
      </c>
      <c r="BH56" s="20">
        <v>0</v>
      </c>
      <c r="BI56" s="20">
        <f>+BG56-BH56</f>
        <v>218.83333300000001</v>
      </c>
      <c r="BJ56" s="20"/>
      <c r="BK56" s="20">
        <f>BE56+BF56+BH56-BG56-BJ56</f>
        <v>166.50003499999983</v>
      </c>
      <c r="BL56" s="20">
        <v>200</v>
      </c>
      <c r="BM56" s="19">
        <f>+BK56+BJ56</f>
        <v>166.50003499999983</v>
      </c>
      <c r="BN56" s="20">
        <v>0</v>
      </c>
      <c r="BO56" s="20">
        <v>187.08333300000001</v>
      </c>
      <c r="BP56" s="20">
        <v>21.083300000000001</v>
      </c>
      <c r="BQ56" s="20">
        <f>BO56-BP56</f>
        <v>166.000033</v>
      </c>
      <c r="BR56" s="20"/>
      <c r="BS56" s="20">
        <f>BM56+BN56+BP56-BO56-BR56</f>
        <v>0.50000199999982442</v>
      </c>
      <c r="BT56" s="20"/>
      <c r="BU56" s="19">
        <f>BS56+BR56</f>
        <v>0.50000199999982442</v>
      </c>
      <c r="BV56" s="20">
        <v>200</v>
      </c>
      <c r="BW56" s="20">
        <v>148.20840000000001</v>
      </c>
      <c r="BX56" s="20">
        <v>5.6666999999999996</v>
      </c>
      <c r="BY56" s="20">
        <f>BW56-BX56</f>
        <v>142.54170000000002</v>
      </c>
      <c r="BZ56" s="20"/>
      <c r="CA56" s="20">
        <f>BU56+BV56+BX56-BW56-BZ56</f>
        <v>57.958301999999804</v>
      </c>
      <c r="CB56" s="20"/>
      <c r="CC56" s="20"/>
      <c r="CD56" s="19">
        <v>57.958301999999804</v>
      </c>
      <c r="CE56" s="20">
        <f>_xlfn.XLOOKUP(B56,[4]Sheet2!$A$5:$A$25,[4]Sheet2!$B$5:$B$25)</f>
        <v>200</v>
      </c>
      <c r="CF56" s="20">
        <f>_xlfn.XLOOKUP(B56,[2]Sheet1!$A$4:$A$38,[2]Sheet1!$B$4:$B$38)</f>
        <v>128.75</v>
      </c>
      <c r="CG56" s="20">
        <f>_xlfn.XLOOKUP(B56,[3]Sheet1!$A$4:$A$22,[3]Sheet1!$B$4:$B$22)</f>
        <v>2.875</v>
      </c>
      <c r="CH56" s="20">
        <f>CF56-CG56</f>
        <v>125.875</v>
      </c>
      <c r="CI56" s="20"/>
      <c r="CJ56" s="20">
        <f>CD56+CE56+CG56-CF56-CI56</f>
        <v>132.08330199999978</v>
      </c>
      <c r="CK56" s="20"/>
      <c r="CL56" s="20">
        <f t="shared" ref="CL56:CM67" si="124">CK56+CJ56</f>
        <v>132.08330199999978</v>
      </c>
      <c r="CM56" s="20">
        <f t="shared" si="124"/>
        <v>132.08330199999978</v>
      </c>
      <c r="CN56" s="20">
        <v>225</v>
      </c>
      <c r="CO56" s="49"/>
    </row>
    <row r="57" spans="1:93" ht="17.149999999999999" customHeight="1" x14ac:dyDescent="0.25">
      <c r="A57" s="6" t="s">
        <v>46</v>
      </c>
      <c r="B57" s="7" t="s">
        <v>44</v>
      </c>
      <c r="C57" s="20">
        <v>750</v>
      </c>
      <c r="D57" s="26">
        <v>2746.212121212121</v>
      </c>
      <c r="E57" s="8">
        <v>24</v>
      </c>
      <c r="F57" s="19">
        <f>'24-25'!CI44</f>
        <v>294.08663400000012</v>
      </c>
      <c r="G57" s="20">
        <v>0</v>
      </c>
      <c r="H57" s="20">
        <v>79.625</v>
      </c>
      <c r="I57" s="20"/>
      <c r="J57" s="20">
        <f>F57+G57+I57-H57</f>
        <v>214.46163400000012</v>
      </c>
      <c r="K57" s="20"/>
      <c r="L57" s="20"/>
      <c r="M57" s="19">
        <f>J57</f>
        <v>214.46163400000012</v>
      </c>
      <c r="N57" s="20">
        <v>0</v>
      </c>
      <c r="O57" s="20">
        <v>227.45833300000001</v>
      </c>
      <c r="P57" s="20">
        <v>16.333300000000001</v>
      </c>
      <c r="Q57" s="20">
        <f>M57+N57+P57-O57</f>
        <v>3.3366010000001154</v>
      </c>
      <c r="R57" s="20"/>
      <c r="S57" s="19">
        <f>Q57</f>
        <v>3.3366010000001154</v>
      </c>
      <c r="T57" s="20"/>
      <c r="U57" s="20">
        <v>95.211701000000119</v>
      </c>
      <c r="V57" s="20">
        <v>95.000100000000003</v>
      </c>
      <c r="W57" s="20">
        <f>S57+T57+V57-U57</f>
        <v>3.125</v>
      </c>
      <c r="X57" s="20">
        <v>300</v>
      </c>
      <c r="Y57" s="19">
        <f>W57</f>
        <v>3.125</v>
      </c>
      <c r="Z57" s="20">
        <v>502</v>
      </c>
      <c r="AA57" s="20">
        <v>376.66666599999996</v>
      </c>
      <c r="AB57" s="20">
        <v>10</v>
      </c>
      <c r="AC57" s="20">
        <f>AA57-AB57</f>
        <v>366.66666599999996</v>
      </c>
      <c r="AD57" s="20">
        <f>Y57+Z57+AB57-AA57</f>
        <v>138.45833400000004</v>
      </c>
      <c r="AE57" s="20">
        <v>400</v>
      </c>
      <c r="AF57" s="20">
        <f>+AE57-AC57</f>
        <v>33.333334000000036</v>
      </c>
      <c r="AG57" s="19">
        <f>+AD57</f>
        <v>138.45833400000004</v>
      </c>
      <c r="AH57" s="20">
        <v>0</v>
      </c>
      <c r="AI57" s="20">
        <v>124.41666600000001</v>
      </c>
      <c r="AJ57" s="20"/>
      <c r="AK57" s="20">
        <f>AI57-AJ57</f>
        <v>124.41666600000001</v>
      </c>
      <c r="AL57" s="20">
        <f>AG57+AH57+AJ57-AI57</f>
        <v>14.04166800000003</v>
      </c>
      <c r="AM57" s="20"/>
      <c r="AN57" s="20"/>
      <c r="AO57" s="19">
        <f>+AL57</f>
        <v>14.04166800000003</v>
      </c>
      <c r="AP57" s="20">
        <v>260</v>
      </c>
      <c r="AQ57" s="20">
        <v>64</v>
      </c>
      <c r="AR57" s="20">
        <v>0</v>
      </c>
      <c r="AS57" s="20">
        <f>AQ57-AR57</f>
        <v>64</v>
      </c>
      <c r="AT57" s="20">
        <f>AO57+AP57+AR57-AQ57</f>
        <v>210.04166800000002</v>
      </c>
      <c r="AU57" s="20"/>
      <c r="AV57" s="20"/>
      <c r="AW57" s="20"/>
      <c r="AX57" s="19">
        <f>+AT57</f>
        <v>210.04166800000002</v>
      </c>
      <c r="AY57" s="20">
        <v>230</v>
      </c>
      <c r="AZ57" s="20">
        <v>102.125</v>
      </c>
      <c r="BA57" s="20">
        <v>0</v>
      </c>
      <c r="BB57" s="20">
        <f>AZ57-BA57</f>
        <v>102.125</v>
      </c>
      <c r="BC57" s="20">
        <f>AX57+AY57+BA57-AZ57</f>
        <v>337.91666800000002</v>
      </c>
      <c r="BD57" s="20">
        <v>100</v>
      </c>
      <c r="BE57" s="19">
        <f>+BC57</f>
        <v>337.91666800000002</v>
      </c>
      <c r="BF57" s="20">
        <v>100</v>
      </c>
      <c r="BG57" s="20">
        <v>205.75</v>
      </c>
      <c r="BH57" s="20">
        <v>0</v>
      </c>
      <c r="BI57" s="20">
        <f>+BG57-BH57</f>
        <v>205.75</v>
      </c>
      <c r="BJ57" s="20"/>
      <c r="BK57" s="20">
        <f>BE57+BF57+BH57-BG57-BJ57</f>
        <v>232.16666800000002</v>
      </c>
      <c r="BL57" s="20">
        <v>100</v>
      </c>
      <c r="BM57" s="19">
        <f>+BK57+BJ57</f>
        <v>232.16666800000002</v>
      </c>
      <c r="BN57" s="20">
        <v>0</v>
      </c>
      <c r="BO57" s="20">
        <v>197.91666599999999</v>
      </c>
      <c r="BP57" s="20">
        <v>23.916699999999999</v>
      </c>
      <c r="BQ57" s="20">
        <f>BO57-BP57</f>
        <v>173.999966</v>
      </c>
      <c r="BR57" s="20"/>
      <c r="BS57" s="20">
        <f>BM57+BN57+BP57-BO57-BR57</f>
        <v>58.166702000000015</v>
      </c>
      <c r="BT57" s="20"/>
      <c r="BU57" s="19">
        <f>BS57+BR57</f>
        <v>58.166702000000015</v>
      </c>
      <c r="BV57" s="20">
        <v>100</v>
      </c>
      <c r="BW57" s="20">
        <v>162.54169999999999</v>
      </c>
      <c r="BX57" s="20">
        <v>32.875</v>
      </c>
      <c r="BY57" s="20">
        <f>BW57-BX57</f>
        <v>129.66669999999999</v>
      </c>
      <c r="BZ57" s="20"/>
      <c r="CA57" s="20">
        <f>BU57+BV57+BX57-BW57-BZ57</f>
        <v>28.500002000000023</v>
      </c>
      <c r="CB57" s="20"/>
      <c r="CC57" s="20"/>
      <c r="CD57" s="19">
        <v>28.500002000000023</v>
      </c>
      <c r="CE57" s="20">
        <f>_xlfn.XLOOKUP(B57,[4]Sheet2!$A$5:$A$25,[4]Sheet2!$B$5:$B$25)</f>
        <v>200</v>
      </c>
      <c r="CF57" s="20">
        <f>_xlfn.XLOOKUP(B57,[2]Sheet1!$A$4:$A$38,[2]Sheet1!$B$4:$B$38)</f>
        <v>100.79169999999999</v>
      </c>
      <c r="CG57" s="20">
        <f>_xlfn.XLOOKUP(B57,[3]Sheet1!$A$4:$A$22,[3]Sheet1!$B$4:$B$22)</f>
        <v>2.9167000000000001</v>
      </c>
      <c r="CH57" s="20">
        <f>CF57-CG57</f>
        <v>97.874999999999986</v>
      </c>
      <c r="CI57" s="20"/>
      <c r="CJ57" s="20">
        <f>CD57+CE57+CG57-CF57-CI57</f>
        <v>130.62500200000002</v>
      </c>
      <c r="CK57" s="20"/>
      <c r="CL57" s="20">
        <f t="shared" si="124"/>
        <v>130.62500200000002</v>
      </c>
      <c r="CM57" s="20">
        <f t="shared" si="124"/>
        <v>130.62500200000002</v>
      </c>
      <c r="CN57" s="20">
        <v>225</v>
      </c>
      <c r="CO57" s="49"/>
    </row>
    <row r="58" spans="1:93" ht="17.149999999999999" customHeight="1" x14ac:dyDescent="0.25">
      <c r="A58" s="6" t="s">
        <v>46</v>
      </c>
      <c r="B58" s="7" t="s">
        <v>129</v>
      </c>
      <c r="C58" s="20">
        <v>750</v>
      </c>
      <c r="D58" s="26">
        <v>2746.212121212121</v>
      </c>
      <c r="E58" s="8">
        <v>24</v>
      </c>
      <c r="F58" s="19"/>
      <c r="G58" s="20"/>
      <c r="H58" s="20"/>
      <c r="I58" s="20"/>
      <c r="J58" s="20"/>
      <c r="K58" s="20"/>
      <c r="L58" s="20"/>
      <c r="M58" s="19"/>
      <c r="N58" s="20"/>
      <c r="O58" s="20"/>
      <c r="P58" s="20"/>
      <c r="Q58" s="20"/>
      <c r="R58" s="20"/>
      <c r="S58" s="19">
        <v>0</v>
      </c>
      <c r="T58" s="20"/>
      <c r="U58" s="20"/>
      <c r="V58" s="20">
        <v>0</v>
      </c>
      <c r="W58" s="20"/>
      <c r="X58" s="20">
        <v>400</v>
      </c>
      <c r="Y58" s="19">
        <v>0</v>
      </c>
      <c r="Z58" s="20">
        <v>400</v>
      </c>
      <c r="AA58" s="20">
        <f>249.125-50</f>
        <v>199.125</v>
      </c>
      <c r="AB58" s="20">
        <v>0</v>
      </c>
      <c r="AC58" s="20">
        <f>AA58-AB58</f>
        <v>199.125</v>
      </c>
      <c r="AD58" s="20">
        <f>Y58+Z58+AB58-AA58</f>
        <v>200.875</v>
      </c>
      <c r="AE58" s="20">
        <v>0</v>
      </c>
      <c r="AF58" s="20">
        <f>+AE58-AC58</f>
        <v>-199.125</v>
      </c>
      <c r="AG58" s="19">
        <f>+AD58</f>
        <v>200.875</v>
      </c>
      <c r="AH58" s="20">
        <v>0</v>
      </c>
      <c r="AI58" s="20">
        <v>185</v>
      </c>
      <c r="AJ58" s="20"/>
      <c r="AK58" s="20">
        <f>AI58-AJ58</f>
        <v>185</v>
      </c>
      <c r="AL58" s="20">
        <f>AG58+AH58+AJ58-AI58</f>
        <v>15.875</v>
      </c>
      <c r="AM58" s="20"/>
      <c r="AN58" s="20"/>
      <c r="AO58" s="19">
        <f>+AL58</f>
        <v>15.875</v>
      </c>
      <c r="AP58" s="20">
        <v>250</v>
      </c>
      <c r="AQ58" s="20">
        <v>55</v>
      </c>
      <c r="AR58" s="20">
        <v>0</v>
      </c>
      <c r="AS58" s="20">
        <f>AQ58-AR58</f>
        <v>55</v>
      </c>
      <c r="AT58" s="20">
        <f>AO58+AP58+AR58-AQ58</f>
        <v>210.875</v>
      </c>
      <c r="AU58" s="20"/>
      <c r="AV58" s="20"/>
      <c r="AW58" s="20"/>
      <c r="AX58" s="19">
        <f>+AT58</f>
        <v>210.875</v>
      </c>
      <c r="AY58" s="20">
        <v>230</v>
      </c>
      <c r="AZ58" s="20">
        <v>206.20833300000001</v>
      </c>
      <c r="BA58" s="20">
        <v>0</v>
      </c>
      <c r="BB58" s="20">
        <f>AZ58-BA58</f>
        <v>206.20833300000001</v>
      </c>
      <c r="BC58" s="20">
        <f>AX58+AY58+BA58-AZ58</f>
        <v>234.66666699999999</v>
      </c>
      <c r="BD58" s="20"/>
      <c r="BE58" s="19">
        <f>+BC58</f>
        <v>234.66666699999999</v>
      </c>
      <c r="BF58" s="20">
        <v>0</v>
      </c>
      <c r="BG58" s="20">
        <v>161.20833300000001</v>
      </c>
      <c r="BH58" s="20">
        <v>0</v>
      </c>
      <c r="BI58" s="20">
        <f>+BG58-BH58</f>
        <v>161.20833300000001</v>
      </c>
      <c r="BJ58" s="20"/>
      <c r="BK58" s="20">
        <f>BE58+BF58+BH58-BG58-BJ58</f>
        <v>73.458333999999979</v>
      </c>
      <c r="BL58" s="20">
        <v>200</v>
      </c>
      <c r="BM58" s="19">
        <f>+BK58+BJ58</f>
        <v>73.458333999999979</v>
      </c>
      <c r="BN58" s="20">
        <v>0</v>
      </c>
      <c r="BO58" s="20">
        <v>88</v>
      </c>
      <c r="BP58" s="20">
        <v>15</v>
      </c>
      <c r="BQ58" s="20">
        <f>BO58-BP58</f>
        <v>73</v>
      </c>
      <c r="BR58" s="20"/>
      <c r="BS58" s="20">
        <f>BM58+BN58+BP58-BO58-BR58</f>
        <v>0.45833399999997937</v>
      </c>
      <c r="BT58" s="20"/>
      <c r="BU58" s="19">
        <f>BS58+BR58</f>
        <v>0.45833399999997937</v>
      </c>
      <c r="BV58" s="20">
        <v>200</v>
      </c>
      <c r="BW58" s="20">
        <v>93.208299999999994</v>
      </c>
      <c r="BX58" s="20">
        <v>25.208300000000001</v>
      </c>
      <c r="BY58" s="20">
        <f>BW58-BX58</f>
        <v>68</v>
      </c>
      <c r="BZ58" s="20"/>
      <c r="CA58" s="20">
        <f>BU58+BV58+BX58-BW58-BZ58</f>
        <v>132.45833399999998</v>
      </c>
      <c r="CB58" s="20"/>
      <c r="CC58" s="20"/>
      <c r="CD58" s="19">
        <v>132.45833399999998</v>
      </c>
      <c r="CE58" s="20">
        <f>_xlfn.XLOOKUP(B58,[4]Sheet2!$A$5:$A$25,[4]Sheet2!$B$5:$B$25)</f>
        <v>200</v>
      </c>
      <c r="CF58" s="20">
        <f>_xlfn.XLOOKUP(B58,[2]Sheet1!$A$4:$A$38,[2]Sheet1!$B$4:$B$38)</f>
        <v>66</v>
      </c>
      <c r="CG58" s="20">
        <v>0</v>
      </c>
      <c r="CH58" s="20">
        <f>CF58-CG58</f>
        <v>66</v>
      </c>
      <c r="CI58" s="20"/>
      <c r="CJ58" s="20">
        <f>CD58+CE58+CG58-CF58-CI58</f>
        <v>266.45833399999998</v>
      </c>
      <c r="CK58" s="20"/>
      <c r="CL58" s="20">
        <f t="shared" si="124"/>
        <v>266.45833399999998</v>
      </c>
      <c r="CM58" s="20">
        <f t="shared" si="124"/>
        <v>266.45833399999998</v>
      </c>
      <c r="CN58" s="20">
        <v>200</v>
      </c>
      <c r="CO58" s="49"/>
    </row>
    <row r="59" spans="1:93" ht="17.149999999999999" customHeight="1" x14ac:dyDescent="0.25">
      <c r="A59" s="6" t="s">
        <v>46</v>
      </c>
      <c r="B59" s="7" t="s">
        <v>45</v>
      </c>
      <c r="C59" s="20">
        <v>750</v>
      </c>
      <c r="D59" s="26">
        <v>2746.212121212121</v>
      </c>
      <c r="E59" s="8">
        <v>24</v>
      </c>
      <c r="F59" s="19">
        <f>'24-25'!CI45</f>
        <v>177.85826799999981</v>
      </c>
      <c r="G59" s="20">
        <v>0</v>
      </c>
      <c r="H59" s="20">
        <v>75.625</v>
      </c>
      <c r="I59" s="20"/>
      <c r="J59" s="20">
        <f>F59+G59+I59-H59</f>
        <v>102.23326799999981</v>
      </c>
      <c r="K59" s="20"/>
      <c r="L59" s="20"/>
      <c r="M59" s="19">
        <f>J59</f>
        <v>102.23326799999981</v>
      </c>
      <c r="N59" s="20">
        <v>0</v>
      </c>
      <c r="O59" s="20">
        <v>123.125</v>
      </c>
      <c r="P59" s="20">
        <v>21.125</v>
      </c>
      <c r="Q59" s="20">
        <f>M59+N59+P59-O59</f>
        <v>0.23326799999981063</v>
      </c>
      <c r="R59" s="20">
        <v>100</v>
      </c>
      <c r="S59" s="19">
        <f>Q59</f>
        <v>0.23326799999981063</v>
      </c>
      <c r="T59" s="20">
        <v>100</v>
      </c>
      <c r="U59" s="20">
        <v>145.7749349999998</v>
      </c>
      <c r="V59" s="20">
        <v>53.625</v>
      </c>
      <c r="W59" s="20">
        <f>S59+T59+V59-U59</f>
        <v>8.0833330000000103</v>
      </c>
      <c r="X59" s="20">
        <v>400</v>
      </c>
      <c r="Y59" s="19">
        <f>W59</f>
        <v>8.0833330000000103</v>
      </c>
      <c r="Z59" s="20">
        <v>690</v>
      </c>
      <c r="AA59" s="20">
        <v>317.83333299999998</v>
      </c>
      <c r="AB59" s="20">
        <v>10</v>
      </c>
      <c r="AC59" s="20">
        <f>AA59-AB59</f>
        <v>307.83333299999998</v>
      </c>
      <c r="AD59" s="20">
        <f>Y59+Z59+AB59-AA59</f>
        <v>390.25000000000006</v>
      </c>
      <c r="AE59" s="20">
        <v>400</v>
      </c>
      <c r="AF59" s="20">
        <f>+AE59-AC59</f>
        <v>92.166667000000018</v>
      </c>
      <c r="AG59" s="19">
        <f>+AD59</f>
        <v>390.25000000000006</v>
      </c>
      <c r="AH59" s="20">
        <v>0</v>
      </c>
      <c r="AI59" s="20">
        <v>229.29166599999999</v>
      </c>
      <c r="AJ59" s="20"/>
      <c r="AK59" s="20">
        <f>AI59-AJ59</f>
        <v>229.29166599999999</v>
      </c>
      <c r="AL59" s="20">
        <f>AG59+AH59+AJ59-AI59</f>
        <v>160.95833400000006</v>
      </c>
      <c r="AM59" s="20"/>
      <c r="AN59" s="20"/>
      <c r="AO59" s="19">
        <f>+AL59</f>
        <v>160.95833400000006</v>
      </c>
      <c r="AP59" s="20">
        <v>260</v>
      </c>
      <c r="AQ59" s="20">
        <v>65.625</v>
      </c>
      <c r="AR59" s="20">
        <v>0.625</v>
      </c>
      <c r="AS59" s="20">
        <f>AQ59-AR59</f>
        <v>65</v>
      </c>
      <c r="AT59" s="20">
        <f>AO59+AP59+AR59-AQ59</f>
        <v>355.95833400000004</v>
      </c>
      <c r="AU59" s="20"/>
      <c r="AV59" s="20"/>
      <c r="AW59" s="20"/>
      <c r="AX59" s="19">
        <f>+AT59</f>
        <v>355.95833400000004</v>
      </c>
      <c r="AY59" s="20">
        <v>210</v>
      </c>
      <c r="AZ59" s="20">
        <v>119.25</v>
      </c>
      <c r="BA59" s="20">
        <v>0</v>
      </c>
      <c r="BB59" s="20">
        <f>AZ59-BA59</f>
        <v>119.25</v>
      </c>
      <c r="BC59" s="20">
        <f>AX59+AY59+BA59-AZ59</f>
        <v>446.70833400000004</v>
      </c>
      <c r="BD59" s="20"/>
      <c r="BE59" s="19">
        <f>+BC59</f>
        <v>446.70833400000004</v>
      </c>
      <c r="BF59" s="20">
        <v>0</v>
      </c>
      <c r="BG59" s="20">
        <v>237.08333300000001</v>
      </c>
      <c r="BH59" s="20">
        <v>0</v>
      </c>
      <c r="BI59" s="20">
        <f>+BG59-BH59</f>
        <v>237.08333300000001</v>
      </c>
      <c r="BJ59" s="20"/>
      <c r="BK59" s="20">
        <f>BE59+BF59+BH59-BG59-BJ59</f>
        <v>209.62500100000003</v>
      </c>
      <c r="BL59" s="20">
        <v>200</v>
      </c>
      <c r="BM59" s="19">
        <f>+BK59+BJ59</f>
        <v>209.62500100000003</v>
      </c>
      <c r="BN59" s="20">
        <v>0</v>
      </c>
      <c r="BO59" s="20">
        <v>257</v>
      </c>
      <c r="BP59" s="20">
        <v>50</v>
      </c>
      <c r="BQ59" s="20">
        <f>BO59-BP59</f>
        <v>207</v>
      </c>
      <c r="BR59" s="20"/>
      <c r="BS59" s="20">
        <f>BM59+BN59+BP59-BO59-BR59</f>
        <v>2.6250009999999975</v>
      </c>
      <c r="BT59" s="20"/>
      <c r="BU59" s="19">
        <f>BS59+BR59</f>
        <v>2.6250009999999975</v>
      </c>
      <c r="BV59" s="20">
        <v>200</v>
      </c>
      <c r="BW59" s="20">
        <v>195.375</v>
      </c>
      <c r="BX59" s="20">
        <v>17.291699999999999</v>
      </c>
      <c r="BY59" s="20">
        <f>BW59-BX59</f>
        <v>178.08330000000001</v>
      </c>
      <c r="BZ59" s="20"/>
      <c r="CA59" s="20">
        <f>BU59+BV59+BX59-BW59-BZ59</f>
        <v>24.541700999999989</v>
      </c>
      <c r="CB59" s="20"/>
      <c r="CC59" s="20"/>
      <c r="CD59" s="19">
        <v>24.541700999999989</v>
      </c>
      <c r="CE59" s="20">
        <f>_xlfn.XLOOKUP(B59,[4]Sheet2!$A$5:$A$25,[4]Sheet2!$B$5:$B$25)</f>
        <v>300</v>
      </c>
      <c r="CF59" s="20">
        <f>_xlfn.XLOOKUP(B59,[2]Sheet1!$A$4:$A$38,[2]Sheet1!$B$4:$B$38)</f>
        <v>217.54169999999999</v>
      </c>
      <c r="CG59" s="20">
        <f>_xlfn.XLOOKUP(B59,[3]Sheet1!$A$4:$A$22,[3]Sheet1!$B$4:$B$22)</f>
        <v>4.6667000000000005</v>
      </c>
      <c r="CH59" s="20">
        <f>CF59-CG59</f>
        <v>212.875</v>
      </c>
      <c r="CI59" s="20"/>
      <c r="CJ59" s="20">
        <f>CD59+CE59+CG59-CF59-CI59</f>
        <v>111.66670099999999</v>
      </c>
      <c r="CK59" s="20"/>
      <c r="CL59" s="20">
        <f t="shared" si="124"/>
        <v>111.66670099999999</v>
      </c>
      <c r="CM59" s="20">
        <f t="shared" si="124"/>
        <v>111.66670099999999</v>
      </c>
      <c r="CN59" s="20">
        <v>200</v>
      </c>
      <c r="CO59" s="49"/>
    </row>
    <row r="60" spans="1:93" ht="17.149999999999999" customHeight="1" x14ac:dyDescent="0.25">
      <c r="A60" s="6" t="s">
        <v>46</v>
      </c>
      <c r="B60" s="7" t="s">
        <v>170</v>
      </c>
      <c r="C60" s="20"/>
      <c r="D60" s="26"/>
      <c r="E60" s="8"/>
      <c r="F60" s="19"/>
      <c r="G60" s="20"/>
      <c r="H60" s="20"/>
      <c r="I60" s="20"/>
      <c r="J60" s="20"/>
      <c r="K60" s="20"/>
      <c r="L60" s="20"/>
      <c r="M60" s="19"/>
      <c r="N60" s="20"/>
      <c r="O60" s="20"/>
      <c r="P60" s="20"/>
      <c r="Q60" s="20"/>
      <c r="R60" s="20"/>
      <c r="S60" s="19"/>
      <c r="T60" s="20"/>
      <c r="U60" s="20"/>
      <c r="V60" s="20"/>
      <c r="W60" s="20"/>
      <c r="X60" s="20"/>
      <c r="Y60" s="19"/>
      <c r="Z60" s="20"/>
      <c r="AA60" s="20"/>
      <c r="AB60" s="20"/>
      <c r="AC60" s="20"/>
      <c r="AD60" s="20"/>
      <c r="AE60" s="20"/>
      <c r="AF60" s="20"/>
      <c r="AG60" s="19"/>
      <c r="AH60" s="20"/>
      <c r="AI60" s="20"/>
      <c r="AJ60" s="20"/>
      <c r="AK60" s="20"/>
      <c r="AL60" s="20"/>
      <c r="AM60" s="20"/>
      <c r="AN60" s="20"/>
      <c r="AO60" s="19"/>
      <c r="AP60" s="20"/>
      <c r="AQ60" s="20"/>
      <c r="AR60" s="20"/>
      <c r="AS60" s="20"/>
      <c r="AT60" s="20"/>
      <c r="AU60" s="20"/>
      <c r="AV60" s="20"/>
      <c r="AW60" s="20"/>
      <c r="AX60" s="19"/>
      <c r="AY60" s="20"/>
      <c r="AZ60" s="20"/>
      <c r="BA60" s="20"/>
      <c r="BB60" s="20"/>
      <c r="BC60" s="20"/>
      <c r="BD60" s="20"/>
      <c r="BE60" s="19"/>
      <c r="BF60" s="20"/>
      <c r="BG60" s="20"/>
      <c r="BH60" s="20"/>
      <c r="BI60" s="20"/>
      <c r="BJ60" s="20"/>
      <c r="BK60" s="20"/>
      <c r="BL60" s="20"/>
      <c r="BM60" s="19"/>
      <c r="BN60" s="20"/>
      <c r="BO60" s="20"/>
      <c r="BP60" s="20"/>
      <c r="BQ60" s="20"/>
      <c r="BR60" s="20"/>
      <c r="BS60" s="20"/>
      <c r="BT60" s="20"/>
      <c r="BU60" s="19"/>
      <c r="BV60" s="20"/>
      <c r="BW60" s="20"/>
      <c r="BX60" s="20"/>
      <c r="BY60" s="20"/>
      <c r="BZ60" s="20"/>
      <c r="CA60" s="20"/>
      <c r="CB60" s="20"/>
      <c r="CC60" s="20"/>
      <c r="CD60" s="19"/>
      <c r="CE60" s="20"/>
      <c r="CF60" s="20"/>
      <c r="CG60" s="20"/>
      <c r="CH60" s="20"/>
      <c r="CI60" s="20"/>
      <c r="CJ60" s="20"/>
      <c r="CK60" s="20"/>
      <c r="CL60" s="20">
        <f t="shared" si="124"/>
        <v>0</v>
      </c>
      <c r="CM60" s="20"/>
      <c r="CN60" s="20"/>
    </row>
    <row r="61" spans="1:93" ht="17.149999999999999" customHeight="1" x14ac:dyDescent="0.25">
      <c r="A61" s="6" t="s">
        <v>46</v>
      </c>
      <c r="B61" s="7" t="s">
        <v>171</v>
      </c>
      <c r="C61" s="20"/>
      <c r="D61" s="26"/>
      <c r="E61" s="8"/>
      <c r="F61" s="19"/>
      <c r="G61" s="20"/>
      <c r="H61" s="20"/>
      <c r="I61" s="20"/>
      <c r="J61" s="20"/>
      <c r="K61" s="20"/>
      <c r="L61" s="20"/>
      <c r="M61" s="19"/>
      <c r="N61" s="20"/>
      <c r="O61" s="20"/>
      <c r="P61" s="20"/>
      <c r="Q61" s="20"/>
      <c r="R61" s="20"/>
      <c r="S61" s="19"/>
      <c r="T61" s="20"/>
      <c r="U61" s="20"/>
      <c r="V61" s="20"/>
      <c r="W61" s="20"/>
      <c r="X61" s="20"/>
      <c r="Y61" s="19"/>
      <c r="Z61" s="20"/>
      <c r="AA61" s="20"/>
      <c r="AB61" s="20"/>
      <c r="AC61" s="20"/>
      <c r="AD61" s="20"/>
      <c r="AE61" s="20"/>
      <c r="AF61" s="20"/>
      <c r="AG61" s="19"/>
      <c r="AH61" s="20"/>
      <c r="AI61" s="20"/>
      <c r="AJ61" s="20"/>
      <c r="AK61" s="20"/>
      <c r="AL61" s="20"/>
      <c r="AM61" s="20"/>
      <c r="AN61" s="20"/>
      <c r="AO61" s="19"/>
      <c r="AP61" s="20"/>
      <c r="AQ61" s="20"/>
      <c r="AR61" s="20"/>
      <c r="AS61" s="20"/>
      <c r="AT61" s="20"/>
      <c r="AU61" s="20"/>
      <c r="AV61" s="20"/>
      <c r="AW61" s="20"/>
      <c r="AX61" s="19"/>
      <c r="AY61" s="20"/>
      <c r="AZ61" s="20"/>
      <c r="BA61" s="20"/>
      <c r="BB61" s="20"/>
      <c r="BC61" s="20"/>
      <c r="BD61" s="20"/>
      <c r="BE61" s="19"/>
      <c r="BF61" s="20"/>
      <c r="BG61" s="20"/>
      <c r="BH61" s="20"/>
      <c r="BI61" s="20"/>
      <c r="BJ61" s="20"/>
      <c r="BK61" s="20"/>
      <c r="BL61" s="20"/>
      <c r="BM61" s="19"/>
      <c r="BN61" s="20"/>
      <c r="BO61" s="20"/>
      <c r="BP61" s="20"/>
      <c r="BQ61" s="20"/>
      <c r="BR61" s="20"/>
      <c r="BS61" s="20"/>
      <c r="BT61" s="20"/>
      <c r="BU61" s="19"/>
      <c r="BV61" s="20"/>
      <c r="BW61" s="20"/>
      <c r="BX61" s="20"/>
      <c r="BY61" s="20"/>
      <c r="BZ61" s="20"/>
      <c r="CA61" s="20"/>
      <c r="CB61" s="20"/>
      <c r="CC61" s="20"/>
      <c r="CD61" s="19"/>
      <c r="CE61" s="20"/>
      <c r="CF61" s="20"/>
      <c r="CG61" s="20"/>
      <c r="CH61" s="20"/>
      <c r="CI61" s="20"/>
      <c r="CJ61" s="20"/>
      <c r="CK61" s="20"/>
      <c r="CL61" s="20">
        <f t="shared" si="124"/>
        <v>0</v>
      </c>
      <c r="CM61" s="20"/>
      <c r="CN61" s="20"/>
    </row>
    <row r="62" spans="1:93" ht="17.149999999999999" customHeight="1" x14ac:dyDescent="0.25">
      <c r="A62" s="6" t="s">
        <v>46</v>
      </c>
      <c r="B62" s="7" t="s">
        <v>172</v>
      </c>
      <c r="C62" s="20"/>
      <c r="D62" s="26"/>
      <c r="E62" s="8"/>
      <c r="F62" s="19"/>
      <c r="G62" s="20"/>
      <c r="H62" s="20"/>
      <c r="I62" s="20"/>
      <c r="J62" s="20"/>
      <c r="K62" s="20"/>
      <c r="L62" s="20"/>
      <c r="M62" s="19"/>
      <c r="N62" s="20"/>
      <c r="O62" s="20"/>
      <c r="P62" s="20"/>
      <c r="Q62" s="20"/>
      <c r="R62" s="20"/>
      <c r="S62" s="19"/>
      <c r="T62" s="20"/>
      <c r="U62" s="20"/>
      <c r="V62" s="20"/>
      <c r="W62" s="20"/>
      <c r="X62" s="20"/>
      <c r="Y62" s="19"/>
      <c r="Z62" s="20"/>
      <c r="AA62" s="20"/>
      <c r="AB62" s="20"/>
      <c r="AC62" s="20"/>
      <c r="AD62" s="20"/>
      <c r="AE62" s="20"/>
      <c r="AF62" s="20"/>
      <c r="AG62" s="19"/>
      <c r="AH62" s="20"/>
      <c r="AI62" s="20"/>
      <c r="AJ62" s="20"/>
      <c r="AK62" s="20"/>
      <c r="AL62" s="20"/>
      <c r="AM62" s="20"/>
      <c r="AN62" s="20"/>
      <c r="AO62" s="19"/>
      <c r="AP62" s="20"/>
      <c r="AQ62" s="20"/>
      <c r="AR62" s="20"/>
      <c r="AS62" s="20"/>
      <c r="AT62" s="20"/>
      <c r="AU62" s="20"/>
      <c r="AV62" s="20"/>
      <c r="AW62" s="20"/>
      <c r="AX62" s="19"/>
      <c r="AY62" s="20"/>
      <c r="AZ62" s="20"/>
      <c r="BA62" s="20"/>
      <c r="BB62" s="20"/>
      <c r="BC62" s="20"/>
      <c r="BD62" s="20"/>
      <c r="BE62" s="19"/>
      <c r="BF62" s="20"/>
      <c r="BG62" s="20"/>
      <c r="BH62" s="20"/>
      <c r="BI62" s="20"/>
      <c r="BJ62" s="20"/>
      <c r="BK62" s="20"/>
      <c r="BL62" s="20"/>
      <c r="BM62" s="19"/>
      <c r="BN62" s="20"/>
      <c r="BO62" s="20"/>
      <c r="BP62" s="20"/>
      <c r="BQ62" s="20"/>
      <c r="BR62" s="20"/>
      <c r="BS62" s="20"/>
      <c r="BT62" s="20"/>
      <c r="BU62" s="19"/>
      <c r="BV62" s="20"/>
      <c r="BW62" s="20"/>
      <c r="BX62" s="20"/>
      <c r="BY62" s="20"/>
      <c r="BZ62" s="20"/>
      <c r="CA62" s="20"/>
      <c r="CB62" s="20"/>
      <c r="CC62" s="20"/>
      <c r="CD62" s="19"/>
      <c r="CE62" s="20"/>
      <c r="CF62" s="20"/>
      <c r="CG62" s="20"/>
      <c r="CH62" s="20"/>
      <c r="CI62" s="20"/>
      <c r="CJ62" s="20"/>
      <c r="CK62" s="20"/>
      <c r="CL62" s="20">
        <f t="shared" si="124"/>
        <v>0</v>
      </c>
      <c r="CM62" s="20"/>
      <c r="CN62" s="20"/>
    </row>
    <row r="63" spans="1:93" ht="17.149999999999999" customHeight="1" x14ac:dyDescent="0.25">
      <c r="A63" s="6" t="s">
        <v>46</v>
      </c>
      <c r="B63" s="7" t="s">
        <v>173</v>
      </c>
      <c r="C63" s="20"/>
      <c r="D63" s="26"/>
      <c r="E63" s="8"/>
      <c r="F63" s="19"/>
      <c r="G63" s="20"/>
      <c r="H63" s="20"/>
      <c r="I63" s="20"/>
      <c r="J63" s="20"/>
      <c r="K63" s="20"/>
      <c r="L63" s="20"/>
      <c r="M63" s="19"/>
      <c r="N63" s="20"/>
      <c r="O63" s="20"/>
      <c r="P63" s="20"/>
      <c r="Q63" s="20"/>
      <c r="R63" s="20"/>
      <c r="S63" s="19"/>
      <c r="T63" s="20"/>
      <c r="U63" s="20"/>
      <c r="V63" s="20"/>
      <c r="W63" s="20"/>
      <c r="X63" s="20"/>
      <c r="Y63" s="19"/>
      <c r="Z63" s="20"/>
      <c r="AA63" s="20"/>
      <c r="AB63" s="20"/>
      <c r="AC63" s="20"/>
      <c r="AD63" s="20"/>
      <c r="AE63" s="20"/>
      <c r="AF63" s="20"/>
      <c r="AG63" s="19"/>
      <c r="AH63" s="20"/>
      <c r="AI63" s="20"/>
      <c r="AJ63" s="20"/>
      <c r="AK63" s="20"/>
      <c r="AL63" s="20"/>
      <c r="AM63" s="20"/>
      <c r="AN63" s="20"/>
      <c r="AO63" s="19"/>
      <c r="AP63" s="20"/>
      <c r="AQ63" s="20"/>
      <c r="AR63" s="20"/>
      <c r="AS63" s="20"/>
      <c r="AT63" s="20"/>
      <c r="AU63" s="20"/>
      <c r="AV63" s="20"/>
      <c r="AW63" s="20"/>
      <c r="AX63" s="19"/>
      <c r="AY63" s="20"/>
      <c r="AZ63" s="20"/>
      <c r="BA63" s="20"/>
      <c r="BB63" s="20"/>
      <c r="BC63" s="20"/>
      <c r="BD63" s="20"/>
      <c r="BE63" s="19"/>
      <c r="BF63" s="20"/>
      <c r="BG63" s="20"/>
      <c r="BH63" s="20"/>
      <c r="BI63" s="20"/>
      <c r="BJ63" s="20"/>
      <c r="BK63" s="20"/>
      <c r="BL63" s="20"/>
      <c r="BM63" s="19"/>
      <c r="BN63" s="20"/>
      <c r="BO63" s="20"/>
      <c r="BP63" s="20"/>
      <c r="BQ63" s="20"/>
      <c r="BR63" s="20"/>
      <c r="BS63" s="20"/>
      <c r="BT63" s="20"/>
      <c r="BU63" s="19"/>
      <c r="BV63" s="20"/>
      <c r="BW63" s="20"/>
      <c r="BX63" s="20"/>
      <c r="BY63" s="20"/>
      <c r="BZ63" s="20"/>
      <c r="CA63" s="20"/>
      <c r="CB63" s="20"/>
      <c r="CC63" s="20"/>
      <c r="CD63" s="19"/>
      <c r="CE63" s="20"/>
      <c r="CF63" s="20"/>
      <c r="CG63" s="20"/>
      <c r="CH63" s="20"/>
      <c r="CI63" s="20"/>
      <c r="CJ63" s="20"/>
      <c r="CK63" s="20"/>
      <c r="CL63" s="20">
        <f t="shared" si="124"/>
        <v>0</v>
      </c>
      <c r="CM63" s="20"/>
      <c r="CN63" s="20"/>
    </row>
    <row r="64" spans="1:93" ht="17.149999999999999" customHeight="1" x14ac:dyDescent="0.25">
      <c r="A64" s="6" t="s">
        <v>46</v>
      </c>
      <c r="B64" s="7" t="s">
        <v>174</v>
      </c>
      <c r="C64" s="20"/>
      <c r="D64" s="26"/>
      <c r="E64" s="8"/>
      <c r="F64" s="19"/>
      <c r="G64" s="20"/>
      <c r="H64" s="20"/>
      <c r="I64" s="20"/>
      <c r="J64" s="20"/>
      <c r="K64" s="20"/>
      <c r="L64" s="20"/>
      <c r="M64" s="19"/>
      <c r="N64" s="20"/>
      <c r="O64" s="20"/>
      <c r="P64" s="20"/>
      <c r="Q64" s="20"/>
      <c r="R64" s="20"/>
      <c r="S64" s="19"/>
      <c r="T64" s="20"/>
      <c r="U64" s="20"/>
      <c r="V64" s="20"/>
      <c r="W64" s="20"/>
      <c r="X64" s="20"/>
      <c r="Y64" s="19"/>
      <c r="Z64" s="20"/>
      <c r="AA64" s="20"/>
      <c r="AB64" s="20"/>
      <c r="AC64" s="20"/>
      <c r="AD64" s="20"/>
      <c r="AE64" s="20"/>
      <c r="AF64" s="20"/>
      <c r="AG64" s="19"/>
      <c r="AH64" s="20"/>
      <c r="AI64" s="20"/>
      <c r="AJ64" s="20"/>
      <c r="AK64" s="20"/>
      <c r="AL64" s="20"/>
      <c r="AM64" s="20"/>
      <c r="AN64" s="20"/>
      <c r="AO64" s="19"/>
      <c r="AP64" s="20"/>
      <c r="AQ64" s="20"/>
      <c r="AR64" s="20"/>
      <c r="AS64" s="20"/>
      <c r="AT64" s="20"/>
      <c r="AU64" s="20"/>
      <c r="AV64" s="20"/>
      <c r="AW64" s="20"/>
      <c r="AX64" s="19"/>
      <c r="AY64" s="20"/>
      <c r="AZ64" s="20"/>
      <c r="BA64" s="20"/>
      <c r="BB64" s="20"/>
      <c r="BC64" s="20"/>
      <c r="BD64" s="20"/>
      <c r="BE64" s="19"/>
      <c r="BF64" s="20"/>
      <c r="BG64" s="20"/>
      <c r="BH64" s="20"/>
      <c r="BI64" s="20"/>
      <c r="BJ64" s="20"/>
      <c r="BK64" s="20"/>
      <c r="BL64" s="20"/>
      <c r="BM64" s="19"/>
      <c r="BN64" s="20"/>
      <c r="BO64" s="20"/>
      <c r="BP64" s="20"/>
      <c r="BQ64" s="20"/>
      <c r="BR64" s="20"/>
      <c r="BS64" s="20"/>
      <c r="BT64" s="20"/>
      <c r="BU64" s="19"/>
      <c r="BV64" s="20"/>
      <c r="BW64" s="20"/>
      <c r="BX64" s="20"/>
      <c r="BY64" s="20"/>
      <c r="BZ64" s="20"/>
      <c r="CA64" s="20"/>
      <c r="CB64" s="20"/>
      <c r="CC64" s="20"/>
      <c r="CD64" s="19"/>
      <c r="CE64" s="20"/>
      <c r="CF64" s="20"/>
      <c r="CG64" s="20"/>
      <c r="CH64" s="20"/>
      <c r="CI64" s="20"/>
      <c r="CJ64" s="20"/>
      <c r="CK64" s="20"/>
      <c r="CL64" s="20">
        <f t="shared" si="124"/>
        <v>0</v>
      </c>
      <c r="CM64" s="20"/>
      <c r="CN64" s="20"/>
    </row>
    <row r="65" spans="1:92" ht="17.149999999999999" customHeight="1" x14ac:dyDescent="0.25">
      <c r="A65" s="6" t="s">
        <v>46</v>
      </c>
      <c r="B65" s="7" t="s">
        <v>175</v>
      </c>
      <c r="C65" s="20"/>
      <c r="D65" s="26"/>
      <c r="E65" s="8"/>
      <c r="F65" s="19"/>
      <c r="G65" s="20"/>
      <c r="H65" s="20"/>
      <c r="I65" s="20"/>
      <c r="J65" s="20"/>
      <c r="K65" s="20"/>
      <c r="L65" s="20"/>
      <c r="M65" s="19"/>
      <c r="N65" s="20"/>
      <c r="O65" s="20"/>
      <c r="P65" s="20"/>
      <c r="Q65" s="20"/>
      <c r="R65" s="20"/>
      <c r="S65" s="19"/>
      <c r="T65" s="20"/>
      <c r="U65" s="20"/>
      <c r="V65" s="20"/>
      <c r="W65" s="20"/>
      <c r="X65" s="20"/>
      <c r="Y65" s="19"/>
      <c r="Z65" s="20"/>
      <c r="AA65" s="20"/>
      <c r="AB65" s="20"/>
      <c r="AC65" s="20"/>
      <c r="AD65" s="20"/>
      <c r="AE65" s="20"/>
      <c r="AF65" s="20"/>
      <c r="AG65" s="19"/>
      <c r="AH65" s="20"/>
      <c r="AI65" s="20"/>
      <c r="AJ65" s="20"/>
      <c r="AK65" s="20"/>
      <c r="AL65" s="20"/>
      <c r="AM65" s="20"/>
      <c r="AN65" s="20"/>
      <c r="AO65" s="19"/>
      <c r="AP65" s="20"/>
      <c r="AQ65" s="20"/>
      <c r="AR65" s="20"/>
      <c r="AS65" s="20"/>
      <c r="AT65" s="20"/>
      <c r="AU65" s="20"/>
      <c r="AV65" s="20"/>
      <c r="AW65" s="20"/>
      <c r="AX65" s="19"/>
      <c r="AY65" s="20"/>
      <c r="AZ65" s="20"/>
      <c r="BA65" s="20"/>
      <c r="BB65" s="20"/>
      <c r="BC65" s="20"/>
      <c r="BD65" s="20"/>
      <c r="BE65" s="19"/>
      <c r="BF65" s="20"/>
      <c r="BG65" s="20"/>
      <c r="BH65" s="20"/>
      <c r="BI65" s="20"/>
      <c r="BJ65" s="20"/>
      <c r="BK65" s="20"/>
      <c r="BL65" s="20"/>
      <c r="BM65" s="19"/>
      <c r="BN65" s="20"/>
      <c r="BO65" s="20"/>
      <c r="BP65" s="20"/>
      <c r="BQ65" s="20"/>
      <c r="BR65" s="20"/>
      <c r="BS65" s="20"/>
      <c r="BT65" s="20"/>
      <c r="BU65" s="19"/>
      <c r="BV65" s="20"/>
      <c r="BW65" s="20"/>
      <c r="BX65" s="20"/>
      <c r="BY65" s="20"/>
      <c r="BZ65" s="20"/>
      <c r="CA65" s="20"/>
      <c r="CB65" s="20"/>
      <c r="CC65" s="20"/>
      <c r="CD65" s="19"/>
      <c r="CE65" s="20"/>
      <c r="CF65" s="20"/>
      <c r="CG65" s="20"/>
      <c r="CH65" s="20"/>
      <c r="CI65" s="20"/>
      <c r="CJ65" s="20"/>
      <c r="CK65" s="20"/>
      <c r="CL65" s="20">
        <f t="shared" si="124"/>
        <v>0</v>
      </c>
      <c r="CM65" s="20"/>
      <c r="CN65" s="20"/>
    </row>
    <row r="66" spans="1:92" ht="17.149999999999999" customHeight="1" x14ac:dyDescent="0.25">
      <c r="A66" s="6" t="s">
        <v>46</v>
      </c>
      <c r="B66" s="7" t="s">
        <v>176</v>
      </c>
      <c r="C66" s="20"/>
      <c r="D66" s="26"/>
      <c r="E66" s="8"/>
      <c r="F66" s="19"/>
      <c r="G66" s="20"/>
      <c r="H66" s="20"/>
      <c r="I66" s="20"/>
      <c r="J66" s="20"/>
      <c r="K66" s="20"/>
      <c r="L66" s="20"/>
      <c r="M66" s="19"/>
      <c r="N66" s="20"/>
      <c r="O66" s="20"/>
      <c r="P66" s="20"/>
      <c r="Q66" s="20"/>
      <c r="R66" s="20"/>
      <c r="S66" s="19"/>
      <c r="T66" s="20"/>
      <c r="U66" s="20"/>
      <c r="V66" s="20"/>
      <c r="W66" s="20"/>
      <c r="X66" s="20"/>
      <c r="Y66" s="19"/>
      <c r="Z66" s="20"/>
      <c r="AA66" s="20"/>
      <c r="AB66" s="20"/>
      <c r="AC66" s="20"/>
      <c r="AD66" s="20"/>
      <c r="AE66" s="20"/>
      <c r="AF66" s="20"/>
      <c r="AG66" s="19"/>
      <c r="AH66" s="20"/>
      <c r="AI66" s="20"/>
      <c r="AJ66" s="20"/>
      <c r="AK66" s="20"/>
      <c r="AL66" s="20"/>
      <c r="AM66" s="20"/>
      <c r="AN66" s="20"/>
      <c r="AO66" s="19"/>
      <c r="AP66" s="20"/>
      <c r="AQ66" s="20"/>
      <c r="AR66" s="20"/>
      <c r="AS66" s="20"/>
      <c r="AT66" s="20"/>
      <c r="AU66" s="20"/>
      <c r="AV66" s="20"/>
      <c r="AW66" s="20"/>
      <c r="AX66" s="19"/>
      <c r="AY66" s="20"/>
      <c r="AZ66" s="20"/>
      <c r="BA66" s="20"/>
      <c r="BB66" s="20"/>
      <c r="BC66" s="20"/>
      <c r="BD66" s="20"/>
      <c r="BE66" s="19"/>
      <c r="BF66" s="20"/>
      <c r="BG66" s="20"/>
      <c r="BH66" s="20"/>
      <c r="BI66" s="20"/>
      <c r="BJ66" s="20"/>
      <c r="BK66" s="20"/>
      <c r="BL66" s="20"/>
      <c r="BM66" s="19"/>
      <c r="BN66" s="20"/>
      <c r="BO66" s="20"/>
      <c r="BP66" s="20"/>
      <c r="BQ66" s="20"/>
      <c r="BR66" s="20"/>
      <c r="BS66" s="20"/>
      <c r="BT66" s="20"/>
      <c r="BU66" s="19"/>
      <c r="BV66" s="20"/>
      <c r="BW66" s="20"/>
      <c r="BX66" s="20"/>
      <c r="BY66" s="20"/>
      <c r="BZ66" s="20"/>
      <c r="CA66" s="20"/>
      <c r="CB66" s="20"/>
      <c r="CC66" s="20"/>
      <c r="CD66" s="19"/>
      <c r="CE66" s="20"/>
      <c r="CF66" s="20"/>
      <c r="CG66" s="20"/>
      <c r="CH66" s="20"/>
      <c r="CI66" s="20"/>
      <c r="CJ66" s="20"/>
      <c r="CK66" s="20"/>
      <c r="CL66" s="20">
        <f t="shared" si="124"/>
        <v>0</v>
      </c>
      <c r="CM66" s="20"/>
      <c r="CN66" s="20"/>
    </row>
    <row r="67" spans="1:92" ht="17.149999999999999" customHeight="1" x14ac:dyDescent="0.25">
      <c r="A67" s="6" t="s">
        <v>46</v>
      </c>
      <c r="B67" s="7" t="s">
        <v>177</v>
      </c>
      <c r="C67" s="20"/>
      <c r="D67" s="26"/>
      <c r="E67" s="8"/>
      <c r="F67" s="19"/>
      <c r="G67" s="20"/>
      <c r="H67" s="20"/>
      <c r="I67" s="20"/>
      <c r="J67" s="20"/>
      <c r="K67" s="20"/>
      <c r="L67" s="20"/>
      <c r="M67" s="19"/>
      <c r="N67" s="20"/>
      <c r="O67" s="20"/>
      <c r="P67" s="20"/>
      <c r="Q67" s="20"/>
      <c r="R67" s="20"/>
      <c r="S67" s="19"/>
      <c r="T67" s="20"/>
      <c r="U67" s="20"/>
      <c r="V67" s="20"/>
      <c r="W67" s="20"/>
      <c r="X67" s="20"/>
      <c r="Y67" s="19"/>
      <c r="Z67" s="20"/>
      <c r="AA67" s="20"/>
      <c r="AB67" s="20"/>
      <c r="AC67" s="20"/>
      <c r="AD67" s="20"/>
      <c r="AE67" s="20"/>
      <c r="AF67" s="20"/>
      <c r="AG67" s="19"/>
      <c r="AH67" s="20"/>
      <c r="AI67" s="20"/>
      <c r="AJ67" s="20"/>
      <c r="AK67" s="20"/>
      <c r="AL67" s="20"/>
      <c r="AM67" s="20"/>
      <c r="AN67" s="20"/>
      <c r="AO67" s="19"/>
      <c r="AP67" s="20"/>
      <c r="AQ67" s="20"/>
      <c r="AR67" s="20"/>
      <c r="AS67" s="20"/>
      <c r="AT67" s="20"/>
      <c r="AU67" s="20"/>
      <c r="AV67" s="20"/>
      <c r="AW67" s="20"/>
      <c r="AX67" s="19"/>
      <c r="AY67" s="20"/>
      <c r="AZ67" s="20"/>
      <c r="BA67" s="20"/>
      <c r="BB67" s="20"/>
      <c r="BC67" s="20"/>
      <c r="BD67" s="20"/>
      <c r="BE67" s="19"/>
      <c r="BF67" s="20"/>
      <c r="BG67" s="20"/>
      <c r="BH67" s="20"/>
      <c r="BI67" s="20"/>
      <c r="BJ67" s="20"/>
      <c r="BK67" s="20"/>
      <c r="BL67" s="20"/>
      <c r="BM67" s="19"/>
      <c r="BN67" s="20"/>
      <c r="BO67" s="20"/>
      <c r="BP67" s="20"/>
      <c r="BQ67" s="20"/>
      <c r="BR67" s="20"/>
      <c r="BS67" s="20"/>
      <c r="BT67" s="20"/>
      <c r="BU67" s="19"/>
      <c r="BV67" s="20"/>
      <c r="BW67" s="20"/>
      <c r="BX67" s="20"/>
      <c r="BY67" s="20"/>
      <c r="BZ67" s="20"/>
      <c r="CA67" s="20"/>
      <c r="CB67" s="20"/>
      <c r="CC67" s="20"/>
      <c r="CD67" s="19"/>
      <c r="CE67" s="20"/>
      <c r="CF67" s="20"/>
      <c r="CG67" s="20"/>
      <c r="CH67" s="20"/>
      <c r="CI67" s="20"/>
      <c r="CJ67" s="20"/>
      <c r="CK67" s="20"/>
      <c r="CL67" s="20">
        <f t="shared" si="124"/>
        <v>0</v>
      </c>
      <c r="CM67" s="20"/>
      <c r="CN67" s="20"/>
    </row>
    <row r="68" spans="1:92" ht="17.149999999999999" customHeight="1" x14ac:dyDescent="0.25">
      <c r="A68" s="9"/>
      <c r="B68" s="10" t="s">
        <v>41</v>
      </c>
      <c r="C68" s="21"/>
      <c r="D68" s="10"/>
      <c r="E68" s="11"/>
      <c r="F68" s="21">
        <f t="shared" ref="F68:AK68" si="125">SUM(F56:F59)</f>
        <v>774.26993500000003</v>
      </c>
      <c r="G68" s="21">
        <f t="shared" si="125"/>
        <v>0</v>
      </c>
      <c r="H68" s="21">
        <f t="shared" si="125"/>
        <v>224.875</v>
      </c>
      <c r="I68" s="21">
        <f t="shared" si="125"/>
        <v>0</v>
      </c>
      <c r="J68" s="21">
        <f t="shared" si="125"/>
        <v>549.39493500000003</v>
      </c>
      <c r="K68" s="21">
        <f t="shared" si="125"/>
        <v>0</v>
      </c>
      <c r="L68" s="21">
        <f t="shared" si="125"/>
        <v>0</v>
      </c>
      <c r="M68" s="21">
        <f t="shared" si="125"/>
        <v>549.39493500000003</v>
      </c>
      <c r="N68" s="21">
        <f t="shared" si="125"/>
        <v>0</v>
      </c>
      <c r="O68" s="21">
        <f t="shared" si="125"/>
        <v>594.83333300000004</v>
      </c>
      <c r="P68" s="21">
        <f t="shared" si="125"/>
        <v>52.125</v>
      </c>
      <c r="Q68" s="21">
        <f t="shared" si="125"/>
        <v>6.6866019999999935</v>
      </c>
      <c r="R68" s="21">
        <f t="shared" si="125"/>
        <v>100</v>
      </c>
      <c r="S68" s="21">
        <f t="shared" si="125"/>
        <v>6.6866019999999935</v>
      </c>
      <c r="T68" s="21">
        <f t="shared" si="125"/>
        <v>100</v>
      </c>
      <c r="U68" s="21">
        <f t="shared" si="125"/>
        <v>283.10340299999996</v>
      </c>
      <c r="V68" s="21">
        <f t="shared" si="125"/>
        <v>190.16679999999999</v>
      </c>
      <c r="W68" s="21">
        <f t="shared" si="125"/>
        <v>13.74999900000001</v>
      </c>
      <c r="X68" s="21">
        <f t="shared" si="125"/>
        <v>1400</v>
      </c>
      <c r="Y68" s="21">
        <f t="shared" si="125"/>
        <v>13.74999900000001</v>
      </c>
      <c r="Z68" s="21">
        <f t="shared" si="125"/>
        <v>2177</v>
      </c>
      <c r="AA68" s="21">
        <f t="shared" si="125"/>
        <v>1274.083331</v>
      </c>
      <c r="AB68" s="21">
        <f t="shared" si="125"/>
        <v>30</v>
      </c>
      <c r="AC68" s="21">
        <f t="shared" si="125"/>
        <v>1244.083331</v>
      </c>
      <c r="AD68" s="21">
        <f t="shared" si="125"/>
        <v>946.66666800000007</v>
      </c>
      <c r="AE68" s="21">
        <f t="shared" si="125"/>
        <v>1200</v>
      </c>
      <c r="AF68" s="21">
        <f t="shared" si="125"/>
        <v>-44.083330999999987</v>
      </c>
      <c r="AG68" s="21">
        <f t="shared" si="125"/>
        <v>946.66666800000007</v>
      </c>
      <c r="AH68" s="21">
        <f t="shared" si="125"/>
        <v>0</v>
      </c>
      <c r="AI68" s="21">
        <f t="shared" si="125"/>
        <v>736.41666499999997</v>
      </c>
      <c r="AJ68" s="21">
        <f t="shared" si="125"/>
        <v>0</v>
      </c>
      <c r="AK68" s="21">
        <f t="shared" si="125"/>
        <v>736.41666499999997</v>
      </c>
      <c r="AL68" s="21">
        <f t="shared" ref="AL68:BT68" si="126">SUM(AL56:AL59)</f>
        <v>210.25000299999999</v>
      </c>
      <c r="AM68" s="21">
        <f t="shared" si="126"/>
        <v>0</v>
      </c>
      <c r="AN68" s="21">
        <f t="shared" si="126"/>
        <v>0</v>
      </c>
      <c r="AO68" s="21">
        <f t="shared" si="126"/>
        <v>210.25000299999999</v>
      </c>
      <c r="AP68" s="21">
        <f t="shared" si="126"/>
        <v>1020</v>
      </c>
      <c r="AQ68" s="21">
        <f t="shared" si="126"/>
        <v>240.20833300000001</v>
      </c>
      <c r="AR68" s="21">
        <f t="shared" si="126"/>
        <v>1.1667000000000001</v>
      </c>
      <c r="AS68" s="21">
        <f t="shared" si="126"/>
        <v>239.04163299999999</v>
      </c>
      <c r="AT68" s="21">
        <f t="shared" si="126"/>
        <v>991.20836999999995</v>
      </c>
      <c r="AU68" s="21">
        <f t="shared" si="126"/>
        <v>0</v>
      </c>
      <c r="AV68" s="21">
        <f t="shared" si="126"/>
        <v>0</v>
      </c>
      <c r="AW68" s="21">
        <f t="shared" si="126"/>
        <v>0</v>
      </c>
      <c r="AX68" s="21">
        <f t="shared" si="126"/>
        <v>991.20836999999995</v>
      </c>
      <c r="AY68" s="21">
        <f t="shared" si="126"/>
        <v>920</v>
      </c>
      <c r="AZ68" s="21">
        <f t="shared" si="126"/>
        <v>506.58333300000004</v>
      </c>
      <c r="BA68" s="21">
        <f t="shared" si="126"/>
        <v>0</v>
      </c>
      <c r="BB68" s="21">
        <f t="shared" si="126"/>
        <v>506.58333300000004</v>
      </c>
      <c r="BC68" s="21">
        <f t="shared" si="126"/>
        <v>1404.6250369999998</v>
      </c>
      <c r="BD68" s="21">
        <f t="shared" si="126"/>
        <v>100</v>
      </c>
      <c r="BE68" s="21">
        <f t="shared" si="126"/>
        <v>1404.6250369999998</v>
      </c>
      <c r="BF68" s="21">
        <f t="shared" si="126"/>
        <v>100</v>
      </c>
      <c r="BG68" s="21">
        <f t="shared" si="126"/>
        <v>822.87499900000012</v>
      </c>
      <c r="BH68" s="21">
        <f t="shared" si="126"/>
        <v>0</v>
      </c>
      <c r="BI68" s="21">
        <f t="shared" si="126"/>
        <v>822.87499900000012</v>
      </c>
      <c r="BJ68" s="21">
        <f t="shared" si="126"/>
        <v>0</v>
      </c>
      <c r="BK68" s="21">
        <f t="shared" si="126"/>
        <v>681.7500379999999</v>
      </c>
      <c r="BL68" s="21">
        <f t="shared" si="126"/>
        <v>700</v>
      </c>
      <c r="BM68" s="21">
        <f t="shared" si="126"/>
        <v>681.7500379999999</v>
      </c>
      <c r="BN68" s="21">
        <f t="shared" si="126"/>
        <v>0</v>
      </c>
      <c r="BO68" s="21">
        <f t="shared" si="126"/>
        <v>729.999999</v>
      </c>
      <c r="BP68" s="21">
        <f t="shared" si="126"/>
        <v>110</v>
      </c>
      <c r="BQ68" s="21">
        <f t="shared" si="126"/>
        <v>619.999999</v>
      </c>
      <c r="BR68" s="21">
        <f t="shared" si="126"/>
        <v>0</v>
      </c>
      <c r="BS68" s="21">
        <f t="shared" si="126"/>
        <v>61.750038999999816</v>
      </c>
      <c r="BT68" s="21">
        <f t="shared" si="126"/>
        <v>0</v>
      </c>
      <c r="BU68" s="21">
        <f>SUM(BU56:BU67)</f>
        <v>61.750038999999816</v>
      </c>
      <c r="BV68" s="21">
        <f t="shared" ref="BV68:CN68" si="127">SUM(BV56:BV67)</f>
        <v>700</v>
      </c>
      <c r="BW68" s="21">
        <f t="shared" si="127"/>
        <v>599.33339999999998</v>
      </c>
      <c r="BX68" s="21">
        <f t="shared" si="127"/>
        <v>81.041699999999992</v>
      </c>
      <c r="BY68" s="21">
        <f t="shared" si="127"/>
        <v>518.29169999999999</v>
      </c>
      <c r="BZ68" s="21">
        <f t="shared" si="127"/>
        <v>0</v>
      </c>
      <c r="CA68" s="21">
        <f t="shared" si="127"/>
        <v>243.4583389999998</v>
      </c>
      <c r="CB68" s="21">
        <f t="shared" si="127"/>
        <v>0</v>
      </c>
      <c r="CC68" s="21">
        <f t="shared" si="127"/>
        <v>0</v>
      </c>
      <c r="CD68" s="21">
        <f t="shared" si="127"/>
        <v>243.4583389999998</v>
      </c>
      <c r="CE68" s="21">
        <f t="shared" si="127"/>
        <v>900</v>
      </c>
      <c r="CF68" s="21">
        <f t="shared" si="127"/>
        <v>513.08339999999998</v>
      </c>
      <c r="CG68" s="21">
        <f t="shared" si="127"/>
        <v>10.458400000000001</v>
      </c>
      <c r="CH68" s="21">
        <f t="shared" si="127"/>
        <v>502.625</v>
      </c>
      <c r="CI68" s="21">
        <f t="shared" si="127"/>
        <v>0</v>
      </c>
      <c r="CJ68" s="21">
        <f t="shared" si="127"/>
        <v>640.83333899999968</v>
      </c>
      <c r="CK68" s="21">
        <f t="shared" si="127"/>
        <v>0</v>
      </c>
      <c r="CL68" s="21">
        <f t="shared" si="127"/>
        <v>640.83333899999968</v>
      </c>
      <c r="CM68" s="21"/>
      <c r="CN68" s="21">
        <f t="shared" ref="CN68" si="128">SUM(CN56:CN67)</f>
        <v>850</v>
      </c>
    </row>
    <row r="69" spans="1:92" ht="17.149999999999999" customHeight="1" x14ac:dyDescent="0.25">
      <c r="A69" s="12"/>
      <c r="B69" s="13" t="s">
        <v>42</v>
      </c>
      <c r="C69" s="22"/>
      <c r="D69" s="13"/>
      <c r="E69" s="14"/>
      <c r="F69" s="22">
        <f t="shared" ref="F69:AK69" si="129">F68+F43+F40+F34+F28+F23+F17+F14+F11+F46+F55</f>
        <v>2777.8678319999999</v>
      </c>
      <c r="G69" s="22">
        <f t="shared" si="129"/>
        <v>920</v>
      </c>
      <c r="H69" s="22">
        <f t="shared" si="129"/>
        <v>1056.75</v>
      </c>
      <c r="I69" s="22">
        <f t="shared" si="129"/>
        <v>24.541599999999999</v>
      </c>
      <c r="J69" s="22">
        <f t="shared" si="129"/>
        <v>2665.6594319999999</v>
      </c>
      <c r="K69" s="22">
        <f t="shared" si="129"/>
        <v>0</v>
      </c>
      <c r="L69" s="22">
        <f t="shared" si="129"/>
        <v>0</v>
      </c>
      <c r="M69" s="22">
        <f t="shared" si="129"/>
        <v>2665.6594319999999</v>
      </c>
      <c r="N69" s="22">
        <f t="shared" si="129"/>
        <v>1270</v>
      </c>
      <c r="O69" s="22">
        <f t="shared" si="129"/>
        <v>1789.1444409999999</v>
      </c>
      <c r="P69" s="22">
        <f t="shared" si="129"/>
        <v>159.05500000000001</v>
      </c>
      <c r="Q69" s="22">
        <f t="shared" si="129"/>
        <v>2305.5699909999998</v>
      </c>
      <c r="R69" s="22">
        <f t="shared" si="129"/>
        <v>428</v>
      </c>
      <c r="S69" s="22">
        <f t="shared" si="129"/>
        <v>2305.5699909999998</v>
      </c>
      <c r="T69" s="22">
        <f t="shared" si="129"/>
        <v>448</v>
      </c>
      <c r="U69" s="22">
        <f t="shared" si="129"/>
        <v>1377.112494</v>
      </c>
      <c r="V69" s="22">
        <f t="shared" si="129"/>
        <v>580.66590000000008</v>
      </c>
      <c r="W69" s="22">
        <f t="shared" si="129"/>
        <v>1957.1233970000005</v>
      </c>
      <c r="X69" s="22">
        <f t="shared" si="129"/>
        <v>3120</v>
      </c>
      <c r="Y69" s="22">
        <f t="shared" si="129"/>
        <v>1957.1233970000005</v>
      </c>
      <c r="Z69" s="22">
        <f t="shared" si="129"/>
        <v>3452</v>
      </c>
      <c r="AA69" s="22">
        <f t="shared" si="129"/>
        <v>2195.8599960000001</v>
      </c>
      <c r="AB69" s="22">
        <f t="shared" si="129"/>
        <v>58.801699999999997</v>
      </c>
      <c r="AC69" s="22">
        <f t="shared" si="129"/>
        <v>2137.0582960000002</v>
      </c>
      <c r="AD69" s="22">
        <f t="shared" si="129"/>
        <v>3272.0651009999997</v>
      </c>
      <c r="AE69" s="22">
        <f t="shared" si="129"/>
        <v>2815</v>
      </c>
      <c r="AF69" s="22">
        <f t="shared" si="129"/>
        <v>677.94170399999996</v>
      </c>
      <c r="AG69" s="22">
        <f t="shared" si="129"/>
        <v>3272.0651009999997</v>
      </c>
      <c r="AH69" s="22">
        <f t="shared" si="129"/>
        <v>1252</v>
      </c>
      <c r="AI69" s="22">
        <f t="shared" si="129"/>
        <v>1871.3366639999999</v>
      </c>
      <c r="AJ69" s="22">
        <f t="shared" si="129"/>
        <v>3</v>
      </c>
      <c r="AK69" s="22">
        <f t="shared" si="129"/>
        <v>1868.3366639999999</v>
      </c>
      <c r="AL69" s="22">
        <f t="shared" ref="AL69:BQ69" si="130">AL68+AL43+AL40+AL34+AL28+AL23+AL17+AL14+AL11+AL46+AL55</f>
        <v>2655.7284370000002</v>
      </c>
      <c r="AM69" s="22">
        <f t="shared" si="130"/>
        <v>0</v>
      </c>
      <c r="AN69" s="22">
        <f t="shared" si="130"/>
        <v>0</v>
      </c>
      <c r="AO69" s="22">
        <f t="shared" si="130"/>
        <v>2655.7284370000002</v>
      </c>
      <c r="AP69" s="22">
        <f t="shared" si="130"/>
        <v>2570</v>
      </c>
      <c r="AQ69" s="22">
        <f t="shared" si="130"/>
        <v>1212.643331</v>
      </c>
      <c r="AR69" s="22">
        <f t="shared" si="130"/>
        <v>62.186700000000002</v>
      </c>
      <c r="AS69" s="22">
        <f t="shared" si="130"/>
        <v>1150.456631</v>
      </c>
      <c r="AT69" s="22">
        <f t="shared" si="130"/>
        <v>4075.2718060000007</v>
      </c>
      <c r="AU69" s="22">
        <f t="shared" si="130"/>
        <v>0</v>
      </c>
      <c r="AV69" s="22">
        <f t="shared" si="130"/>
        <v>0</v>
      </c>
      <c r="AW69" s="22">
        <f t="shared" si="130"/>
        <v>0</v>
      </c>
      <c r="AX69" s="22">
        <f t="shared" si="130"/>
        <v>4075.2718060000007</v>
      </c>
      <c r="AY69" s="22">
        <f t="shared" si="130"/>
        <v>2686</v>
      </c>
      <c r="AZ69" s="22">
        <f t="shared" si="130"/>
        <v>1481.2712459999998</v>
      </c>
      <c r="BA69" s="22">
        <f t="shared" si="130"/>
        <v>0</v>
      </c>
      <c r="BB69" s="22">
        <f t="shared" si="130"/>
        <v>1481.2712459999998</v>
      </c>
      <c r="BC69" s="22">
        <f t="shared" si="130"/>
        <v>5280.0005600000004</v>
      </c>
      <c r="BD69" s="22">
        <f t="shared" si="130"/>
        <v>700</v>
      </c>
      <c r="BE69" s="22">
        <f t="shared" si="130"/>
        <v>5280.0005600000004</v>
      </c>
      <c r="BF69" s="22">
        <f t="shared" si="130"/>
        <v>700.00003300000003</v>
      </c>
      <c r="BG69" s="22">
        <f t="shared" si="130"/>
        <v>2051.4949980000001</v>
      </c>
      <c r="BH69" s="22">
        <f t="shared" si="130"/>
        <v>37.7333</v>
      </c>
      <c r="BI69" s="22">
        <f t="shared" si="130"/>
        <v>2013.7616980000003</v>
      </c>
      <c r="BJ69" s="22">
        <f t="shared" si="130"/>
        <v>63.019999999999996</v>
      </c>
      <c r="BK69" s="22">
        <f t="shared" si="130"/>
        <v>3903.2188950000004</v>
      </c>
      <c r="BL69" s="22">
        <f t="shared" si="130"/>
        <v>2090</v>
      </c>
      <c r="BM69" s="22">
        <f t="shared" si="130"/>
        <v>3966.2388950000004</v>
      </c>
      <c r="BN69" s="22">
        <f t="shared" si="130"/>
        <v>0</v>
      </c>
      <c r="BO69" s="22">
        <f t="shared" si="130"/>
        <v>1834.2362479999997</v>
      </c>
      <c r="BP69" s="22">
        <f t="shared" si="130"/>
        <v>149.06390000000002</v>
      </c>
      <c r="BQ69" s="22">
        <f t="shared" si="130"/>
        <v>1685.1723480000001</v>
      </c>
      <c r="BR69" s="22">
        <f t="shared" ref="BR69:CN69" si="131">BR68+BR43+BR40+BR34+BR28+BR23+BR17+BR14+BR11+BR46+BR55</f>
        <v>53.019999999999996</v>
      </c>
      <c r="BS69" s="22">
        <f t="shared" si="131"/>
        <v>2228.0465469999999</v>
      </c>
      <c r="BT69" s="22">
        <f t="shared" si="131"/>
        <v>25</v>
      </c>
      <c r="BU69" s="22">
        <f t="shared" si="131"/>
        <v>2281.0665469999999</v>
      </c>
      <c r="BV69" s="22">
        <f t="shared" si="131"/>
        <v>2145</v>
      </c>
      <c r="BW69" s="22">
        <f t="shared" si="131"/>
        <v>1833.7867999999999</v>
      </c>
      <c r="BX69" s="22">
        <f t="shared" si="131"/>
        <v>171.93639999999996</v>
      </c>
      <c r="BY69" s="22">
        <f t="shared" si="131"/>
        <v>1661.8504</v>
      </c>
      <c r="BZ69" s="22">
        <f t="shared" si="131"/>
        <v>53.019999999999996</v>
      </c>
      <c r="CA69" s="22">
        <f t="shared" si="131"/>
        <v>2711.1961470000001</v>
      </c>
      <c r="CB69" s="22">
        <f t="shared" si="131"/>
        <v>20</v>
      </c>
      <c r="CC69" s="22">
        <f t="shared" si="131"/>
        <v>0</v>
      </c>
      <c r="CD69" s="22">
        <f t="shared" si="131"/>
        <v>2711.1961470000001</v>
      </c>
      <c r="CE69" s="22">
        <f t="shared" si="131"/>
        <v>2962</v>
      </c>
      <c r="CF69" s="22">
        <f t="shared" si="131"/>
        <v>1847.68</v>
      </c>
      <c r="CG69" s="22">
        <f t="shared" si="131"/>
        <v>68.542500000000004</v>
      </c>
      <c r="CH69" s="22">
        <f t="shared" si="131"/>
        <v>1779.1375</v>
      </c>
      <c r="CI69" s="22">
        <f t="shared" si="131"/>
        <v>53.019999999999996</v>
      </c>
      <c r="CJ69" s="22">
        <f t="shared" si="131"/>
        <v>3841.0386469999994</v>
      </c>
      <c r="CK69" s="22">
        <f t="shared" si="131"/>
        <v>0</v>
      </c>
      <c r="CL69" s="22">
        <f t="shared" si="131"/>
        <v>3841.0386469999994</v>
      </c>
      <c r="CM69" s="22"/>
      <c r="CN69" s="22">
        <f t="shared" ref="CN69" si="132">CN68+CN43+CN40+CN34+CN28+CN23+CN17+CN14+CN11+CN46+CN55</f>
        <v>2620</v>
      </c>
    </row>
    <row r="70" spans="1:92" x14ac:dyDescent="0.25">
      <c r="F70" s="28"/>
      <c r="G70" s="28"/>
      <c r="H70" s="28"/>
      <c r="M70" s="28"/>
      <c r="N70" s="28"/>
      <c r="O70" s="28"/>
      <c r="S70" s="28"/>
      <c r="T70" s="28"/>
      <c r="U70" s="28"/>
      <c r="Y70" s="28"/>
      <c r="Z70" s="28"/>
      <c r="AA70" s="28"/>
      <c r="AG70" s="28"/>
      <c r="AH70" s="28"/>
      <c r="AI70" s="28"/>
      <c r="AO70" s="28"/>
      <c r="AP70" s="28"/>
      <c r="AQ70" s="28"/>
      <c r="AX70" s="28"/>
      <c r="AY70" s="28"/>
      <c r="AZ70" s="28"/>
      <c r="BE70" s="28"/>
      <c r="BF70" s="28"/>
      <c r="BG70" s="28"/>
      <c r="BK70" s="27"/>
      <c r="BM70" s="28"/>
      <c r="BN70" s="28"/>
      <c r="BO70" s="28"/>
    </row>
    <row r="71" spans="1:92" x14ac:dyDescent="0.25">
      <c r="F71" s="27"/>
      <c r="H71" s="27"/>
      <c r="J71" s="27"/>
      <c r="M71" s="27"/>
      <c r="O71" s="27"/>
      <c r="Q71" s="27"/>
      <c r="S71" s="27"/>
      <c r="U71" s="27"/>
      <c r="W71" s="27"/>
      <c r="Y71" s="27"/>
      <c r="AA71" s="27"/>
      <c r="AD71" s="27"/>
      <c r="AG71" s="27"/>
      <c r="AI71" s="27"/>
      <c r="AL71" s="27"/>
      <c r="AO71" s="27"/>
      <c r="AQ71" s="27"/>
      <c r="AT71" s="27"/>
      <c r="AX71" s="27"/>
      <c r="AZ71" s="27"/>
      <c r="BC71" s="27"/>
      <c r="BE71" s="27"/>
      <c r="BG71" s="27"/>
      <c r="BK71" s="27"/>
      <c r="BM71" s="27"/>
      <c r="BO71" s="27"/>
      <c r="BP71" s="27">
        <f>BM69-BQ69</f>
        <v>2281.0665470000004</v>
      </c>
      <c r="BS71" s="27"/>
    </row>
    <row r="72" spans="1:92" x14ac:dyDescent="0.25">
      <c r="H72" s="27"/>
      <c r="O72" s="27"/>
      <c r="U72" s="27"/>
      <c r="AA72" s="27"/>
      <c r="AB72" s="27"/>
      <c r="AI72" s="27"/>
      <c r="AJ72" s="27"/>
      <c r="AQ72" s="27"/>
      <c r="AR72" s="27"/>
      <c r="AZ72" s="27"/>
      <c r="BA72" s="27"/>
      <c r="BG72" s="27"/>
      <c r="BH72" s="27"/>
      <c r="BO72" s="27"/>
      <c r="BP72" s="27"/>
    </row>
    <row r="74" spans="1:92" x14ac:dyDescent="0.25">
      <c r="BK74" s="27"/>
      <c r="BS74" s="27"/>
    </row>
    <row r="77" spans="1:92" x14ac:dyDescent="0.25">
      <c r="BK77" s="27"/>
      <c r="BS77" s="27"/>
    </row>
  </sheetData>
  <autoFilter ref="A4:CN69" xr:uid="{AA50F8F0-C2DB-4FA4-9E6E-66683FB4B812}"/>
  <mergeCells count="2">
    <mergeCell ref="F3:J3"/>
    <mergeCell ref="M3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97D7-A733-4FFF-BAE0-3A97BC7BCA26}">
  <dimension ref="A1:AC33"/>
  <sheetViews>
    <sheetView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AC1" sqref="AC1"/>
    </sheetView>
  </sheetViews>
  <sheetFormatPr defaultRowHeight="11.5" x14ac:dyDescent="0.25"/>
  <cols>
    <col min="1" max="1" width="39.296875" bestFit="1" customWidth="1"/>
    <col min="2" max="2" width="8.8984375" bestFit="1" customWidth="1"/>
    <col min="3" max="3" width="6.8984375" bestFit="1" customWidth="1"/>
    <col min="4" max="4" width="8.8984375" bestFit="1" customWidth="1"/>
    <col min="5" max="5" width="6.8984375" bestFit="1" customWidth="1"/>
    <col min="6" max="6" width="8.8984375" bestFit="1" customWidth="1"/>
    <col min="7" max="7" width="6.8984375" bestFit="1" customWidth="1"/>
    <col min="8" max="8" width="8.8984375" bestFit="1" customWidth="1"/>
    <col min="9" max="9" width="6.8984375" bestFit="1" customWidth="1"/>
    <col min="10" max="10" width="8.8984375" bestFit="1" customWidth="1"/>
    <col min="11" max="11" width="6.8984375" bestFit="1" customWidth="1"/>
    <col min="12" max="12" width="8.8984375" bestFit="1" customWidth="1"/>
    <col min="13" max="13" width="6.8984375" bestFit="1" customWidth="1"/>
    <col min="14" max="14" width="8.8984375" bestFit="1" customWidth="1"/>
    <col min="15" max="15" width="6.8984375" bestFit="1" customWidth="1"/>
    <col min="16" max="16" width="8.8984375" bestFit="1" customWidth="1"/>
    <col min="17" max="17" width="6.8984375" bestFit="1" customWidth="1"/>
    <col min="18" max="18" width="8.8984375" bestFit="1" customWidth="1"/>
    <col min="19" max="19" width="6.8984375" bestFit="1" customWidth="1"/>
    <col min="20" max="20" width="8.8984375" bestFit="1" customWidth="1"/>
    <col min="21" max="21" width="6.8984375" bestFit="1" customWidth="1"/>
    <col min="22" max="22" width="8.8984375" bestFit="1" customWidth="1"/>
    <col min="23" max="23" width="6.8984375" bestFit="1" customWidth="1"/>
    <col min="24" max="24" width="8.8984375" bestFit="1" customWidth="1"/>
    <col min="25" max="25" width="6.8984375" bestFit="1" customWidth="1"/>
  </cols>
  <sheetData>
    <row r="1" spans="1:29" ht="31.5" x14ac:dyDescent="0.25">
      <c r="A1" s="34" t="s">
        <v>0</v>
      </c>
      <c r="B1" s="17" t="s">
        <v>56</v>
      </c>
      <c r="C1" s="17" t="s">
        <v>55</v>
      </c>
      <c r="D1" s="17" t="s">
        <v>57</v>
      </c>
      <c r="E1" s="17" t="s">
        <v>55</v>
      </c>
      <c r="F1" s="17" t="s">
        <v>68</v>
      </c>
      <c r="G1" s="17" t="s">
        <v>55</v>
      </c>
      <c r="H1" s="17" t="s">
        <v>73</v>
      </c>
      <c r="I1" s="17" t="s">
        <v>55</v>
      </c>
      <c r="J1" s="17" t="s">
        <v>78</v>
      </c>
      <c r="K1" s="17" t="s">
        <v>55</v>
      </c>
      <c r="L1" s="17" t="s">
        <v>83</v>
      </c>
      <c r="M1" s="17" t="s">
        <v>55</v>
      </c>
      <c r="N1" s="17" t="s">
        <v>88</v>
      </c>
      <c r="O1" s="17" t="s">
        <v>55</v>
      </c>
      <c r="P1" s="17" t="s">
        <v>94</v>
      </c>
      <c r="Q1" s="17" t="s">
        <v>55</v>
      </c>
      <c r="R1" s="17" t="s">
        <v>98</v>
      </c>
      <c r="S1" s="17" t="s">
        <v>55</v>
      </c>
      <c r="T1" s="17" t="s">
        <v>103</v>
      </c>
      <c r="U1" s="17" t="s">
        <v>55</v>
      </c>
      <c r="V1" s="17" t="s">
        <v>108</v>
      </c>
      <c r="W1" s="17" t="s">
        <v>55</v>
      </c>
      <c r="X1" s="17" t="s">
        <v>114</v>
      </c>
      <c r="Y1" s="17" t="s">
        <v>55</v>
      </c>
      <c r="Z1" s="17" t="s">
        <v>119</v>
      </c>
      <c r="AA1" s="17" t="s">
        <v>120</v>
      </c>
      <c r="AB1" s="17" t="s">
        <v>121</v>
      </c>
      <c r="AC1" s="17" t="s">
        <v>122</v>
      </c>
    </row>
    <row r="2" spans="1:29" x14ac:dyDescent="0.25">
      <c r="A2" s="7" t="s">
        <v>2</v>
      </c>
      <c r="B2" s="20">
        <v>3.27</v>
      </c>
      <c r="C2" s="20">
        <v>2.27</v>
      </c>
      <c r="D2" s="20">
        <v>102.65</v>
      </c>
      <c r="E2" s="20">
        <v>6</v>
      </c>
      <c r="F2" s="20">
        <v>65</v>
      </c>
      <c r="G2" s="20"/>
      <c r="H2" s="20">
        <v>91.4</v>
      </c>
      <c r="I2" s="20">
        <v>4.4000000000000004</v>
      </c>
      <c r="J2" s="20">
        <v>88.690000000000012</v>
      </c>
      <c r="K2" s="20">
        <v>7.6899999999999995</v>
      </c>
      <c r="L2" s="20">
        <v>81</v>
      </c>
      <c r="M2" s="20"/>
      <c r="N2" s="20">
        <v>28</v>
      </c>
      <c r="O2" s="20"/>
      <c r="P2" s="20">
        <v>67</v>
      </c>
      <c r="Q2" s="20">
        <v>5</v>
      </c>
      <c r="R2" s="20">
        <v>41.4</v>
      </c>
      <c r="S2" s="20">
        <v>14.1</v>
      </c>
      <c r="T2" s="20">
        <v>77</v>
      </c>
      <c r="U2" s="20">
        <v>4.92</v>
      </c>
      <c r="V2" s="20">
        <v>34.36</v>
      </c>
      <c r="W2" s="20">
        <v>4.74</v>
      </c>
      <c r="X2" s="20">
        <v>65</v>
      </c>
      <c r="Y2" s="20">
        <v>6.34</v>
      </c>
      <c r="Z2" s="37">
        <f>B2+D2+F2+H2+J2+L2+N2+P2+R2+T2+V2+X2</f>
        <v>744.77</v>
      </c>
      <c r="AA2" s="37">
        <f>C2+E2+G2+I2+K2+M2+O2+Q2+S2+U2+W2+Y2</f>
        <v>55.460000000000008</v>
      </c>
      <c r="AB2" s="37">
        <f>Z2-AA2</f>
        <v>689.31</v>
      </c>
      <c r="AC2" s="37">
        <f>AB2/12</f>
        <v>57.442499999999995</v>
      </c>
    </row>
    <row r="3" spans="1:29" x14ac:dyDescent="0.25">
      <c r="A3" s="7" t="s">
        <v>3</v>
      </c>
      <c r="B3" s="20">
        <v>171.1</v>
      </c>
      <c r="C3" s="20">
        <v>19.2</v>
      </c>
      <c r="D3" s="20">
        <v>294.43</v>
      </c>
      <c r="E3" s="20">
        <v>10</v>
      </c>
      <c r="F3" s="20">
        <v>229</v>
      </c>
      <c r="G3" s="20">
        <v>2</v>
      </c>
      <c r="H3" s="20">
        <v>214.6</v>
      </c>
      <c r="I3" s="20">
        <v>9</v>
      </c>
      <c r="J3" s="20">
        <v>212.5333</v>
      </c>
      <c r="K3" s="20">
        <v>6.73</v>
      </c>
      <c r="L3" s="20">
        <v>363.13329999999996</v>
      </c>
      <c r="M3" s="20"/>
      <c r="N3" s="20">
        <v>86</v>
      </c>
      <c r="O3" s="20"/>
      <c r="P3" s="20">
        <v>285</v>
      </c>
      <c r="Q3" s="20">
        <v>0</v>
      </c>
      <c r="R3" s="20">
        <v>316.8</v>
      </c>
      <c r="S3" s="20">
        <v>41.566699999999997</v>
      </c>
      <c r="T3" s="20">
        <v>268.03333300000003</v>
      </c>
      <c r="U3" s="20">
        <v>36.799999999999997</v>
      </c>
      <c r="V3" s="20">
        <v>392</v>
      </c>
      <c r="W3" s="20">
        <v>8.5333000000000006</v>
      </c>
      <c r="X3" s="20">
        <v>349.2</v>
      </c>
      <c r="Y3" s="20">
        <v>12.033300000000001</v>
      </c>
      <c r="Z3" s="37">
        <f t="shared" ref="Z3:Z32" si="0">B3+D3+F3+H3+J3+L3+N3+P3+R3+T3+V3+X3</f>
        <v>3181.8299329999995</v>
      </c>
      <c r="AA3" s="37">
        <f t="shared" ref="AA3:AA32" si="1">C3+E3+G3+I3+K3+M3+O3+Q3+S3+U3+W3+Y3</f>
        <v>145.86330000000001</v>
      </c>
      <c r="AB3" s="37">
        <f t="shared" ref="AB3:AB32" si="2">Z3-AA3</f>
        <v>3035.9666329999995</v>
      </c>
      <c r="AC3" s="37">
        <f t="shared" ref="AC3:AC32" si="3">AB3/12</f>
        <v>252.99721941666664</v>
      </c>
    </row>
    <row r="4" spans="1:29" x14ac:dyDescent="0.25">
      <c r="A4" s="7" t="s">
        <v>4</v>
      </c>
      <c r="B4" s="20">
        <v>108.5</v>
      </c>
      <c r="C4" s="20">
        <v>3</v>
      </c>
      <c r="D4" s="20">
        <v>234.5</v>
      </c>
      <c r="E4" s="20">
        <v>0</v>
      </c>
      <c r="F4" s="20">
        <v>100</v>
      </c>
      <c r="G4" s="20"/>
      <c r="H4" s="20">
        <v>220.5</v>
      </c>
      <c r="I4" s="20">
        <v>0</v>
      </c>
      <c r="J4" s="20">
        <v>220</v>
      </c>
      <c r="K4" s="20">
        <v>0</v>
      </c>
      <c r="L4" s="20">
        <v>216.5</v>
      </c>
      <c r="M4" s="20"/>
      <c r="N4" s="20">
        <v>126</v>
      </c>
      <c r="O4" s="20"/>
      <c r="P4" s="20">
        <v>120</v>
      </c>
      <c r="Q4" s="20">
        <v>0</v>
      </c>
      <c r="R4" s="20">
        <v>238</v>
      </c>
      <c r="S4" s="20">
        <v>58</v>
      </c>
      <c r="T4" s="20">
        <v>225</v>
      </c>
      <c r="U4" s="20">
        <v>22.5</v>
      </c>
      <c r="V4" s="20">
        <v>115</v>
      </c>
      <c r="W4" s="20">
        <v>8</v>
      </c>
      <c r="X4" s="20">
        <v>165.5</v>
      </c>
      <c r="Y4" s="20">
        <v>65.5</v>
      </c>
      <c r="Z4" s="37">
        <f t="shared" si="0"/>
        <v>2089.5</v>
      </c>
      <c r="AA4" s="37">
        <f t="shared" si="1"/>
        <v>157</v>
      </c>
      <c r="AB4" s="37">
        <f t="shared" si="2"/>
        <v>1932.5</v>
      </c>
      <c r="AC4" s="37">
        <f t="shared" si="3"/>
        <v>161.04166666666666</v>
      </c>
    </row>
    <row r="5" spans="1:29" x14ac:dyDescent="0.25">
      <c r="A5" s="7" t="s">
        <v>6</v>
      </c>
      <c r="B5" s="20">
        <v>52.62</v>
      </c>
      <c r="C5" s="20">
        <v>1.22</v>
      </c>
      <c r="D5" s="20">
        <v>60.1</v>
      </c>
      <c r="E5" s="20">
        <v>10</v>
      </c>
      <c r="F5" s="20">
        <v>56</v>
      </c>
      <c r="G5" s="20"/>
      <c r="H5" s="20">
        <v>82.27</v>
      </c>
      <c r="I5" s="20">
        <v>4.2699999999999996</v>
      </c>
      <c r="J5" s="20">
        <v>70.92</v>
      </c>
      <c r="K5" s="20">
        <v>4.92</v>
      </c>
      <c r="L5" s="20">
        <v>69.02</v>
      </c>
      <c r="M5" s="20"/>
      <c r="N5" s="20">
        <v>26</v>
      </c>
      <c r="O5" s="20"/>
      <c r="P5" s="20">
        <v>73</v>
      </c>
      <c r="Q5" s="20">
        <v>0</v>
      </c>
      <c r="R5" s="20">
        <v>43.38</v>
      </c>
      <c r="S5" s="20">
        <v>7.76</v>
      </c>
      <c r="T5" s="20">
        <v>54.01</v>
      </c>
      <c r="U5" s="20">
        <v>0</v>
      </c>
      <c r="V5" s="20">
        <v>39</v>
      </c>
      <c r="W5" s="20">
        <v>3.6</v>
      </c>
      <c r="X5" s="20">
        <v>56</v>
      </c>
      <c r="Y5" s="20">
        <v>3.87</v>
      </c>
      <c r="Z5" s="37">
        <f t="shared" si="0"/>
        <v>682.32</v>
      </c>
      <c r="AA5" s="37">
        <f t="shared" si="1"/>
        <v>35.64</v>
      </c>
      <c r="AB5" s="37">
        <f t="shared" si="2"/>
        <v>646.68000000000006</v>
      </c>
      <c r="AC5" s="37">
        <f t="shared" si="3"/>
        <v>53.890000000000008</v>
      </c>
    </row>
    <row r="6" spans="1:29" x14ac:dyDescent="0.25">
      <c r="A6" s="7" t="s">
        <v>8</v>
      </c>
      <c r="B6" s="20">
        <v>0</v>
      </c>
      <c r="C6" s="20">
        <v>0</v>
      </c>
      <c r="D6" s="20">
        <v>0</v>
      </c>
      <c r="E6" s="20">
        <v>0</v>
      </c>
      <c r="F6" s="20">
        <v>0</v>
      </c>
      <c r="G6" s="20"/>
      <c r="H6" s="20">
        <v>0</v>
      </c>
      <c r="I6" s="20">
        <v>0</v>
      </c>
      <c r="J6" s="20">
        <v>0.43</v>
      </c>
      <c r="K6" s="20">
        <v>0.43</v>
      </c>
      <c r="L6" s="20">
        <v>53.3</v>
      </c>
      <c r="M6" s="20"/>
      <c r="N6" s="20">
        <v>11.1</v>
      </c>
      <c r="O6" s="20"/>
      <c r="P6" s="20">
        <v>21.6</v>
      </c>
      <c r="Q6" s="20">
        <v>0</v>
      </c>
      <c r="R6" s="20">
        <v>35.4</v>
      </c>
      <c r="S6" s="20">
        <v>2.4</v>
      </c>
      <c r="T6" s="20">
        <v>26</v>
      </c>
      <c r="U6" s="20">
        <v>0</v>
      </c>
      <c r="V6" s="20">
        <v>5</v>
      </c>
      <c r="W6" s="20">
        <v>0</v>
      </c>
      <c r="X6" s="20">
        <v>26.675000000000001</v>
      </c>
      <c r="Y6" s="20">
        <v>7.0750000000000002</v>
      </c>
      <c r="Z6" s="37">
        <f t="shared" si="0"/>
        <v>179.50500000000002</v>
      </c>
      <c r="AA6" s="37">
        <f t="shared" si="1"/>
        <v>9.9050000000000011</v>
      </c>
      <c r="AB6" s="37">
        <f t="shared" si="2"/>
        <v>169.60000000000002</v>
      </c>
      <c r="AC6" s="37">
        <f t="shared" si="3"/>
        <v>14.133333333333335</v>
      </c>
    </row>
    <row r="7" spans="1:29" x14ac:dyDescent="0.25">
      <c r="A7" s="7" t="s">
        <v>9</v>
      </c>
      <c r="B7" s="20">
        <v>0</v>
      </c>
      <c r="C7" s="20">
        <v>0</v>
      </c>
      <c r="D7" s="20">
        <v>22.92</v>
      </c>
      <c r="E7" s="20">
        <v>22.92</v>
      </c>
      <c r="F7" s="20">
        <v>0</v>
      </c>
      <c r="G7" s="20"/>
      <c r="H7" s="20">
        <v>0</v>
      </c>
      <c r="I7" s="20">
        <v>0</v>
      </c>
      <c r="J7" s="20">
        <v>0</v>
      </c>
      <c r="K7" s="20">
        <v>0</v>
      </c>
      <c r="L7" s="20">
        <v>40.25</v>
      </c>
      <c r="M7" s="20"/>
      <c r="N7" s="20">
        <v>1</v>
      </c>
      <c r="O7" s="20"/>
      <c r="P7" s="20">
        <v>19</v>
      </c>
      <c r="Q7" s="20">
        <v>0</v>
      </c>
      <c r="R7" s="20">
        <v>31.5</v>
      </c>
      <c r="S7" s="20">
        <v>1.75</v>
      </c>
      <c r="T7" s="20">
        <v>23</v>
      </c>
      <c r="U7" s="20">
        <v>0</v>
      </c>
      <c r="V7" s="20">
        <v>2</v>
      </c>
      <c r="W7" s="20">
        <v>0</v>
      </c>
      <c r="X7" s="20">
        <v>15.25</v>
      </c>
      <c r="Y7" s="20">
        <v>4.1353999999999997</v>
      </c>
      <c r="Z7" s="37">
        <f t="shared" si="0"/>
        <v>154.92000000000002</v>
      </c>
      <c r="AA7" s="37">
        <f t="shared" si="1"/>
        <v>28.805400000000002</v>
      </c>
      <c r="AB7" s="37">
        <f t="shared" si="2"/>
        <v>126.11460000000001</v>
      </c>
      <c r="AC7" s="37">
        <f t="shared" si="3"/>
        <v>10.509550000000001</v>
      </c>
    </row>
    <row r="8" spans="1:29" x14ac:dyDescent="0.25">
      <c r="A8" s="7" t="s">
        <v>11</v>
      </c>
      <c r="B8" s="20">
        <v>42</v>
      </c>
      <c r="C8" s="20">
        <v>3.73</v>
      </c>
      <c r="D8" s="20">
        <v>35.379999999999995</v>
      </c>
      <c r="E8" s="20">
        <v>5</v>
      </c>
      <c r="F8" s="20">
        <v>29</v>
      </c>
      <c r="G8" s="20"/>
      <c r="H8" s="20">
        <v>36.82</v>
      </c>
      <c r="I8" s="20">
        <v>3.41</v>
      </c>
      <c r="J8" s="20">
        <v>53.07</v>
      </c>
      <c r="K8" s="20">
        <v>4.4400000000000004</v>
      </c>
      <c r="L8" s="20">
        <v>48</v>
      </c>
      <c r="M8" s="20"/>
      <c r="N8" s="20">
        <v>14</v>
      </c>
      <c r="O8" s="20"/>
      <c r="P8" s="20">
        <v>32.69</v>
      </c>
      <c r="Q8" s="20">
        <v>0</v>
      </c>
      <c r="R8" s="20">
        <v>39.25</v>
      </c>
      <c r="S8" s="20">
        <v>2.23</v>
      </c>
      <c r="T8" s="20">
        <v>55</v>
      </c>
      <c r="U8" s="20">
        <v>5.07</v>
      </c>
      <c r="V8" s="20">
        <v>14</v>
      </c>
      <c r="W8" s="20">
        <v>5.65</v>
      </c>
      <c r="X8" s="20">
        <v>36</v>
      </c>
      <c r="Y8" s="20">
        <v>3.62</v>
      </c>
      <c r="Z8" s="37">
        <f t="shared" si="0"/>
        <v>435.21</v>
      </c>
      <c r="AA8" s="37">
        <f t="shared" si="1"/>
        <v>33.15</v>
      </c>
      <c r="AB8" s="37">
        <f t="shared" si="2"/>
        <v>402.06</v>
      </c>
      <c r="AC8" s="37">
        <f t="shared" si="3"/>
        <v>33.505000000000003</v>
      </c>
    </row>
    <row r="9" spans="1:29" x14ac:dyDescent="0.25">
      <c r="A9" s="7" t="s">
        <v>12</v>
      </c>
      <c r="B9" s="20">
        <v>85</v>
      </c>
      <c r="C9" s="20">
        <v>7.1499999999999995</v>
      </c>
      <c r="D9" s="20">
        <v>71.400000000000006</v>
      </c>
      <c r="E9" s="20">
        <v>5</v>
      </c>
      <c r="F9" s="20">
        <v>54</v>
      </c>
      <c r="G9" s="20"/>
      <c r="H9" s="20">
        <v>42.5</v>
      </c>
      <c r="I9" s="20">
        <v>5.4</v>
      </c>
      <c r="J9" s="20">
        <v>152</v>
      </c>
      <c r="K9" s="20">
        <v>4</v>
      </c>
      <c r="L9" s="20">
        <v>155</v>
      </c>
      <c r="M9" s="20"/>
      <c r="N9" s="20">
        <v>21</v>
      </c>
      <c r="O9" s="20"/>
      <c r="P9" s="20">
        <v>138</v>
      </c>
      <c r="Q9" s="20">
        <v>0</v>
      </c>
      <c r="R9" s="20">
        <v>131.1</v>
      </c>
      <c r="S9" s="20">
        <v>11.35</v>
      </c>
      <c r="T9" s="20">
        <v>39.549999999999997</v>
      </c>
      <c r="U9" s="20">
        <v>9.4499999999999993</v>
      </c>
      <c r="V9" s="20">
        <v>83</v>
      </c>
      <c r="W9" s="20">
        <v>2.15</v>
      </c>
      <c r="X9" s="20">
        <v>111.05</v>
      </c>
      <c r="Y9" s="20">
        <v>2.5499999999999998</v>
      </c>
      <c r="Z9" s="37">
        <f t="shared" si="0"/>
        <v>1083.5999999999999</v>
      </c>
      <c r="AA9" s="37">
        <f t="shared" si="1"/>
        <v>47.04999999999999</v>
      </c>
      <c r="AB9" s="37">
        <f t="shared" si="2"/>
        <v>1036.55</v>
      </c>
      <c r="AC9" s="37">
        <f t="shared" si="3"/>
        <v>86.379166666666663</v>
      </c>
    </row>
    <row r="10" spans="1:29" x14ac:dyDescent="0.25">
      <c r="A10" s="7" t="s">
        <v>13</v>
      </c>
      <c r="B10" s="20">
        <v>0.92</v>
      </c>
      <c r="C10" s="20">
        <v>0</v>
      </c>
      <c r="D10" s="20">
        <v>92.44</v>
      </c>
      <c r="E10" s="20">
        <v>0</v>
      </c>
      <c r="F10" s="20">
        <v>49</v>
      </c>
      <c r="G10" s="20"/>
      <c r="H10" s="20">
        <v>33.08</v>
      </c>
      <c r="I10" s="20">
        <v>5</v>
      </c>
      <c r="J10" s="20">
        <v>47.480000000000004</v>
      </c>
      <c r="K10" s="20">
        <v>2.2000000000000002</v>
      </c>
      <c r="L10" s="20">
        <v>64</v>
      </c>
      <c r="M10" s="20"/>
      <c r="N10" s="20">
        <v>16</v>
      </c>
      <c r="O10" s="20"/>
      <c r="P10" s="20">
        <v>29</v>
      </c>
      <c r="Q10" s="20">
        <v>0</v>
      </c>
      <c r="R10" s="20">
        <v>41.64</v>
      </c>
      <c r="S10" s="20">
        <v>18.48</v>
      </c>
      <c r="T10" s="20">
        <v>34</v>
      </c>
      <c r="U10" s="20">
        <v>0</v>
      </c>
      <c r="V10" s="20">
        <v>4</v>
      </c>
      <c r="W10" s="20">
        <v>0</v>
      </c>
      <c r="X10" s="20">
        <v>71</v>
      </c>
      <c r="Y10" s="20">
        <v>1.64</v>
      </c>
      <c r="Z10" s="37">
        <f t="shared" si="0"/>
        <v>482.56</v>
      </c>
      <c r="AA10" s="37">
        <f t="shared" si="1"/>
        <v>27.32</v>
      </c>
      <c r="AB10" s="37">
        <f t="shared" si="2"/>
        <v>455.24</v>
      </c>
      <c r="AC10" s="37">
        <f t="shared" si="3"/>
        <v>37.936666666666667</v>
      </c>
    </row>
    <row r="11" spans="1:29" x14ac:dyDescent="0.25">
      <c r="A11" s="7" t="s">
        <v>50</v>
      </c>
      <c r="B11" s="20">
        <v>23</v>
      </c>
      <c r="C11" s="20">
        <v>0</v>
      </c>
      <c r="D11" s="20">
        <v>60.58</v>
      </c>
      <c r="E11" s="20">
        <v>5</v>
      </c>
      <c r="F11" s="20">
        <v>50</v>
      </c>
      <c r="G11" s="20"/>
      <c r="H11" s="20">
        <v>32.909999999999997</v>
      </c>
      <c r="I11" s="20">
        <v>2.91</v>
      </c>
      <c r="J11" s="20">
        <v>43.83</v>
      </c>
      <c r="K11" s="20">
        <v>2.0499999999999998</v>
      </c>
      <c r="L11" s="20">
        <v>41</v>
      </c>
      <c r="M11" s="20"/>
      <c r="N11" s="20">
        <v>1</v>
      </c>
      <c r="O11" s="20"/>
      <c r="P11" s="20">
        <v>14</v>
      </c>
      <c r="Q11" s="20">
        <v>0</v>
      </c>
      <c r="R11" s="20">
        <v>12.84</v>
      </c>
      <c r="S11" s="20">
        <v>17.84</v>
      </c>
      <c r="T11" s="20">
        <v>27</v>
      </c>
      <c r="U11" s="20">
        <v>3.29</v>
      </c>
      <c r="V11" s="20">
        <v>7</v>
      </c>
      <c r="W11" s="20">
        <v>6.02</v>
      </c>
      <c r="X11" s="20">
        <v>33</v>
      </c>
      <c r="Y11" s="20">
        <v>3.45</v>
      </c>
      <c r="Z11" s="37">
        <f t="shared" si="0"/>
        <v>346.15999999999997</v>
      </c>
      <c r="AA11" s="37">
        <f t="shared" si="1"/>
        <v>40.56</v>
      </c>
      <c r="AB11" s="37">
        <f t="shared" si="2"/>
        <v>305.59999999999997</v>
      </c>
      <c r="AC11" s="37">
        <f t="shared" si="3"/>
        <v>25.466666666666665</v>
      </c>
    </row>
    <row r="12" spans="1:29" x14ac:dyDescent="0.25">
      <c r="A12" s="7" t="s">
        <v>51</v>
      </c>
      <c r="B12" s="20">
        <v>68</v>
      </c>
      <c r="C12" s="20">
        <v>7.4</v>
      </c>
      <c r="D12" s="20">
        <v>78.95</v>
      </c>
      <c r="E12" s="20">
        <v>5</v>
      </c>
      <c r="F12" s="20">
        <v>51</v>
      </c>
      <c r="G12" s="20"/>
      <c r="H12" s="20">
        <v>44.85</v>
      </c>
      <c r="I12" s="20">
        <v>7</v>
      </c>
      <c r="J12" s="20">
        <v>77.05</v>
      </c>
      <c r="K12" s="20">
        <v>0.05</v>
      </c>
      <c r="L12" s="20">
        <v>63</v>
      </c>
      <c r="M12" s="20"/>
      <c r="N12" s="20">
        <v>26</v>
      </c>
      <c r="O12" s="20"/>
      <c r="P12" s="20">
        <v>70</v>
      </c>
      <c r="Q12" s="20">
        <v>0</v>
      </c>
      <c r="R12" s="20">
        <v>65.400000000000006</v>
      </c>
      <c r="S12" s="20">
        <v>25.75</v>
      </c>
      <c r="T12" s="20">
        <v>36.549999999999997</v>
      </c>
      <c r="U12" s="20">
        <v>1.05</v>
      </c>
      <c r="V12" s="20">
        <v>36</v>
      </c>
      <c r="W12" s="20">
        <v>7.55</v>
      </c>
      <c r="X12" s="20">
        <v>68</v>
      </c>
      <c r="Y12" s="20">
        <v>7.15</v>
      </c>
      <c r="Z12" s="37">
        <f t="shared" si="0"/>
        <v>684.8</v>
      </c>
      <c r="AA12" s="37">
        <f t="shared" si="1"/>
        <v>60.949999999999996</v>
      </c>
      <c r="AB12" s="37">
        <f t="shared" si="2"/>
        <v>623.84999999999991</v>
      </c>
      <c r="AC12" s="37">
        <f t="shared" si="3"/>
        <v>51.98749999999999</v>
      </c>
    </row>
    <row r="13" spans="1:29" x14ac:dyDescent="0.25">
      <c r="A13" s="7" t="s">
        <v>16</v>
      </c>
      <c r="B13" s="20">
        <v>247.2</v>
      </c>
      <c r="C13" s="20">
        <v>0.75</v>
      </c>
      <c r="D13" s="20">
        <v>181.55</v>
      </c>
      <c r="E13" s="20">
        <v>10</v>
      </c>
      <c r="F13" s="20">
        <v>0</v>
      </c>
      <c r="G13" s="20"/>
      <c r="H13" s="20">
        <v>167.35</v>
      </c>
      <c r="I13" s="20">
        <v>0.25</v>
      </c>
      <c r="J13" s="20">
        <v>114.55</v>
      </c>
      <c r="K13" s="20">
        <v>5.55</v>
      </c>
      <c r="L13" s="20">
        <v>170</v>
      </c>
      <c r="M13" s="20"/>
      <c r="N13" s="20">
        <v>50</v>
      </c>
      <c r="O13" s="20"/>
      <c r="P13" s="20">
        <v>333.1</v>
      </c>
      <c r="Q13" s="20">
        <v>0</v>
      </c>
      <c r="R13" s="20">
        <v>147.5</v>
      </c>
      <c r="S13" s="20">
        <v>22.05</v>
      </c>
      <c r="T13" s="20">
        <v>97.75</v>
      </c>
      <c r="U13" s="20">
        <v>13.45</v>
      </c>
      <c r="V13" s="20">
        <v>54.05</v>
      </c>
      <c r="W13" s="20">
        <v>4</v>
      </c>
      <c r="X13" s="20">
        <v>532.45000000000005</v>
      </c>
      <c r="Y13" s="20">
        <v>4.1500000000000004</v>
      </c>
      <c r="Z13" s="37">
        <f t="shared" si="0"/>
        <v>2095.5</v>
      </c>
      <c r="AA13" s="37">
        <f t="shared" si="1"/>
        <v>60.199999999999996</v>
      </c>
      <c r="AB13" s="37">
        <f t="shared" si="2"/>
        <v>2035.3</v>
      </c>
      <c r="AC13" s="37">
        <f t="shared" si="3"/>
        <v>169.60833333333332</v>
      </c>
    </row>
    <row r="14" spans="1:29" x14ac:dyDescent="0.25">
      <c r="A14" s="7" t="s">
        <v>112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>
        <v>0</v>
      </c>
      <c r="Q14" s="20"/>
      <c r="R14" s="20">
        <v>0</v>
      </c>
      <c r="S14" s="20"/>
      <c r="T14" s="20">
        <v>0</v>
      </c>
      <c r="U14" s="20">
        <v>0</v>
      </c>
      <c r="V14" s="20">
        <v>0</v>
      </c>
      <c r="W14" s="20"/>
      <c r="X14" s="20">
        <v>9</v>
      </c>
      <c r="Y14" s="20">
        <v>0</v>
      </c>
      <c r="Z14" s="37">
        <f t="shared" si="0"/>
        <v>9</v>
      </c>
      <c r="AA14" s="37">
        <f t="shared" si="1"/>
        <v>0</v>
      </c>
      <c r="AB14" s="37">
        <f t="shared" si="2"/>
        <v>9</v>
      </c>
      <c r="AC14" s="37">
        <f t="shared" si="3"/>
        <v>0.75</v>
      </c>
    </row>
    <row r="15" spans="1:29" x14ac:dyDescent="0.25">
      <c r="A15" s="7" t="s">
        <v>26</v>
      </c>
      <c r="B15" s="20">
        <v>21</v>
      </c>
      <c r="C15" s="20">
        <v>0.68</v>
      </c>
      <c r="D15" s="20">
        <v>26.31</v>
      </c>
      <c r="E15" s="20">
        <v>0</v>
      </c>
      <c r="F15" s="20">
        <v>4</v>
      </c>
      <c r="G15" s="20"/>
      <c r="H15" s="20">
        <v>27.015000000000001</v>
      </c>
      <c r="I15" s="20">
        <v>1.45</v>
      </c>
      <c r="J15" s="20">
        <v>24.3</v>
      </c>
      <c r="K15" s="20">
        <v>2.5</v>
      </c>
      <c r="L15" s="20">
        <v>26.3</v>
      </c>
      <c r="M15" s="20">
        <v>3</v>
      </c>
      <c r="N15" s="20">
        <v>2</v>
      </c>
      <c r="O15" s="20"/>
      <c r="P15" s="20">
        <v>23</v>
      </c>
      <c r="Q15" s="20">
        <v>9</v>
      </c>
      <c r="R15" s="20">
        <v>27.5</v>
      </c>
      <c r="S15" s="20">
        <v>1.875</v>
      </c>
      <c r="T15" s="20">
        <v>26.9</v>
      </c>
      <c r="U15" s="20">
        <v>6.9</v>
      </c>
      <c r="V15" s="20">
        <v>1</v>
      </c>
      <c r="W15" s="20">
        <v>8.2750000000000004</v>
      </c>
      <c r="X15" s="20">
        <v>16.324999999999999</v>
      </c>
      <c r="Y15" s="20">
        <v>1.9750000000000001</v>
      </c>
      <c r="Z15" s="37">
        <f t="shared" si="0"/>
        <v>225.65</v>
      </c>
      <c r="AA15" s="37">
        <f t="shared" si="1"/>
        <v>35.655000000000001</v>
      </c>
      <c r="AB15" s="37">
        <f t="shared" si="2"/>
        <v>189.995</v>
      </c>
      <c r="AC15" s="37">
        <f t="shared" si="3"/>
        <v>15.832916666666668</v>
      </c>
    </row>
    <row r="16" spans="1:29" x14ac:dyDescent="0.25">
      <c r="A16" s="7" t="s">
        <v>17</v>
      </c>
      <c r="B16" s="20">
        <v>28.42</v>
      </c>
      <c r="C16" s="20">
        <v>0</v>
      </c>
      <c r="D16" s="20">
        <v>45.84</v>
      </c>
      <c r="E16" s="20">
        <v>5</v>
      </c>
      <c r="F16" s="20">
        <v>10</v>
      </c>
      <c r="G16" s="20"/>
      <c r="H16" s="20">
        <v>18.22</v>
      </c>
      <c r="I16" s="20">
        <v>11.64</v>
      </c>
      <c r="J16" s="20">
        <v>5.77</v>
      </c>
      <c r="K16" s="20">
        <v>2.77</v>
      </c>
      <c r="L16" s="20">
        <v>32.625</v>
      </c>
      <c r="M16" s="20">
        <v>2</v>
      </c>
      <c r="N16" s="20">
        <v>5</v>
      </c>
      <c r="O16" s="20"/>
      <c r="P16" s="20">
        <v>31.708333</v>
      </c>
      <c r="Q16" s="20">
        <v>9</v>
      </c>
      <c r="R16" s="20">
        <v>11.052083</v>
      </c>
      <c r="S16" s="20">
        <v>1.1458999999999999</v>
      </c>
      <c r="T16" s="20">
        <v>24.489583</v>
      </c>
      <c r="U16" s="20">
        <v>1.8958330000000001</v>
      </c>
      <c r="V16" s="20">
        <v>1</v>
      </c>
      <c r="W16" s="20">
        <v>3.0104000000000002</v>
      </c>
      <c r="X16" s="20">
        <f>20.6875-3</f>
        <v>17.6875</v>
      </c>
      <c r="Y16" s="20">
        <v>5.6771000000000003</v>
      </c>
      <c r="Z16" s="37">
        <f t="shared" si="0"/>
        <v>231.81249900000003</v>
      </c>
      <c r="AA16" s="37">
        <f t="shared" si="1"/>
        <v>42.139233000000004</v>
      </c>
      <c r="AB16" s="37">
        <f t="shared" si="2"/>
        <v>189.67326600000001</v>
      </c>
      <c r="AC16" s="37">
        <f t="shared" si="3"/>
        <v>15.806105500000001</v>
      </c>
    </row>
    <row r="17" spans="1:29" x14ac:dyDescent="0.25">
      <c r="A17" s="7" t="s">
        <v>27</v>
      </c>
      <c r="B17" s="20">
        <v>0</v>
      </c>
      <c r="C17" s="20">
        <v>0</v>
      </c>
      <c r="D17" s="20">
        <f>VLOOKUP(A17,[1]Sheet1!$A:$B,2,0)</f>
        <v>17.060000000000002</v>
      </c>
      <c r="E17" s="20">
        <v>0</v>
      </c>
      <c r="F17" s="20">
        <v>0</v>
      </c>
      <c r="G17" s="20"/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/>
      <c r="N17" s="20">
        <v>0</v>
      </c>
      <c r="O17" s="20"/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37">
        <f t="shared" si="0"/>
        <v>17.060000000000002</v>
      </c>
      <c r="AA17" s="37">
        <f t="shared" si="1"/>
        <v>0</v>
      </c>
      <c r="AB17" s="37">
        <f t="shared" si="2"/>
        <v>17.060000000000002</v>
      </c>
      <c r="AC17" s="37">
        <f t="shared" si="3"/>
        <v>1.4216666666666669</v>
      </c>
    </row>
    <row r="18" spans="1:29" x14ac:dyDescent="0.25">
      <c r="A18" s="7" t="s">
        <v>29</v>
      </c>
      <c r="B18" s="20">
        <v>0</v>
      </c>
      <c r="C18" s="20">
        <v>0</v>
      </c>
      <c r="D18" s="20">
        <f>VLOOKUP(A18,[1]Sheet1!$A:$B,2,0)</f>
        <v>0.36</v>
      </c>
      <c r="E18" s="20">
        <v>0</v>
      </c>
      <c r="F18" s="20">
        <v>0</v>
      </c>
      <c r="G18" s="20"/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/>
      <c r="N18" s="20">
        <v>0</v>
      </c>
      <c r="O18" s="20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37">
        <f t="shared" si="0"/>
        <v>0.36</v>
      </c>
      <c r="AA18" s="37">
        <f t="shared" si="1"/>
        <v>0</v>
      </c>
      <c r="AB18" s="37">
        <f t="shared" si="2"/>
        <v>0.36</v>
      </c>
      <c r="AC18" s="37">
        <f t="shared" si="3"/>
        <v>0.03</v>
      </c>
    </row>
    <row r="19" spans="1:29" x14ac:dyDescent="0.25">
      <c r="A19" s="7" t="s">
        <v>28</v>
      </c>
      <c r="B19" s="20">
        <v>0</v>
      </c>
      <c r="C19" s="20">
        <v>0</v>
      </c>
      <c r="D19" s="20">
        <f>VLOOKUP(A19,[1]Sheet1!$A:$B,2,0)</f>
        <v>21.89</v>
      </c>
      <c r="E19" s="20">
        <v>0</v>
      </c>
      <c r="F19" s="20">
        <v>0</v>
      </c>
      <c r="G19" s="20"/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/>
      <c r="N19" s="20">
        <v>0</v>
      </c>
      <c r="O19" s="20"/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37">
        <f t="shared" si="0"/>
        <v>21.89</v>
      </c>
      <c r="AA19" s="37">
        <f t="shared" si="1"/>
        <v>0</v>
      </c>
      <c r="AB19" s="37">
        <f t="shared" si="2"/>
        <v>21.89</v>
      </c>
      <c r="AC19" s="37">
        <f t="shared" si="3"/>
        <v>1.8241666666666667</v>
      </c>
    </row>
    <row r="20" spans="1:29" x14ac:dyDescent="0.25">
      <c r="A20" s="7" t="s">
        <v>30</v>
      </c>
      <c r="B20" s="20">
        <v>0</v>
      </c>
      <c r="C20" s="20">
        <v>0</v>
      </c>
      <c r="D20" s="20">
        <v>19.8</v>
      </c>
      <c r="E20" s="20">
        <v>0</v>
      </c>
      <c r="F20" s="20">
        <v>0</v>
      </c>
      <c r="G20" s="20"/>
      <c r="H20" s="20">
        <v>15</v>
      </c>
      <c r="I20" s="20">
        <v>0</v>
      </c>
      <c r="J20" s="20">
        <v>0</v>
      </c>
      <c r="K20" s="20">
        <v>0</v>
      </c>
      <c r="L20" s="20">
        <v>2</v>
      </c>
      <c r="M20" s="20"/>
      <c r="N20" s="20">
        <v>0</v>
      </c>
      <c r="O20" s="20"/>
      <c r="P20" s="20">
        <v>0</v>
      </c>
      <c r="Q20" s="20">
        <v>0</v>
      </c>
      <c r="R20" s="20">
        <v>1</v>
      </c>
      <c r="S20" s="20">
        <v>0</v>
      </c>
      <c r="T20" s="20">
        <v>3</v>
      </c>
      <c r="U20" s="20">
        <v>0</v>
      </c>
      <c r="V20" s="20">
        <v>2</v>
      </c>
      <c r="W20" s="20">
        <v>0</v>
      </c>
      <c r="X20" s="20">
        <v>3</v>
      </c>
      <c r="Y20" s="20">
        <v>0</v>
      </c>
      <c r="Z20" s="37">
        <f t="shared" si="0"/>
        <v>45.8</v>
      </c>
      <c r="AA20" s="37">
        <f t="shared" si="1"/>
        <v>0</v>
      </c>
      <c r="AB20" s="37">
        <f t="shared" si="2"/>
        <v>45.8</v>
      </c>
      <c r="AC20" s="37">
        <f t="shared" si="3"/>
        <v>3.8166666666666664</v>
      </c>
    </row>
    <row r="21" spans="1:29" x14ac:dyDescent="0.25">
      <c r="A21" s="7" t="s">
        <v>31</v>
      </c>
      <c r="B21" s="20">
        <v>0</v>
      </c>
      <c r="C21" s="20">
        <v>0</v>
      </c>
      <c r="D21" s="20">
        <v>10.43</v>
      </c>
      <c r="E21" s="20">
        <v>0</v>
      </c>
      <c r="F21" s="20">
        <v>0</v>
      </c>
      <c r="G21" s="20"/>
      <c r="H21" s="20">
        <v>15</v>
      </c>
      <c r="I21" s="20">
        <v>0</v>
      </c>
      <c r="J21" s="20">
        <v>0</v>
      </c>
      <c r="K21" s="20">
        <v>0</v>
      </c>
      <c r="L21" s="20">
        <v>4</v>
      </c>
      <c r="M21" s="20"/>
      <c r="N21" s="20">
        <v>0</v>
      </c>
      <c r="O21" s="20"/>
      <c r="P21" s="20">
        <v>1</v>
      </c>
      <c r="Q21" s="20">
        <v>1</v>
      </c>
      <c r="R21" s="20">
        <v>2</v>
      </c>
      <c r="S21" s="20">
        <v>0</v>
      </c>
      <c r="T21" s="20">
        <v>3</v>
      </c>
      <c r="U21" s="20">
        <v>0</v>
      </c>
      <c r="V21" s="20">
        <v>2</v>
      </c>
      <c r="W21" s="20">
        <v>0</v>
      </c>
      <c r="X21" s="20">
        <v>3</v>
      </c>
      <c r="Y21" s="20">
        <v>0</v>
      </c>
      <c r="Z21" s="37">
        <f t="shared" si="0"/>
        <v>40.43</v>
      </c>
      <c r="AA21" s="37">
        <f t="shared" si="1"/>
        <v>1</v>
      </c>
      <c r="AB21" s="37">
        <f t="shared" si="2"/>
        <v>39.43</v>
      </c>
      <c r="AC21" s="37">
        <f t="shared" si="3"/>
        <v>3.2858333333333332</v>
      </c>
    </row>
    <row r="22" spans="1:29" x14ac:dyDescent="0.25">
      <c r="A22" s="7" t="s">
        <v>20</v>
      </c>
      <c r="B22" s="20">
        <v>10</v>
      </c>
      <c r="C22" s="20">
        <v>3.25</v>
      </c>
      <c r="D22" s="20">
        <f>VLOOKUP(A22,[1]Sheet1!$A:$B,2,0)</f>
        <v>22.9</v>
      </c>
      <c r="E22" s="20">
        <v>0</v>
      </c>
      <c r="F22" s="20">
        <v>9</v>
      </c>
      <c r="G22" s="20"/>
      <c r="H22" s="20">
        <v>17</v>
      </c>
      <c r="I22" s="20">
        <v>2</v>
      </c>
      <c r="J22" s="20">
        <v>21.45</v>
      </c>
      <c r="K22" s="20">
        <v>19</v>
      </c>
      <c r="L22" s="20">
        <v>21</v>
      </c>
      <c r="M22" s="20"/>
      <c r="N22" s="20">
        <v>3</v>
      </c>
      <c r="O22" s="20"/>
      <c r="P22" s="20">
        <v>17</v>
      </c>
      <c r="Q22" s="20">
        <v>9</v>
      </c>
      <c r="R22" s="20">
        <v>8.9499999999999993</v>
      </c>
      <c r="S22" s="20">
        <v>3.95</v>
      </c>
      <c r="T22" s="20">
        <v>5</v>
      </c>
      <c r="U22" s="20">
        <v>0</v>
      </c>
      <c r="V22" s="20">
        <v>3</v>
      </c>
      <c r="W22" s="20">
        <v>0</v>
      </c>
      <c r="X22" s="20">
        <v>2</v>
      </c>
      <c r="Y22" s="20">
        <v>11.4</v>
      </c>
      <c r="Z22" s="37">
        <f t="shared" si="0"/>
        <v>140.29999999999998</v>
      </c>
      <c r="AA22" s="37">
        <f t="shared" si="1"/>
        <v>48.6</v>
      </c>
      <c r="AB22" s="37">
        <f t="shared" si="2"/>
        <v>91.699999999999989</v>
      </c>
      <c r="AC22" s="37">
        <f t="shared" si="3"/>
        <v>7.6416666666666657</v>
      </c>
    </row>
    <row r="23" spans="1:29" x14ac:dyDescent="0.25">
      <c r="A23" s="7" t="s">
        <v>21</v>
      </c>
      <c r="B23" s="20">
        <v>2</v>
      </c>
      <c r="C23" s="20">
        <v>0.46</v>
      </c>
      <c r="D23" s="20">
        <f>VLOOKUP(A23,[1]Sheet1!$A:$B,2,0)</f>
        <v>19.079999999999998</v>
      </c>
      <c r="E23" s="20">
        <v>0</v>
      </c>
      <c r="F23" s="20">
        <v>7</v>
      </c>
      <c r="G23" s="20"/>
      <c r="H23" s="20">
        <v>13.000000000000002</v>
      </c>
      <c r="I23" s="20">
        <v>1</v>
      </c>
      <c r="J23" s="20">
        <v>7</v>
      </c>
      <c r="K23" s="20">
        <v>6.56</v>
      </c>
      <c r="L23" s="20">
        <v>2</v>
      </c>
      <c r="M23" s="20"/>
      <c r="N23" s="20">
        <v>0</v>
      </c>
      <c r="O23" s="20"/>
      <c r="P23" s="20">
        <v>0</v>
      </c>
      <c r="Q23" s="20">
        <v>0</v>
      </c>
      <c r="R23" s="20">
        <v>2.5</v>
      </c>
      <c r="S23" s="20">
        <v>2.2599999999999998</v>
      </c>
      <c r="T23" s="20">
        <v>6</v>
      </c>
      <c r="U23" s="20">
        <v>0</v>
      </c>
      <c r="V23" s="20">
        <v>1</v>
      </c>
      <c r="W23" s="20">
        <v>0</v>
      </c>
      <c r="X23" s="20">
        <v>1</v>
      </c>
      <c r="Y23" s="20">
        <v>4.74</v>
      </c>
      <c r="Z23" s="37">
        <f t="shared" si="0"/>
        <v>60.58</v>
      </c>
      <c r="AA23" s="37">
        <f t="shared" si="1"/>
        <v>15.02</v>
      </c>
      <c r="AB23" s="37">
        <f t="shared" si="2"/>
        <v>45.56</v>
      </c>
      <c r="AC23" s="37">
        <f t="shared" si="3"/>
        <v>3.7966666666666669</v>
      </c>
    </row>
    <row r="24" spans="1:29" x14ac:dyDescent="0.25">
      <c r="A24" s="7" t="s">
        <v>48</v>
      </c>
      <c r="B24" s="20">
        <v>0</v>
      </c>
      <c r="C24" s="20">
        <v>0</v>
      </c>
      <c r="D24" s="20">
        <v>3</v>
      </c>
      <c r="E24" s="20">
        <v>5</v>
      </c>
      <c r="F24" s="20">
        <v>2</v>
      </c>
      <c r="G24" s="20"/>
      <c r="H24" s="20">
        <v>4.79</v>
      </c>
      <c r="I24" s="20">
        <v>1</v>
      </c>
      <c r="J24" s="20">
        <v>0</v>
      </c>
      <c r="K24" s="20">
        <v>0</v>
      </c>
      <c r="L24" s="20">
        <v>0</v>
      </c>
      <c r="M24" s="20"/>
      <c r="N24" s="20">
        <v>0</v>
      </c>
      <c r="O24" s="20"/>
      <c r="P24" s="20">
        <v>0</v>
      </c>
      <c r="Q24" s="20">
        <v>0</v>
      </c>
      <c r="R24" s="20">
        <v>0</v>
      </c>
      <c r="S24" s="20">
        <v>0</v>
      </c>
      <c r="T24" s="20">
        <v>5</v>
      </c>
      <c r="U24" s="20">
        <v>0</v>
      </c>
      <c r="V24" s="20">
        <v>0</v>
      </c>
      <c r="W24" s="20">
        <v>0</v>
      </c>
      <c r="X24" s="20">
        <v>10.041665999999999</v>
      </c>
      <c r="Y24" s="20">
        <v>0</v>
      </c>
      <c r="Z24" s="37">
        <f t="shared" si="0"/>
        <v>24.831665999999998</v>
      </c>
      <c r="AA24" s="37">
        <f t="shared" si="1"/>
        <v>6</v>
      </c>
      <c r="AB24" s="37">
        <f t="shared" si="2"/>
        <v>18.831665999999998</v>
      </c>
      <c r="AC24" s="37">
        <f t="shared" si="3"/>
        <v>1.5693054999999998</v>
      </c>
    </row>
    <row r="25" spans="1:29" x14ac:dyDescent="0.25">
      <c r="A25" s="7" t="s">
        <v>49</v>
      </c>
      <c r="B25" s="20">
        <v>3</v>
      </c>
      <c r="C25" s="20">
        <v>0</v>
      </c>
      <c r="D25" s="20">
        <v>2</v>
      </c>
      <c r="E25" s="20">
        <v>0</v>
      </c>
      <c r="F25" s="20">
        <v>0</v>
      </c>
      <c r="G25" s="20"/>
      <c r="H25" s="20">
        <v>0</v>
      </c>
      <c r="I25" s="20">
        <v>1</v>
      </c>
      <c r="J25" s="20">
        <v>2</v>
      </c>
      <c r="K25" s="20">
        <v>1</v>
      </c>
      <c r="L25" s="20">
        <v>2.6667000000000001</v>
      </c>
      <c r="M25" s="20"/>
      <c r="N25" s="20">
        <v>5.4444000000000008</v>
      </c>
      <c r="O25" s="20">
        <v>3.47</v>
      </c>
      <c r="P25" s="20">
        <v>0</v>
      </c>
      <c r="Q25" s="20">
        <v>0</v>
      </c>
      <c r="R25" s="20">
        <v>11.138888</v>
      </c>
      <c r="S25" s="20">
        <v>0</v>
      </c>
      <c r="T25" s="20">
        <v>18</v>
      </c>
      <c r="U25" s="20">
        <v>2.0833330000000001</v>
      </c>
      <c r="V25" s="20">
        <v>0</v>
      </c>
      <c r="W25" s="20">
        <v>0</v>
      </c>
      <c r="X25" s="20">
        <v>4</v>
      </c>
      <c r="Y25" s="20">
        <v>0.4723</v>
      </c>
      <c r="Z25" s="37">
        <f t="shared" si="0"/>
        <v>48.249988000000002</v>
      </c>
      <c r="AA25" s="37">
        <f t="shared" si="1"/>
        <v>8.0256330000000009</v>
      </c>
      <c r="AB25" s="37">
        <f t="shared" si="2"/>
        <v>40.224355000000003</v>
      </c>
      <c r="AC25" s="37">
        <f t="shared" si="3"/>
        <v>3.3520295833333336</v>
      </c>
    </row>
    <row r="26" spans="1:29" x14ac:dyDescent="0.25">
      <c r="A26" s="7" t="s">
        <v>52</v>
      </c>
      <c r="B26" s="20">
        <v>66</v>
      </c>
      <c r="C26" s="20">
        <v>12.59</v>
      </c>
      <c r="D26" s="20">
        <v>79.210000000000008</v>
      </c>
      <c r="E26" s="20">
        <v>8.33</v>
      </c>
      <c r="F26" s="20">
        <v>79.289999999999992</v>
      </c>
      <c r="G26" s="20"/>
      <c r="H26" s="20">
        <v>81</v>
      </c>
      <c r="I26" s="20">
        <v>8.41</v>
      </c>
      <c r="J26" s="20">
        <v>113.21000000000001</v>
      </c>
      <c r="K26" s="20">
        <v>6.5</v>
      </c>
      <c r="L26" s="20">
        <v>111.58330000000001</v>
      </c>
      <c r="M26" s="20"/>
      <c r="N26" s="20">
        <v>24.166699999999999</v>
      </c>
      <c r="O26" s="20"/>
      <c r="P26" s="20">
        <v>15</v>
      </c>
      <c r="Q26" s="20">
        <v>0</v>
      </c>
      <c r="R26" s="20">
        <v>27.041665999999999</v>
      </c>
      <c r="S26" s="20">
        <v>50.625</v>
      </c>
      <c r="T26" s="20">
        <v>49</v>
      </c>
      <c r="U26" s="20">
        <v>30.833333</v>
      </c>
      <c r="V26" s="20">
        <v>25</v>
      </c>
      <c r="W26" s="20">
        <v>9.4582999999999995</v>
      </c>
      <c r="X26" s="20">
        <f>94-50+37.99</f>
        <v>81.990000000000009</v>
      </c>
      <c r="Y26" s="20">
        <v>8.5417000000000005</v>
      </c>
      <c r="Z26" s="37">
        <f t="shared" si="0"/>
        <v>752.49166600000001</v>
      </c>
      <c r="AA26" s="37">
        <f t="shared" si="1"/>
        <v>135.28833299999999</v>
      </c>
      <c r="AB26" s="37">
        <f t="shared" si="2"/>
        <v>617.20333300000004</v>
      </c>
      <c r="AC26" s="37">
        <f t="shared" si="3"/>
        <v>51.433611083333339</v>
      </c>
    </row>
    <row r="27" spans="1:29" x14ac:dyDescent="0.25">
      <c r="A27" s="7" t="s">
        <v>53</v>
      </c>
      <c r="B27" s="20">
        <v>66</v>
      </c>
      <c r="C27" s="20">
        <v>18.880000000000003</v>
      </c>
      <c r="D27" s="20">
        <v>73.289999999999992</v>
      </c>
      <c r="E27" s="20">
        <v>4</v>
      </c>
      <c r="F27" s="20">
        <v>95.25</v>
      </c>
      <c r="G27" s="20"/>
      <c r="H27" s="20">
        <v>86.210000000000008</v>
      </c>
      <c r="I27" s="20">
        <v>19.41</v>
      </c>
      <c r="J27" s="20">
        <v>97.210000000000008</v>
      </c>
      <c r="K27" s="20">
        <v>35.67</v>
      </c>
      <c r="L27" s="20">
        <v>111.1217</v>
      </c>
      <c r="M27" s="20"/>
      <c r="N27" s="20">
        <v>24</v>
      </c>
      <c r="O27" s="20"/>
      <c r="P27" s="20">
        <v>16</v>
      </c>
      <c r="Q27" s="20">
        <v>0</v>
      </c>
      <c r="R27" s="20">
        <v>30.666665999999999</v>
      </c>
      <c r="S27" s="20">
        <v>35.708399999999997</v>
      </c>
      <c r="T27" s="20">
        <v>49</v>
      </c>
      <c r="U27" s="20">
        <v>27.583333</v>
      </c>
      <c r="V27" s="20">
        <v>26</v>
      </c>
      <c r="W27" s="20">
        <v>13.041699999999999</v>
      </c>
      <c r="X27" s="20">
        <f>56-40+12</f>
        <v>28</v>
      </c>
      <c r="Y27" s="20">
        <v>8.5000999999999998</v>
      </c>
      <c r="Z27" s="37">
        <f t="shared" si="0"/>
        <v>702.74836600000003</v>
      </c>
      <c r="AA27" s="37">
        <f t="shared" si="1"/>
        <v>162.793533</v>
      </c>
      <c r="AB27" s="37">
        <f t="shared" si="2"/>
        <v>539.95483300000001</v>
      </c>
      <c r="AC27" s="37">
        <f t="shared" si="3"/>
        <v>44.996236083333336</v>
      </c>
    </row>
    <row r="28" spans="1:29" x14ac:dyDescent="0.25">
      <c r="A28" s="7" t="s">
        <v>60</v>
      </c>
      <c r="B28" s="20"/>
      <c r="C28" s="20"/>
      <c r="D28" s="20"/>
      <c r="E28" s="20"/>
      <c r="F28" s="20">
        <v>114</v>
      </c>
      <c r="G28" s="20"/>
      <c r="H28" s="20">
        <v>23.04</v>
      </c>
      <c r="I28" s="20">
        <v>0</v>
      </c>
      <c r="J28" s="20">
        <v>21.958300000000001</v>
      </c>
      <c r="K28" s="20">
        <v>17</v>
      </c>
      <c r="L28" s="20">
        <v>46</v>
      </c>
      <c r="M28" s="20"/>
      <c r="N28" s="20">
        <v>31</v>
      </c>
      <c r="O28" s="20"/>
      <c r="P28" s="20">
        <v>31</v>
      </c>
      <c r="Q28" s="20">
        <v>0</v>
      </c>
      <c r="R28" s="20">
        <v>20.5</v>
      </c>
      <c r="S28" s="20">
        <v>6.875</v>
      </c>
      <c r="T28" s="20">
        <v>29</v>
      </c>
      <c r="U28" s="20">
        <v>8.5833329999999997</v>
      </c>
      <c r="V28" s="20">
        <v>3</v>
      </c>
      <c r="W28" s="20">
        <v>6.625</v>
      </c>
      <c r="X28" s="20">
        <v>18</v>
      </c>
      <c r="Y28" s="20">
        <v>5.25</v>
      </c>
      <c r="Z28" s="37">
        <f t="shared" si="0"/>
        <v>337.49829999999997</v>
      </c>
      <c r="AA28" s="37">
        <f t="shared" si="1"/>
        <v>44.333332999999996</v>
      </c>
      <c r="AB28" s="37">
        <f t="shared" si="2"/>
        <v>293.16496699999999</v>
      </c>
      <c r="AC28" s="37">
        <f t="shared" si="3"/>
        <v>24.430413916666666</v>
      </c>
    </row>
    <row r="29" spans="1:29" x14ac:dyDescent="0.25">
      <c r="A29" s="7" t="s">
        <v>61</v>
      </c>
      <c r="B29" s="20"/>
      <c r="C29" s="20"/>
      <c r="D29" s="20"/>
      <c r="E29" s="20"/>
      <c r="F29" s="20">
        <v>114</v>
      </c>
      <c r="G29" s="20"/>
      <c r="H29" s="20">
        <v>23</v>
      </c>
      <c r="I29" s="20">
        <v>0</v>
      </c>
      <c r="J29" s="20">
        <v>30</v>
      </c>
      <c r="K29" s="20">
        <v>17</v>
      </c>
      <c r="L29" s="20">
        <v>45</v>
      </c>
      <c r="M29" s="20"/>
      <c r="N29" s="20">
        <v>31</v>
      </c>
      <c r="O29" s="20"/>
      <c r="P29" s="20">
        <v>37</v>
      </c>
      <c r="Q29" s="20">
        <v>0</v>
      </c>
      <c r="R29" s="20">
        <v>29.708333</v>
      </c>
      <c r="S29" s="20">
        <v>6.9167000000000005</v>
      </c>
      <c r="T29" s="20">
        <v>28</v>
      </c>
      <c r="U29" s="20">
        <v>11.416665999999999</v>
      </c>
      <c r="V29" s="20">
        <v>8</v>
      </c>
      <c r="W29" s="20">
        <v>8.4167000000000005</v>
      </c>
      <c r="X29" s="20">
        <v>18</v>
      </c>
      <c r="Y29" s="20">
        <v>3.8334000000000001</v>
      </c>
      <c r="Z29" s="37">
        <f t="shared" si="0"/>
        <v>363.70833299999998</v>
      </c>
      <c r="AA29" s="37">
        <f t="shared" si="1"/>
        <v>47.583465999999994</v>
      </c>
      <c r="AB29" s="37">
        <f t="shared" si="2"/>
        <v>316.12486699999999</v>
      </c>
      <c r="AC29" s="37">
        <f t="shared" si="3"/>
        <v>26.343738916666666</v>
      </c>
    </row>
    <row r="30" spans="1:29" x14ac:dyDescent="0.25">
      <c r="A30" s="7" t="s">
        <v>43</v>
      </c>
      <c r="B30" s="20">
        <v>152.04</v>
      </c>
      <c r="C30" s="20">
        <v>18.46</v>
      </c>
      <c r="D30" s="20">
        <v>194.67000000000002</v>
      </c>
      <c r="E30" s="20">
        <v>0.33</v>
      </c>
      <c r="F30" s="20">
        <v>180.76</v>
      </c>
      <c r="G30" s="20"/>
      <c r="H30" s="20">
        <v>124.75</v>
      </c>
      <c r="I30" s="20">
        <v>14.5</v>
      </c>
      <c r="J30" s="20">
        <v>250.55</v>
      </c>
      <c r="K30" s="20">
        <v>15.93</v>
      </c>
      <c r="L30" s="20">
        <v>224.125</v>
      </c>
      <c r="M30" s="20">
        <v>40</v>
      </c>
      <c r="N30" s="20">
        <v>66.625</v>
      </c>
      <c r="O30" s="20"/>
      <c r="P30" s="20">
        <v>116</v>
      </c>
      <c r="Q30" s="20">
        <v>17</v>
      </c>
      <c r="R30" s="20">
        <v>180.91666599999999</v>
      </c>
      <c r="S30" s="20">
        <v>25.916699999999999</v>
      </c>
      <c r="T30" s="20">
        <v>247</v>
      </c>
      <c r="U30" s="20">
        <v>15.833333</v>
      </c>
      <c r="V30" s="20">
        <v>62</v>
      </c>
      <c r="W30" s="20">
        <v>11</v>
      </c>
      <c r="X30" s="20">
        <v>200.04166599999999</v>
      </c>
      <c r="Y30" s="20">
        <v>73.166600000000003</v>
      </c>
      <c r="Z30" s="37">
        <f t="shared" si="0"/>
        <v>1999.4783320000001</v>
      </c>
      <c r="AA30" s="37">
        <f t="shared" si="1"/>
        <v>232.13663300000002</v>
      </c>
      <c r="AB30" s="37">
        <f t="shared" si="2"/>
        <v>1767.3416990000001</v>
      </c>
      <c r="AC30" s="37">
        <f t="shared" si="3"/>
        <v>147.27847491666668</v>
      </c>
    </row>
    <row r="31" spans="1:29" x14ac:dyDescent="0.25">
      <c r="A31" s="7" t="s">
        <v>44</v>
      </c>
      <c r="B31" s="20">
        <v>154.01</v>
      </c>
      <c r="C31" s="20">
        <v>25.339999999999996</v>
      </c>
      <c r="D31" s="20">
        <v>189.07999999999998</v>
      </c>
      <c r="E31" s="20">
        <v>0</v>
      </c>
      <c r="F31" s="20">
        <v>154</v>
      </c>
      <c r="G31" s="20"/>
      <c r="H31" s="20">
        <v>110.34</v>
      </c>
      <c r="I31" s="20">
        <v>19.8</v>
      </c>
      <c r="J31" s="20">
        <v>247.42000000000002</v>
      </c>
      <c r="K31" s="20">
        <v>8.379999999999999</v>
      </c>
      <c r="L31" s="20">
        <v>203</v>
      </c>
      <c r="M31" s="20"/>
      <c r="N31" s="20">
        <v>33.166699999999999</v>
      </c>
      <c r="O31" s="20"/>
      <c r="P31" s="20">
        <v>99</v>
      </c>
      <c r="Q31" s="20">
        <v>29</v>
      </c>
      <c r="R31" s="20">
        <v>188.58333300000001</v>
      </c>
      <c r="S31" s="20">
        <v>61.208300000000001</v>
      </c>
      <c r="T31" s="20">
        <v>231</v>
      </c>
      <c r="U31" s="20">
        <v>17.083333</v>
      </c>
      <c r="V31" s="20">
        <v>54</v>
      </c>
      <c r="W31" s="20">
        <v>4.6666999999999996</v>
      </c>
      <c r="X31" s="20">
        <v>163.04166599999999</v>
      </c>
      <c r="Y31" s="20">
        <v>92.5</v>
      </c>
      <c r="Z31" s="37">
        <f t="shared" si="0"/>
        <v>1826.641699</v>
      </c>
      <c r="AA31" s="37">
        <f t="shared" si="1"/>
        <v>257.97833300000002</v>
      </c>
      <c r="AB31" s="37">
        <f t="shared" si="2"/>
        <v>1568.663366</v>
      </c>
      <c r="AC31" s="37">
        <f t="shared" si="3"/>
        <v>130.72194716666667</v>
      </c>
    </row>
    <row r="32" spans="1:29" x14ac:dyDescent="0.25">
      <c r="A32" s="7" t="s">
        <v>45</v>
      </c>
      <c r="B32" s="20">
        <v>177.01</v>
      </c>
      <c r="C32" s="20">
        <v>13.129999999999999</v>
      </c>
      <c r="D32" s="20">
        <v>255.63</v>
      </c>
      <c r="E32" s="20">
        <v>0</v>
      </c>
      <c r="F32" s="20">
        <v>183.01</v>
      </c>
      <c r="G32" s="20"/>
      <c r="H32" s="20">
        <v>145.88</v>
      </c>
      <c r="I32" s="20">
        <v>17.419999999999998</v>
      </c>
      <c r="J32" s="20">
        <v>283.42</v>
      </c>
      <c r="K32" s="20">
        <v>12.55</v>
      </c>
      <c r="L32" s="20">
        <v>277</v>
      </c>
      <c r="M32" s="20">
        <v>50</v>
      </c>
      <c r="N32" s="20">
        <v>83.416699999999992</v>
      </c>
      <c r="O32" s="20"/>
      <c r="P32" s="20">
        <v>288.04166600000002</v>
      </c>
      <c r="Q32" s="20">
        <v>54</v>
      </c>
      <c r="R32" s="20">
        <v>175.58333300000001</v>
      </c>
      <c r="S32" s="20">
        <v>63.583300000000001</v>
      </c>
      <c r="T32" s="20">
        <v>299</v>
      </c>
      <c r="U32" s="20">
        <v>2</v>
      </c>
      <c r="V32" s="20">
        <v>139</v>
      </c>
      <c r="W32" s="20">
        <v>9.25</v>
      </c>
      <c r="X32" s="20">
        <v>243.04166599999999</v>
      </c>
      <c r="Y32" s="20">
        <v>87.458299999999994</v>
      </c>
      <c r="Z32" s="37">
        <f t="shared" si="0"/>
        <v>2550.0333650000002</v>
      </c>
      <c r="AA32" s="37">
        <f t="shared" si="1"/>
        <v>309.39159999999998</v>
      </c>
      <c r="AB32" s="37">
        <f t="shared" si="2"/>
        <v>2240.6417650000003</v>
      </c>
      <c r="AC32" s="37">
        <f t="shared" si="3"/>
        <v>186.72014708333336</v>
      </c>
    </row>
    <row r="33" spans="1:29" x14ac:dyDescent="0.25">
      <c r="A33" s="13" t="s">
        <v>42</v>
      </c>
      <c r="B33" s="22">
        <f t="shared" ref="B33:X33" si="4">SUM(B2:B32)</f>
        <v>1481.0900000000001</v>
      </c>
      <c r="C33" s="22">
        <f t="shared" si="4"/>
        <v>137.51000000000002</v>
      </c>
      <c r="D33" s="22">
        <f t="shared" si="4"/>
        <v>2215.4499999999998</v>
      </c>
      <c r="E33" s="22">
        <f t="shared" si="4"/>
        <v>101.58</v>
      </c>
      <c r="F33" s="22">
        <f t="shared" si="4"/>
        <v>1635.31</v>
      </c>
      <c r="G33" s="22">
        <f t="shared" si="4"/>
        <v>2</v>
      </c>
      <c r="H33" s="22">
        <f t="shared" si="4"/>
        <v>1670.5250000000001</v>
      </c>
      <c r="I33" s="22">
        <f t="shared" si="4"/>
        <v>139.26999999999998</v>
      </c>
      <c r="J33" s="22">
        <f t="shared" si="4"/>
        <v>2184.8416000000002</v>
      </c>
      <c r="K33" s="22">
        <f t="shared" si="4"/>
        <v>182.92000000000002</v>
      </c>
      <c r="L33" s="22">
        <f t="shared" si="4"/>
        <v>2472.625</v>
      </c>
      <c r="M33" s="22">
        <f t="shared" si="4"/>
        <v>95</v>
      </c>
      <c r="N33" s="22">
        <f t="shared" si="4"/>
        <v>714.91949999999997</v>
      </c>
      <c r="O33" s="22">
        <f t="shared" si="4"/>
        <v>3.47</v>
      </c>
      <c r="P33" s="22">
        <f t="shared" si="4"/>
        <v>1877.139999</v>
      </c>
      <c r="Q33" s="22">
        <f t="shared" si="4"/>
        <v>133</v>
      </c>
      <c r="R33" s="22">
        <f t="shared" si="4"/>
        <v>1861.3509680000004</v>
      </c>
      <c r="S33" s="22">
        <f t="shared" si="4"/>
        <v>483.34100000000001</v>
      </c>
      <c r="T33" s="22">
        <f t="shared" si="4"/>
        <v>1986.2829160000001</v>
      </c>
      <c r="U33" s="22">
        <f t="shared" si="4"/>
        <v>220.74249700000004</v>
      </c>
      <c r="V33" s="22">
        <f t="shared" si="4"/>
        <v>1112.4099999999999</v>
      </c>
      <c r="W33" s="22">
        <f t="shared" si="4"/>
        <v>123.9871</v>
      </c>
      <c r="X33" s="22">
        <f t="shared" si="4"/>
        <v>2347.2941640000004</v>
      </c>
      <c r="Y33" s="22">
        <f>SUM(Y2:Y32)</f>
        <v>425.02820000000003</v>
      </c>
      <c r="Z33" s="22">
        <f>SUM(Z2:Z32)</f>
        <v>21559.239146999993</v>
      </c>
      <c r="AA33" s="22">
        <f>SUM(AA2:AA32)</f>
        <v>2047.8487970000001</v>
      </c>
      <c r="AB33" s="22">
        <f>SUM(AB2:AB32)</f>
        <v>19511.390350000001</v>
      </c>
      <c r="AC33" s="22">
        <f>SUM(AC2:AC32)</f>
        <v>1625.9491958333333</v>
      </c>
    </row>
  </sheetData>
  <autoFilter ref="A1:CM33" xr:uid="{E31697D7-A733-4FFF-BAE0-3A97BC7BCA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24-25</vt:lpstr>
      <vt:lpstr>25-26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Company_Name</dc:title>
  <dc:creator>GOMA THAPA MAGAR</dc:creator>
  <cp:lastModifiedBy>Rajeev Shah</cp:lastModifiedBy>
  <dcterms:created xsi:type="dcterms:W3CDTF">2022-02-18T10:05:34Z</dcterms:created>
  <dcterms:modified xsi:type="dcterms:W3CDTF">2026-03-24T09:36:12Z</dcterms:modified>
</cp:coreProperties>
</file>